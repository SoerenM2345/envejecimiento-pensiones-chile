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W:\Repositorio\UAPP\Informes PGU y Pilar Solidario\2023\12. Diciembre 2023\VERSIONES\"/>
    </mc:Choice>
  </mc:AlternateContent>
  <xr:revisionPtr revIDLastSave="0" documentId="13_ncr:1_{D4A92054-4144-4083-A985-DB951EC7E106}" xr6:coauthVersionLast="47" xr6:coauthVersionMax="47" xr10:uidLastSave="{00000000-0000-0000-0000-000000000000}"/>
  <bookViews>
    <workbookView xWindow="-28920" yWindow="-8085" windowWidth="29040" windowHeight="15840" xr2:uid="{26D8F194-EB32-4EC6-A94C-427CE860A783}"/>
  </bookViews>
  <sheets>
    <sheet name="Indice General" sheetId="26" r:id="rId1"/>
    <sheet name="I. Beneficios pagados" sheetId="29" r:id="rId2"/>
    <sheet name="dinamica pgu" sheetId="24" state="hidden" r:id="rId3"/>
    <sheet name="N PBS" sheetId="22" state="hidden" r:id="rId4"/>
    <sheet name="MONTOS PBS" sheetId="20" state="hidden" r:id="rId5"/>
    <sheet name="1.1" sheetId="1" r:id="rId6"/>
    <sheet name="1.2" sheetId="39" r:id="rId7"/>
    <sheet name="1.3" sheetId="2" r:id="rId8"/>
    <sheet name="1.4" sheetId="3" r:id="rId9"/>
    <sheet name="DINAMICA APS" sheetId="23" state="hidden" r:id="rId10"/>
    <sheet name="1.5" sheetId="4" r:id="rId11"/>
    <sheet name="Hoja2" sheetId="16" state="hidden" r:id="rId12"/>
    <sheet name="1.6" sheetId="37" r:id="rId13"/>
    <sheet name="II. Estado de Solicitudes" sheetId="30" r:id="rId14"/>
    <sheet name="2.1" sheetId="7" r:id="rId15"/>
    <sheet name="Solicitudes_compl" sheetId="8" state="hidden" r:id="rId16"/>
    <sheet name="2.3" sheetId="9" r:id="rId17"/>
    <sheet name="2.2" sheetId="27" r:id="rId18"/>
    <sheet name="2.4" sheetId="28" r:id="rId19"/>
    <sheet name="2.5" sheetId="10" r:id="rId20"/>
    <sheet name="2.6" sheetId="12" r:id="rId21"/>
    <sheet name="III. Bono por hijo" sheetId="31" r:id="rId22"/>
    <sheet name="3.1" sheetId="34" r:id="rId23"/>
    <sheet name="IV. Subsidio STJ" sheetId="35" r:id="rId24"/>
    <sheet name="4.1" sheetId="33" r:id="rId25"/>
    <sheet name="4.2" sheetId="32" r:id="rId26"/>
    <sheet name="4.3" sheetId="36" r:id="rId27"/>
    <sheet name="Regiones" sheetId="14" state="hidden" r:id="rId28"/>
    <sheet name="Comunas" sheetId="15" state="hidden" r:id="rId29"/>
    <sheet name="Hoja2 (2)" sheetId="18" state="hidden" r:id="rId30"/>
    <sheet name="Por sexo" sheetId="11" state="hidden" r:id="rId31"/>
    <sheet name="Focalización y monto del benef" sheetId="13" state="hidden" r:id="rId32"/>
  </sheets>
  <definedNames>
    <definedName name="_xlnm._FilterDatabase" localSheetId="14" hidden="1">'2.1'!$A$9:$AD$24</definedName>
  </definedNames>
  <calcPr calcId="191029"/>
  <pivotCaches>
    <pivotCache cacheId="0" r:id="rId33"/>
    <pivotCache cacheId="1" r:id="rId34"/>
    <pivotCache cacheId="2" r:id="rId35"/>
    <pivotCache cacheId="3" r:id="rId3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5" i="20" l="1"/>
  <c r="AG5" i="20"/>
  <c r="AH5" i="20"/>
  <c r="AI5" i="20"/>
  <c r="AJ5" i="20"/>
  <c r="AK5" i="20"/>
  <c r="AL5" i="20"/>
  <c r="AM5" i="20"/>
  <c r="AN5" i="20"/>
  <c r="AF6" i="20"/>
  <c r="AG6" i="20"/>
  <c r="AH6" i="20"/>
  <c r="AI6" i="20"/>
  <c r="AJ6" i="20"/>
  <c r="AK6" i="20"/>
  <c r="AL6" i="20"/>
  <c r="AM6" i="20"/>
  <c r="AN6" i="20"/>
  <c r="AG4" i="20"/>
  <c r="AH4" i="20"/>
  <c r="AI4" i="20"/>
  <c r="AJ4" i="20"/>
  <c r="AK4" i="20"/>
  <c r="AL4" i="20"/>
  <c r="AM4" i="20"/>
  <c r="AN4" i="20"/>
  <c r="AF4" i="20"/>
  <c r="AI15" i="20"/>
  <c r="AF16" i="20"/>
  <c r="AG16" i="20"/>
  <c r="AH16" i="20"/>
  <c r="AI16" i="20"/>
  <c r="AJ16" i="20"/>
  <c r="AK16" i="20"/>
  <c r="AL16" i="20"/>
  <c r="AM16" i="20"/>
  <c r="AN16" i="20"/>
  <c r="AF17" i="20"/>
  <c r="AG17" i="20"/>
  <c r="AH17" i="20"/>
  <c r="AI17" i="20"/>
  <c r="AJ17" i="20"/>
  <c r="AK17" i="20"/>
  <c r="AL17" i="20"/>
  <c r="AM17" i="20"/>
  <c r="AN17" i="20"/>
  <c r="AG15" i="20"/>
  <c r="AH15" i="20"/>
  <c r="AJ15" i="20"/>
  <c r="AK15" i="20"/>
  <c r="AL15" i="20"/>
  <c r="AM15" i="20"/>
  <c r="AN15" i="20"/>
  <c r="AF15" i="20"/>
  <c r="AH14" i="8"/>
  <c r="AH15" i="8"/>
  <c r="AH16" i="8"/>
  <c r="AH17" i="8"/>
  <c r="AH13" i="8"/>
  <c r="AF19" i="8"/>
  <c r="AG19" i="8"/>
  <c r="AH19" i="8"/>
  <c r="AE19" i="8"/>
  <c r="J12" i="14"/>
  <c r="G518" i="18"/>
  <c r="F518" i="18"/>
  <c r="E518" i="18"/>
  <c r="D518" i="18"/>
  <c r="C518" i="18"/>
  <c r="B518" i="18"/>
  <c r="G487" i="18"/>
  <c r="F487" i="18"/>
  <c r="E487" i="18"/>
  <c r="D487" i="18"/>
  <c r="C487" i="18"/>
  <c r="B487" i="18"/>
  <c r="G448" i="18"/>
  <c r="F448" i="18"/>
  <c r="E448" i="18"/>
  <c r="D448" i="18"/>
  <c r="C448" i="18"/>
  <c r="B448" i="18"/>
  <c r="G386" i="18"/>
  <c r="F386" i="18"/>
  <c r="E386" i="18"/>
  <c r="D386" i="18"/>
  <c r="C386" i="18"/>
  <c r="B386" i="18"/>
  <c r="G363" i="18"/>
  <c r="F363" i="18"/>
  <c r="E363" i="18"/>
  <c r="D363" i="18"/>
  <c r="C363" i="18"/>
  <c r="B363" i="18"/>
  <c r="F345" i="18"/>
  <c r="E345" i="18"/>
  <c r="D345" i="18"/>
  <c r="C345" i="18"/>
  <c r="B345" i="18"/>
  <c r="G304" i="18"/>
  <c r="F304" i="18"/>
  <c r="E304" i="18"/>
  <c r="D304" i="18"/>
  <c r="C304" i="18"/>
  <c r="B304" i="18"/>
  <c r="G265" i="18"/>
  <c r="F265" i="18"/>
  <c r="E265" i="18"/>
  <c r="D265" i="18"/>
  <c r="C265" i="18"/>
  <c r="B265" i="18"/>
  <c r="G220" i="18"/>
  <c r="F220" i="18"/>
  <c r="E220" i="18"/>
  <c r="D220" i="18"/>
  <c r="C220" i="18"/>
  <c r="B220" i="18"/>
  <c r="H180" i="18"/>
  <c r="G180" i="18"/>
  <c r="F180" i="18"/>
  <c r="E180" i="18"/>
  <c r="D180" i="18"/>
  <c r="C180" i="18"/>
  <c r="H135" i="18"/>
  <c r="G135" i="18"/>
  <c r="F135" i="18"/>
  <c r="E135" i="18"/>
  <c r="D135" i="18"/>
  <c r="C135" i="18"/>
  <c r="G36" i="18"/>
  <c r="F36" i="18"/>
  <c r="E36" i="18"/>
  <c r="D36" i="18"/>
  <c r="C36" i="18"/>
  <c r="B36" i="18"/>
  <c r="G15" i="18"/>
  <c r="F15" i="18"/>
  <c r="E15" i="18"/>
  <c r="D15" i="18"/>
  <c r="C15" i="18"/>
  <c r="B15" i="18"/>
  <c r="C518" i="16"/>
  <c r="D518" i="16"/>
  <c r="E518" i="16"/>
  <c r="F518" i="16"/>
  <c r="G518" i="16"/>
  <c r="B518" i="16"/>
  <c r="G487" i="16"/>
  <c r="C487" i="16"/>
  <c r="D487" i="16"/>
  <c r="E487" i="16"/>
  <c r="F487" i="16"/>
  <c r="B487" i="16"/>
  <c r="C448" i="16"/>
  <c r="D448" i="16"/>
  <c r="E448" i="16"/>
  <c r="F448" i="16"/>
  <c r="G448" i="16"/>
  <c r="B448" i="16"/>
  <c r="B386" i="16"/>
  <c r="C386" i="16"/>
  <c r="D386" i="16"/>
  <c r="E386" i="16"/>
  <c r="F386" i="16"/>
  <c r="G386" i="16"/>
  <c r="C363" i="16"/>
  <c r="D363" i="16"/>
  <c r="E363" i="16"/>
  <c r="F363" i="16"/>
  <c r="G363" i="16"/>
  <c r="B363" i="16"/>
  <c r="C345" i="16"/>
  <c r="D345" i="16"/>
  <c r="E345" i="16"/>
  <c r="F345" i="16"/>
  <c r="B345" i="16"/>
  <c r="C304" i="16"/>
  <c r="D304" i="16"/>
  <c r="E304" i="16"/>
  <c r="F304" i="16"/>
  <c r="G304" i="16"/>
  <c r="B304" i="16"/>
  <c r="C265" i="16"/>
  <c r="D265" i="16"/>
  <c r="E265" i="16"/>
  <c r="F265" i="16"/>
  <c r="G265" i="16"/>
  <c r="B265" i="16"/>
  <c r="C220" i="16"/>
  <c r="D220" i="16"/>
  <c r="E220" i="16"/>
  <c r="F220" i="16"/>
  <c r="G220" i="16"/>
  <c r="B220" i="16"/>
  <c r="D180" i="16"/>
  <c r="E180" i="16"/>
  <c r="F180" i="16"/>
  <c r="G180" i="16"/>
  <c r="H180" i="16"/>
  <c r="C180" i="16"/>
  <c r="D135" i="16"/>
  <c r="E135" i="16"/>
  <c r="F135" i="16"/>
  <c r="G135" i="16"/>
  <c r="H135" i="16"/>
  <c r="C135" i="16"/>
  <c r="C15" i="16"/>
  <c r="D15" i="16"/>
  <c r="E15" i="16"/>
  <c r="F15" i="16"/>
  <c r="G15" i="16"/>
  <c r="B15" i="16"/>
  <c r="C36" i="16"/>
  <c r="D36" i="16"/>
  <c r="E36" i="16"/>
  <c r="F36" i="16"/>
  <c r="G36" i="16"/>
  <c r="B36" i="16"/>
  <c r="B77" i="14"/>
  <c r="B62" i="14"/>
  <c r="C62" i="14"/>
  <c r="D62" i="14"/>
  <c r="E62" i="14"/>
  <c r="F62" i="14"/>
  <c r="G62" i="14"/>
  <c r="B63" i="14"/>
  <c r="C63" i="14"/>
  <c r="D63" i="14"/>
  <c r="E63" i="14"/>
  <c r="F63" i="14"/>
  <c r="G63" i="14"/>
  <c r="B64" i="14"/>
  <c r="C64" i="14"/>
  <c r="D64" i="14"/>
  <c r="E64" i="14"/>
  <c r="F64" i="14"/>
  <c r="G64" i="14"/>
  <c r="B65" i="14"/>
  <c r="C65" i="14"/>
  <c r="D65" i="14"/>
  <c r="E65" i="14"/>
  <c r="F65" i="14"/>
  <c r="G65" i="14"/>
  <c r="B66" i="14"/>
  <c r="C66" i="14"/>
  <c r="D66" i="14"/>
  <c r="E66" i="14"/>
  <c r="F66" i="14"/>
  <c r="G66" i="14"/>
  <c r="B67" i="14"/>
  <c r="C67" i="14"/>
  <c r="D67" i="14"/>
  <c r="E67" i="14"/>
  <c r="F67" i="14"/>
  <c r="G67" i="14"/>
  <c r="B68" i="14"/>
  <c r="C68" i="14"/>
  <c r="D68" i="14"/>
  <c r="E68" i="14"/>
  <c r="F68" i="14"/>
  <c r="G68" i="14"/>
  <c r="B69" i="14"/>
  <c r="C69" i="14"/>
  <c r="D69" i="14"/>
  <c r="E69" i="14"/>
  <c r="F69" i="14"/>
  <c r="G69" i="14"/>
  <c r="B70" i="14"/>
  <c r="C70" i="14"/>
  <c r="D70" i="14"/>
  <c r="E70" i="14"/>
  <c r="F70" i="14"/>
  <c r="G70" i="14"/>
  <c r="B71" i="14"/>
  <c r="C71" i="14"/>
  <c r="D71" i="14"/>
  <c r="E71" i="14"/>
  <c r="F71" i="14"/>
  <c r="G71" i="14"/>
  <c r="B72" i="14"/>
  <c r="C72" i="14"/>
  <c r="D72" i="14"/>
  <c r="E72" i="14"/>
  <c r="F72" i="14"/>
  <c r="G72" i="14"/>
  <c r="B73" i="14"/>
  <c r="C73" i="14"/>
  <c r="D73" i="14"/>
  <c r="E73" i="14"/>
  <c r="F73" i="14"/>
  <c r="G73" i="14"/>
  <c r="B74" i="14"/>
  <c r="C74" i="14"/>
  <c r="D74" i="14"/>
  <c r="E74" i="14"/>
  <c r="F74" i="14"/>
  <c r="G74" i="14"/>
  <c r="B75" i="14"/>
  <c r="C75" i="14"/>
  <c r="D75" i="14"/>
  <c r="E75" i="14"/>
  <c r="F75" i="14"/>
  <c r="G75" i="14"/>
  <c r="B76" i="14"/>
  <c r="C76" i="14"/>
  <c r="D76" i="14"/>
  <c r="E76" i="14"/>
  <c r="F76" i="14"/>
  <c r="G76" i="14"/>
  <c r="C77" i="14"/>
  <c r="D77" i="14"/>
  <c r="E77" i="14"/>
  <c r="F77" i="14"/>
  <c r="G77" i="14"/>
  <c r="C61" i="14"/>
  <c r="D61" i="14"/>
  <c r="E61" i="14"/>
  <c r="F61" i="14"/>
  <c r="G61" i="14"/>
  <c r="B61" i="14"/>
  <c r="Q11" i="11"/>
  <c r="P11" i="11"/>
  <c r="K11" i="11"/>
  <c r="J11" i="11"/>
  <c r="E11" i="11"/>
  <c r="D11" i="11"/>
  <c r="F8" i="11"/>
  <c r="F9" i="11"/>
  <c r="F10" i="11"/>
  <c r="R10" i="11"/>
  <c r="R9" i="11"/>
  <c r="R8" i="11"/>
  <c r="L10" i="11"/>
  <c r="L9" i="11"/>
  <c r="L8" i="11"/>
  <c r="R34" i="11"/>
  <c r="Q34" i="11"/>
  <c r="P34" i="11"/>
  <c r="K34" i="11"/>
  <c r="J34" i="11"/>
  <c r="E34" i="11"/>
  <c r="D34" i="11"/>
  <c r="L33" i="11"/>
  <c r="F33" i="11"/>
  <c r="L32" i="11"/>
  <c r="F32" i="11"/>
  <c r="L31" i="11"/>
  <c r="F31" i="11"/>
  <c r="L30" i="11"/>
  <c r="F30" i="11"/>
  <c r="L29" i="11"/>
  <c r="F29" i="11"/>
  <c r="L28" i="11"/>
  <c r="F28" i="11"/>
  <c r="L27" i="11"/>
  <c r="F27" i="11"/>
  <c r="L26" i="11"/>
  <c r="F26" i="11"/>
  <c r="L25" i="11"/>
  <c r="F25" i="11"/>
  <c r="L24" i="11"/>
  <c r="F24" i="11"/>
  <c r="L23" i="11"/>
  <c r="F23" i="11"/>
  <c r="L22" i="11"/>
  <c r="F22" i="11"/>
  <c r="L21" i="11"/>
  <c r="F21" i="11"/>
  <c r="L20" i="11"/>
  <c r="F20" i="11"/>
  <c r="L19" i="11"/>
  <c r="F19" i="11"/>
  <c r="G107" i="8"/>
  <c r="G108" i="8" s="1"/>
  <c r="F107" i="8"/>
  <c r="E107" i="8"/>
  <c r="D107" i="8"/>
  <c r="C107" i="8"/>
  <c r="L54" i="8" s="1"/>
  <c r="H106" i="8"/>
  <c r="H105" i="8"/>
  <c r="H104" i="8"/>
  <c r="H103" i="8"/>
  <c r="H102" i="8"/>
  <c r="H101" i="8"/>
  <c r="H100" i="8"/>
  <c r="H99" i="8"/>
  <c r="H98" i="8"/>
  <c r="H97" i="8"/>
  <c r="H96" i="8"/>
  <c r="H95" i="8"/>
  <c r="H107" i="8" s="1"/>
  <c r="F94" i="8"/>
  <c r="E94" i="8"/>
  <c r="D94" i="8"/>
  <c r="M53" i="8" s="1"/>
  <c r="C94" i="8"/>
  <c r="H93" i="8"/>
  <c r="H92" i="8"/>
  <c r="H91" i="8"/>
  <c r="H90" i="8"/>
  <c r="H89" i="8"/>
  <c r="H88" i="8"/>
  <c r="H87" i="8"/>
  <c r="H86" i="8"/>
  <c r="H85" i="8"/>
  <c r="H84" i="8"/>
  <c r="H83" i="8"/>
  <c r="H82" i="8"/>
  <c r="H94" i="8" s="1"/>
  <c r="F81" i="8"/>
  <c r="O52" i="8" s="1"/>
  <c r="E81" i="8"/>
  <c r="N52" i="8" s="1"/>
  <c r="D81" i="8"/>
  <c r="C81" i="8"/>
  <c r="H80" i="8"/>
  <c r="H79" i="8"/>
  <c r="H78" i="8"/>
  <c r="H77" i="8"/>
  <c r="H76" i="8"/>
  <c r="H75" i="8"/>
  <c r="H74" i="8"/>
  <c r="H73" i="8"/>
  <c r="H72" i="8"/>
  <c r="H71" i="8"/>
  <c r="H70" i="8"/>
  <c r="H69" i="8"/>
  <c r="H81" i="8" s="1"/>
  <c r="F68" i="8"/>
  <c r="O51" i="8" s="1"/>
  <c r="E68" i="8"/>
  <c r="D68" i="8"/>
  <c r="C68" i="8"/>
  <c r="H67" i="8"/>
  <c r="H66" i="8"/>
  <c r="H65" i="8"/>
  <c r="H64" i="8"/>
  <c r="H63" i="8"/>
  <c r="H62" i="8"/>
  <c r="H61" i="8"/>
  <c r="H60" i="8"/>
  <c r="H59" i="8"/>
  <c r="H58" i="8"/>
  <c r="H57" i="8"/>
  <c r="H56" i="8"/>
  <c r="F55" i="8"/>
  <c r="O50" i="8" s="1"/>
  <c r="E55" i="8"/>
  <c r="N50" i="8" s="1"/>
  <c r="D55" i="8"/>
  <c r="C55" i="8"/>
  <c r="O54" i="8"/>
  <c r="N54" i="8"/>
  <c r="M54" i="8"/>
  <c r="H54" i="8"/>
  <c r="O53" i="8"/>
  <c r="N53" i="8"/>
  <c r="L53" i="8"/>
  <c r="H53" i="8"/>
  <c r="Q52" i="8"/>
  <c r="M52" i="8"/>
  <c r="L52" i="8"/>
  <c r="H52" i="8"/>
  <c r="N51" i="8"/>
  <c r="M51" i="8"/>
  <c r="H51" i="8"/>
  <c r="M50" i="8"/>
  <c r="L50" i="8"/>
  <c r="H50" i="8"/>
  <c r="O49" i="8"/>
  <c r="N49" i="8"/>
  <c r="H49" i="8"/>
  <c r="M48" i="8"/>
  <c r="L48" i="8"/>
  <c r="H48" i="8"/>
  <c r="O47" i="8"/>
  <c r="N47" i="8"/>
  <c r="M47" i="8"/>
  <c r="L47" i="8"/>
  <c r="H47" i="8"/>
  <c r="O46" i="8"/>
  <c r="N46" i="8"/>
  <c r="M46" i="8"/>
  <c r="L46" i="8"/>
  <c r="Q46" i="8" s="1"/>
  <c r="H46" i="8"/>
  <c r="O45" i="8"/>
  <c r="N45" i="8"/>
  <c r="M45" i="8"/>
  <c r="L45" i="8"/>
  <c r="Q45" i="8" s="1"/>
  <c r="H45" i="8"/>
  <c r="O44" i="8"/>
  <c r="N44" i="8"/>
  <c r="M44" i="8"/>
  <c r="L44" i="8"/>
  <c r="Q44" i="8" s="1"/>
  <c r="H44" i="8"/>
  <c r="O43" i="8"/>
  <c r="N43" i="8"/>
  <c r="M43" i="8"/>
  <c r="L43" i="8"/>
  <c r="Q43" i="8" s="1"/>
  <c r="H43" i="8"/>
  <c r="H55" i="8" s="1"/>
  <c r="O42" i="8"/>
  <c r="N42" i="8"/>
  <c r="M42" i="8"/>
  <c r="L42" i="8"/>
  <c r="Q42" i="8" s="1"/>
  <c r="F42" i="8"/>
  <c r="E42" i="8"/>
  <c r="D42" i="8"/>
  <c r="M49" i="8" s="1"/>
  <c r="M55" i="8" s="1"/>
  <c r="C42" i="8"/>
  <c r="L49" i="8" s="1"/>
  <c r="O41" i="8"/>
  <c r="N41" i="8"/>
  <c r="M41" i="8"/>
  <c r="L41" i="8"/>
  <c r="H41" i="8"/>
  <c r="O40" i="8"/>
  <c r="N40" i="8"/>
  <c r="M40" i="8"/>
  <c r="L40" i="8"/>
  <c r="H40" i="8"/>
  <c r="H39" i="8"/>
  <c r="H38" i="8"/>
  <c r="H37" i="8"/>
  <c r="H36" i="8"/>
  <c r="H35" i="8"/>
  <c r="H34" i="8"/>
  <c r="H33" i="8"/>
  <c r="V32" i="8"/>
  <c r="U32" i="8"/>
  <c r="T32" i="8"/>
  <c r="S32" i="8"/>
  <c r="R32" i="8"/>
  <c r="Q32" i="8"/>
  <c r="P32" i="8"/>
  <c r="O32" i="8"/>
  <c r="N32" i="8"/>
  <c r="M32" i="8"/>
  <c r="L32" i="8"/>
  <c r="H32" i="8"/>
  <c r="W31" i="8"/>
  <c r="H31" i="8"/>
  <c r="W30" i="8"/>
  <c r="H30" i="8"/>
  <c r="H42" i="8" s="1"/>
  <c r="W29" i="8"/>
  <c r="F29" i="8"/>
  <c r="E29" i="8"/>
  <c r="N48" i="8" s="1"/>
  <c r="D29" i="8"/>
  <c r="C29" i="8"/>
  <c r="C108" i="8" s="1"/>
  <c r="W28" i="8"/>
  <c r="H28" i="8"/>
  <c r="W27" i="8"/>
  <c r="W32" i="8" s="1"/>
  <c r="H27" i="8"/>
  <c r="H26" i="8"/>
  <c r="H25" i="8"/>
  <c r="H24" i="8"/>
  <c r="H23" i="8"/>
  <c r="H22" i="8"/>
  <c r="H21" i="8"/>
  <c r="H20" i="8"/>
  <c r="Z19" i="8"/>
  <c r="Y19" i="8"/>
  <c r="X19" i="8"/>
  <c r="W19" i="8"/>
  <c r="V19" i="8"/>
  <c r="U19" i="8"/>
  <c r="T19" i="8"/>
  <c r="S19" i="8"/>
  <c r="R19" i="8"/>
  <c r="Q19" i="8"/>
  <c r="P19" i="8"/>
  <c r="O19" i="8"/>
  <c r="N19" i="8"/>
  <c r="M19" i="8"/>
  <c r="L19" i="8"/>
  <c r="H19" i="8"/>
  <c r="H18" i="8"/>
  <c r="AA17" i="8"/>
  <c r="H17" i="8"/>
  <c r="AA16" i="8"/>
  <c r="H16" i="8"/>
  <c r="AA15" i="8"/>
  <c r="H15" i="8"/>
  <c r="AA14" i="8"/>
  <c r="AA19" i="8" s="1"/>
  <c r="H14" i="8"/>
  <c r="AA13" i="8"/>
  <c r="H13" i="8"/>
  <c r="H12" i="8"/>
  <c r="H11" i="8"/>
  <c r="H10" i="8"/>
  <c r="H9" i="8"/>
  <c r="F11" i="11" l="1"/>
  <c r="R11" i="11"/>
  <c r="L11" i="11"/>
  <c r="L34" i="11"/>
  <c r="F34" i="11"/>
  <c r="H108" i="8"/>
  <c r="N55" i="8"/>
  <c r="Q50" i="8"/>
  <c r="H68" i="8"/>
  <c r="Q53" i="8"/>
  <c r="P54" i="8"/>
  <c r="P55" i="8" s="1"/>
  <c r="E108" i="8"/>
  <c r="D108" i="8"/>
  <c r="Q40" i="8"/>
  <c r="H29" i="8"/>
  <c r="O48" i="8"/>
  <c r="O55" i="8" s="1"/>
  <c r="F108" i="8"/>
  <c r="Q41" i="8"/>
  <c r="Q49" i="8"/>
  <c r="Q47" i="8"/>
  <c r="L51" i="8"/>
  <c r="Q51" i="8" s="1"/>
  <c r="Q48" i="8" l="1"/>
  <c r="Q54" i="8"/>
  <c r="L55" i="8"/>
  <c r="Q55" i="8" l="1"/>
</calcChain>
</file>

<file path=xl/sharedStrings.xml><?xml version="1.0" encoding="utf-8"?>
<sst xmlns="http://schemas.openxmlformats.org/spreadsheetml/2006/main" count="7248" uniqueCount="970">
  <si>
    <t>(julio 2008 a diciembre 2022)</t>
  </si>
  <si>
    <t>N°</t>
  </si>
  <si>
    <t>PBS Invalidez</t>
  </si>
  <si>
    <t>APS Invalidez</t>
  </si>
  <si>
    <t>TOTAL</t>
  </si>
  <si>
    <t>%</t>
  </si>
  <si>
    <t>(febrero 2022 a diciembre 2022)</t>
  </si>
  <si>
    <t>PERIODO</t>
  </si>
  <si>
    <t>(julio 2008  a diciembre 2022)</t>
  </si>
  <si>
    <t>APSV</t>
  </si>
  <si>
    <t>APSV***</t>
  </si>
  <si>
    <t>PGU</t>
  </si>
  <si>
    <t>Concedidas</t>
  </si>
  <si>
    <t>Rechazadas</t>
  </si>
  <si>
    <t>En Trámite</t>
  </si>
  <si>
    <t>Anuladas</t>
  </si>
  <si>
    <t>Desistidas</t>
  </si>
  <si>
    <t>Fuente: Elaboración propia a partir de Bases de Datos del IPS. Información actualizada a Diciembre 2022.</t>
  </si>
  <si>
    <t>* Corresponde al número de trámites de solicitud realizados, no el número de personas que han realizado una solicitud. Esto dado que una persona puede hacer más de una solicitud, toda vez que estas sean rechazadas, desistidas o anuladas.
** Producto de un cambio en la fuente de información, el número de solicitudes fue actualizado para los años 2010 al 2021. Las actuales cifran incluyen las solicitudes automáticas generadas por los traspasos de los beneficios de invalidez a vejez.
*** El número de APSV incluye las solicitudes del beneficio Nbis para los años 2019, 2020 y 2021, las cuales correspondieron a 1, 531 y 427 solicitudes, respectivamente.
El beneficio Nbis (ley 21.190 art 9 bis) estaba dirigido a los pensionados por Retiro Programado con Pensión Base mayor a la PMAS, y que cumplían con los demás requisitos exigidos por la ley. Permitía acceder a un complemento de manera tal que la pensión final no desciediera del valor de una Pensión Básica Solidaria.</t>
  </si>
  <si>
    <t>TOTAL SOLICITUDES</t>
  </si>
  <si>
    <t>Número de solicitudes* mensuales de beneficios de vejez e invalidez del SPS y PGU**</t>
  </si>
  <si>
    <t>TOTAL SOLICITUDES 
(PBS, APS y PGU)</t>
  </si>
  <si>
    <t xml:space="preserve">PBSV </t>
  </si>
  <si>
    <t xml:space="preserve">PBSI </t>
  </si>
  <si>
    <t xml:space="preserve">APSI </t>
  </si>
  <si>
    <t>Total</t>
  </si>
  <si>
    <t>Total 2008</t>
  </si>
  <si>
    <t>Número de solicitudes de beneficios SPS y PGU según institución donde se realizó el trámite de solicitud</t>
  </si>
  <si>
    <t>Total 2009</t>
  </si>
  <si>
    <t>Total 2010</t>
  </si>
  <si>
    <t>Total 2011</t>
  </si>
  <si>
    <t>Institución</t>
  </si>
  <si>
    <t>Total  2012</t>
  </si>
  <si>
    <t>IPS</t>
  </si>
  <si>
    <t>Total 2013</t>
  </si>
  <si>
    <t>AFP</t>
  </si>
  <si>
    <t>Total 2014</t>
  </si>
  <si>
    <t>Cía. De Seguros</t>
  </si>
  <si>
    <t>Total 2015</t>
  </si>
  <si>
    <t>Municipalidades</t>
  </si>
  <si>
    <t>Enero</t>
  </si>
  <si>
    <t>Registro Civil</t>
  </si>
  <si>
    <t>Febrero</t>
  </si>
  <si>
    <t>Canal Web</t>
  </si>
  <si>
    <t>Marzo</t>
  </si>
  <si>
    <t>Abril</t>
  </si>
  <si>
    <t>Mayo</t>
  </si>
  <si>
    <t>Junio</t>
  </si>
  <si>
    <t>Julio</t>
  </si>
  <si>
    <t>Número de solicitudes del beneficio PGU mensual según institución donde se realizó el trámite de solicitud</t>
  </si>
  <si>
    <t>Agosto</t>
  </si>
  <si>
    <t>Septiembre</t>
  </si>
  <si>
    <t>Octubre</t>
  </si>
  <si>
    <t>Noviembre</t>
  </si>
  <si>
    <t>Diciembre</t>
  </si>
  <si>
    <t>Total 2016</t>
  </si>
  <si>
    <t>Número de solicitudes* anual de beneficios de vejez e invalidez del SPS y PGU**</t>
  </si>
  <si>
    <t>Año</t>
  </si>
  <si>
    <t>Total 2017</t>
  </si>
  <si>
    <t>Total 2018</t>
  </si>
  <si>
    <t>Total 2019</t>
  </si>
  <si>
    <t>Solicitudes en trámite al 31/01</t>
  </si>
  <si>
    <t>Fuente: IPS.</t>
  </si>
  <si>
    <t>Potenciales pendientes de solicitud al 31/01</t>
  </si>
  <si>
    <t>Total 2020</t>
  </si>
  <si>
    <t>Total 2021</t>
  </si>
  <si>
    <t>Total 2022</t>
  </si>
  <si>
    <t>SOLICITUDES SEGÚN SEXO</t>
  </si>
  <si>
    <r>
      <rPr>
        <b/>
        <sz val="14"/>
        <color theme="1"/>
        <rFont val="Calibri"/>
        <family val="2"/>
        <scheme val="minor"/>
      </rPr>
      <t xml:space="preserve">Número de </t>
    </r>
    <r>
      <rPr>
        <b/>
        <u/>
        <sz val="14"/>
        <color theme="1"/>
        <rFont val="Calibri"/>
        <family val="2"/>
        <scheme val="minor"/>
      </rPr>
      <t>solicitudes</t>
    </r>
    <r>
      <rPr>
        <b/>
        <sz val="14"/>
        <color theme="1"/>
        <rFont val="Calibri"/>
        <family val="2"/>
        <scheme val="minor"/>
      </rPr>
      <t xml:space="preserve"> anuales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</si>
  <si>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concedidas</t>
    </r>
    <r>
      <rPr>
        <b/>
        <sz val="14"/>
        <color theme="1"/>
        <rFont val="Calibri"/>
        <family val="2"/>
        <scheme val="minor"/>
      </rPr>
      <t xml:space="preserve"> anuales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</si>
  <si>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rechazadas</t>
    </r>
    <r>
      <rPr>
        <b/>
        <sz val="14"/>
        <color theme="1"/>
        <rFont val="Calibri"/>
        <family val="2"/>
        <scheme val="minor"/>
      </rPr>
      <t xml:space="preserve"> anuales por género de beneficios SPS y PGU*</t>
    </r>
    <r>
      <rPr>
        <b/>
        <sz val="11"/>
        <color theme="1"/>
        <rFont val="Calibri"/>
        <family val="2"/>
        <scheme val="minor"/>
      </rPr>
      <t xml:space="preserve">
</t>
    </r>
  </si>
  <si>
    <t>(julio 2008 y diciembre 2022)</t>
  </si>
  <si>
    <t>SPS y PGU</t>
  </si>
  <si>
    <t>Mujeres</t>
  </si>
  <si>
    <t>Hombres</t>
  </si>
  <si>
    <t>total</t>
  </si>
  <si>
    <t>* Todos los datos corresponden a número de solicitudes y no número de personas que han realizado una solicitud. Esto dado que una persona puede hacer más de una solicitud, toda vez que estas sean rechazadas, desistidas o anuladas.
** Producto de un cambio en la fuente de información, el número de solicitudes fue actualizado para los años 2010 al 2021. Las actuales cifran incluyen las solicitudes automáticas generadas por los traspasos de los beneficios de invalidez a vejez.
*** El número de APSV incluye las solicitudes del beneficio Nbis para los años 2019, 2020 y 2021, las cuales correspondieron a 1, 531 y 427 solicitudes, respectivamente.
El beneficio Nbis (ley 21.190 art 9 bis) estaba dirigido a los pensionados por Retiro Programado con Pensión Base mayor a la PMAS, y que cumplían con los demás requisitos exigidos por la ley. Permitía acceder a un complemento de manera tal que la pensión final no desciediera del valor de una Pensión Básica Solidaria.</t>
  </si>
  <si>
    <t xml:space="preserve">REQUISITO DE FOCALIZACIÓN Y MONTO DEL BENEFICIO (SPS Y PGU) </t>
  </si>
  <si>
    <t>(2008 a 2023)</t>
  </si>
  <si>
    <t>Sistema de Pensiones Solidarias</t>
  </si>
  <si>
    <t>Pensión Garantizada Universal</t>
  </si>
  <si>
    <t>Periodo de vigencia</t>
  </si>
  <si>
    <t>Tramos edad</t>
  </si>
  <si>
    <t>Requisito de focalización</t>
  </si>
  <si>
    <t>Monto de la PMAS</t>
  </si>
  <si>
    <t>Valor Mensual de la PBS</t>
  </si>
  <si>
    <t>Valor Mensual de la PGU</t>
  </si>
  <si>
    <t>01.07.08 al 30.06.09</t>
  </si>
  <si>
    <t>Todas las edades</t>
  </si>
  <si>
    <t>40% población total del país</t>
  </si>
  <si>
    <t>01.08.22 al 31.01.23</t>
  </si>
  <si>
    <t>90% población 65 años o más</t>
  </si>
  <si>
    <t>01.07.09 al 31.08.9</t>
  </si>
  <si>
    <t>45% población total del país</t>
  </si>
  <si>
    <t>01.02.23 al 31.03.23</t>
  </si>
  <si>
    <t>01.09.09 al 30.06.10</t>
  </si>
  <si>
    <t>50% población total del país</t>
  </si>
  <si>
    <t>01.04.23 al 31.12.23</t>
  </si>
  <si>
    <t>90% población total del país</t>
  </si>
  <si>
    <t>01.07.10 al 30.06.11</t>
  </si>
  <si>
    <t>55% población total del país</t>
  </si>
  <si>
    <t>Fuente: Elaboración propia a partir de la normativa legal. Actualizado 10-02-2023</t>
  </si>
  <si>
    <t>01.07.11 al 30.06.12</t>
  </si>
  <si>
    <t>60% población total del país</t>
  </si>
  <si>
    <t>01.07.12 al 30.06.13</t>
  </si>
  <si>
    <t>01.07.13 al 30.06.14</t>
  </si>
  <si>
    <t>01.07.14 al 30.06.15</t>
  </si>
  <si>
    <t>01.07.15 al 30.06.16</t>
  </si>
  <si>
    <t>01.07.16 al 31.12.16</t>
  </si>
  <si>
    <t>01.01.17 al 30.06.17</t>
  </si>
  <si>
    <t>01.07.17 al 30.06.18</t>
  </si>
  <si>
    <t>01.07.18 al 30.06.19</t>
  </si>
  <si>
    <t>01.07.19 al 30.11.19</t>
  </si>
  <si>
    <t>01.12.19 al 30.06.20</t>
  </si>
  <si>
    <t>&lt; 75 años</t>
  </si>
  <si>
    <t>75 a 79 años</t>
  </si>
  <si>
    <t>&gt;=80 años</t>
  </si>
  <si>
    <t>01.07.20 al 31.12.20</t>
  </si>
  <si>
    <t>01.01.21 al 30.06.21</t>
  </si>
  <si>
    <t>&lt;= 74 años</t>
  </si>
  <si>
    <t>&gt;=75 años</t>
  </si>
  <si>
    <t>01.07.21 al 31.12.21</t>
  </si>
  <si>
    <t>01.01.22 al 31.01.22</t>
  </si>
  <si>
    <t>01.02.22 al 31.07.22</t>
  </si>
  <si>
    <t>01.06.22 al 31.01.23</t>
  </si>
  <si>
    <t>01.02.23 al 31.12.23</t>
  </si>
  <si>
    <t>comuna</t>
  </si>
  <si>
    <t>PBSV/PGU</t>
  </si>
  <si>
    <t>PBSI</t>
  </si>
  <si>
    <t>PGU Contr</t>
  </si>
  <si>
    <t>APSI</t>
  </si>
  <si>
    <t>ALTO HOSPICIO</t>
  </si>
  <si>
    <t>COLCHANE</t>
  </si>
  <si>
    <t>HUARA</t>
  </si>
  <si>
    <t>IQUIQUE</t>
  </si>
  <si>
    <t>PICA</t>
  </si>
  <si>
    <t>POZO ALMONTE</t>
  </si>
  <si>
    <t>CAMIÑA</t>
  </si>
  <si>
    <t>-&gt; region_codigo = 2</t>
  </si>
  <si>
    <t>ANTOFAGASTA</t>
  </si>
  <si>
    <t>CALAMA</t>
  </si>
  <si>
    <t>MARIA ELENA</t>
  </si>
  <si>
    <t>MEJILLONES</t>
  </si>
  <si>
    <t>OLLAGUE</t>
  </si>
  <si>
    <t>SAN PEDRO DE ATACAMA</t>
  </si>
  <si>
    <t>SIERRA GORDA</t>
  </si>
  <si>
    <t>TALTAL</t>
  </si>
  <si>
    <t>TOCOPILLA</t>
  </si>
  <si>
    <t>ALTO DEL CARMEN</t>
  </si>
  <si>
    <t>CALDERA</t>
  </si>
  <si>
    <t>COPIAPO</t>
  </si>
  <si>
    <t>DIEGO DE ALMAGRO</t>
  </si>
  <si>
    <t>FREIRINA</t>
  </si>
  <si>
    <t>HUASCO</t>
  </si>
  <si>
    <t>TIERRA AMARILLA</t>
  </si>
  <si>
    <t>VALLENAR</t>
  </si>
  <si>
    <t>ANDACOLLO</t>
  </si>
  <si>
    <t>CANELA</t>
  </si>
  <si>
    <t>COMBARBALA</t>
  </si>
  <si>
    <t>COQUIMBO</t>
  </si>
  <si>
    <t>ILLAPEL</t>
  </si>
  <si>
    <t>LA HIGUERA</t>
  </si>
  <si>
    <t>LA SERENA</t>
  </si>
  <si>
    <t>LOS VILOS</t>
  </si>
  <si>
    <t>MONTE PATRIA</t>
  </si>
  <si>
    <t>OVALLE</t>
  </si>
  <si>
    <t>PAIHUANO</t>
  </si>
  <si>
    <t>PUNITAQUI</t>
  </si>
  <si>
    <t>RIO HURTADO</t>
  </si>
  <si>
    <t>SALAMANCA</t>
  </si>
  <si>
    <t>ALGARROBO</t>
  </si>
  <si>
    <t>CABILDO</t>
  </si>
  <si>
    <t>CALLE LARGA</t>
  </si>
  <si>
    <t>CARTAGENA</t>
  </si>
  <si>
    <t>CASABLANCA</t>
  </si>
  <si>
    <t>CATEMU</t>
  </si>
  <si>
    <t>CONCON</t>
  </si>
  <si>
    <t>EL QUISCO</t>
  </si>
  <si>
    <t>EL TABO</t>
  </si>
  <si>
    <t>HIJUELAS</t>
  </si>
  <si>
    <t>ISLA DE PASCUA</t>
  </si>
  <si>
    <t>JUAN FERNANDEZ</t>
  </si>
  <si>
    <t>LA CALERA</t>
  </si>
  <si>
    <t>LA CRUZ</t>
  </si>
  <si>
    <t>LA LIGUA</t>
  </si>
  <si>
    <t>LIMACHE</t>
  </si>
  <si>
    <t>LLAY LLAY</t>
  </si>
  <si>
    <t>LOS ANDES</t>
  </si>
  <si>
    <t>NOGALES</t>
  </si>
  <si>
    <t>OLMUE</t>
  </si>
  <si>
    <t>PANQUEHUE</t>
  </si>
  <si>
    <t>PAPUDO</t>
  </si>
  <si>
    <t>PETORCA</t>
  </si>
  <si>
    <t>PUCHUNCAVI</t>
  </si>
  <si>
    <t>PUTAENDO</t>
  </si>
  <si>
    <t>QUILLOTA</t>
  </si>
  <si>
    <t>QUILPUE</t>
  </si>
  <si>
    <t>QUINTERO</t>
  </si>
  <si>
    <t>RINCONADA</t>
  </si>
  <si>
    <t>SAN ANTONIO</t>
  </si>
  <si>
    <t>SAN ESTEBAN</t>
  </si>
  <si>
    <t>SAN FELIPE</t>
  </si>
  <si>
    <t>SANTA MARIA</t>
  </si>
  <si>
    <t>SANTO DOMINGO</t>
  </si>
  <si>
    <t>VALPARAISO</t>
  </si>
  <si>
    <t>VILLA ALEMANA</t>
  </si>
  <si>
    <t>ZAPALLAR</t>
  </si>
  <si>
    <t>CHEPICA</t>
  </si>
  <si>
    <t>CHIMBARONGO</t>
  </si>
  <si>
    <t>CODEGUA</t>
  </si>
  <si>
    <t>COINCO</t>
  </si>
  <si>
    <t>COLTAUCO</t>
  </si>
  <si>
    <t>GRANEROS</t>
  </si>
  <si>
    <t>LA ESTRELLA</t>
  </si>
  <si>
    <t>LAS CABRAS</t>
  </si>
  <si>
    <t>LITUECHE</t>
  </si>
  <si>
    <t>LOLOL</t>
  </si>
  <si>
    <t>MACHALI</t>
  </si>
  <si>
    <t>MALLOA</t>
  </si>
  <si>
    <t>MARCHIGUE</t>
  </si>
  <si>
    <t>MOSTAZAL</t>
  </si>
  <si>
    <t>NANCAGUA</t>
  </si>
  <si>
    <t>NAVIDAD</t>
  </si>
  <si>
    <t>OLIVAR</t>
  </si>
  <si>
    <t>PALMILLA</t>
  </si>
  <si>
    <t>PAREDONES</t>
  </si>
  <si>
    <t>PERALILLO</t>
  </si>
  <si>
    <t>PEUMO</t>
  </si>
  <si>
    <t>PICHIDEGUA</t>
  </si>
  <si>
    <t>PICHILEMU</t>
  </si>
  <si>
    <t>PLACILLA</t>
  </si>
  <si>
    <t>PUMANQUE</t>
  </si>
  <si>
    <t>QUINTA TILCOCO</t>
  </si>
  <si>
    <t>RANCAGUA</t>
  </si>
  <si>
    <t>RENGO</t>
  </si>
  <si>
    <t>REQUINOA</t>
  </si>
  <si>
    <t>SAN FERNANDO</t>
  </si>
  <si>
    <t>SAN VICENTE</t>
  </si>
  <si>
    <t>SANTA CRUZ</t>
  </si>
  <si>
    <t>CAUQUENES</t>
  </si>
  <si>
    <t>CHANCO</t>
  </si>
  <si>
    <t>COLBUN</t>
  </si>
  <si>
    <t>CONSTITUCION</t>
  </si>
  <si>
    <t>CUREPTO</t>
  </si>
  <si>
    <t>CURICO</t>
  </si>
  <si>
    <t>EMPEDRADO</t>
  </si>
  <si>
    <t>LICANTEN</t>
  </si>
  <si>
    <t>LINARES</t>
  </si>
  <si>
    <t>LONGAVI</t>
  </si>
  <si>
    <t>MAULE</t>
  </si>
  <si>
    <t>MOLINA</t>
  </si>
  <si>
    <t>PARRAL</t>
  </si>
  <si>
    <t>PELARCO</t>
  </si>
  <si>
    <t>PELLUHUE</t>
  </si>
  <si>
    <t>PENCAHUE</t>
  </si>
  <si>
    <t>RAUCO</t>
  </si>
  <si>
    <t>RETIRO</t>
  </si>
  <si>
    <t>RIO CLARO</t>
  </si>
  <si>
    <t>ROMERAL</t>
  </si>
  <si>
    <t>SAGRADA FAMILIA</t>
  </si>
  <si>
    <t>SAN CLEMENTE</t>
  </si>
  <si>
    <t>SAN JAVIER</t>
  </si>
  <si>
    <t>SAN RAFAEL</t>
  </si>
  <si>
    <t>TALCA</t>
  </si>
  <si>
    <t>TENO</t>
  </si>
  <si>
    <t>VICHUQUEN</t>
  </si>
  <si>
    <t>VILLA ALEGRE</t>
  </si>
  <si>
    <t>YERBAS BUENAS</t>
  </si>
  <si>
    <t>-&gt; region_codigo = 8</t>
  </si>
  <si>
    <t>ALTO BIOBIO</t>
  </si>
  <si>
    <t>ANTUCO</t>
  </si>
  <si>
    <t>ARAUCO</t>
  </si>
  <si>
    <t>CABRERO</t>
  </si>
  <si>
    <t>CHIGUAYANTE</t>
  </si>
  <si>
    <t>CONCEPCION</t>
  </si>
  <si>
    <t>CONTULMO</t>
  </si>
  <si>
    <t>CORONEL</t>
  </si>
  <si>
    <t>CURANILAHUE</t>
  </si>
  <si>
    <t>FLORIDA</t>
  </si>
  <si>
    <t>HUALPEN</t>
  </si>
  <si>
    <t>HUALQUI</t>
  </si>
  <si>
    <t>LAJA</t>
  </si>
  <si>
    <t>LEBU</t>
  </si>
  <si>
    <t>LOS ALAMOS</t>
  </si>
  <si>
    <t>LOS ANGELES</t>
  </si>
  <si>
    <t>LOTA</t>
  </si>
  <si>
    <t>MULCHEN</t>
  </si>
  <si>
    <t>NACIMIENTO</t>
  </si>
  <si>
    <t>NEGRETE</t>
  </si>
  <si>
    <t>PENCO</t>
  </si>
  <si>
    <t>QUILACO</t>
  </si>
  <si>
    <t>QUILLECO</t>
  </si>
  <si>
    <t>SAN PEDRO DE LA PAZ</t>
  </si>
  <si>
    <t>SAN ROSENDO</t>
  </si>
  <si>
    <t>SANTA BARBARA</t>
  </si>
  <si>
    <t>SANTA JUANA</t>
  </si>
  <si>
    <t>TALCAHUANO</t>
  </si>
  <si>
    <t>TIRUA</t>
  </si>
  <si>
    <t>TOME</t>
  </si>
  <si>
    <t>TUCAPEL</t>
  </si>
  <si>
    <t>YUMBEL</t>
  </si>
  <si>
    <t>ANGOL</t>
  </si>
  <si>
    <t>CARAHUE</t>
  </si>
  <si>
    <t>CHOLCHOL</t>
  </si>
  <si>
    <t>COLLIPULLI</t>
  </si>
  <si>
    <t>CUNCO</t>
  </si>
  <si>
    <t>CURACAUTIN</t>
  </si>
  <si>
    <t>CURARREHUE</t>
  </si>
  <si>
    <t>ERCILLA</t>
  </si>
  <si>
    <t>FREIRE</t>
  </si>
  <si>
    <t>GALVARINO</t>
  </si>
  <si>
    <t>GORBEA</t>
  </si>
  <si>
    <t>LAUTARO</t>
  </si>
  <si>
    <t>LONCOCHE</t>
  </si>
  <si>
    <t>LONQUIMAY</t>
  </si>
  <si>
    <t>LOS SAUCES</t>
  </si>
  <si>
    <t>LUMACO</t>
  </si>
  <si>
    <t>MELIPEUCO</t>
  </si>
  <si>
    <t>NUEVA IMPERIAL</t>
  </si>
  <si>
    <t>PADRE LAS CASAS</t>
  </si>
  <si>
    <t>PERQUENCO</t>
  </si>
  <si>
    <t>PITRUFQUEN</t>
  </si>
  <si>
    <t>PUCON</t>
  </si>
  <si>
    <t>PUREN</t>
  </si>
  <si>
    <t>RENAICO</t>
  </si>
  <si>
    <t>SAAVEDRA</t>
  </si>
  <si>
    <t>TEMUCO</t>
  </si>
  <si>
    <t>TEODORO SCHMIDT</t>
  </si>
  <si>
    <t>TOLTEN</t>
  </si>
  <si>
    <t>TRAIGUEN</t>
  </si>
  <si>
    <t>VICTORIA</t>
  </si>
  <si>
    <t>VILCUN</t>
  </si>
  <si>
    <t>VILLARRICA</t>
  </si>
  <si>
    <t>-&gt; region_codigo = 10</t>
  </si>
  <si>
    <t>ANCUD</t>
  </si>
  <si>
    <t>CALBUCO</t>
  </si>
  <si>
    <t>CASTRO</t>
  </si>
  <si>
    <t>CHAITEN</t>
  </si>
  <si>
    <t>CHONCHI</t>
  </si>
  <si>
    <t>COCHAMO</t>
  </si>
  <si>
    <t>CURACO DE VELEZ</t>
  </si>
  <si>
    <t>DALCAHUE</t>
  </si>
  <si>
    <t>FRESIA</t>
  </si>
  <si>
    <t>FRUTILLAR</t>
  </si>
  <si>
    <t>FUTALEUFU</t>
  </si>
  <si>
    <t>HUALAIHUE</t>
  </si>
  <si>
    <t>LLANQUIHUE</t>
  </si>
  <si>
    <t>LOS MUERMOS</t>
  </si>
  <si>
    <t>MAULLIN</t>
  </si>
  <si>
    <t>OSORNO</t>
  </si>
  <si>
    <t>PALENA</t>
  </si>
  <si>
    <t>PUERTO MONTT</t>
  </si>
  <si>
    <t>PUERTO OCTAY</t>
  </si>
  <si>
    <t>PUERTO VARAS</t>
  </si>
  <si>
    <t>PUQUELDON</t>
  </si>
  <si>
    <t>PURRANQUE</t>
  </si>
  <si>
    <t>PUYEHUE</t>
  </si>
  <si>
    <t>QUEILEN</t>
  </si>
  <si>
    <t>QUELLON</t>
  </si>
  <si>
    <t>QUEMCHI</t>
  </si>
  <si>
    <t>QUINCHAO</t>
  </si>
  <si>
    <t>RIO NEGRO</t>
  </si>
  <si>
    <t>SAN JUAN DE LA COSTA</t>
  </si>
  <si>
    <t>SAN PABLO</t>
  </si>
  <si>
    <t>CHILE CHICO</t>
  </si>
  <si>
    <t>CISNES</t>
  </si>
  <si>
    <t>COCHRANE</t>
  </si>
  <si>
    <t>COYHAIQUE</t>
  </si>
  <si>
    <t>GUAITECAS</t>
  </si>
  <si>
    <t>LAGO VERDE</t>
  </si>
  <si>
    <t>OHIGGINS</t>
  </si>
  <si>
    <t>PUERTO AYSEN</t>
  </si>
  <si>
    <t>TORTEL</t>
  </si>
  <si>
    <t>CABO DE HORNOS</t>
  </si>
  <si>
    <t>LA ANTARTICA</t>
  </si>
  <si>
    <t>LAGUNA BLANCA</t>
  </si>
  <si>
    <t>NATALES</t>
  </si>
  <si>
    <t>PORVENIR</t>
  </si>
  <si>
    <t>PRIMAVERA</t>
  </si>
  <si>
    <t>PUNTA ARENAS</t>
  </si>
  <si>
    <t>RIO VERDE</t>
  </si>
  <si>
    <t>SAN GREGORIO</t>
  </si>
  <si>
    <t>TIMAUKEL</t>
  </si>
  <si>
    <t>TORRES DEL PAINE</t>
  </si>
  <si>
    <t>-&gt; region_codigo = 13</t>
  </si>
  <si>
    <t>ALHUE</t>
  </si>
  <si>
    <t>BUIN</t>
  </si>
  <si>
    <t>CALERA DE TANGO</t>
  </si>
  <si>
    <t>CERRILLOS</t>
  </si>
  <si>
    <t>CERRO NAVIA</t>
  </si>
  <si>
    <t>COLINA</t>
  </si>
  <si>
    <t>CONCHALI</t>
  </si>
  <si>
    <t>CURACAVI</t>
  </si>
  <si>
    <t>EL BOSQUE</t>
  </si>
  <si>
    <t>EL MONTE</t>
  </si>
  <si>
    <t>ESTACION CENTRAL</t>
  </si>
  <si>
    <t>HUECHURABA</t>
  </si>
  <si>
    <t>INDEPENDENCIA</t>
  </si>
  <si>
    <t>ISLA DE MAIPO</t>
  </si>
  <si>
    <t>LA CISTERNA</t>
  </si>
  <si>
    <t>LA FLORIDA</t>
  </si>
  <si>
    <t>LA GRANJA</t>
  </si>
  <si>
    <t>LA PINTANA</t>
  </si>
  <si>
    <t>LA REINA</t>
  </si>
  <si>
    <t>LAMPA</t>
  </si>
  <si>
    <t>LAS CONDES</t>
  </si>
  <si>
    <t>LO BARNECHEA</t>
  </si>
  <si>
    <t>LO ESPEJO</t>
  </si>
  <si>
    <t>LO PRADO</t>
  </si>
  <si>
    <t>MACUL</t>
  </si>
  <si>
    <t>MAIPU</t>
  </si>
  <si>
    <t>MARIA PINTO</t>
  </si>
  <si>
    <t>MELIPILLA</t>
  </si>
  <si>
    <t>PADRE HURTADO</t>
  </si>
  <si>
    <t>PAINE</t>
  </si>
  <si>
    <t>PEDRO AGUIRRE CERDA</t>
  </si>
  <si>
    <t>PIRQUE</t>
  </si>
  <si>
    <t>PROVIDENCIA</t>
  </si>
  <si>
    <t>PUDAHUEL</t>
  </si>
  <si>
    <t>PUENTE ALTO</t>
  </si>
  <si>
    <t>QUILICURA</t>
  </si>
  <si>
    <t>QUINTA NORMAL</t>
  </si>
  <si>
    <t>RECOLETA</t>
  </si>
  <si>
    <t>RENCA</t>
  </si>
  <si>
    <t>SAN BERNARDO</t>
  </si>
  <si>
    <t>SAN JOAQUIN</t>
  </si>
  <si>
    <t>SAN JOSE DE MAIPO</t>
  </si>
  <si>
    <t>SAN MIGUEL</t>
  </si>
  <si>
    <t>SAN PEDRO</t>
  </si>
  <si>
    <t>SAN RAMON</t>
  </si>
  <si>
    <t>SANTIAGO</t>
  </si>
  <si>
    <t>TALAGANTE</t>
  </si>
  <si>
    <t>TIL TIL</t>
  </si>
  <si>
    <t>VITACURA</t>
  </si>
  <si>
    <t>-&gt; region_codigo = 14</t>
  </si>
  <si>
    <t>CORRAL</t>
  </si>
  <si>
    <t>FUTRONO</t>
  </si>
  <si>
    <t>LA UNION</t>
  </si>
  <si>
    <t>LAGO RANCO</t>
  </si>
  <si>
    <t>LANCO</t>
  </si>
  <si>
    <t>LOS LAGOS</t>
  </si>
  <si>
    <t>MAFIL</t>
  </si>
  <si>
    <t>PAILLACO</t>
  </si>
  <si>
    <t>PANGUIPULLI</t>
  </si>
  <si>
    <t>RIO BUENO</t>
  </si>
  <si>
    <t>SAN JOSE DE LA MARI..</t>
  </si>
  <si>
    <t>VALDIVIA</t>
  </si>
  <si>
    <t>ARICA</t>
  </si>
  <si>
    <t>CAMARONES</t>
  </si>
  <si>
    <t>GENERAL LAGOS</t>
  </si>
  <si>
    <t>PUTRE</t>
  </si>
  <si>
    <t>BULNES</t>
  </si>
  <si>
    <t>CHILLAN</t>
  </si>
  <si>
    <t>CHILLAN VIEJO</t>
  </si>
  <si>
    <t>COBQUECURA</t>
  </si>
  <si>
    <t>COELEMU</t>
  </si>
  <si>
    <t>COIHUECO</t>
  </si>
  <si>
    <t>EL CARMEN</t>
  </si>
  <si>
    <t>NINHUE</t>
  </si>
  <si>
    <t>PEMUCO</t>
  </si>
  <si>
    <t>PINTO</t>
  </si>
  <si>
    <t>PORTEZUELO</t>
  </si>
  <si>
    <t>QUILLON</t>
  </si>
  <si>
    <t>QUIRIHUE</t>
  </si>
  <si>
    <t>RANQUIL</t>
  </si>
  <si>
    <t>SAN CARLOS</t>
  </si>
  <si>
    <t>SAN FABIAN</t>
  </si>
  <si>
    <t>SAN IGNACIO</t>
  </si>
  <si>
    <t>SAN NICOLAS</t>
  </si>
  <si>
    <t>TREHUACO</t>
  </si>
  <si>
    <t>YUNGAY</t>
  </si>
  <si>
    <t>ÑIQUEN</t>
  </si>
  <si>
    <t>Periodo</t>
  </si>
  <si>
    <t>Total Trimestre 4 2022</t>
  </si>
  <si>
    <t>F</t>
  </si>
  <si>
    <t>M</t>
  </si>
  <si>
    <t>Total Beneficios</t>
  </si>
  <si>
    <t>Tipo de beneficio</t>
  </si>
  <si>
    <t>Tipo de beneficios</t>
  </si>
  <si>
    <t>A</t>
  </si>
  <si>
    <t>C</t>
  </si>
  <si>
    <t>D</t>
  </si>
  <si>
    <t>R</t>
  </si>
  <si>
    <t>T</t>
  </si>
  <si>
    <t>PBSV/PGU No Contributiva</t>
  </si>
  <si>
    <t>PGU Contributiva</t>
  </si>
  <si>
    <t>Total Solicitudes</t>
  </si>
  <si>
    <t>Tipo de Beneficio</t>
  </si>
  <si>
    <t>beneficios SP</t>
  </si>
  <si>
    <t>% concesiones</t>
  </si>
  <si>
    <t>CHAÑARAL</t>
  </si>
  <si>
    <t>VICUÑA</t>
  </si>
  <si>
    <t>VIÑA DEL MAR</t>
  </si>
  <si>
    <t>DOÑIHUE</t>
  </si>
  <si>
    <t>HUALAÑE</t>
  </si>
  <si>
    <t>CAÑETE</t>
  </si>
  <si>
    <t>RIO IBAÑEZ</t>
  </si>
  <si>
    <t>PEÑAFLOR</t>
  </si>
  <si>
    <t>PEÑALOLEN</t>
  </si>
  <si>
    <t>ÑUÑOA</t>
  </si>
  <si>
    <t>estado_solicitud</t>
  </si>
  <si>
    <t>-&gt; region_codigo</t>
  </si>
  <si>
    <t>=</t>
  </si>
  <si>
    <t>SAN JOSE DE LA MARIQUINA</t>
  </si>
  <si>
    <t>(octubre 2022 a diciembre 2022)</t>
  </si>
  <si>
    <t>Región de Tarapacá</t>
  </si>
  <si>
    <t>Región de Antofagasta</t>
  </si>
  <si>
    <t>Región de Atacama</t>
  </si>
  <si>
    <t>Región de Coquimbo</t>
  </si>
  <si>
    <t>Región de Valparaíso</t>
  </si>
  <si>
    <t>Región del Libertador General Bernardo O’Higgins</t>
  </si>
  <si>
    <t>Región del Maule</t>
  </si>
  <si>
    <t>Región del Bio-bío</t>
  </si>
  <si>
    <t>Región de La Araucanía</t>
  </si>
  <si>
    <t>Región de Los Lagos</t>
  </si>
  <si>
    <t>Región Aysén del General Carlos Ibáñez del Campo</t>
  </si>
  <si>
    <t>Región de Magallanes y Antártica Chilena</t>
  </si>
  <si>
    <t>Región Metropolitana de Santiago</t>
  </si>
  <si>
    <t>Región de Los Ríos</t>
  </si>
  <si>
    <t>Región de Arica y Parinacota</t>
  </si>
  <si>
    <t>Región de Ñuble</t>
  </si>
  <si>
    <t>Región</t>
  </si>
  <si>
    <t>Tipo beneficio</t>
  </si>
  <si>
    <t>Sexo</t>
  </si>
  <si>
    <t>Origen de tramitación del beneficio</t>
  </si>
  <si>
    <t>IPS/SP</t>
  </si>
  <si>
    <t>En AFP</t>
  </si>
  <si>
    <t>En Cía. De Seguros</t>
  </si>
  <si>
    <t>En Municipalidad</t>
  </si>
  <si>
    <t>En Registro Civil</t>
  </si>
  <si>
    <t>Número de solicitutes concedidas de beneficios del SPS y PGU, por tipo de beneficio, sexo y tipo de institución</t>
  </si>
  <si>
    <t>% de concesiones de beneficios del SPS y PGU, por tipo de beneficio, sexo y tipo de institución</t>
  </si>
  <si>
    <t>Comuna</t>
  </si>
  <si>
    <t>Número de concesiones por comuna, por tipo de beneficio</t>
  </si>
  <si>
    <r>
      <rPr>
        <b/>
        <sz val="14"/>
        <color theme="1"/>
        <rFont val="Calibri"/>
        <family val="2"/>
        <scheme val="minor"/>
      </rPr>
      <t xml:space="preserve">Número de </t>
    </r>
    <r>
      <rPr>
        <b/>
        <u/>
        <sz val="14"/>
        <color theme="1"/>
        <rFont val="Calibri"/>
        <family val="2"/>
        <scheme val="minor"/>
      </rPr>
      <t>solicitudes</t>
    </r>
    <r>
      <rPr>
        <b/>
        <sz val="14"/>
        <color theme="1"/>
        <rFont val="Calibri"/>
        <family val="2"/>
        <scheme val="minor"/>
      </rPr>
      <t xml:space="preserve"> 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</si>
  <si>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 xml:space="preserve">concedidas </t>
    </r>
    <r>
      <rPr>
        <b/>
        <sz val="14"/>
        <color theme="1"/>
        <rFont val="Calibri"/>
        <family val="2"/>
        <scheme val="minor"/>
      </rPr>
      <t>por género de beneficios SPS y PGU*</t>
    </r>
    <r>
      <rPr>
        <b/>
        <sz val="11"/>
        <color theme="1"/>
        <rFont val="Calibri"/>
        <family val="2"/>
        <scheme val="minor"/>
      </rPr>
      <t xml:space="preserve">
</t>
    </r>
  </si>
  <si>
    <r>
      <rPr>
        <b/>
        <sz val="14"/>
        <color theme="1"/>
        <rFont val="Calibri"/>
        <family val="2"/>
        <scheme val="minor"/>
      </rPr>
      <t xml:space="preserve">Número de solicitudes </t>
    </r>
    <r>
      <rPr>
        <b/>
        <u/>
        <sz val="14"/>
        <color theme="1"/>
        <rFont val="Calibri"/>
        <family val="2"/>
        <scheme val="minor"/>
      </rPr>
      <t>rechazadas</t>
    </r>
    <r>
      <rPr>
        <b/>
        <sz val="14"/>
        <color theme="1"/>
        <rFont val="Calibri"/>
        <family val="2"/>
        <scheme val="minor"/>
      </rPr>
      <t xml:space="preserve"> por género de beneficios SPS y PGU*</t>
    </r>
    <r>
      <rPr>
        <b/>
        <sz val="11"/>
        <color theme="1"/>
        <rFont val="Calibri"/>
        <family val="2"/>
        <scheme val="minor"/>
      </rPr>
      <t xml:space="preserve">
</t>
    </r>
  </si>
  <si>
    <t>Número de solicitudes de beneficios del SPS y PGU, por tipo de beneficio, sexo y tipo de institución</t>
  </si>
  <si>
    <t>quitar instituciones</t>
  </si>
  <si>
    <t>en otra pestaña las concesiones</t>
  </si>
  <si>
    <t>graficos</t>
  </si>
  <si>
    <t>quitar tabla por instituciones</t>
  </si>
  <si>
    <t>informacion interna</t>
  </si>
  <si>
    <t>Etiquetas de fila</t>
  </si>
  <si>
    <t>Total general</t>
  </si>
  <si>
    <t>2008</t>
  </si>
  <si>
    <t>2009</t>
  </si>
  <si>
    <t>2010</t>
  </si>
  <si>
    <t>2011</t>
  </si>
  <si>
    <t>2012</t>
  </si>
  <si>
    <t>2013</t>
  </si>
  <si>
    <t>2014</t>
  </si>
  <si>
    <t>2015</t>
  </si>
  <si>
    <t>2016</t>
  </si>
  <si>
    <t>2017</t>
  </si>
  <si>
    <t>2018</t>
  </si>
  <si>
    <t>2019</t>
  </si>
  <si>
    <t>2020</t>
  </si>
  <si>
    <t>2021</t>
  </si>
  <si>
    <t>2022</t>
  </si>
  <si>
    <t>Suma de PBSV_HOMBRE</t>
  </si>
  <si>
    <t>Suma de PBSV_MUJER</t>
  </si>
  <si>
    <t>Suma de PBSV_TOTAL</t>
  </si>
  <si>
    <t>Suma de PBSI_TOTAL</t>
  </si>
  <si>
    <t>Suma de PBS_HOMBRE</t>
  </si>
  <si>
    <t>Suma de PBS_MUJER</t>
  </si>
  <si>
    <t>Suma de PBS_TOTAL</t>
  </si>
  <si>
    <t>Suma de PBSI_HOMBRE</t>
  </si>
  <si>
    <t>Suma de PBSI_MUJER</t>
  </si>
  <si>
    <t>Promedio de PBSI_HOMBRE</t>
  </si>
  <si>
    <t>Promedio de PBSV_HOMBRE</t>
  </si>
  <si>
    <t>Promedio de PBSV_MUJER</t>
  </si>
  <si>
    <t>Promedio de PBSI_MUJER</t>
  </si>
  <si>
    <t>Promedio de PBS_HOMBRE</t>
  </si>
  <si>
    <t>Promedio de PBS_MUJER</t>
  </si>
  <si>
    <t>ene</t>
  </si>
  <si>
    <t>feb</t>
  </si>
  <si>
    <t>mar</t>
  </si>
  <si>
    <t>abr</t>
  </si>
  <si>
    <t>may</t>
  </si>
  <si>
    <t>jun</t>
  </si>
  <si>
    <t>jul</t>
  </si>
  <si>
    <t>ago</t>
  </si>
  <si>
    <t>sept</t>
  </si>
  <si>
    <t>oct</t>
  </si>
  <si>
    <t>nov</t>
  </si>
  <si>
    <t>dic</t>
  </si>
  <si>
    <t>PBS Total</t>
  </si>
  <si>
    <t>Ambos</t>
  </si>
  <si>
    <t>Sexo Beneficiarios</t>
  </si>
  <si>
    <t>Promedio de PBS VEJEZ MUJER</t>
  </si>
  <si>
    <t>Promedio de PBS VEJEZ HOMBRE</t>
  </si>
  <si>
    <t>Promedio de PBS INVALIDEZ MUJER</t>
  </si>
  <si>
    <t>Promedio de PBS INVALIDEZ HOMBRE</t>
  </si>
  <si>
    <t>Promedio de PBS TOTAL MUJER</t>
  </si>
  <si>
    <t>Promedio de PBS TOTAL HOMBRE</t>
  </si>
  <si>
    <t>(Varios elementos)</t>
  </si>
  <si>
    <t>Suma de MUJER</t>
  </si>
  <si>
    <t>Suma de HOMBRE</t>
  </si>
  <si>
    <t>Suma de TOTAL</t>
  </si>
  <si>
    <t>Suma de MUJER2</t>
  </si>
  <si>
    <t>Suma de HOMBRE2</t>
  </si>
  <si>
    <t>Suma de TOTAL2</t>
  </si>
  <si>
    <t>Suma de MUJER3</t>
  </si>
  <si>
    <t>Suma de HOMBRE3</t>
  </si>
  <si>
    <t>Suma de TOTAL3</t>
  </si>
  <si>
    <t>Promedio de MUJER</t>
  </si>
  <si>
    <t>Promedio de HOMBRE</t>
  </si>
  <si>
    <t>Promedio de TOTAL</t>
  </si>
  <si>
    <t>Promedio de MUJER2</t>
  </si>
  <si>
    <t>Promedio de HOMBRE2</t>
  </si>
  <si>
    <t>Promedio de TOTAL2</t>
  </si>
  <si>
    <t>Promedio de MUJER3</t>
  </si>
  <si>
    <t>Promedio de HOMBRE3</t>
  </si>
  <si>
    <t>Promedio de TOTAL3</t>
  </si>
  <si>
    <t>invalidez</t>
  </si>
  <si>
    <t>nominales</t>
  </si>
  <si>
    <t>vejez</t>
  </si>
  <si>
    <t>APS Total</t>
  </si>
  <si>
    <t>Suma de APS VEJEZ MUJER n</t>
  </si>
  <si>
    <t>Suma de APS VEJEZ HOMBRE n</t>
  </si>
  <si>
    <t>Suma de APS INVALIDEZ MUJER N</t>
  </si>
  <si>
    <t>Suma de APS INVALIDEZ HOMBRE N</t>
  </si>
  <si>
    <t>Suma de APS TOTAL MUJER N</t>
  </si>
  <si>
    <t>Suma de APS TOTAL HOMBRE N</t>
  </si>
  <si>
    <t>Promedio de APS VEJEZ MUJER n</t>
  </si>
  <si>
    <t>Promedio de APS VEJEZ HOMBRE n</t>
  </si>
  <si>
    <t>Promedio de APS INVALIDEZ MUJER N</t>
  </si>
  <si>
    <t>Promedio de APS INVALIDEZ HOMBRE N</t>
  </si>
  <si>
    <t>Promedio de APS TOTAL MUJER N</t>
  </si>
  <si>
    <t>Promedio de APS TOTAL HOMBRE N</t>
  </si>
  <si>
    <t>Suma de APS VEJEZ MUJER nom</t>
  </si>
  <si>
    <t>Suma de APS VEJEZ HOMBRE nom</t>
  </si>
  <si>
    <t>Suma de APS INVALIDEZ MUJER nom</t>
  </si>
  <si>
    <t>Suma de APS INVALIDEZ HOMBRE nom</t>
  </si>
  <si>
    <t>Suma de APS TOTAL MUJER nom</t>
  </si>
  <si>
    <t>Suma de APS TOTAL HOMBRE nom</t>
  </si>
  <si>
    <t>Promedio de APS VEJEZ MUJER nom</t>
  </si>
  <si>
    <t>Promedio de APS VEJEZ HOMBRE nom</t>
  </si>
  <si>
    <t>Promedio de APS INVALIDEZ MUJER nom</t>
  </si>
  <si>
    <t>Promedio de APS INVALIDEZ HOMBRE nom</t>
  </si>
  <si>
    <t>Promedio de APS TOTAL MUJER nom</t>
  </si>
  <si>
    <t>Promedio de APS TOTAL HOMBRE nom</t>
  </si>
  <si>
    <t>Suma de PBSV_MUJER REAL</t>
  </si>
  <si>
    <t>Suma de PBSV_HOMBRE REAL</t>
  </si>
  <si>
    <t>Suma de PBSI_MUJER REAL</t>
  </si>
  <si>
    <t>Suma de PBSI_HOMBRE REAL</t>
  </si>
  <si>
    <t>Promedio de PBSV_MUJER REAL</t>
  </si>
  <si>
    <t>Promedio de PBSV_HOMBRE REAL</t>
  </si>
  <si>
    <t>Promedio de PBSI_MUJER REAL</t>
  </si>
  <si>
    <t>Promedio de PBSI_HOMBRE REAL</t>
  </si>
  <si>
    <t>PGU No Contributiva</t>
  </si>
  <si>
    <t>Suma de PGU_NC_Mujer_n</t>
  </si>
  <si>
    <t>Suma de PGU_NC_hombre_N</t>
  </si>
  <si>
    <t>Suma de PGU_C_Mujer_N</t>
  </si>
  <si>
    <t>Suma de PGU_C_hombre_N</t>
  </si>
  <si>
    <t>Suma de PGU_NC_Mujer_Nom</t>
  </si>
  <si>
    <t>Suma de PGU_NC_hombre_Nom</t>
  </si>
  <si>
    <t>Suma de PGU_C_Mujer_Nom</t>
  </si>
  <si>
    <t>Suma de PGU_C_hombre_Nom</t>
  </si>
  <si>
    <t>Suma de PGU_NC_Mujer_REAL</t>
  </si>
  <si>
    <t>Suma de PGU_NC_hombre_REAL</t>
  </si>
  <si>
    <t>Suma de PGU_C_Mujer_REAL</t>
  </si>
  <si>
    <t>Suma de PGU_C_hombre_REAL</t>
  </si>
  <si>
    <t>Valores</t>
  </si>
  <si>
    <t>Suma de PGU_NC_hombre_N2</t>
  </si>
  <si>
    <t>Promedio de PGU_NC_Mujer_n2</t>
  </si>
  <si>
    <t>Promedio de PGU_NC_hombre_N</t>
  </si>
  <si>
    <t>Suma de PGU_C_Mujer_N2</t>
  </si>
  <si>
    <t>Suma de PGU_C_hombre_N2</t>
  </si>
  <si>
    <t>Promedio de PGU_C_Mujer_N</t>
  </si>
  <si>
    <t>Promedio de PGU_C_hombre_N</t>
  </si>
  <si>
    <t>Suma de PGU_NC_Mujer_Nom2</t>
  </si>
  <si>
    <t>Suma de PGU_NC_hombre_Nom2</t>
  </si>
  <si>
    <t>Promedio de PGU_NC_Mujer_Nom</t>
  </si>
  <si>
    <t>Promedio de PGU_NC_hombre_Nom</t>
  </si>
  <si>
    <t>Suma de PGU_C_Mujer_Nom2</t>
  </si>
  <si>
    <t>Suma de PGU_C_hombre_Nom2</t>
  </si>
  <si>
    <t>Promedio de PGU_C_Mujer_Nom</t>
  </si>
  <si>
    <t>Promedio de PGU_C_hombre_Nom</t>
  </si>
  <si>
    <t>Suma de PGU_NC_Mujer_REAL2</t>
  </si>
  <si>
    <t>Suma de PGU_NC_hombre_REAL2</t>
  </si>
  <si>
    <t>Promedio de PGU_NC_Mujer_REAL</t>
  </si>
  <si>
    <t>Promedio de PGU_NC_hombre_REAL</t>
  </si>
  <si>
    <t>Suma de PGU_C_Mujer_REAL2</t>
  </si>
  <si>
    <t>Suma de PGU_C_hombre_REAL2</t>
  </si>
  <si>
    <t>Promedio de PGU_C_Mujer_REAL</t>
  </si>
  <si>
    <t>Promedio de PGU_C_hombre_REAL</t>
  </si>
  <si>
    <t>Estado de las solicitudes</t>
  </si>
  <si>
    <t>Todos los beneficios</t>
  </si>
  <si>
    <t>Promedio 2008</t>
  </si>
  <si>
    <t>Promedio 2009</t>
  </si>
  <si>
    <t>Promedio 2010</t>
  </si>
  <si>
    <t>Promedio 2011</t>
  </si>
  <si>
    <t>Promedio 2012</t>
  </si>
  <si>
    <t>Promedio 2013</t>
  </si>
  <si>
    <t>Promedio 2014</t>
  </si>
  <si>
    <t>Promedio 2015</t>
  </si>
  <si>
    <t>Promedio 2016</t>
  </si>
  <si>
    <t>Promedio 2017</t>
  </si>
  <si>
    <t>Promedio 2018</t>
  </si>
  <si>
    <t>Promedio 2019</t>
  </si>
  <si>
    <t>Promedio 2020</t>
  </si>
  <si>
    <t>Promedio 2021</t>
  </si>
  <si>
    <t>Promedio 2022</t>
  </si>
  <si>
    <t>II. Estado de solicitudes</t>
  </si>
  <si>
    <t>Subsecretaría de Previsión Social
Dirección de Estudios Previsionales</t>
  </si>
  <si>
    <t>PAGOS PENSIÓN BÁSICA SOLIDARIA (PBS)</t>
  </si>
  <si>
    <t xml:space="preserve">PAGOS PENSIÓN GARANTIZADA UNIVERSAL (PGU) </t>
  </si>
  <si>
    <t>PAGOS APORTE PREVISIONAL SOLIDARIO (APS)</t>
  </si>
  <si>
    <t>I. Pago de Beneficios del Pilar No Contributivo</t>
  </si>
  <si>
    <t>SOLICITUDES CONCEDIDAS PILAR NO CONTRIBUTIVO A NIVEL NACIONAL</t>
  </si>
  <si>
    <t>SOLICITUDES DEL PILAR NO CONTRIBUTIVO A NIVEL NACIONAL</t>
  </si>
  <si>
    <t>SOLICITUDES RECHAZADAS DEL PILAR NO CONTRIBUTIVO</t>
  </si>
  <si>
    <t>Informe trimestral del Pilar No Contributivo</t>
  </si>
  <si>
    <t>Nº de Causantes (hijos)</t>
  </si>
  <si>
    <t>BONO POR HIJO</t>
  </si>
  <si>
    <t>Nº Beneficiarias</t>
  </si>
  <si>
    <t>Serie Resumen de Estado de solicitudes de Bono por Hijo</t>
  </si>
  <si>
    <t>Número de Solicitudes Concedidas</t>
  </si>
  <si>
    <t>Número de Solicitudes Rechazadas</t>
  </si>
  <si>
    <t>Ago-dic 2009</t>
  </si>
  <si>
    <t>Total 2012</t>
  </si>
  <si>
    <t xml:space="preserve">Pago Único  </t>
  </si>
  <si>
    <t>Serie resumen de concesiones de Bono por Hijo por tipo de beneficio</t>
  </si>
  <si>
    <t>Pago Mensual Con PBS o
PGU No contributiva</t>
  </si>
  <si>
    <t>Pago Mensual Con APS o
PGU Contributiva</t>
  </si>
  <si>
    <t>III. Bono por Hijo</t>
  </si>
  <si>
    <t>1. Bono por Hijo</t>
  </si>
  <si>
    <t>ii. Serie Resumen de Estado de solicitudes de Bono por Hijo</t>
  </si>
  <si>
    <t>iii. Serie resumen de concesiones de Bono por Hijo por tipo de beneficio</t>
  </si>
  <si>
    <t>Subsidio a la Contratación</t>
  </si>
  <si>
    <t>Subsidio a la Cotización</t>
  </si>
  <si>
    <t xml:space="preserve">Hombre </t>
  </si>
  <si>
    <t>Mujer</t>
  </si>
  <si>
    <t>Total Trabajadores</t>
  </si>
  <si>
    <t>PAGOS DEL SUBSIDIO AL TRABAJADOR JOVEN (STJ)</t>
  </si>
  <si>
    <t>Serie resumen de pagos del subsidio a la contratación y a la cotización de trabajadores jóvenes</t>
  </si>
  <si>
    <t>oct. - dic. 08</t>
  </si>
  <si>
    <t>SUBSIDIO A LA CONTRATACIÓN DE TRABAJADORES JÓVENES</t>
  </si>
  <si>
    <t>Serie resumen del total de solicitudes y trabajadores del Subsidio a la Contratación de Trabajadores Jóvenes</t>
  </si>
  <si>
    <t>Solicitudes totales</t>
  </si>
  <si>
    <t>En trámite</t>
  </si>
  <si>
    <t>Serie resumen del estado de las solicitudes del Subsidio a la Contratación de Trabajadores Jóvenes</t>
  </si>
  <si>
    <t>jul - dic 11</t>
  </si>
  <si>
    <t>Jul. a Dic. 2011</t>
  </si>
  <si>
    <t>SUBSIDIO A LA COTIZACIÓN DE TRABAJADORES JÓVENES</t>
  </si>
  <si>
    <t>Serie resumen del total de solicitudes y trabajadores del Subsidio a la Cotización de Trabajadores Jóvenes</t>
  </si>
  <si>
    <t>Serie resumen del estado de las solicitudes del Subsidio a la Cotización de Trabajadores Jóvenes</t>
  </si>
  <si>
    <t>IV. Subsidio al Trabajador Joven</t>
  </si>
  <si>
    <t>1. Pagos del Subsidio al Trabajador Joven (STJ)</t>
  </si>
  <si>
    <t>i. Serie resumen de pagos del subsidio a la contratación y a la cotización de trabajadores jóvenes</t>
  </si>
  <si>
    <t>2. Subsidio a la Contratación de Trabajadores Jóvenes</t>
  </si>
  <si>
    <t>i. Serie resumen del total de solicitudes y trabajadores del Subsidio a la Contratación de Trabajadores Jóvenes</t>
  </si>
  <si>
    <t>ii. Serie resumen del estado de las solicitudes del Subsidio a la Contratación de Trabajadores Jóvenes</t>
  </si>
  <si>
    <t>3. Subsidio a la Cotización de Trabajadores Jóvenes</t>
  </si>
  <si>
    <t>i. Serie resumen del total de solicitudes y trabajadores del Subsidio a la Cotización de Trabajadores Jóvenes</t>
  </si>
  <si>
    <t>ii. Serie resumen del estado de las solicitudes del Subsidio a la Cotización de Trabajadores Jóvenes</t>
  </si>
  <si>
    <t>Número de solicitudes trimestrales por comuna, según tipo y sexo</t>
  </si>
  <si>
    <t>Promedio 
mar - dic 2009</t>
  </si>
  <si>
    <t>Resumen trimestral de concesiones de beneficios del Pilar No Contributivo</t>
  </si>
  <si>
    <t>Causal de Rechazo</t>
  </si>
  <si>
    <t>SAN JOSÉ DE LA MARIQUINA</t>
  </si>
  <si>
    <t>Resumen trimestral de solicitudes por región, según tipo de beneficio y sexo</t>
  </si>
  <si>
    <t>Resumen trimestral de solicitudes concedidas por región, según tipo de beneficio y sexo</t>
  </si>
  <si>
    <t>Número de solicitudes concedidas trimestrales por comuna, según tipo de beneficio y sexo</t>
  </si>
  <si>
    <t>No cumple requisito de edad, menor de 65 años</t>
  </si>
  <si>
    <t>No cumple requisito, no tiene 20 años de residencia</t>
  </si>
  <si>
    <t>No cumple requisito, no tiene 4 años de residencia en los últimos 5 años</t>
  </si>
  <si>
    <t>No cumple con el requisito de focalización, no pasa Test de afluencia</t>
  </si>
  <si>
    <t>No cuenta con Ficha de Protección Social</t>
  </si>
  <si>
    <t>Afiliado no pensionado con derecho a pensión</t>
  </si>
  <si>
    <t>Se rechaza la calificación de Invalidez</t>
  </si>
  <si>
    <t>El monto de la PB es superior a la PMAS que corresponda al tramo de edad del beneficiario</t>
  </si>
  <si>
    <t>El monto de la PB es superior a la PBS que corresponda al tramo de edad del beneficiario, en caso de invalidez</t>
  </si>
  <si>
    <t>Imponente o pensionado de la Caja de Defensa y/o de la Dirección de Previsión de Carabineros</t>
  </si>
  <si>
    <t>Percibe Pensión de Ley Especial de monto superior a la PBS</t>
  </si>
  <si>
    <t>Pensionado Invalidez por de Ley de Accidentes del Trabajo y Enfermedades Profesionales</t>
  </si>
  <si>
    <t>Retiro de fondos según Ley 18.156</t>
  </si>
  <si>
    <t>La suma de las pensiones percibidas supera el valor de la PBS para postular al beneficio artículo 9°bis</t>
  </si>
  <si>
    <t>Serie resumen de solicitudes de beneficios, por tipo de beneficio y sexo</t>
  </si>
  <si>
    <t/>
  </si>
  <si>
    <t>Serie resumen de solicitudes concedidas de beneficios, por tipo de beneficio y sexo</t>
  </si>
  <si>
    <t>Resumen trimestral de número y estado de solicitudes, según tipo de beneficio y sexo</t>
  </si>
  <si>
    <t>Resumen trimestral de solicitudes de beneficios rechazadas</t>
  </si>
  <si>
    <t>Serie resumen de solicitudes de beneficios rechazadas, por tipo de beneficio y sexo</t>
  </si>
  <si>
    <t>Resumen trimestral de tasas de concesiones de beneficios por región, según tipo de beneficio y sexo</t>
  </si>
  <si>
    <t>Serie resumen de tasas de concesión de solicitudes por tipo de beneficio y sexo</t>
  </si>
  <si>
    <t>Fuente: Elaboración propia con datos de la Superintendencia de Pensiones</t>
  </si>
  <si>
    <t>Resumen trimestral de beneficios pagados, por tipo de beneficio y sexo</t>
  </si>
  <si>
    <t>Serie resumen de pagos de beneficios acumulados, por tipo de beneficio</t>
  </si>
  <si>
    <t>i. Resumen trimestral de beneficios pagados, por tipo de beneficio y sexo</t>
  </si>
  <si>
    <t>Serie resumen de pagos de beneficios acumulado, por tipo de beneficio y sexo</t>
  </si>
  <si>
    <t>i. Resumen trimestral de número y estado de solicitudes, según tipo de beneficio y sexo</t>
  </si>
  <si>
    <t>i. Resumen trimestral de solicitudes por región, según tipo de beneficio y sexo</t>
  </si>
  <si>
    <t>i. Resumen trimestral de concesiones de beneficios del Pilar No Contributivo</t>
  </si>
  <si>
    <t>i. Resumen trimestral de solicitudes concedidas por región, según tipo de beneficio y sexo</t>
  </si>
  <si>
    <t>i. Resumen trimestral de solicitudes de beneficios rechazadas</t>
  </si>
  <si>
    <t>i. Resumen trimestral de tasas de concesiones de beneficios por región, según tipo de beneficio y sexo</t>
  </si>
  <si>
    <t>ii. Serie resumen de tasas de concesión de solicitudes por tipo de beneficio y sexo</t>
  </si>
  <si>
    <t>N° Beneficiarios</t>
  </si>
  <si>
    <t>Total Beneficiarias y Causantes</t>
  </si>
  <si>
    <t>Total Nacional</t>
  </si>
  <si>
    <t>jul-20</t>
  </si>
  <si>
    <t>S/I</t>
  </si>
  <si>
    <t>Concesiones de Bono por Hijo por región</t>
  </si>
  <si>
    <t>i. Concesiones de Bono por Hijo por región</t>
  </si>
  <si>
    <t>AFP y Cías. de Seguros</t>
  </si>
  <si>
    <t>Beneficiarias y Causantes</t>
  </si>
  <si>
    <t>Cuota Única</t>
  </si>
  <si>
    <t xml:space="preserve">Número de subsidios pagados </t>
  </si>
  <si>
    <t>Número de empleadores que recibieron pago en el mes</t>
  </si>
  <si>
    <t xml:space="preserve">Número de trabajadores que recibieron pago en el mes  </t>
  </si>
  <si>
    <t>Región del Ñuble</t>
  </si>
  <si>
    <t>Sin derecho a pago</t>
  </si>
  <si>
    <t>Fuente: Elaboración propia con datos del Instituto de Previsión Social</t>
  </si>
  <si>
    <t xml:space="preserve">   Región de Arica y Parinacota</t>
  </si>
  <si>
    <t xml:space="preserve">   Región de Tarapacá</t>
  </si>
  <si>
    <t xml:space="preserve">   Región de Antofagasta</t>
  </si>
  <si>
    <t xml:space="preserve">   Región de Atacama</t>
  </si>
  <si>
    <t xml:space="preserve">   Región de Coquimbo</t>
  </si>
  <si>
    <t xml:space="preserve">   Región de Valparaíso</t>
  </si>
  <si>
    <t xml:space="preserve">   Región Metropolitana de Santiago</t>
  </si>
  <si>
    <t xml:space="preserve">   Región del Libertador General Bernardo O’Higgins</t>
  </si>
  <si>
    <t xml:space="preserve">   Región del Maule</t>
  </si>
  <si>
    <t xml:space="preserve">   Región del Ñuble</t>
  </si>
  <si>
    <t xml:space="preserve">   Región del Bio-bío</t>
  </si>
  <si>
    <t xml:space="preserve">   Región de La Araucanía</t>
  </si>
  <si>
    <t xml:space="preserve">   Región de Los Ríos</t>
  </si>
  <si>
    <t xml:space="preserve">   Región de Los Lagos</t>
  </si>
  <si>
    <t xml:space="preserve">   Región de Magallanes y Antártica Chilena</t>
  </si>
  <si>
    <t>Trimestre OND 2023</t>
  </si>
  <si>
    <t>iii. Serie resumen de pagos de beneficios acumulados, por tipo de beneficio</t>
  </si>
  <si>
    <t>iii. Serie resumen de solicitudes de beneficios, por tipo de beneficio y sexo</t>
  </si>
  <si>
    <t>i. Beneficios suspendidos por año, por tipo de beneficio</t>
  </si>
  <si>
    <t>ii. Beneficios extinguidos por año, por tipo de beneficio</t>
  </si>
  <si>
    <t>iii. Número de solicitudes trimestrales por comuna, según tipo de beneficio y sexo</t>
  </si>
  <si>
    <t>iii. Serie resumen de solicitudes concedidas de beneficios, por tipo de beneficio y sexo</t>
  </si>
  <si>
    <t>ii. Resumen anual de concesiones de beneficios del Pilar no Contributivo</t>
  </si>
  <si>
    <t>iii. Número de solicitudes concedidas trimestrales por comuna, según tipo de beneficio y sexo</t>
  </si>
  <si>
    <t>ii. Resumen anual de solicitudes concedidas por región, según tipo de beneficio y sexo</t>
  </si>
  <si>
    <t>iii. Serie resumen de solicitudes de beneficios rechazadas, por tipo de beneficio y sexo</t>
  </si>
  <si>
    <t>ii. Resumen anual de tasas de concesiones de beneficios por región, según tipo de beneficio y sexo</t>
  </si>
  <si>
    <t>Año 2023</t>
  </si>
  <si>
    <t>BENEFICIOS SUSPENDIDOS Y EXTINTOS DEL PILAR NO CONTRIBUTIVO</t>
  </si>
  <si>
    <t>Beneficios suspendidos por año, por tipo de beneficio</t>
  </si>
  <si>
    <t>Beneficios extinguidos por año, por tipo de beneficio</t>
  </si>
  <si>
    <t>CAUSAL DE RECHAZO</t>
  </si>
  <si>
    <t>No cumple requisito, no tiene 5 años de residencia en los últimos 6 años</t>
  </si>
  <si>
    <t>Percibe Garantía Estatal de monto superior al APS Calculado</t>
  </si>
  <si>
    <t>Percibe Pensión de Ley Especial de monto superior al APS Calculado</t>
  </si>
  <si>
    <t>Pensionado de Ley Especial o de Gracia, que además es pensionado de Invalidez o es Cotizante no pensionado menor de 65 años</t>
  </si>
  <si>
    <t>Resumen anual de beneficios pagados, por tipo de beneficio y sexo</t>
  </si>
  <si>
    <t>ii. Resumen anual de beneficios pagados, por tipo de beneficio y sexo</t>
  </si>
  <si>
    <t>Resumen anual de número y estado de solicitudes, según tipo de beneficio y sexo</t>
  </si>
  <si>
    <t>ii. Resumen anual de número y estado de solicitudes, según tipo de beneficio y sexo</t>
  </si>
  <si>
    <t>Resumen anual de solicitudes por región, según tipo de beneficio y sexo</t>
  </si>
  <si>
    <t>ii. Resumen anual de solicitudes por región, según tipo de beneficio y sexo</t>
  </si>
  <si>
    <t>Resumen anual de concesiones de beneficios del Pilar No Contributivo</t>
  </si>
  <si>
    <t>SOLICITUDES CONCEDIDAS DEL PILAR NO CONTRIBUTIVO A NIVEL REGIONAL Y COMUNAL</t>
  </si>
  <si>
    <t>SOLICITUDES DEL PILAR NO CONTRIBUTIVO A NIVEL REGIONAL Y COMUNAL</t>
  </si>
  <si>
    <t>Resumen anual de solicitudes concedidas por región, según tipo de beneficio y sexo</t>
  </si>
  <si>
    <t>Resumen anual de solicitudes de beneficios rechazadas</t>
  </si>
  <si>
    <t>ii. Resumen anual de solicitudes de beneficios rechazadas</t>
  </si>
  <si>
    <t>TASAS DE CONCESIÓN DE SOLICITUDES</t>
  </si>
  <si>
    <t>Resumen anual de tasas de concesiones de beneficios por región, según tipo de beneficio y sexo</t>
  </si>
  <si>
    <t>(octubre 2023 a diciembre 2023)</t>
  </si>
  <si>
    <t>(enero 2023 a diciembre 2023)</t>
  </si>
  <si>
    <t>(julio 2008 a diciembre 2023)</t>
  </si>
  <si>
    <t>Promedio 2023</t>
  </si>
  <si>
    <t>(febrero 2022 a diciembre 2023)</t>
  </si>
  <si>
    <t>( 2008 a 2023)</t>
  </si>
  <si>
    <t>(julio 2008 y diciembre 2023)</t>
  </si>
  <si>
    <t>(agosto 2009 a diciembre 2023)</t>
  </si>
  <si>
    <t>Total 2023</t>
  </si>
  <si>
    <t>(marzo 2009 a diciembre 2023)</t>
  </si>
  <si>
    <t>(octubre 2008 a diciembre 2023)</t>
  </si>
  <si>
    <t>(enero 2012 a diciembre 2023)</t>
  </si>
  <si>
    <t>(julio 2011 a diciembre 2023)</t>
  </si>
  <si>
    <r>
      <t>Monto real (M$)</t>
    </r>
    <r>
      <rPr>
        <b/>
        <vertAlign val="superscript"/>
        <sz val="11"/>
        <color theme="1"/>
        <rFont val="Calibri"/>
        <family val="2"/>
        <scheme val="minor"/>
      </rPr>
      <t>2</t>
    </r>
  </si>
  <si>
    <t>N° beneficiarios</t>
  </si>
  <si>
    <r>
      <t>PGU No Contributiva</t>
    </r>
    <r>
      <rPr>
        <vertAlign val="superscript"/>
        <sz val="11"/>
        <color theme="1"/>
        <rFont val="Calibri"/>
        <family val="2"/>
        <scheme val="minor"/>
      </rPr>
      <t>1</t>
    </r>
  </si>
  <si>
    <r>
      <t>PGU Contributiva</t>
    </r>
    <r>
      <rPr>
        <vertAlign val="superscript"/>
        <sz val="11"/>
        <color theme="1"/>
        <rFont val="Calibri"/>
        <family val="2"/>
        <scheme val="minor"/>
      </rPr>
      <t>1</t>
    </r>
  </si>
  <si>
    <r>
      <t>Monto nominal (M$)</t>
    </r>
    <r>
      <rPr>
        <b/>
        <vertAlign val="superscript"/>
        <sz val="11"/>
        <color theme="1"/>
        <rFont val="Calibri"/>
        <family val="2"/>
        <scheme val="minor"/>
      </rPr>
      <t>3</t>
    </r>
  </si>
  <si>
    <r>
      <t>Monto real (M$)</t>
    </r>
    <r>
      <rPr>
        <b/>
        <vertAlign val="superscript"/>
        <sz val="11"/>
        <color theme="1"/>
        <rFont val="Calibri"/>
        <family val="2"/>
        <scheme val="minor"/>
      </rPr>
      <t>4</t>
    </r>
  </si>
  <si>
    <r>
      <t>PGU No Contributiva</t>
    </r>
    <r>
      <rPr>
        <b/>
        <vertAlign val="superscript"/>
        <sz val="11"/>
        <color theme="1"/>
        <rFont val="Calibri"/>
        <family val="2"/>
        <scheme val="minor"/>
      </rPr>
      <t>1</t>
    </r>
  </si>
  <si>
    <r>
      <t>PGU Contributiva</t>
    </r>
    <r>
      <rPr>
        <b/>
        <vertAlign val="superscript"/>
        <sz val="11"/>
        <color theme="1"/>
        <rFont val="Calibri"/>
        <family val="2"/>
        <scheme val="minor"/>
      </rPr>
      <t>1</t>
    </r>
  </si>
  <si>
    <r>
      <t>PGU Total</t>
    </r>
    <r>
      <rPr>
        <b/>
        <vertAlign val="superscript"/>
        <sz val="11"/>
        <color theme="1"/>
        <rFont val="Calibri"/>
        <family val="2"/>
        <scheme val="minor"/>
      </rPr>
      <t>1</t>
    </r>
  </si>
  <si>
    <r>
      <t>Monto nominal (M$)</t>
    </r>
    <r>
      <rPr>
        <b/>
        <vertAlign val="superscript"/>
        <sz val="11"/>
        <color theme="1"/>
        <rFont val="Calibri"/>
        <family val="2"/>
        <scheme val="minor"/>
      </rPr>
      <t>2</t>
    </r>
  </si>
  <si>
    <r>
      <t>Monto real (M$)</t>
    </r>
    <r>
      <rPr>
        <b/>
        <vertAlign val="superscript"/>
        <sz val="11"/>
        <color theme="1"/>
        <rFont val="Calibri"/>
        <family val="2"/>
        <scheme val="minor"/>
      </rPr>
      <t>3</t>
    </r>
  </si>
  <si>
    <r>
      <rPr>
        <vertAlign val="superscript"/>
        <sz val="9"/>
        <color theme="1"/>
        <rFont val="Calibri"/>
        <family val="2"/>
        <scheme val="minor"/>
      </rPr>
      <t>2</t>
    </r>
    <r>
      <rPr>
        <sz val="9"/>
        <color theme="1"/>
        <rFont val="Calibri"/>
        <family val="2"/>
        <scheme val="minor"/>
      </rPr>
      <t xml:space="preserve"> Montos nominales de cada periodo de pago. </t>
    </r>
    <r>
      <rPr>
        <vertAlign val="superscript"/>
        <sz val="9"/>
        <color theme="1"/>
        <rFont val="Calibri"/>
        <family val="2"/>
        <scheme val="minor"/>
      </rPr>
      <t>3</t>
    </r>
    <r>
      <rPr>
        <sz val="9"/>
        <color theme="1"/>
        <rFont val="Calibri"/>
        <family val="2"/>
        <scheme val="minor"/>
      </rPr>
      <t xml:space="preserve"> Montos deflactados a diciembre 2023</t>
    </r>
  </si>
  <si>
    <r>
      <rPr>
        <vertAlign val="superscript"/>
        <sz val="9"/>
        <rFont val="Calibri"/>
        <family val="2"/>
        <scheme val="minor"/>
      </rPr>
      <t xml:space="preserve">2 </t>
    </r>
    <r>
      <rPr>
        <sz val="9"/>
        <rFont val="Calibri"/>
        <family val="2"/>
        <scheme val="minor"/>
      </rPr>
      <t>Promedio mensual de beneficiarios del año.</t>
    </r>
  </si>
  <si>
    <r>
      <rPr>
        <vertAlign val="superscript"/>
        <sz val="9"/>
        <color theme="1"/>
        <rFont val="Calibri"/>
        <family val="2"/>
        <scheme val="minor"/>
      </rPr>
      <t>3</t>
    </r>
    <r>
      <rPr>
        <sz val="9"/>
        <color theme="1"/>
        <rFont val="Calibri"/>
        <family val="2"/>
        <scheme val="minor"/>
      </rPr>
      <t xml:space="preserve"> Montos nominales de cada periodo de pago. </t>
    </r>
    <r>
      <rPr>
        <vertAlign val="superscript"/>
        <sz val="9"/>
        <color theme="1"/>
        <rFont val="Calibri"/>
        <family val="2"/>
        <scheme val="minor"/>
      </rPr>
      <t>4</t>
    </r>
    <r>
      <rPr>
        <sz val="9"/>
        <color theme="1"/>
        <rFont val="Calibri"/>
        <family val="2"/>
        <scheme val="minor"/>
      </rPr>
      <t xml:space="preserve"> Montos deflactados a diciembre de 2023</t>
    </r>
  </si>
  <si>
    <r>
      <rPr>
        <vertAlign val="superscript"/>
        <sz val="9"/>
        <color theme="1"/>
        <rFont val="Calibri"/>
        <family val="2"/>
        <scheme val="minor"/>
      </rPr>
      <t>2</t>
    </r>
    <r>
      <rPr>
        <sz val="9"/>
        <color theme="1"/>
        <rFont val="Calibri"/>
        <family val="2"/>
        <scheme val="minor"/>
      </rPr>
      <t xml:space="preserve"> Montos deflactados a diciembre 2023. </t>
    </r>
    <r>
      <rPr>
        <vertAlign val="superscript"/>
        <sz val="9"/>
        <color theme="1"/>
        <rFont val="Calibri"/>
        <family val="2"/>
        <scheme val="minor"/>
      </rPr>
      <t>3</t>
    </r>
    <r>
      <rPr>
        <sz val="9"/>
        <color theme="1"/>
        <rFont val="Calibri"/>
        <family val="2"/>
        <scheme val="minor"/>
      </rPr>
      <t xml:space="preserve"> Montos nominales de cada periodo de pago.</t>
    </r>
  </si>
  <si>
    <r>
      <t>PBS Invalidez</t>
    </r>
    <r>
      <rPr>
        <b/>
        <vertAlign val="superscript"/>
        <sz val="11"/>
        <color theme="1"/>
        <rFont val="Calibri"/>
        <family val="2"/>
        <scheme val="minor"/>
      </rPr>
      <t>1</t>
    </r>
  </si>
  <si>
    <r>
      <rPr>
        <vertAlign val="superscript"/>
        <sz val="9"/>
        <rFont val="Calibri"/>
        <family val="2"/>
        <scheme val="minor"/>
      </rPr>
      <t>1</t>
    </r>
    <r>
      <rPr>
        <sz val="9"/>
        <rFont val="Calibri"/>
        <family val="2"/>
        <scheme val="minor"/>
      </rPr>
      <t xml:space="preserve"> De manera automática, en febrero 2022, los PBS de Vejez pasaron a ser PGU No Contributiva y los APS Vejez Subsidio Definido, los Beneficio artículo 9° bis y los APS Vejez con una Pensión Final Garantizada inferior o igual al monto de la PGU pasaron a ser PGU Contributiva. En los casos en que el APS Vejez con una Pensión Final Garantizada tuviera un monto superior a la PGU, se mantuvo el pago del beneficio.</t>
    </r>
  </si>
  <si>
    <r>
      <rPr>
        <vertAlign val="superscript"/>
        <sz val="9"/>
        <color theme="1"/>
        <rFont val="Calibri"/>
        <family val="2"/>
        <scheme val="minor"/>
      </rPr>
      <t>1</t>
    </r>
    <r>
      <rPr>
        <sz val="9"/>
        <color theme="1"/>
        <rFont val="Calibri"/>
        <family val="2"/>
        <scheme val="minor"/>
      </rPr>
      <t xml:space="preserve"> De manera automática, en febrero 2022, los PBS de Vejez pasaron a ser PGU No Contributiva y los APS Vejez Subsidio Definido, los Beneficio artículo 9° bis y los APS Vejez con una Pensión Final Garantizada inferior o igual al monto de la PGU pasaron a ser PGU Contributiva. En los casos en que el APS Vejez con una Pensión Final Garantizada tuviera un monto superior a la PGU, se mantuvo el pago del beneficio.</t>
    </r>
  </si>
  <si>
    <r>
      <rPr>
        <vertAlign val="superscript"/>
        <sz val="9"/>
        <rFont val="Calibri"/>
        <family val="2"/>
        <scheme val="minor"/>
      </rPr>
      <t>1</t>
    </r>
    <r>
      <rPr>
        <sz val="9"/>
        <rFont val="Calibri"/>
        <family val="2"/>
        <scheme val="minor"/>
      </rPr>
      <t xml:space="preserve">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sí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En los casos en que el APS Vejez con una Pensión Final Garantizada tuviera un monto superior a la PGU, se mantuvo el pago del beneficio.</t>
    </r>
  </si>
  <si>
    <r>
      <t>APS Vejez</t>
    </r>
    <r>
      <rPr>
        <vertAlign val="superscript"/>
        <sz val="11"/>
        <color theme="1"/>
        <rFont val="Calibri"/>
        <family val="2"/>
        <scheme val="minor"/>
      </rPr>
      <t>1</t>
    </r>
  </si>
  <si>
    <r>
      <t>PBS Vejez</t>
    </r>
    <r>
      <rPr>
        <b/>
        <vertAlign val="superscript"/>
        <sz val="11"/>
        <color theme="1"/>
        <rFont val="Calibri"/>
        <family val="2"/>
        <scheme val="minor"/>
      </rPr>
      <t>1</t>
    </r>
  </si>
  <si>
    <r>
      <t>APS Vejez</t>
    </r>
    <r>
      <rPr>
        <b/>
        <vertAlign val="superscript"/>
        <sz val="11"/>
        <color theme="1"/>
        <rFont val="Calibri"/>
        <family val="2"/>
        <scheme val="minor"/>
      </rPr>
      <t>1</t>
    </r>
  </si>
  <si>
    <r>
      <t>Nbis</t>
    </r>
    <r>
      <rPr>
        <b/>
        <vertAlign val="superscript"/>
        <sz val="11"/>
        <color theme="1"/>
        <rFont val="Calibri"/>
        <family val="2"/>
        <scheme val="minor"/>
      </rPr>
      <t>1</t>
    </r>
  </si>
  <si>
    <t>1. Total de beneficios pagados del Pilar No Contributivo a nivel nacional</t>
  </si>
  <si>
    <t>2. Total de beneficios pagados del Pilar No Contributivo a nivel regional</t>
  </si>
  <si>
    <t>3. Pagos Pensión Garantizada Universal (PGU)</t>
  </si>
  <si>
    <t>4. Pagos Pensión Básica Solidaria (PBS)</t>
  </si>
  <si>
    <t>5. Pagos Aporte Previsional Solidario (APS)</t>
  </si>
  <si>
    <t>TOTAL DE BENEFICIOS PAGADOS DEL PILAR NO CONTRIBUTIVO A NIVEL NACIONAL</t>
  </si>
  <si>
    <r>
      <rPr>
        <vertAlign val="superscript"/>
        <sz val="9"/>
        <rFont val="Calibri"/>
        <family val="2"/>
        <scheme val="minor"/>
      </rPr>
      <t xml:space="preserve">2 </t>
    </r>
    <r>
      <rPr>
        <sz val="9"/>
        <rFont val="Calibri"/>
        <family val="2"/>
        <scheme val="minor"/>
      </rPr>
      <t xml:space="preserve">Promedio mensual de beneficiarios del año. </t>
    </r>
    <r>
      <rPr>
        <vertAlign val="superscript"/>
        <sz val="9"/>
        <rFont val="Calibri"/>
        <family val="2"/>
        <scheme val="minor"/>
      </rPr>
      <t>3</t>
    </r>
    <r>
      <rPr>
        <sz val="9"/>
        <rFont val="Calibri"/>
        <family val="2"/>
        <scheme val="minor"/>
      </rPr>
      <t xml:space="preserve"> Montos nominales de cada periodo de pago. </t>
    </r>
    <r>
      <rPr>
        <vertAlign val="superscript"/>
        <sz val="9"/>
        <rFont val="Calibri"/>
        <family val="2"/>
        <scheme val="minor"/>
      </rPr>
      <t>4</t>
    </r>
    <r>
      <rPr>
        <sz val="9"/>
        <rFont val="Calibri"/>
        <family val="2"/>
        <scheme val="minor"/>
      </rPr>
      <t xml:space="preserve"> Montos deflactados a diciembre de 2023</t>
    </r>
  </si>
  <si>
    <t>TOTAL DE BENEFICIOS PAGADOS DEL PILAR NO CONTRIBUTIVO A NIVEL REGIONAL</t>
  </si>
  <si>
    <t>Región del Libertador Bernardo O'Higgins</t>
  </si>
  <si>
    <t>Región del Bío-Bío</t>
  </si>
  <si>
    <t>Región de Aysén del General Carlos Ibañez del Campo</t>
  </si>
  <si>
    <t>Región de Magallanes y la Antártica Chilena</t>
  </si>
  <si>
    <t xml:space="preserve">PBS Invalidez </t>
  </si>
  <si>
    <t xml:space="preserve">APS Invalidez </t>
  </si>
  <si>
    <r>
      <t>N° promedio beneficiarios</t>
    </r>
    <r>
      <rPr>
        <b/>
        <vertAlign val="superscript"/>
        <sz val="11"/>
        <color theme="1"/>
        <rFont val="Calibri"/>
        <family val="2"/>
        <scheme val="minor"/>
      </rPr>
      <t>2</t>
    </r>
  </si>
  <si>
    <r>
      <t>Estado de las solicitudes</t>
    </r>
    <r>
      <rPr>
        <b/>
        <vertAlign val="superscript"/>
        <sz val="11"/>
        <rFont val="Calibri"/>
        <family val="2"/>
        <scheme val="minor"/>
      </rPr>
      <t>1</t>
    </r>
  </si>
  <si>
    <r>
      <t>PGU No Contributiva</t>
    </r>
    <r>
      <rPr>
        <b/>
        <vertAlign val="superscript"/>
        <sz val="11"/>
        <color theme="1"/>
        <rFont val="Calibri"/>
        <family val="2"/>
        <scheme val="minor"/>
      </rPr>
      <t>2</t>
    </r>
  </si>
  <si>
    <r>
      <t>PGU Contributiva</t>
    </r>
    <r>
      <rPr>
        <b/>
        <vertAlign val="superscript"/>
        <sz val="11"/>
        <color theme="1"/>
        <rFont val="Calibri"/>
        <family val="2"/>
        <scheme val="minor"/>
      </rPr>
      <t>2</t>
    </r>
  </si>
  <si>
    <r>
      <t xml:space="preserve">Fuente: Elaboración propia con datos del Instituto de Previsión Social
</t>
    </r>
    <r>
      <rPr>
        <vertAlign val="superscript"/>
        <sz val="9"/>
        <rFont val="Calibri"/>
        <family val="2"/>
        <scheme val="minor"/>
      </rPr>
      <t>1</t>
    </r>
    <r>
      <rPr>
        <sz val="9"/>
        <rFont val="Calibri"/>
        <family val="2"/>
        <scheme val="minor"/>
      </rPr>
      <t xml:space="preserve"> El periodo utilizado para el reporte de las solicitudes considera la fecha de ingreso de la solicitud. El estado final de las solicitudes puede cambiar entre periodos, dado que se incluyen en la estadística solicitudes en trámite.
</t>
    </r>
    <r>
      <rPr>
        <vertAlign val="superscript"/>
        <sz val="9"/>
        <rFont val="Calibri"/>
        <family val="2"/>
        <scheme val="minor"/>
      </rPr>
      <t>2</t>
    </r>
    <r>
      <rPr>
        <sz val="9"/>
        <rFont val="Calibri"/>
        <family val="2"/>
        <scheme val="minor"/>
      </rPr>
      <t xml:space="preserve">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A partir de la implementación de la PGU (febrero 2022) dejan de existir nuevas solicitudes de los beneficios PBS de Vejez y APS de Vejez, ya que estos beneficios fueron reemplazados con PGU No Contributiva y PGU Contributiva, respectivamente.</t>
    </r>
  </si>
  <si>
    <t>Total nacional</t>
  </si>
  <si>
    <r>
      <t>Total solicitudes</t>
    </r>
    <r>
      <rPr>
        <b/>
        <vertAlign val="superscript"/>
        <sz val="11"/>
        <color theme="1"/>
        <rFont val="Calibri"/>
        <family val="2"/>
        <scheme val="minor"/>
      </rPr>
      <t>2</t>
    </r>
  </si>
  <si>
    <t>Total región</t>
  </si>
  <si>
    <r>
      <t>Total Beneficios</t>
    </r>
    <r>
      <rPr>
        <b/>
        <vertAlign val="superscript"/>
        <sz val="11"/>
        <color theme="1"/>
        <rFont val="Calibri"/>
        <family val="2"/>
        <scheme val="minor"/>
      </rPr>
      <t>2</t>
    </r>
  </si>
  <si>
    <r>
      <t>N° promedio beneficiarios</t>
    </r>
    <r>
      <rPr>
        <b/>
        <vertAlign val="superscript"/>
        <sz val="11"/>
        <color theme="1"/>
        <rFont val="Calibri"/>
        <family val="2"/>
        <scheme val="minor"/>
      </rPr>
      <t>3</t>
    </r>
  </si>
  <si>
    <r>
      <t>Monto nominal (M$)</t>
    </r>
    <r>
      <rPr>
        <b/>
        <vertAlign val="superscript"/>
        <sz val="11"/>
        <color theme="1"/>
        <rFont val="Calibri"/>
        <family val="2"/>
        <scheme val="minor"/>
      </rPr>
      <t>4</t>
    </r>
  </si>
  <si>
    <r>
      <t>Monto real (M$)</t>
    </r>
    <r>
      <rPr>
        <b/>
        <vertAlign val="superscript"/>
        <sz val="11"/>
        <color theme="1"/>
        <rFont val="Calibri"/>
        <family val="2"/>
        <scheme val="minor"/>
      </rPr>
      <t>5</t>
    </r>
  </si>
  <si>
    <r>
      <rPr>
        <vertAlign val="superscript"/>
        <sz val="9"/>
        <rFont val="Calibri"/>
        <family val="2"/>
        <scheme val="minor"/>
      </rPr>
      <t xml:space="preserve">2 </t>
    </r>
    <r>
      <rPr>
        <sz val="9"/>
        <rFont val="Calibri"/>
        <family val="2"/>
        <scheme val="minor"/>
      </rPr>
      <t>A diciembre de 2023 se encuentran vigentes 89.472 beneficios Ex PASIS de Vejez y 92.738 Ex PASIS de Invalidez.</t>
    </r>
    <r>
      <rPr>
        <vertAlign val="superscript"/>
        <sz val="9"/>
        <rFont val="Calibri"/>
        <family val="2"/>
        <scheme val="minor"/>
      </rPr>
      <t xml:space="preserve"> 3 </t>
    </r>
    <r>
      <rPr>
        <sz val="9"/>
        <rFont val="Calibri"/>
        <family val="2"/>
        <scheme val="minor"/>
      </rPr>
      <t xml:space="preserve">Promedio mensual de beneficiarios del año. </t>
    </r>
    <r>
      <rPr>
        <vertAlign val="superscript"/>
        <sz val="9"/>
        <rFont val="Calibri"/>
        <family val="2"/>
        <scheme val="minor"/>
      </rPr>
      <t>4</t>
    </r>
    <r>
      <rPr>
        <sz val="9"/>
        <rFont val="Calibri"/>
        <family val="2"/>
        <scheme val="minor"/>
      </rPr>
      <t xml:space="preserve"> Montos nominales de cada periodo de pago. </t>
    </r>
    <r>
      <rPr>
        <vertAlign val="superscript"/>
        <sz val="9"/>
        <rFont val="Calibri"/>
        <family val="2"/>
        <scheme val="minor"/>
      </rPr>
      <t>5</t>
    </r>
    <r>
      <rPr>
        <sz val="9"/>
        <rFont val="Calibri"/>
        <family val="2"/>
        <scheme val="minor"/>
      </rPr>
      <t xml:space="preserve"> Montos deflactados a diciembre 2023</t>
    </r>
  </si>
  <si>
    <r>
      <rPr>
        <vertAlign val="superscript"/>
        <sz val="9"/>
        <color theme="1"/>
        <rFont val="Calibri"/>
        <family val="2"/>
        <scheme val="minor"/>
      </rPr>
      <t>2</t>
    </r>
    <r>
      <rPr>
        <sz val="9"/>
        <color theme="1"/>
        <rFont val="Calibri"/>
        <family val="2"/>
        <scheme val="minor"/>
      </rPr>
      <t xml:space="preserve"> A diciembre de 2023 se encuentran vigentes 89.472 beneficios Ex PASIS de Vejez y 92.738 Ex PASIS de Invalidez. </t>
    </r>
    <r>
      <rPr>
        <vertAlign val="superscript"/>
        <sz val="9"/>
        <color theme="1"/>
        <rFont val="Calibri"/>
        <family val="2"/>
        <scheme val="minor"/>
      </rPr>
      <t>3</t>
    </r>
    <r>
      <rPr>
        <sz val="9"/>
        <color theme="1"/>
        <rFont val="Calibri"/>
        <family val="2"/>
        <scheme val="minor"/>
      </rPr>
      <t xml:space="preserve"> Montos deflactados a diciembre 2023. </t>
    </r>
    <r>
      <rPr>
        <vertAlign val="superscript"/>
        <sz val="9"/>
        <color theme="1"/>
        <rFont val="Calibri"/>
        <family val="2"/>
        <scheme val="minor"/>
      </rPr>
      <t>4</t>
    </r>
    <r>
      <rPr>
        <sz val="9"/>
        <color theme="1"/>
        <rFont val="Calibri"/>
        <family val="2"/>
        <scheme val="minor"/>
      </rPr>
      <t xml:space="preserve"> Montos nominales de cada periodo de pago. </t>
    </r>
    <r>
      <rPr>
        <vertAlign val="superscript"/>
        <sz val="9"/>
        <color theme="1"/>
        <rFont val="Calibri"/>
        <family val="2"/>
        <scheme val="minor"/>
      </rPr>
      <t>5</t>
    </r>
    <r>
      <rPr>
        <sz val="9"/>
        <color theme="1"/>
        <rFont val="Calibri"/>
        <family val="2"/>
        <scheme val="minor"/>
      </rPr>
      <t xml:space="preserve"> Porcentaje del total de beneficios pagados en el periodo.</t>
    </r>
  </si>
  <si>
    <r>
      <t>%</t>
    </r>
    <r>
      <rPr>
        <b/>
        <vertAlign val="superscript"/>
        <sz val="11"/>
        <color theme="1"/>
        <rFont val="Calibri"/>
        <family val="2"/>
        <scheme val="minor"/>
      </rPr>
      <t>5</t>
    </r>
  </si>
  <si>
    <r>
      <t>Total</t>
    </r>
    <r>
      <rPr>
        <vertAlign val="superscript"/>
        <sz val="11"/>
        <color theme="1"/>
        <rFont val="Calibri"/>
        <family val="2"/>
        <scheme val="minor"/>
      </rPr>
      <t>2</t>
    </r>
  </si>
  <si>
    <r>
      <t>Monto total (M$)</t>
    </r>
    <r>
      <rPr>
        <b/>
        <vertAlign val="superscript"/>
        <sz val="11"/>
        <color theme="1"/>
        <rFont val="Calibri"/>
        <family val="2"/>
        <scheme val="minor"/>
      </rPr>
      <t>4</t>
    </r>
  </si>
  <si>
    <r>
      <t>Monto promedio por beneficiario ($)</t>
    </r>
    <r>
      <rPr>
        <b/>
        <vertAlign val="superscript"/>
        <sz val="11"/>
        <color theme="1"/>
        <rFont val="Calibri"/>
        <family val="2"/>
        <scheme val="minor"/>
      </rPr>
      <t>5</t>
    </r>
  </si>
  <si>
    <r>
      <rPr>
        <vertAlign val="superscript"/>
        <sz val="9"/>
        <color theme="1"/>
        <rFont val="Calibri"/>
        <family val="2"/>
        <scheme val="minor"/>
      </rPr>
      <t>2</t>
    </r>
    <r>
      <rPr>
        <sz val="9"/>
        <color theme="1"/>
        <rFont val="Calibri"/>
        <family val="2"/>
        <scheme val="minor"/>
      </rPr>
      <t xml:space="preserve"> A diciembre de 2023 se encuentran vigentes 89.472 beneficios Ex PASIS de Vejez y 92.738 Ex PASIS de Invalidez. </t>
    </r>
    <r>
      <rPr>
        <vertAlign val="superscript"/>
        <sz val="9"/>
        <color theme="1"/>
        <rFont val="Calibri"/>
        <family val="2"/>
        <scheme val="minor"/>
      </rPr>
      <t>3</t>
    </r>
    <r>
      <rPr>
        <sz val="9"/>
        <color theme="1"/>
        <rFont val="Calibri"/>
        <family val="2"/>
        <scheme val="minor"/>
      </rPr>
      <t xml:space="preserve"> Promedio mensual de beneficiarios en el trimestre. </t>
    </r>
    <r>
      <rPr>
        <vertAlign val="superscript"/>
        <sz val="9"/>
        <color theme="1"/>
        <rFont val="Calibri"/>
        <family val="2"/>
        <scheme val="minor"/>
      </rPr>
      <t>4</t>
    </r>
    <r>
      <rPr>
        <sz val="9"/>
        <color theme="1"/>
        <rFont val="Calibri"/>
        <family val="2"/>
        <scheme val="minor"/>
      </rPr>
      <t xml:space="preserve"> Monto total pagado en el trimestre en pesos a diciembre de 2023. </t>
    </r>
    <r>
      <rPr>
        <vertAlign val="superscript"/>
        <sz val="9"/>
        <color theme="1"/>
        <rFont val="Calibri"/>
        <family val="2"/>
        <scheme val="minor"/>
      </rPr>
      <t>5</t>
    </r>
    <r>
      <rPr>
        <sz val="9"/>
        <color theme="1"/>
        <rFont val="Calibri"/>
        <family val="2"/>
        <scheme val="minor"/>
      </rPr>
      <t xml:space="preserve"> Monto promedio mensual pagado por beneficiario en el trimestre, en pesos a diciembre de 2023.</t>
    </r>
  </si>
  <si>
    <r>
      <t>Número de concesiones</t>
    </r>
    <r>
      <rPr>
        <b/>
        <vertAlign val="superscript"/>
        <sz val="11"/>
        <color theme="1"/>
        <rFont val="Calibri"/>
        <family val="2"/>
        <scheme val="minor"/>
      </rPr>
      <t>1</t>
    </r>
  </si>
  <si>
    <r>
      <t>PGU No Contributiva</t>
    </r>
    <r>
      <rPr>
        <b/>
        <vertAlign val="superscript"/>
        <sz val="11"/>
        <rFont val="Calibri"/>
        <family val="2"/>
        <scheme val="minor"/>
      </rPr>
      <t>1</t>
    </r>
  </si>
  <si>
    <r>
      <t>PGU Contributiva</t>
    </r>
    <r>
      <rPr>
        <b/>
        <vertAlign val="superscript"/>
        <sz val="11"/>
        <rFont val="Calibri"/>
        <family val="2"/>
        <scheme val="minor"/>
      </rPr>
      <t>1</t>
    </r>
  </si>
  <si>
    <r>
      <t xml:space="preserve">Fuente: Elaboración propia con datos del Instituto de Previsión Social
</t>
    </r>
    <r>
      <rPr>
        <vertAlign val="superscript"/>
        <sz val="9"/>
        <rFont val="Calibri"/>
        <family val="2"/>
        <scheme val="minor"/>
      </rPr>
      <t>1</t>
    </r>
    <r>
      <rPr>
        <sz val="9"/>
        <rFont val="Calibri"/>
        <family val="2"/>
        <scheme val="minor"/>
      </rPr>
      <t xml:space="preserve">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A partir de la implementación de la PGU (febrero 2022) dejan de existir nuevas solicitudes de los beneficios PBS de Vejez y APS de Vejez, ya que estos beneficios fueron reemplazados con PGU No Contributiva y PGU Contributiva, respectivamente.
</t>
    </r>
    <r>
      <rPr>
        <vertAlign val="superscript"/>
        <sz val="9"/>
        <rFont val="Calibri"/>
        <family val="2"/>
        <scheme val="minor"/>
      </rPr>
      <t>2</t>
    </r>
    <r>
      <rPr>
        <sz val="9"/>
        <rFont val="Calibri"/>
        <family val="2"/>
        <scheme val="minor"/>
      </rPr>
      <t xml:space="preserve"> El periodo utilizado para el reporte de las solicitudes considera la fecha de ingreso de la solicitud. El estado final de las solicitudes puede cambiar entre periodos, dado que se incluyen en la estadística solicitudes en trámite.</t>
    </r>
  </si>
  <si>
    <r>
      <t>Total solicitudes</t>
    </r>
    <r>
      <rPr>
        <b/>
        <vertAlign val="superscript"/>
        <sz val="11"/>
        <rFont val="Calibri"/>
        <family val="2"/>
        <scheme val="minor"/>
      </rPr>
      <t>2</t>
    </r>
  </si>
  <si>
    <r>
      <t>Total solicitudes rechazadas</t>
    </r>
    <r>
      <rPr>
        <b/>
        <vertAlign val="superscript"/>
        <sz val="11"/>
        <rFont val="Calibri"/>
        <family val="2"/>
        <scheme val="minor"/>
      </rPr>
      <t>2</t>
    </r>
  </si>
  <si>
    <r>
      <t>APS Vejez</t>
    </r>
    <r>
      <rPr>
        <b/>
        <vertAlign val="superscript"/>
        <sz val="11"/>
        <rFont val="Calibri"/>
        <family val="2"/>
        <scheme val="minor"/>
      </rPr>
      <t>1</t>
    </r>
  </si>
  <si>
    <r>
      <t>PBS Vejez</t>
    </r>
    <r>
      <rPr>
        <b/>
        <vertAlign val="superscript"/>
        <sz val="11"/>
        <rFont val="Calibri"/>
        <family val="2"/>
        <scheme val="minor"/>
      </rPr>
      <t>1</t>
    </r>
  </si>
  <si>
    <r>
      <t>Total acumulado de concesiones</t>
    </r>
    <r>
      <rPr>
        <b/>
        <vertAlign val="superscript"/>
        <sz val="11"/>
        <rFont val="Calibri"/>
        <family val="2"/>
        <scheme val="minor"/>
      </rPr>
      <t>2</t>
    </r>
  </si>
  <si>
    <r>
      <t>Total solicitudes concedidas</t>
    </r>
    <r>
      <rPr>
        <b/>
        <vertAlign val="superscript"/>
        <sz val="11"/>
        <rFont val="Calibri"/>
        <family val="2"/>
        <scheme val="minor"/>
      </rPr>
      <t>2</t>
    </r>
  </si>
  <si>
    <r>
      <t>Total solicitudes concedidas</t>
    </r>
    <r>
      <rPr>
        <b/>
        <vertAlign val="superscript"/>
        <sz val="11"/>
        <color theme="1"/>
        <rFont val="Calibri"/>
        <family val="2"/>
        <scheme val="minor"/>
      </rPr>
      <t>2</t>
    </r>
  </si>
  <si>
    <t>Total suspensiones por beneficio</t>
  </si>
  <si>
    <t>Total extinciones por beneficio</t>
  </si>
  <si>
    <r>
      <t>PBS Vejez</t>
    </r>
    <r>
      <rPr>
        <vertAlign val="superscript"/>
        <sz val="11"/>
        <color theme="1"/>
        <rFont val="Calibri"/>
        <family val="2"/>
        <scheme val="minor"/>
      </rPr>
      <t>1</t>
    </r>
  </si>
  <si>
    <r>
      <t>Tasa de concesión total</t>
    </r>
    <r>
      <rPr>
        <b/>
        <vertAlign val="superscript"/>
        <sz val="11"/>
        <color theme="1"/>
        <rFont val="Calibri"/>
        <family val="2"/>
        <scheme val="minor"/>
      </rPr>
      <t>2</t>
    </r>
  </si>
  <si>
    <r>
      <t>Tasa de concesión total</t>
    </r>
    <r>
      <rPr>
        <b/>
        <vertAlign val="superscript"/>
        <sz val="11"/>
        <rFont val="Calibri"/>
        <family val="2"/>
        <scheme val="minor"/>
      </rPr>
      <t>2</t>
    </r>
  </si>
  <si>
    <r>
      <rPr>
        <vertAlign val="superscript"/>
        <sz val="9"/>
        <color theme="1"/>
        <rFont val="Calibri"/>
        <family val="2"/>
        <scheme val="minor"/>
      </rPr>
      <t>2</t>
    </r>
    <r>
      <rPr>
        <sz val="9"/>
        <color theme="1"/>
        <rFont val="Calibri"/>
        <family val="2"/>
        <scheme val="minor"/>
      </rPr>
      <t xml:space="preserve"> A diciembre de 2023 se encuentran vigentes 89.472 beneficios Ex PASIS de Vejez y 92.738 Ex PASIS de Invalidez. </t>
    </r>
    <r>
      <rPr>
        <vertAlign val="superscript"/>
        <sz val="9"/>
        <color theme="1"/>
        <rFont val="Calibri"/>
        <family val="2"/>
        <scheme val="minor"/>
      </rPr>
      <t>3</t>
    </r>
    <r>
      <rPr>
        <sz val="9"/>
        <color theme="1"/>
        <rFont val="Calibri"/>
        <family val="2"/>
        <scheme val="minor"/>
      </rPr>
      <t xml:space="preserve"> Montos nominales de cada periodo de pago. </t>
    </r>
    <r>
      <rPr>
        <vertAlign val="superscript"/>
        <sz val="9"/>
        <color theme="1"/>
        <rFont val="Calibri"/>
        <family val="2"/>
        <scheme val="minor"/>
      </rPr>
      <t>4</t>
    </r>
    <r>
      <rPr>
        <sz val="9"/>
        <color theme="1"/>
        <rFont val="Calibri"/>
        <family val="2"/>
        <scheme val="minor"/>
      </rPr>
      <t xml:space="preserve"> Montos deflactados a diciembre 2023.</t>
    </r>
  </si>
  <si>
    <t>6. Beneficios suspendidos y extintos del Pilar No Contributivo</t>
  </si>
  <si>
    <t>i. Resumen trimestral de beneficios pagados, por región, tipo de beneficio y sexo</t>
  </si>
  <si>
    <t>Resumen trimestral de beneficios pagados, por región, tipo de beneficio y sexo</t>
  </si>
  <si>
    <t>1. Solicitudes del Pilar No Contributivo a nivel nacional</t>
  </si>
  <si>
    <t>2. Solicitudes del Pilar No Contributivo a nivel regional y comunal</t>
  </si>
  <si>
    <t>3. Solicitudes concedidas del Pilar No Contributivo a nivel nacional</t>
  </si>
  <si>
    <t>4. Solicitudes concedidas del Pilar No Contributivo a nivel regional y comunal</t>
  </si>
  <si>
    <t>5. Solicitudes Rechazadas del Pilar No Contributivo</t>
  </si>
  <si>
    <t>6. Tasas de concesión de solicitudes</t>
  </si>
  <si>
    <r>
      <t xml:space="preserve">Fuente: Elaboración propia con datos del Instituto de Previsión Social
1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A partir de la implementación de la PGU (febrero 2022) dejan de existir nuevas solicitudes de los beneficios PBS de Vejez y APS de Vejez, ya que estos beneficios fueron reemplazados con PGU No Contributiva y PGU Contributiva, respectivamente.
</t>
    </r>
    <r>
      <rPr>
        <vertAlign val="superscript"/>
        <sz val="9"/>
        <rFont val="Calibri"/>
        <family val="2"/>
        <scheme val="minor"/>
      </rPr>
      <t>2</t>
    </r>
    <r>
      <rPr>
        <sz val="9"/>
        <rFont val="Calibri"/>
        <family val="2"/>
        <scheme val="minor"/>
      </rPr>
      <t xml:space="preserve"> El periodo utilizado para el reporte de las solicitudes considera la fecha de ingreso de la solicitud. El estado final de las solicitudes puede cambiar entre periodos, dado que se incluyen en la estadística solicitudes en trámite.
</t>
    </r>
  </si>
  <si>
    <r>
      <t>Total acumulado de solicitudes</t>
    </r>
    <r>
      <rPr>
        <b/>
        <vertAlign val="superscript"/>
        <sz val="11"/>
        <rFont val="Calibri"/>
        <family val="2"/>
        <scheme val="minor"/>
      </rPr>
      <t>2</t>
    </r>
  </si>
  <si>
    <t xml:space="preserve">ALTO DEL CARMEN </t>
  </si>
  <si>
    <t xml:space="preserve">ALHUE </t>
  </si>
  <si>
    <r>
      <t xml:space="preserve">Fuente: Elaboración propia con datos del Instituto de Previsión Social
</t>
    </r>
    <r>
      <rPr>
        <vertAlign val="superscript"/>
        <sz val="9"/>
        <rFont val="Calibri"/>
        <family val="2"/>
        <scheme val="minor"/>
      </rPr>
      <t>1</t>
    </r>
    <r>
      <rPr>
        <sz val="9"/>
        <rFont val="Calibri"/>
        <family val="2"/>
        <scheme val="minor"/>
      </rPr>
      <t xml:space="preserve"> La Pensión Garantizada Universal (PGU) es un nuevo beneficio generado a partir de la ley 21.419 del 29-01-2022. El concepto de PGU No Contributiva o Contributiva está relacionado con la calidad de la persona que está recibiendo el beneficio, si es No Contributiva quiere decir que no estaba afiliado a un sistema previsional (D.L. 3.500 o antiguo Sistema de Reparto) ni recibe pensión de sobrevivencia, si es Contributiva quiere decir que si estaba afiliado a un sistema previsional o que recibe una pensión de sobrevivencia. De manera automática, en febrero 2022, los PBS de Vejez pasaron a ser PGU No Contributiva y los APS Vejez Subsidio Definido, los Beneficio artículo 9° bis y los APS Vejez con una Pensión Final Garantizada inferior o igual al monto de la PGU pasaron a ser PGU Contributiva. A partir de la implementación de la PGU (febrero 2022) dejan de existir nuevas solicitudes de los beneficios PBS de Vejez y APS de Vejez, ya que estos beneficios fueron reemplazados con PGU No Contributiva y PGU Contributiva, respectivamente.
</t>
    </r>
    <r>
      <rPr>
        <vertAlign val="superscript"/>
        <sz val="9"/>
        <rFont val="Calibri"/>
        <family val="2"/>
        <scheme val="minor"/>
      </rPr>
      <t>2</t>
    </r>
    <r>
      <rPr>
        <sz val="9"/>
        <rFont val="Calibri"/>
        <family val="2"/>
        <scheme val="minor"/>
      </rPr>
      <t xml:space="preserve"> La tasa de concesión se estuma como el número de concesiones sobre el número de solicitudes ingresadas en el periodo. El periodo utilizado para el reporte de las solicitudes considera la fecha de ingreso de la solicitud. El estado final de las solicitudes puede cambiar entre periodos, dado que se incluyen en la estadística solicitudes en trámite.</t>
    </r>
  </si>
  <si>
    <r>
      <t>Total acumulado de solicitudes rechazadas</t>
    </r>
    <r>
      <rPr>
        <b/>
        <vertAlign val="superscript"/>
        <sz val="11"/>
        <rFont val="Calibri"/>
        <family val="2"/>
        <scheme val="minor"/>
      </rPr>
      <t>2</t>
    </r>
  </si>
  <si>
    <r>
      <t>Tasa de concesión del total acumulado de solicitudes</t>
    </r>
    <r>
      <rPr>
        <b/>
        <vertAlign val="superscript"/>
        <sz val="11"/>
        <rFont val="Calibri"/>
        <family val="2"/>
        <scheme val="minor"/>
      </rPr>
      <t>2</t>
    </r>
  </si>
  <si>
    <t>Región de Aysén del General Carlos Ibáñez del Campo</t>
  </si>
  <si>
    <t xml:space="preserve">   Región de Aysén del General Carlos Ibáñez del Campo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</si>
</sst>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1" formatCode="_ * #,##0_ ;_ * \-#,##0_ ;_ * &quot;-&quot;_ ;_ @_ "/>
    <numFmt numFmtId="43" formatCode="_ * #,##0.00_ ;_ * \-#,##0.00_ ;_ * &quot;-&quot;??_ ;_ @_ "/>
    <numFmt numFmtId="164" formatCode="0.0%"/>
    <numFmt numFmtId="165" formatCode="_-* #,##0_-;\-* #,##0_-;_-* &quot;-&quot;??_-;_-@_-"/>
    <numFmt numFmtId="166" formatCode="_-* #,##0.00_-;\-* #,##0.00_-;_-* &quot;-&quot;??_-;_-@_-"/>
    <numFmt numFmtId="167" formatCode="_ * #,##0.00_ ;_ * \-#,##0.00_ ;_ * &quot;-&quot;_ ;_ @_ "/>
    <numFmt numFmtId="168" formatCode="_-&quot;$&quot;\ * #,##0.00_-;\-&quot;$&quot;\ * #,##0.00_-;_-&quot;$&quot;\ * &quot;-&quot;??_-;_-@_-"/>
    <numFmt numFmtId="169" formatCode="&quot;$&quot;\ #,##0;\-&quot;$&quot;\ #,##0"/>
    <numFmt numFmtId="170" formatCode="mmmm/yyyy"/>
    <numFmt numFmtId="171" formatCode="#,##0_ ;\-#,##0\ "/>
  </numFmts>
  <fonts count="44" x14ac:knownFonts="1">
    <font>
      <sz val="11"/>
      <color theme="1"/>
      <name val="Calibri"/>
      <family val="2"/>
      <scheme val="minor"/>
    </font>
    <font>
      <sz val="11"/>
      <color theme="1"/>
      <name val="Calibri"/>
      <family val="2"/>
      <scheme val="minor"/>
    </font>
    <font>
      <b/>
      <u/>
      <sz val="18"/>
      <color theme="1"/>
      <name val="Calibri"/>
      <family val="2"/>
      <scheme val="minor"/>
    </font>
    <font>
      <b/>
      <sz val="14"/>
      <color theme="1"/>
      <name val="Calibri"/>
      <family val="2"/>
      <scheme val="minor"/>
    </font>
    <font>
      <i/>
      <sz val="11"/>
      <color theme="1"/>
      <name val="Calibri"/>
      <family val="2"/>
      <scheme val="minor"/>
    </font>
    <font>
      <b/>
      <sz val="11"/>
      <color rgb="FF000000"/>
      <name val="Calibri"/>
      <family val="2"/>
      <scheme val="minor"/>
    </font>
    <font>
      <b/>
      <sz val="11"/>
      <color theme="1"/>
      <name val="Calibri"/>
      <family val="2"/>
      <scheme val="minor"/>
    </font>
    <font>
      <sz val="9"/>
      <name val="Calibri"/>
      <family val="2"/>
      <scheme val="minor"/>
    </font>
    <font>
      <i/>
      <sz val="11"/>
      <name val="Calibri"/>
      <family val="2"/>
      <scheme val="minor"/>
    </font>
    <font>
      <sz val="11"/>
      <name val="Calibri"/>
      <family val="2"/>
      <scheme val="minor"/>
    </font>
    <font>
      <b/>
      <sz val="11"/>
      <name val="Calibri"/>
      <family val="2"/>
      <scheme val="minor"/>
    </font>
    <font>
      <b/>
      <sz val="11"/>
      <color theme="5"/>
      <name val="Calibri"/>
      <family val="2"/>
      <scheme val="minor"/>
    </font>
    <font>
      <b/>
      <sz val="9"/>
      <name val="Calibri"/>
      <family val="2"/>
      <scheme val="minor"/>
    </font>
    <font>
      <sz val="9"/>
      <color theme="1"/>
      <name val="Calibri"/>
      <family val="2"/>
      <scheme val="minor"/>
    </font>
    <font>
      <sz val="11"/>
      <color rgb="FFFF0000"/>
      <name val="Calibri"/>
      <family val="2"/>
      <scheme val="minor"/>
    </font>
    <font>
      <sz val="11"/>
      <color theme="0"/>
      <name val="Calibri"/>
      <family val="2"/>
      <scheme val="minor"/>
    </font>
    <font>
      <b/>
      <sz val="11"/>
      <color rgb="FFFF0000"/>
      <name val="Calibri"/>
      <family val="2"/>
      <scheme val="minor"/>
    </font>
    <font>
      <sz val="11"/>
      <color rgb="FF000000"/>
      <name val="Calibri"/>
      <family val="2"/>
      <scheme val="minor"/>
    </font>
    <font>
      <b/>
      <u/>
      <sz val="16"/>
      <color theme="1"/>
      <name val="Calibri"/>
      <family val="2"/>
      <scheme val="minor"/>
    </font>
    <font>
      <b/>
      <sz val="12"/>
      <name val="Calibri"/>
      <family val="2"/>
      <scheme val="minor"/>
    </font>
    <font>
      <b/>
      <sz val="9"/>
      <color theme="1"/>
      <name val="Calibri"/>
      <family val="2"/>
      <scheme val="minor"/>
    </font>
    <font>
      <sz val="10"/>
      <color rgb="FF000000"/>
      <name val="Calibri"/>
      <family val="2"/>
      <scheme val="minor"/>
    </font>
    <font>
      <u/>
      <sz val="11"/>
      <color theme="10"/>
      <name val="Calibri"/>
      <family val="2"/>
    </font>
    <font>
      <b/>
      <u/>
      <sz val="14"/>
      <color theme="1"/>
      <name val="Calibri"/>
      <family val="2"/>
      <scheme val="minor"/>
    </font>
    <font>
      <b/>
      <sz val="10"/>
      <color rgb="FF000000"/>
      <name val="Calibri"/>
      <family val="2"/>
      <scheme val="minor"/>
    </font>
    <font>
      <sz val="10"/>
      <color theme="1"/>
      <name val="Calibri"/>
      <family val="2"/>
      <scheme val="minor"/>
    </font>
    <font>
      <b/>
      <sz val="12"/>
      <color theme="1"/>
      <name val="Calibri"/>
      <family val="2"/>
      <scheme val="minor"/>
    </font>
    <font>
      <sz val="8"/>
      <name val="Calibri"/>
      <family val="2"/>
      <scheme val="minor"/>
    </font>
    <font>
      <b/>
      <sz val="16"/>
      <color theme="1"/>
      <name val="Calibri"/>
      <family val="2"/>
      <scheme val="minor"/>
    </font>
    <font>
      <b/>
      <sz val="18"/>
      <color theme="1"/>
      <name val="Calibri"/>
      <family val="2"/>
      <scheme val="minor"/>
    </font>
    <font>
      <u/>
      <sz val="11"/>
      <color theme="10"/>
      <name val="Calibri"/>
      <family val="2"/>
      <scheme val="minor"/>
    </font>
    <font>
      <b/>
      <sz val="11"/>
      <name val="Calibri"/>
      <family val="2"/>
    </font>
    <font>
      <sz val="11"/>
      <color rgb="FF000000"/>
      <name val="Calibri"/>
      <family val="2"/>
    </font>
    <font>
      <sz val="11"/>
      <name val="Calibri"/>
      <family val="2"/>
    </font>
    <font>
      <b/>
      <sz val="11"/>
      <color rgb="FF000000"/>
      <name val="Calibri"/>
      <family val="2"/>
    </font>
    <font>
      <sz val="10"/>
      <name val="Arial"/>
      <family val="2"/>
    </font>
    <font>
      <sz val="9"/>
      <color rgb="FFFF0000"/>
      <name val="Calibri"/>
      <family val="2"/>
      <scheme val="minor"/>
    </font>
    <font>
      <b/>
      <sz val="9"/>
      <color theme="5"/>
      <name val="Calibri"/>
      <family val="2"/>
      <scheme val="minor"/>
    </font>
    <font>
      <b/>
      <vertAlign val="superscript"/>
      <sz val="11"/>
      <color theme="1"/>
      <name val="Calibri"/>
      <family val="2"/>
      <scheme val="minor"/>
    </font>
    <font>
      <vertAlign val="superscript"/>
      <sz val="9"/>
      <color theme="1"/>
      <name val="Calibri"/>
      <family val="2"/>
      <scheme val="minor"/>
    </font>
    <font>
      <vertAlign val="superscript"/>
      <sz val="11"/>
      <color theme="1"/>
      <name val="Calibri"/>
      <family val="2"/>
      <scheme val="minor"/>
    </font>
    <font>
      <vertAlign val="superscript"/>
      <sz val="9"/>
      <name val="Calibri"/>
      <family val="2"/>
      <scheme val="minor"/>
    </font>
    <font>
      <b/>
      <vertAlign val="superscript"/>
      <sz val="11"/>
      <name val="Calibri"/>
      <family val="2"/>
      <scheme val="minor"/>
    </font>
    <font>
      <b/>
      <u/>
      <sz val="11"/>
      <color theme="10"/>
      <name val="Calibri"/>
      <family val="2"/>
    </font>
  </fonts>
  <fills count="16">
    <fill>
      <patternFill patternType="none"/>
    </fill>
    <fill>
      <patternFill patternType="gray125"/>
    </fill>
    <fill>
      <patternFill patternType="solid">
        <fgColor theme="7"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theme="4"/>
      </patternFill>
    </fill>
    <fill>
      <patternFill patternType="solid">
        <fgColor theme="0" tint="-0.14999847407452621"/>
        <bgColor indexed="64"/>
      </patternFill>
    </fill>
    <fill>
      <patternFill patternType="solid">
        <fgColor rgb="FFFFFF00"/>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rgb="FFFF0000"/>
        <bgColor indexed="64"/>
      </patternFill>
    </fill>
    <fill>
      <patternFill patternType="solid">
        <fgColor theme="7"/>
        <bgColor indexed="64"/>
      </patternFill>
    </fill>
    <fill>
      <patternFill patternType="solid">
        <fgColor theme="4" tint="0.79998168889431442"/>
        <bgColor theme="4" tint="0.79998168889431442"/>
      </patternFill>
    </fill>
    <fill>
      <patternFill patternType="solid">
        <fgColor theme="4"/>
        <bgColor indexed="64"/>
      </patternFill>
    </fill>
    <fill>
      <patternFill patternType="solid">
        <fgColor theme="6" tint="0.39997558519241921"/>
        <bgColor indexed="64"/>
      </patternFill>
    </fill>
    <fill>
      <patternFill patternType="solid">
        <fgColor theme="6"/>
        <bgColor indexed="64"/>
      </patternFill>
    </fill>
  </fills>
  <borders count="8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diagonal/>
    </border>
    <border>
      <left style="thin">
        <color rgb="FF000000"/>
      </left>
      <right/>
      <top/>
      <bottom style="thin">
        <color rgb="FF000000"/>
      </bottom>
      <diagonal/>
    </border>
    <border>
      <left/>
      <right/>
      <top/>
      <bottom style="thin">
        <color theme="4" tint="0.39997558519241921"/>
      </bottom>
      <diagonal/>
    </border>
    <border>
      <left style="thin">
        <color rgb="FF000000"/>
      </left>
      <right/>
      <top style="thin">
        <color rgb="FF000000"/>
      </top>
      <bottom style="thin">
        <color rgb="FF000000"/>
      </bottom>
      <diagonal/>
    </border>
    <border>
      <left/>
      <right/>
      <top style="thick">
        <color rgb="FFC00000"/>
      </top>
      <bottom style="thick">
        <color rgb="FFC00000"/>
      </bottom>
      <diagonal/>
    </border>
    <border>
      <left/>
      <right style="thick">
        <color rgb="FFC00000"/>
      </right>
      <top/>
      <bottom/>
      <diagonal/>
    </border>
    <border>
      <left style="thick">
        <color rgb="FFC00000"/>
      </left>
      <right/>
      <top style="thick">
        <color rgb="FFC00000"/>
      </top>
      <bottom style="thick">
        <color rgb="FFC00000"/>
      </bottom>
      <diagonal/>
    </border>
    <border>
      <left/>
      <right style="thick">
        <color rgb="FFC00000"/>
      </right>
      <top style="thick">
        <color rgb="FFC00000"/>
      </top>
      <bottom style="thick">
        <color rgb="FFC00000"/>
      </bottom>
      <diagonal/>
    </border>
    <border>
      <left style="medium">
        <color theme="9"/>
      </left>
      <right/>
      <top style="medium">
        <color theme="9"/>
      </top>
      <bottom style="medium">
        <color theme="9"/>
      </bottom>
      <diagonal/>
    </border>
    <border>
      <left/>
      <right/>
      <top style="medium">
        <color theme="9"/>
      </top>
      <bottom style="medium">
        <color theme="9"/>
      </bottom>
      <diagonal/>
    </border>
    <border>
      <left/>
      <right style="medium">
        <color theme="9"/>
      </right>
      <top style="medium">
        <color theme="9"/>
      </top>
      <bottom style="medium">
        <color theme="9"/>
      </bottom>
      <diagonal/>
    </border>
    <border>
      <left style="medium">
        <color rgb="FF00B0F0"/>
      </left>
      <right/>
      <top style="medium">
        <color rgb="FF00B0F0"/>
      </top>
      <bottom style="medium">
        <color rgb="FF00B0F0"/>
      </bottom>
      <diagonal/>
    </border>
    <border>
      <left/>
      <right/>
      <top style="medium">
        <color rgb="FF00B0F0"/>
      </top>
      <bottom style="medium">
        <color rgb="FF00B0F0"/>
      </bottom>
      <diagonal/>
    </border>
    <border>
      <left/>
      <right style="medium">
        <color rgb="FF00B0F0"/>
      </right>
      <top style="medium">
        <color rgb="FF00B0F0"/>
      </top>
      <bottom style="medium">
        <color rgb="FF00B0F0"/>
      </bottom>
      <diagonal/>
    </border>
    <border>
      <left style="thin">
        <color rgb="FF000000"/>
      </left>
      <right/>
      <top style="thin">
        <color rgb="FF000000"/>
      </top>
      <bottom/>
      <diagonal/>
    </border>
    <border>
      <left style="medium">
        <color rgb="FFFFFF00"/>
      </left>
      <right/>
      <top style="medium">
        <color rgb="FFFFFF00"/>
      </top>
      <bottom style="medium">
        <color rgb="FFFFFF00"/>
      </bottom>
      <diagonal/>
    </border>
    <border>
      <left/>
      <right/>
      <top style="medium">
        <color rgb="FFFFFF00"/>
      </top>
      <bottom style="medium">
        <color rgb="FFFFFF00"/>
      </bottom>
      <diagonal/>
    </border>
    <border>
      <left/>
      <right style="medium">
        <color rgb="FFFFFF00"/>
      </right>
      <top style="medium">
        <color rgb="FFFFFF00"/>
      </top>
      <bottom style="medium">
        <color rgb="FFFFFF00"/>
      </bottom>
      <diagonal/>
    </border>
    <border>
      <left style="medium">
        <color theme="5"/>
      </left>
      <right/>
      <top style="medium">
        <color theme="5"/>
      </top>
      <bottom style="medium">
        <color theme="5"/>
      </bottom>
      <diagonal/>
    </border>
    <border>
      <left/>
      <right/>
      <top style="medium">
        <color theme="5"/>
      </top>
      <bottom style="medium">
        <color theme="5"/>
      </bottom>
      <diagonal/>
    </border>
    <border>
      <left/>
      <right style="medium">
        <color theme="5"/>
      </right>
      <top style="medium">
        <color theme="5"/>
      </top>
      <bottom style="medium">
        <color theme="5"/>
      </bottom>
      <diagonal/>
    </border>
    <border>
      <left/>
      <right style="thin">
        <color rgb="FF000000"/>
      </right>
      <top style="thin">
        <color rgb="FF000000"/>
      </top>
      <bottom style="thin">
        <color rgb="FF000000"/>
      </bottom>
      <diagonal/>
    </border>
  </borders>
  <cellStyleXfs count="17">
    <xf numFmtId="0" fontId="0" fillId="0" borderId="0"/>
    <xf numFmtId="41" fontId="1" fillId="0" borderId="0" applyFont="0" applyFill="0" applyBorder="0" applyAlignment="0" applyProtection="0"/>
    <xf numFmtId="9" fontId="1" fillId="0" borderId="0" applyFont="0" applyFill="0" applyBorder="0" applyAlignment="0" applyProtection="0"/>
    <xf numFmtId="0" fontId="15" fillId="5" borderId="0" applyNumberFormat="0" applyBorder="0" applyAlignment="0" applyProtection="0"/>
    <xf numFmtId="166" fontId="1" fillId="0" borderId="0" applyFont="0" applyFill="0" applyBorder="0" applyAlignment="0" applyProtection="0"/>
    <xf numFmtId="0" fontId="22" fillId="0" borderId="0" applyNumberFormat="0" applyFill="0" applyBorder="0" applyAlignment="0" applyProtection="0">
      <alignment vertical="top"/>
      <protection locked="0"/>
    </xf>
    <xf numFmtId="168" fontId="1" fillId="0" borderId="0" applyFont="0" applyFill="0" applyBorder="0" applyAlignment="0" applyProtection="0"/>
    <xf numFmtId="0" fontId="30" fillId="0" borderId="0" applyNumberForma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35" fillId="0" borderId="0"/>
    <xf numFmtId="0" fontId="35" fillId="0" borderId="0"/>
    <xf numFmtId="0" fontId="1" fillId="0" borderId="0"/>
    <xf numFmtId="0" fontId="35" fillId="0" borderId="0"/>
    <xf numFmtId="0" fontId="35" fillId="0" borderId="0"/>
  </cellStyleXfs>
  <cellXfs count="532">
    <xf numFmtId="0" fontId="0" fillId="0" borderId="0" xfId="0"/>
    <xf numFmtId="0" fontId="2" fillId="0" borderId="0" xfId="0" applyFont="1" applyAlignment="1">
      <alignment vertical="center"/>
    </xf>
    <xf numFmtId="0" fontId="3" fillId="2" borderId="0" xfId="0" applyFont="1" applyFill="1"/>
    <xf numFmtId="0" fontId="4" fillId="3" borderId="0" xfId="0" applyFont="1" applyFill="1" applyAlignment="1">
      <alignment horizontal="left"/>
    </xf>
    <xf numFmtId="0" fontId="7" fillId="3" borderId="0" xfId="0" applyFont="1" applyFill="1"/>
    <xf numFmtId="0" fontId="11" fillId="3" borderId="0" xfId="0" applyFont="1" applyFill="1"/>
    <xf numFmtId="0" fontId="8" fillId="3" borderId="0" xfId="0" applyFont="1" applyFill="1"/>
    <xf numFmtId="0" fontId="0" fillId="3" borderId="0" xfId="0" applyFill="1"/>
    <xf numFmtId="0" fontId="0" fillId="2" borderId="0" xfId="0" applyFill="1"/>
    <xf numFmtId="0" fontId="6" fillId="3" borderId="0" xfId="0" applyFont="1" applyFill="1"/>
    <xf numFmtId="0" fontId="6" fillId="3" borderId="0" xfId="0" applyFont="1" applyFill="1" applyAlignment="1">
      <alignment horizontal="center"/>
    </xf>
    <xf numFmtId="0" fontId="14" fillId="3" borderId="0" xfId="0" applyFont="1" applyFill="1"/>
    <xf numFmtId="165" fontId="0" fillId="3" borderId="0" xfId="0" applyNumberFormat="1" applyFill="1"/>
    <xf numFmtId="0" fontId="7" fillId="3" borderId="0" xfId="0" applyFont="1" applyFill="1" applyAlignment="1">
      <alignment horizontal="left" vertical="top" wrapText="1"/>
    </xf>
    <xf numFmtId="0" fontId="13" fillId="3" borderId="0" xfId="0" applyFont="1" applyFill="1"/>
    <xf numFmtId="0" fontId="4" fillId="3" borderId="0" xfId="0" applyFont="1" applyFill="1"/>
    <xf numFmtId="165" fontId="7" fillId="3" borderId="1" xfId="3" applyNumberFormat="1" applyFont="1" applyFill="1" applyBorder="1" applyAlignment="1">
      <alignment horizontal="center" vertical="center"/>
    </xf>
    <xf numFmtId="165" fontId="7" fillId="3" borderId="1" xfId="3" applyNumberFormat="1" applyFont="1" applyFill="1" applyBorder="1" applyAlignment="1">
      <alignment horizontal="center" vertical="center" wrapText="1"/>
    </xf>
    <xf numFmtId="0" fontId="12" fillId="4" borderId="1" xfId="3" applyNumberFormat="1" applyFont="1" applyFill="1" applyBorder="1" applyAlignment="1">
      <alignment horizontal="center" vertical="center" wrapText="1"/>
    </xf>
    <xf numFmtId="165" fontId="12" fillId="6" borderId="1" xfId="3" applyNumberFormat="1" applyFont="1" applyFill="1" applyBorder="1" applyAlignment="1">
      <alignment horizontal="left" vertical="center" wrapText="1"/>
    </xf>
    <xf numFmtId="165" fontId="20" fillId="6" borderId="1" xfId="4" applyNumberFormat="1" applyFont="1" applyFill="1" applyBorder="1"/>
    <xf numFmtId="0" fontId="3" fillId="2" borderId="0" xfId="0" applyFont="1" applyFill="1" applyAlignment="1">
      <alignment horizontal="left"/>
    </xf>
    <xf numFmtId="0" fontId="0" fillId="4"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applyAlignment="1">
      <alignment horizontal="left"/>
    </xf>
    <xf numFmtId="165" fontId="13" fillId="3" borderId="11" xfId="4" applyNumberFormat="1" applyFont="1" applyFill="1" applyBorder="1"/>
    <xf numFmtId="165" fontId="13" fillId="3" borderId="12" xfId="4" applyNumberFormat="1" applyFont="1" applyFill="1" applyBorder="1"/>
    <xf numFmtId="165" fontId="13" fillId="3" borderId="13" xfId="4" applyNumberFormat="1" applyFont="1" applyFill="1" applyBorder="1"/>
    <xf numFmtId="165" fontId="13" fillId="4" borderId="10" xfId="4" applyNumberFormat="1" applyFont="1" applyFill="1" applyBorder="1"/>
    <xf numFmtId="0" fontId="0" fillId="3" borderId="14" xfId="0" applyFill="1" applyBorder="1" applyAlignment="1">
      <alignment horizontal="left"/>
    </xf>
    <xf numFmtId="165" fontId="13" fillId="3" borderId="2" xfId="4" applyNumberFormat="1" applyFont="1" applyFill="1" applyBorder="1"/>
    <xf numFmtId="165" fontId="13" fillId="3" borderId="1" xfId="4" applyNumberFormat="1" applyFont="1" applyFill="1" applyBorder="1"/>
    <xf numFmtId="165" fontId="13" fillId="3" borderId="3" xfId="4" applyNumberFormat="1" applyFont="1" applyFill="1" applyBorder="1"/>
    <xf numFmtId="165" fontId="13" fillId="4" borderId="14" xfId="4" applyNumberFormat="1" applyFont="1" applyFill="1" applyBorder="1"/>
    <xf numFmtId="0" fontId="16" fillId="3" borderId="0" xfId="0" applyFont="1" applyFill="1"/>
    <xf numFmtId="165" fontId="7" fillId="3" borderId="1" xfId="3" applyNumberFormat="1" applyFont="1" applyFill="1" applyBorder="1" applyAlignment="1">
      <alignment vertical="center" wrapText="1"/>
    </xf>
    <xf numFmtId="0" fontId="0" fillId="4" borderId="15" xfId="0" applyFill="1" applyBorder="1" applyAlignment="1">
      <alignment horizontal="left"/>
    </xf>
    <xf numFmtId="165" fontId="13" fillId="4" borderId="2" xfId="4" applyNumberFormat="1" applyFont="1" applyFill="1" applyBorder="1"/>
    <xf numFmtId="165" fontId="13" fillId="4" borderId="1" xfId="4" applyNumberFormat="1" applyFont="1" applyFill="1" applyBorder="1"/>
    <xf numFmtId="165" fontId="13" fillId="4" borderId="3" xfId="4" applyNumberFormat="1" applyFont="1" applyFill="1" applyBorder="1"/>
    <xf numFmtId="165" fontId="13" fillId="4" borderId="15" xfId="4" applyNumberFormat="1" applyFont="1" applyFill="1" applyBorder="1"/>
    <xf numFmtId="0" fontId="0" fillId="3" borderId="16" xfId="0" applyFill="1" applyBorder="1" applyAlignment="1">
      <alignment horizontal="center" vertical="center"/>
    </xf>
    <xf numFmtId="0" fontId="0" fillId="3" borderId="8" xfId="0" applyFill="1" applyBorder="1" applyAlignment="1">
      <alignment horizontal="center" vertical="center"/>
    </xf>
    <xf numFmtId="0" fontId="0" fillId="3" borderId="17" xfId="0" applyFill="1" applyBorder="1" applyAlignment="1">
      <alignment horizontal="center" vertical="center"/>
    </xf>
    <xf numFmtId="165" fontId="13" fillId="3" borderId="18" xfId="4" applyNumberFormat="1" applyFont="1" applyFill="1" applyBorder="1"/>
    <xf numFmtId="165" fontId="13" fillId="3" borderId="19" xfId="4" applyNumberFormat="1" applyFont="1" applyFill="1" applyBorder="1"/>
    <xf numFmtId="0" fontId="6" fillId="4" borderId="15" xfId="0" applyFont="1" applyFill="1" applyBorder="1" applyAlignment="1">
      <alignment horizontal="left"/>
    </xf>
    <xf numFmtId="165" fontId="13" fillId="4" borderId="20" xfId="4" applyNumberFormat="1" applyFont="1" applyFill="1" applyBorder="1"/>
    <xf numFmtId="165" fontId="13" fillId="4" borderId="21" xfId="4" applyNumberFormat="1" applyFont="1" applyFill="1" applyBorder="1"/>
    <xf numFmtId="165" fontId="13" fillId="4" borderId="22" xfId="4" applyNumberFormat="1" applyFont="1" applyFill="1" applyBorder="1"/>
    <xf numFmtId="165" fontId="12" fillId="3" borderId="23" xfId="3" applyNumberFormat="1" applyFont="1" applyFill="1" applyBorder="1" applyAlignment="1">
      <alignment vertical="center"/>
    </xf>
    <xf numFmtId="165" fontId="12" fillId="4" borderId="16" xfId="3" applyNumberFormat="1" applyFont="1" applyFill="1" applyBorder="1" applyAlignment="1">
      <alignment horizontal="center" vertical="center"/>
    </xf>
    <xf numFmtId="165" fontId="12" fillId="4" borderId="8" xfId="3" applyNumberFormat="1" applyFont="1" applyFill="1" applyBorder="1" applyAlignment="1">
      <alignment horizontal="center" vertical="center"/>
    </xf>
    <xf numFmtId="0" fontId="12" fillId="4" borderId="17" xfId="3" applyNumberFormat="1" applyFont="1" applyFill="1" applyBorder="1" applyAlignment="1">
      <alignment horizontal="center" vertical="center" wrapText="1"/>
    </xf>
    <xf numFmtId="0" fontId="21" fillId="3" borderId="24" xfId="0" applyFont="1" applyFill="1" applyBorder="1" applyAlignment="1">
      <alignment horizontal="left" vertical="center"/>
    </xf>
    <xf numFmtId="165" fontId="21" fillId="0" borderId="25" xfId="0" applyNumberFormat="1" applyFont="1" applyBorder="1" applyAlignment="1">
      <alignment horizontal="center" vertical="center"/>
    </xf>
    <xf numFmtId="165" fontId="21" fillId="0" borderId="26" xfId="0" applyNumberFormat="1" applyFont="1" applyBorder="1" applyAlignment="1">
      <alignment horizontal="center" vertical="center"/>
    </xf>
    <xf numFmtId="165" fontId="21" fillId="4" borderId="27" xfId="0" applyNumberFormat="1" applyFont="1" applyFill="1" applyBorder="1" applyAlignment="1">
      <alignment horizontal="center" vertical="center"/>
    </xf>
    <xf numFmtId="0" fontId="21" fillId="3" borderId="28" xfId="0" applyFont="1" applyFill="1" applyBorder="1" applyAlignment="1">
      <alignment horizontal="left" vertical="center"/>
    </xf>
    <xf numFmtId="165" fontId="21" fillId="0" borderId="18" xfId="0" applyNumberFormat="1" applyFont="1" applyBorder="1" applyAlignment="1">
      <alignment horizontal="center" vertical="center"/>
    </xf>
    <xf numFmtId="165" fontId="21" fillId="0" borderId="1" xfId="0" applyNumberFormat="1" applyFont="1" applyBorder="1" applyAlignment="1">
      <alignment horizontal="center" vertical="center"/>
    </xf>
    <xf numFmtId="165" fontId="21" fillId="4" borderId="19" xfId="0" applyNumberFormat="1" applyFont="1" applyFill="1" applyBorder="1" applyAlignment="1">
      <alignment horizontal="center" vertical="center"/>
    </xf>
    <xf numFmtId="0" fontId="21" fillId="3" borderId="29" xfId="0" applyFont="1" applyFill="1" applyBorder="1" applyAlignment="1">
      <alignment horizontal="left" vertical="center"/>
    </xf>
    <xf numFmtId="165" fontId="21" fillId="0" borderId="20" xfId="0" applyNumberFormat="1" applyFont="1" applyBorder="1" applyAlignment="1">
      <alignment horizontal="center" vertical="center"/>
    </xf>
    <xf numFmtId="165" fontId="21" fillId="0" borderId="21" xfId="0" applyNumberFormat="1" applyFont="1" applyBorder="1" applyAlignment="1">
      <alignment horizontal="center" vertical="center"/>
    </xf>
    <xf numFmtId="165" fontId="21" fillId="4" borderId="22" xfId="0" applyNumberFormat="1" applyFont="1" applyFill="1" applyBorder="1" applyAlignment="1">
      <alignment horizontal="center" vertical="center"/>
    </xf>
    <xf numFmtId="165" fontId="14" fillId="3" borderId="0" xfId="0" applyNumberFormat="1" applyFont="1" applyFill="1"/>
    <xf numFmtId="0" fontId="21" fillId="6" borderId="29" xfId="0" applyFont="1" applyFill="1" applyBorder="1" applyAlignment="1">
      <alignment horizontal="left" vertical="center"/>
    </xf>
    <xf numFmtId="0" fontId="7" fillId="3" borderId="0" xfId="0" applyFont="1" applyFill="1" applyAlignment="1">
      <alignment vertical="top" wrapText="1"/>
    </xf>
    <xf numFmtId="165" fontId="14" fillId="3" borderId="30" xfId="0" applyNumberFormat="1" applyFont="1" applyFill="1" applyBorder="1"/>
    <xf numFmtId="0" fontId="7" fillId="3" borderId="5" xfId="0" applyFont="1" applyFill="1" applyBorder="1" applyAlignment="1">
      <alignment horizontal="left" vertical="top" wrapText="1"/>
    </xf>
    <xf numFmtId="0" fontId="7" fillId="3" borderId="31" xfId="0" applyFont="1" applyFill="1" applyBorder="1" applyAlignment="1">
      <alignment horizontal="left" vertical="top" wrapText="1"/>
    </xf>
    <xf numFmtId="3" fontId="13" fillId="3" borderId="1" xfId="4" applyNumberFormat="1" applyFont="1" applyFill="1" applyBorder="1"/>
    <xf numFmtId="0" fontId="0" fillId="3" borderId="32" xfId="0" applyFill="1" applyBorder="1"/>
    <xf numFmtId="0" fontId="7" fillId="3" borderId="33" xfId="0" applyFont="1" applyFill="1" applyBorder="1" applyAlignment="1">
      <alignment horizontal="left" vertical="top" wrapText="1"/>
    </xf>
    <xf numFmtId="0" fontId="0" fillId="3" borderId="33" xfId="0" applyFill="1" applyBorder="1"/>
    <xf numFmtId="165" fontId="13" fillId="3" borderId="1" xfId="4" applyNumberFormat="1" applyFont="1" applyFill="1" applyBorder="1" applyAlignment="1">
      <alignment horizontal="left"/>
    </xf>
    <xf numFmtId="0" fontId="14" fillId="3" borderId="13" xfId="0" applyFont="1" applyFill="1" applyBorder="1"/>
    <xf numFmtId="0" fontId="14" fillId="3" borderId="34" xfId="0" applyFont="1" applyFill="1" applyBorder="1"/>
    <xf numFmtId="0" fontId="0" fillId="3" borderId="34" xfId="0" applyFill="1" applyBorder="1"/>
    <xf numFmtId="0" fontId="0" fillId="3" borderId="11" xfId="0" applyFill="1" applyBorder="1"/>
    <xf numFmtId="165" fontId="20" fillId="6" borderId="1" xfId="4" applyNumberFormat="1" applyFont="1" applyFill="1" applyBorder="1" applyAlignment="1">
      <alignment vertical="center"/>
    </xf>
    <xf numFmtId="9" fontId="0" fillId="3" borderId="0" xfId="2" applyFont="1" applyFill="1"/>
    <xf numFmtId="0" fontId="13" fillId="3" borderId="0" xfId="0" applyFont="1" applyFill="1" applyAlignment="1">
      <alignment vertical="center" wrapText="1"/>
    </xf>
    <xf numFmtId="0" fontId="22" fillId="3" borderId="0" xfId="5" applyFill="1" applyAlignment="1" applyProtection="1"/>
    <xf numFmtId="165" fontId="13" fillId="3" borderId="1" xfId="4" applyNumberFormat="1" applyFont="1" applyFill="1" applyBorder="1" applyAlignment="1">
      <alignment vertical="center"/>
    </xf>
    <xf numFmtId="0" fontId="6" fillId="3" borderId="0" xfId="0" applyFont="1" applyFill="1" applyAlignment="1">
      <alignment horizontal="left"/>
    </xf>
    <xf numFmtId="0" fontId="6" fillId="0" borderId="0" xfId="0" applyFont="1" applyAlignment="1">
      <alignment horizontal="center" vertical="center"/>
    </xf>
    <xf numFmtId="0" fontId="6" fillId="0" borderId="0" xfId="0" applyFont="1" applyAlignment="1">
      <alignment vertical="center" wrapText="1"/>
    </xf>
    <xf numFmtId="0" fontId="6" fillId="0" borderId="0" xfId="0" applyFont="1"/>
    <xf numFmtId="0" fontId="0" fillId="3" borderId="0" xfId="0" applyFill="1" applyAlignment="1">
      <alignment horizontal="center"/>
    </xf>
    <xf numFmtId="0" fontId="6" fillId="3" borderId="39" xfId="0" applyFont="1" applyFill="1" applyBorder="1" applyAlignment="1">
      <alignment horizontal="center"/>
    </xf>
    <xf numFmtId="0" fontId="21" fillId="3" borderId="41" xfId="0" applyFont="1" applyFill="1" applyBorder="1" applyAlignment="1">
      <alignment horizontal="center" vertical="center"/>
    </xf>
    <xf numFmtId="0" fontId="21" fillId="3" borderId="36" xfId="0" applyFont="1" applyFill="1" applyBorder="1" applyAlignment="1">
      <alignment horizontal="center" vertical="center"/>
    </xf>
    <xf numFmtId="0" fontId="21" fillId="3" borderId="35" xfId="0" applyFont="1" applyFill="1" applyBorder="1" applyAlignment="1">
      <alignment horizontal="center" vertical="center"/>
    </xf>
    <xf numFmtId="0" fontId="21" fillId="4" borderId="40" xfId="0" applyFont="1" applyFill="1" applyBorder="1" applyAlignment="1">
      <alignment horizontal="center" vertical="center"/>
    </xf>
    <xf numFmtId="0" fontId="21" fillId="3" borderId="40" xfId="0" applyFont="1" applyFill="1" applyBorder="1" applyAlignment="1">
      <alignment horizontal="center" vertical="center"/>
    </xf>
    <xf numFmtId="0" fontId="21" fillId="3" borderId="6" xfId="0" applyFont="1" applyFill="1" applyBorder="1" applyAlignment="1">
      <alignment horizontal="center" vertical="center"/>
    </xf>
    <xf numFmtId="0" fontId="21" fillId="3" borderId="16" xfId="0" applyFont="1" applyFill="1" applyBorder="1" applyAlignment="1">
      <alignment horizontal="center" vertical="center"/>
    </xf>
    <xf numFmtId="0" fontId="21" fillId="3" borderId="17" xfId="0" applyFont="1" applyFill="1" applyBorder="1" applyAlignment="1">
      <alignment horizontal="center" vertical="center"/>
    </xf>
    <xf numFmtId="0" fontId="21" fillId="4" borderId="6" xfId="0" applyFont="1" applyFill="1" applyBorder="1" applyAlignment="1">
      <alignment horizontal="center" vertical="center"/>
    </xf>
    <xf numFmtId="0" fontId="21" fillId="3" borderId="43" xfId="0" applyFont="1" applyFill="1" applyBorder="1" applyAlignment="1">
      <alignment horizontal="center" vertical="center"/>
    </xf>
    <xf numFmtId="165" fontId="13" fillId="3" borderId="25" xfId="4" applyNumberFormat="1" applyFont="1" applyFill="1" applyBorder="1" applyAlignment="1">
      <alignment vertical="center"/>
    </xf>
    <xf numFmtId="165" fontId="13" fillId="3" borderId="44" xfId="4" applyNumberFormat="1" applyFont="1" applyFill="1" applyBorder="1" applyAlignment="1">
      <alignment vertical="center"/>
    </xf>
    <xf numFmtId="165" fontId="25" fillId="3" borderId="45" xfId="0" applyNumberFormat="1" applyFont="1" applyFill="1" applyBorder="1"/>
    <xf numFmtId="0" fontId="21" fillId="3" borderId="45" xfId="0" applyFont="1" applyFill="1" applyBorder="1" applyAlignment="1">
      <alignment horizontal="center" vertical="center"/>
    </xf>
    <xf numFmtId="0" fontId="21" fillId="3" borderId="10" xfId="0" applyFont="1" applyFill="1" applyBorder="1" applyAlignment="1">
      <alignment horizontal="center" vertical="center"/>
    </xf>
    <xf numFmtId="165" fontId="13" fillId="3" borderId="37" xfId="4" applyNumberFormat="1" applyFont="1" applyFill="1" applyBorder="1" applyAlignment="1">
      <alignment vertical="center"/>
    </xf>
    <xf numFmtId="165" fontId="13" fillId="3" borderId="46" xfId="4" applyNumberFormat="1" applyFont="1" applyFill="1" applyBorder="1" applyAlignment="1">
      <alignment vertical="center"/>
    </xf>
    <xf numFmtId="165" fontId="25" fillId="3" borderId="10" xfId="0" applyNumberFormat="1" applyFont="1" applyFill="1" applyBorder="1"/>
    <xf numFmtId="0" fontId="21" fillId="3" borderId="47" xfId="0" applyFont="1" applyFill="1" applyBorder="1" applyAlignment="1">
      <alignment horizontal="center" vertical="center"/>
    </xf>
    <xf numFmtId="165" fontId="13" fillId="3" borderId="18" xfId="4" applyNumberFormat="1" applyFont="1" applyFill="1" applyBorder="1" applyAlignment="1">
      <alignment vertical="center"/>
    </xf>
    <xf numFmtId="165" fontId="13" fillId="3" borderId="3" xfId="4" applyNumberFormat="1" applyFont="1" applyFill="1" applyBorder="1" applyAlignment="1">
      <alignment vertical="center"/>
    </xf>
    <xf numFmtId="165" fontId="25" fillId="3" borderId="14" xfId="0" applyNumberFormat="1" applyFont="1" applyFill="1" applyBorder="1"/>
    <xf numFmtId="0" fontId="21" fillId="3" borderId="14" xfId="0" applyFont="1" applyFill="1" applyBorder="1" applyAlignment="1">
      <alignment horizontal="center" vertical="center"/>
    </xf>
    <xf numFmtId="165" fontId="13" fillId="3" borderId="19" xfId="4" applyNumberFormat="1" applyFont="1" applyFill="1" applyBorder="1" applyAlignment="1">
      <alignment vertical="center"/>
    </xf>
    <xf numFmtId="0" fontId="21" fillId="3" borderId="48" xfId="0" applyFont="1" applyFill="1" applyBorder="1" applyAlignment="1">
      <alignment horizontal="center" vertical="center"/>
    </xf>
    <xf numFmtId="165" fontId="13" fillId="3" borderId="20" xfId="4" applyNumberFormat="1" applyFont="1" applyFill="1" applyBorder="1" applyAlignment="1">
      <alignment vertical="center"/>
    </xf>
    <xf numFmtId="165" fontId="13" fillId="3" borderId="49" xfId="4" applyNumberFormat="1" applyFont="1" applyFill="1" applyBorder="1" applyAlignment="1">
      <alignment vertical="center"/>
    </xf>
    <xf numFmtId="165" fontId="25" fillId="3" borderId="15" xfId="0" applyNumberFormat="1" applyFont="1" applyFill="1" applyBorder="1"/>
    <xf numFmtId="0" fontId="21" fillId="3" borderId="15" xfId="0" applyFont="1" applyFill="1" applyBorder="1" applyAlignment="1">
      <alignment horizontal="center" vertical="center"/>
    </xf>
    <xf numFmtId="0" fontId="25" fillId="3" borderId="0" xfId="0" applyFont="1" applyFill="1"/>
    <xf numFmtId="165" fontId="13" fillId="3" borderId="22" xfId="4" applyNumberFormat="1" applyFont="1" applyFill="1" applyBorder="1" applyAlignment="1">
      <alignment vertical="center"/>
    </xf>
    <xf numFmtId="0" fontId="6" fillId="3" borderId="0" xfId="0" applyFont="1" applyFill="1" applyAlignment="1">
      <alignment wrapText="1"/>
    </xf>
    <xf numFmtId="0" fontId="26" fillId="3" borderId="0" xfId="0" applyFont="1" applyFill="1"/>
    <xf numFmtId="0" fontId="26" fillId="3" borderId="0" xfId="0" applyFont="1" applyFill="1" applyAlignment="1">
      <alignment horizontal="center"/>
    </xf>
    <xf numFmtId="0" fontId="0" fillId="3" borderId="0" xfId="0" applyFill="1" applyAlignment="1">
      <alignment vertical="center"/>
    </xf>
    <xf numFmtId="0" fontId="0" fillId="3" borderId="34" xfId="0" applyFill="1" applyBorder="1" applyAlignment="1">
      <alignment horizontal="center"/>
    </xf>
    <xf numFmtId="0" fontId="5" fillId="3" borderId="1" xfId="0" applyFont="1" applyFill="1" applyBorder="1" applyAlignment="1">
      <alignment vertical="center" wrapText="1"/>
    </xf>
    <xf numFmtId="0" fontId="17" fillId="6" borderId="1" xfId="0" applyFont="1" applyFill="1" applyBorder="1" applyAlignment="1">
      <alignment horizontal="center" vertical="center" wrapText="1"/>
    </xf>
    <xf numFmtId="9" fontId="17" fillId="3" borderId="1" xfId="0" applyNumberFormat="1" applyFont="1" applyFill="1" applyBorder="1" applyAlignment="1">
      <alignment horizontal="center" vertical="center" wrapText="1"/>
    </xf>
    <xf numFmtId="169" fontId="17" fillId="3" borderId="1" xfId="6" applyNumberFormat="1" applyFont="1" applyFill="1" applyBorder="1" applyAlignment="1">
      <alignment horizontal="center" vertical="center"/>
    </xf>
    <xf numFmtId="0" fontId="17" fillId="3" borderId="1" xfId="0" applyFont="1" applyFill="1" applyBorder="1" applyAlignment="1">
      <alignment horizontal="center" vertical="center" wrapText="1"/>
    </xf>
    <xf numFmtId="0" fontId="11" fillId="3" borderId="0" xfId="0" applyFont="1" applyFill="1" applyAlignment="1">
      <alignment vertical="top"/>
    </xf>
    <xf numFmtId="0" fontId="0" fillId="0" borderId="52" xfId="0" applyBorder="1" applyAlignment="1">
      <alignment vertical="center" wrapText="1"/>
    </xf>
    <xf numFmtId="41" fontId="0" fillId="0" borderId="52" xfId="1" applyFont="1" applyBorder="1" applyAlignment="1">
      <alignment vertical="center" wrapText="1"/>
    </xf>
    <xf numFmtId="0" fontId="6" fillId="0" borderId="1" xfId="0" applyFont="1" applyBorder="1" applyAlignment="1">
      <alignment horizontal="center" vertical="center"/>
    </xf>
    <xf numFmtId="0" fontId="0" fillId="7" borderId="0" xfId="0" applyFill="1"/>
    <xf numFmtId="41" fontId="0" fillId="8" borderId="1" xfId="1" applyFont="1" applyFill="1" applyBorder="1"/>
    <xf numFmtId="41" fontId="0" fillId="0" borderId="0" xfId="1" applyFont="1" applyFill="1" applyBorder="1"/>
    <xf numFmtId="41" fontId="7" fillId="0" borderId="0" xfId="1" applyFont="1" applyFill="1" applyBorder="1" applyAlignment="1">
      <alignment horizontal="left" vertical="top" wrapText="1"/>
    </xf>
    <xf numFmtId="0" fontId="0" fillId="0" borderId="55" xfId="0" applyBorder="1"/>
    <xf numFmtId="0" fontId="0" fillId="0" borderId="57" xfId="0" applyBorder="1"/>
    <xf numFmtId="3" fontId="0" fillId="0" borderId="0" xfId="0" applyNumberFormat="1"/>
    <xf numFmtId="3" fontId="0" fillId="0" borderId="52" xfId="0" applyNumberFormat="1" applyBorder="1" applyAlignment="1">
      <alignment vertical="center" wrapText="1"/>
    </xf>
    <xf numFmtId="0" fontId="0" fillId="0" borderId="56" xfId="0" applyBorder="1"/>
    <xf numFmtId="0" fontId="24" fillId="4" borderId="1" xfId="0" applyFont="1" applyFill="1" applyBorder="1" applyAlignment="1">
      <alignment horizontal="center" vertical="center"/>
    </xf>
    <xf numFmtId="0" fontId="21" fillId="3" borderId="1" xfId="0" applyFont="1" applyFill="1" applyBorder="1" applyAlignment="1">
      <alignment horizontal="center" vertical="center"/>
    </xf>
    <xf numFmtId="17" fontId="21" fillId="3" borderId="1" xfId="0" applyNumberFormat="1" applyFont="1" applyFill="1" applyBorder="1" applyAlignment="1">
      <alignment horizontal="center" vertical="center"/>
    </xf>
    <xf numFmtId="165" fontId="25" fillId="3" borderId="1" xfId="0" applyNumberFormat="1" applyFont="1" applyFill="1" applyBorder="1"/>
    <xf numFmtId="0" fontId="0" fillId="0" borderId="1" xfId="0" applyBorder="1"/>
    <xf numFmtId="0" fontId="0" fillId="0" borderId="3" xfId="0" applyBorder="1"/>
    <xf numFmtId="0" fontId="0" fillId="0" borderId="53" xfId="0" applyBorder="1"/>
    <xf numFmtId="0" fontId="0" fillId="0" borderId="54" xfId="0" applyBorder="1"/>
    <xf numFmtId="0" fontId="0" fillId="0" borderId="58" xfId="0" applyBorder="1" applyAlignment="1">
      <alignment vertical="center" wrapText="1"/>
    </xf>
    <xf numFmtId="0" fontId="0" fillId="0" borderId="59" xfId="0" applyBorder="1" applyAlignment="1">
      <alignment vertical="center" wrapText="1"/>
    </xf>
    <xf numFmtId="0" fontId="0" fillId="0" borderId="0" xfId="0" applyAlignment="1">
      <alignment vertical="center" wrapText="1"/>
    </xf>
    <xf numFmtId="0" fontId="0" fillId="0" borderId="1" xfId="0"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center" vertical="center" wrapText="1"/>
    </xf>
    <xf numFmtId="0" fontId="6" fillId="0" borderId="59" xfId="0" applyFont="1" applyBorder="1" applyAlignment="1">
      <alignment horizontal="center" vertical="center" wrapText="1"/>
    </xf>
    <xf numFmtId="41" fontId="0" fillId="0" borderId="0" xfId="1" applyFont="1" applyBorder="1" applyAlignment="1">
      <alignment vertical="center" wrapText="1"/>
    </xf>
    <xf numFmtId="41" fontId="0" fillId="0" borderId="0" xfId="1" applyFont="1" applyBorder="1"/>
    <xf numFmtId="0" fontId="0" fillId="0" borderId="0" xfId="0" applyAlignment="1">
      <alignment wrapText="1"/>
    </xf>
    <xf numFmtId="164" fontId="0" fillId="0" borderId="52" xfId="2" applyNumberFormat="1" applyFont="1" applyBorder="1" applyAlignment="1">
      <alignment vertical="center" wrapText="1"/>
    </xf>
    <xf numFmtId="0" fontId="0" fillId="0" borderId="60" xfId="0" applyBorder="1" applyAlignment="1">
      <alignment vertical="center" wrapText="1"/>
    </xf>
    <xf numFmtId="0" fontId="0" fillId="0" borderId="61" xfId="0" applyBorder="1" applyAlignment="1">
      <alignment vertical="center" wrapText="1"/>
    </xf>
    <xf numFmtId="3" fontId="0" fillId="0" borderId="60" xfId="0" applyNumberFormat="1" applyBorder="1" applyAlignment="1">
      <alignment vertical="center" wrapText="1"/>
    </xf>
    <xf numFmtId="0" fontId="0" fillId="0" borderId="56" xfId="0" applyBorder="1" applyAlignment="1">
      <alignment vertical="center" wrapText="1"/>
    </xf>
    <xf numFmtId="3" fontId="0" fillId="0" borderId="0" xfId="0" applyNumberFormat="1" applyAlignment="1">
      <alignment vertical="center" wrapText="1"/>
    </xf>
    <xf numFmtId="3" fontId="0" fillId="0" borderId="1" xfId="0" applyNumberFormat="1" applyBorder="1" applyAlignment="1">
      <alignment vertical="center" wrapText="1"/>
    </xf>
    <xf numFmtId="3" fontId="0" fillId="0" borderId="1" xfId="0" applyNumberFormat="1" applyBorder="1"/>
    <xf numFmtId="41" fontId="0" fillId="0" borderId="1" xfId="1" applyFont="1" applyBorder="1" applyAlignment="1">
      <alignment vertical="center" wrapText="1"/>
    </xf>
    <xf numFmtId="3" fontId="0" fillId="0" borderId="3" xfId="0" applyNumberFormat="1" applyBorder="1" applyAlignment="1">
      <alignment vertical="center" wrapText="1"/>
    </xf>
    <xf numFmtId="0" fontId="0" fillId="0" borderId="3" xfId="0" applyBorder="1" applyAlignment="1">
      <alignment vertical="center" wrapText="1"/>
    </xf>
    <xf numFmtId="41" fontId="0" fillId="0" borderId="3" xfId="1" applyFont="1" applyBorder="1" applyAlignment="1">
      <alignment vertical="center" wrapText="1"/>
    </xf>
    <xf numFmtId="0" fontId="0" fillId="0" borderId="52" xfId="0" applyBorder="1" applyAlignment="1">
      <alignment vertical="center"/>
    </xf>
    <xf numFmtId="0" fontId="0" fillId="0" borderId="52" xfId="0" applyBorder="1" applyAlignment="1">
      <alignment horizontal="center" vertical="center" wrapText="1"/>
    </xf>
    <xf numFmtId="0" fontId="0" fillId="0" borderId="59" xfId="0" applyBorder="1" applyAlignment="1">
      <alignment horizontal="center" vertical="center" wrapText="1"/>
    </xf>
    <xf numFmtId="0" fontId="0" fillId="7" borderId="59" xfId="0" applyFill="1" applyBorder="1" applyAlignment="1">
      <alignment horizontal="center" vertical="center" wrapText="1"/>
    </xf>
    <xf numFmtId="41" fontId="0" fillId="0" borderId="58" xfId="1" applyFont="1" applyBorder="1" applyAlignment="1">
      <alignment vertical="center" wrapText="1"/>
    </xf>
    <xf numFmtId="41" fontId="0" fillId="0" borderId="59" xfId="1" applyFont="1" applyBorder="1" applyAlignment="1">
      <alignment vertical="center" wrapText="1"/>
    </xf>
    <xf numFmtId="0" fontId="0" fillId="9" borderId="1" xfId="0" applyFill="1" applyBorder="1" applyAlignment="1">
      <alignment vertical="center" wrapText="1"/>
    </xf>
    <xf numFmtId="41" fontId="0" fillId="9" borderId="1" xfId="1" applyFont="1" applyFill="1" applyBorder="1" applyAlignment="1">
      <alignment vertical="center" wrapText="1"/>
    </xf>
    <xf numFmtId="0" fontId="6" fillId="0" borderId="62" xfId="0" applyFont="1" applyBorder="1" applyAlignment="1">
      <alignment horizontal="center" vertical="center" wrapText="1"/>
    </xf>
    <xf numFmtId="0" fontId="6" fillId="0" borderId="0" xfId="0" applyFont="1" applyAlignment="1">
      <alignment vertical="center"/>
    </xf>
    <xf numFmtId="0" fontId="6" fillId="0" borderId="59" xfId="0" applyFont="1" applyBorder="1" applyAlignment="1">
      <alignment vertical="center"/>
    </xf>
    <xf numFmtId="0" fontId="6" fillId="0" borderId="12" xfId="0" applyFont="1" applyBorder="1" applyAlignment="1">
      <alignment horizontal="center" vertical="center" wrapText="1"/>
    </xf>
    <xf numFmtId="41" fontId="0" fillId="0" borderId="0" xfId="1" applyFont="1" applyFill="1" applyBorder="1" applyAlignment="1">
      <alignment vertical="center" wrapText="1"/>
    </xf>
    <xf numFmtId="0" fontId="6" fillId="0" borderId="61" xfId="0" applyFont="1" applyBorder="1" applyAlignment="1">
      <alignment vertical="center"/>
    </xf>
    <xf numFmtId="0" fontId="0" fillId="7" borderId="0" xfId="0" applyFill="1" applyAlignment="1">
      <alignment wrapText="1"/>
    </xf>
    <xf numFmtId="0" fontId="24" fillId="3" borderId="1" xfId="0" applyFont="1" applyFill="1" applyBorder="1" applyAlignment="1">
      <alignment horizontal="center" vertical="center"/>
    </xf>
    <xf numFmtId="0" fontId="0" fillId="3" borderId="1" xfId="0" applyFill="1" applyBorder="1" applyAlignment="1">
      <alignment horizontal="left"/>
    </xf>
    <xf numFmtId="41" fontId="0" fillId="0" borderId="1" xfId="1" applyFont="1" applyFill="1" applyBorder="1"/>
    <xf numFmtId="0" fontId="6" fillId="8" borderId="1" xfId="0" applyFont="1" applyFill="1" applyBorder="1"/>
    <xf numFmtId="17" fontId="6" fillId="8" borderId="1" xfId="0" applyNumberFormat="1" applyFont="1" applyFill="1" applyBorder="1" applyAlignment="1">
      <alignment horizontal="center"/>
    </xf>
    <xf numFmtId="0" fontId="0" fillId="8" borderId="1" xfId="0" applyFill="1" applyBorder="1" applyAlignment="1">
      <alignment horizontal="left"/>
    </xf>
    <xf numFmtId="0" fontId="0" fillId="7" borderId="0" xfId="0" applyFill="1" applyAlignment="1">
      <alignment vertical="center" wrapText="1"/>
    </xf>
    <xf numFmtId="41" fontId="0" fillId="7" borderId="0" xfId="1" applyFont="1" applyFill="1" applyBorder="1" applyAlignment="1">
      <alignment vertical="center" wrapText="1"/>
    </xf>
    <xf numFmtId="0" fontId="6" fillId="7" borderId="57" xfId="0" applyFont="1" applyFill="1" applyBorder="1" applyAlignment="1">
      <alignment horizontal="center" vertical="center" wrapText="1"/>
    </xf>
    <xf numFmtId="0" fontId="6" fillId="7" borderId="59" xfId="0" applyFont="1" applyFill="1" applyBorder="1" applyAlignment="1">
      <alignment horizontal="center" vertical="center" wrapText="1"/>
    </xf>
    <xf numFmtId="0" fontId="0" fillId="10" borderId="0" xfId="0" applyFill="1"/>
    <xf numFmtId="0" fontId="18" fillId="11" borderId="0" xfId="0" applyFont="1" applyFill="1"/>
    <xf numFmtId="17" fontId="6" fillId="0" borderId="1" xfId="0" applyNumberFormat="1" applyFont="1" applyBorder="1" applyAlignment="1">
      <alignment horizontal="center" vertical="center"/>
    </xf>
    <xf numFmtId="0" fontId="0" fillId="0" borderId="0" xfId="0" pivotButton="1"/>
    <xf numFmtId="0" fontId="0" fillId="0" borderId="0" xfId="0" applyAlignment="1">
      <alignment horizontal="left"/>
    </xf>
    <xf numFmtId="41" fontId="0" fillId="0" borderId="0" xfId="0" applyNumberFormat="1"/>
    <xf numFmtId="0" fontId="6" fillId="12" borderId="63" xfId="0" applyFont="1" applyFill="1" applyBorder="1"/>
    <xf numFmtId="0" fontId="0" fillId="0" borderId="0" xfId="0" applyAlignment="1">
      <alignment horizontal="left" indent="1"/>
    </xf>
    <xf numFmtId="0" fontId="0" fillId="0" borderId="0" xfId="0" applyAlignment="1">
      <alignment horizontal="left" indent="2"/>
    </xf>
    <xf numFmtId="0" fontId="7" fillId="0" borderId="0" xfId="0" applyFont="1"/>
    <xf numFmtId="0" fontId="0" fillId="0" borderId="0" xfId="0" applyAlignment="1">
      <alignment vertical="center"/>
    </xf>
    <xf numFmtId="0" fontId="6" fillId="0" borderId="2" xfId="0" applyFont="1" applyBorder="1" applyAlignment="1">
      <alignment horizontal="center" vertical="center" wrapText="1"/>
    </xf>
    <xf numFmtId="17" fontId="0" fillId="0" borderId="0" xfId="0" applyNumberFormat="1"/>
    <xf numFmtId="0" fontId="0" fillId="8" borderId="0" xfId="0" applyFill="1" applyAlignment="1">
      <alignment horizontal="left"/>
    </xf>
    <xf numFmtId="41" fontId="0" fillId="8" borderId="0" xfId="0" applyNumberFormat="1" applyFill="1"/>
    <xf numFmtId="0" fontId="0" fillId="8" borderId="0" xfId="0" applyFill="1"/>
    <xf numFmtId="41" fontId="0" fillId="0" borderId="0" xfId="1" applyFont="1"/>
    <xf numFmtId="41" fontId="0" fillId="8" borderId="0" xfId="1" applyFont="1" applyFill="1"/>
    <xf numFmtId="0" fontId="0" fillId="11" borderId="0" xfId="0" applyFill="1"/>
    <xf numFmtId="0" fontId="0" fillId="13" borderId="0" xfId="0" applyFill="1"/>
    <xf numFmtId="0" fontId="0" fillId="9" borderId="0" xfId="0" applyFill="1" applyAlignment="1">
      <alignment horizontal="left"/>
    </xf>
    <xf numFmtId="41" fontId="0" fillId="9" borderId="0" xfId="0" applyNumberFormat="1" applyFill="1"/>
    <xf numFmtId="0" fontId="0" fillId="9" borderId="0" xfId="0" applyFill="1"/>
    <xf numFmtId="0" fontId="6" fillId="0" borderId="0" xfId="0" applyFont="1" applyAlignment="1">
      <alignment horizontal="center" vertical="center" wrapText="1"/>
    </xf>
    <xf numFmtId="17" fontId="10" fillId="0" borderId="1" xfId="0" applyNumberFormat="1" applyFont="1" applyBorder="1" applyAlignment="1">
      <alignment horizontal="center" vertical="center"/>
    </xf>
    <xf numFmtId="0" fontId="7" fillId="0" borderId="0" xfId="0" applyFont="1" applyAlignment="1">
      <alignment horizontal="left" vertical="top" wrapText="1"/>
    </xf>
    <xf numFmtId="9" fontId="0" fillId="0" borderId="0" xfId="2" applyFont="1" applyFill="1" applyBorder="1" applyAlignment="1">
      <alignment horizontal="right" vertical="center" wrapText="1"/>
    </xf>
    <xf numFmtId="0" fontId="6" fillId="0" borderId="3" xfId="0" applyFont="1" applyBorder="1" applyAlignment="1">
      <alignment horizontal="center" vertical="center" wrapText="1"/>
    </xf>
    <xf numFmtId="0" fontId="6" fillId="3" borderId="1" xfId="0" applyFont="1" applyFill="1" applyBorder="1" applyAlignment="1">
      <alignment horizontal="center"/>
    </xf>
    <xf numFmtId="0" fontId="26" fillId="0" borderId="0" xfId="0" applyFont="1" applyAlignment="1">
      <alignment horizontal="left" vertical="center"/>
    </xf>
    <xf numFmtId="0" fontId="0" fillId="0" borderId="66" xfId="0" applyBorder="1"/>
    <xf numFmtId="17" fontId="10" fillId="0" borderId="0" xfId="0" applyNumberFormat="1" applyFont="1" applyAlignment="1">
      <alignment horizontal="center" vertical="center" wrapText="1"/>
    </xf>
    <xf numFmtId="0" fontId="0" fillId="0" borderId="62" xfId="0" applyBorder="1" applyAlignment="1">
      <alignment vertical="center" wrapText="1"/>
    </xf>
    <xf numFmtId="0" fontId="0" fillId="0" borderId="64" xfId="0" applyBorder="1" applyAlignment="1">
      <alignment vertical="center" wrapText="1"/>
    </xf>
    <xf numFmtId="0" fontId="0" fillId="0" borderId="75" xfId="0" applyBorder="1" applyAlignment="1">
      <alignment vertical="center" wrapText="1"/>
    </xf>
    <xf numFmtId="0" fontId="10" fillId="3" borderId="1" xfId="0" applyFont="1" applyFill="1" applyBorder="1" applyAlignment="1">
      <alignment horizontal="center" vertical="center" wrapText="1"/>
    </xf>
    <xf numFmtId="165" fontId="10" fillId="0" borderId="1" xfId="3" applyNumberFormat="1" applyFont="1" applyFill="1" applyBorder="1" applyAlignment="1">
      <alignment horizontal="center" vertical="center"/>
    </xf>
    <xf numFmtId="165" fontId="10" fillId="8" borderId="1" xfId="3" applyNumberFormat="1" applyFont="1" applyFill="1" applyBorder="1" applyAlignment="1">
      <alignment horizontal="center" vertical="center" wrapText="1"/>
    </xf>
    <xf numFmtId="17" fontId="6" fillId="3" borderId="1" xfId="0" applyNumberFormat="1" applyFont="1" applyFill="1" applyBorder="1" applyAlignment="1">
      <alignment horizontal="center"/>
    </xf>
    <xf numFmtId="0" fontId="6" fillId="14" borderId="1" xfId="0" applyFont="1" applyFill="1" applyBorder="1" applyAlignment="1">
      <alignment horizontal="center"/>
    </xf>
    <xf numFmtId="0" fontId="3" fillId="0" borderId="0" xfId="0" applyFont="1"/>
    <xf numFmtId="0" fontId="0" fillId="0" borderId="0" xfId="0" quotePrefix="1" applyAlignment="1">
      <alignment vertical="top"/>
    </xf>
    <xf numFmtId="0" fontId="31"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0" fillId="0" borderId="50" xfId="0" applyBorder="1" applyAlignment="1">
      <alignment horizontal="center" vertical="center"/>
    </xf>
    <xf numFmtId="0" fontId="0" fillId="0" borderId="1" xfId="0" applyBorder="1" applyAlignment="1">
      <alignment horizontal="center" vertical="center"/>
    </xf>
    <xf numFmtId="3" fontId="0" fillId="0" borderId="1" xfId="1" applyNumberFormat="1" applyFont="1" applyBorder="1" applyAlignment="1">
      <alignment horizontal="center"/>
    </xf>
    <xf numFmtId="0" fontId="10" fillId="0" borderId="50" xfId="0" applyFont="1" applyBorder="1" applyAlignment="1">
      <alignment horizontal="center" vertical="center" wrapText="1"/>
    </xf>
    <xf numFmtId="0" fontId="10" fillId="0" borderId="1" xfId="0" applyFont="1" applyBorder="1" applyAlignment="1">
      <alignment horizontal="center"/>
    </xf>
    <xf numFmtId="0" fontId="13" fillId="0" borderId="0" xfId="0" quotePrefix="1" applyFont="1" applyAlignment="1">
      <alignment vertical="top"/>
    </xf>
    <xf numFmtId="0" fontId="36" fillId="0" borderId="0" xfId="0" quotePrefix="1" applyFont="1" applyAlignment="1">
      <alignment vertical="top"/>
    </xf>
    <xf numFmtId="0" fontId="13" fillId="0" borderId="0" xfId="0" applyFont="1"/>
    <xf numFmtId="0" fontId="13" fillId="0" borderId="0" xfId="0" applyFont="1" applyAlignment="1">
      <alignment vertical="center"/>
    </xf>
    <xf numFmtId="0" fontId="20" fillId="0" borderId="0" xfId="0" applyFont="1" applyAlignment="1">
      <alignment horizontal="center" vertical="center" wrapText="1"/>
    </xf>
    <xf numFmtId="0" fontId="13" fillId="0" borderId="0" xfId="0" quotePrefix="1" applyFont="1" applyAlignment="1">
      <alignment vertical="center"/>
    </xf>
    <xf numFmtId="0" fontId="37" fillId="3" borderId="0" xfId="0" applyFont="1" applyFill="1" applyAlignment="1">
      <alignment vertical="center"/>
    </xf>
    <xf numFmtId="3" fontId="6" fillId="14" borderId="1" xfId="0" applyNumberFormat="1" applyFont="1" applyFill="1" applyBorder="1" applyAlignment="1">
      <alignment horizontal="center"/>
    </xf>
    <xf numFmtId="3" fontId="0" fillId="0" borderId="1" xfId="0" applyNumberFormat="1" applyBorder="1" applyAlignment="1">
      <alignment horizontal="center"/>
    </xf>
    <xf numFmtId="3" fontId="1" fillId="0" borderId="1" xfId="1" applyNumberFormat="1" applyFont="1" applyBorder="1" applyAlignment="1">
      <alignment horizontal="center" vertical="center" wrapText="1"/>
    </xf>
    <xf numFmtId="164" fontId="0" fillId="0" borderId="1" xfId="2" applyNumberFormat="1" applyFont="1" applyFill="1" applyBorder="1" applyAlignment="1">
      <alignment horizontal="center" vertical="center" wrapText="1"/>
    </xf>
    <xf numFmtId="3" fontId="0" fillId="0" borderId="1" xfId="1" applyNumberFormat="1" applyFont="1" applyFill="1" applyBorder="1" applyAlignment="1">
      <alignment horizontal="center"/>
    </xf>
    <xf numFmtId="3" fontId="1" fillId="0" borderId="1" xfId="1" applyNumberFormat="1" applyFont="1" applyFill="1" applyBorder="1" applyAlignment="1">
      <alignment horizontal="center" vertical="center" wrapText="1"/>
    </xf>
    <xf numFmtId="3" fontId="0" fillId="0" borderId="1" xfId="1" applyNumberFormat="1" applyFont="1" applyFill="1" applyBorder="1" applyAlignment="1">
      <alignment horizontal="center" vertical="center" wrapText="1"/>
    </xf>
    <xf numFmtId="3" fontId="1" fillId="3" borderId="1" xfId="1" applyNumberFormat="1" applyFont="1" applyFill="1" applyBorder="1" applyAlignment="1">
      <alignment horizontal="center"/>
    </xf>
    <xf numFmtId="3" fontId="0" fillId="0" borderId="52" xfId="1" applyNumberFormat="1" applyFont="1" applyBorder="1" applyAlignment="1">
      <alignment horizontal="center" vertical="center" wrapText="1"/>
    </xf>
    <xf numFmtId="3" fontId="0" fillId="0" borderId="1" xfId="1" applyNumberFormat="1" applyFont="1" applyBorder="1" applyAlignment="1">
      <alignment horizontal="center" vertical="center" wrapText="1"/>
    </xf>
    <xf numFmtId="3" fontId="0" fillId="0" borderId="59" xfId="1" applyNumberFormat="1" applyFont="1" applyBorder="1" applyAlignment="1">
      <alignment horizontal="center" vertical="center" wrapText="1"/>
    </xf>
    <xf numFmtId="3" fontId="0" fillId="0" borderId="58" xfId="1" applyNumberFormat="1" applyFont="1" applyBorder="1" applyAlignment="1">
      <alignment horizontal="center" vertical="center" wrapText="1"/>
    </xf>
    <xf numFmtId="3" fontId="0" fillId="3" borderId="1" xfId="1" applyNumberFormat="1" applyFont="1" applyFill="1" applyBorder="1" applyAlignment="1">
      <alignment horizontal="center"/>
    </xf>
    <xf numFmtId="3" fontId="0" fillId="0" borderId="64" xfId="1" applyNumberFormat="1" applyFont="1" applyBorder="1" applyAlignment="1">
      <alignment horizontal="center" vertical="center" wrapText="1"/>
    </xf>
    <xf numFmtId="3" fontId="0" fillId="0" borderId="75" xfId="1" applyNumberFormat="1" applyFont="1" applyBorder="1" applyAlignment="1">
      <alignment horizontal="center" vertical="center" wrapText="1"/>
    </xf>
    <xf numFmtId="3" fontId="0" fillId="0" borderId="3" xfId="1" applyNumberFormat="1" applyFont="1" applyBorder="1" applyAlignment="1">
      <alignment horizontal="center" vertical="center" wrapText="1"/>
    </xf>
    <xf numFmtId="164" fontId="0" fillId="0" borderId="52" xfId="2" applyNumberFormat="1" applyFont="1" applyBorder="1" applyAlignment="1">
      <alignment horizontal="center" vertical="center" wrapText="1"/>
    </xf>
    <xf numFmtId="3" fontId="33" fillId="0" borderId="1" xfId="0" applyNumberFormat="1" applyFont="1" applyBorder="1" applyAlignment="1">
      <alignment horizontal="center" vertical="center"/>
    </xf>
    <xf numFmtId="3" fontId="6" fillId="14" borderId="1" xfId="0" applyNumberFormat="1" applyFont="1" applyFill="1" applyBorder="1" applyAlignment="1">
      <alignment horizontal="center" vertical="center"/>
    </xf>
    <xf numFmtId="3" fontId="6" fillId="14" borderId="1" xfId="4" applyNumberFormat="1" applyFont="1" applyFill="1" applyBorder="1" applyAlignment="1">
      <alignment horizontal="center"/>
    </xf>
    <xf numFmtId="3" fontId="0" fillId="14" borderId="1" xfId="4" applyNumberFormat="1" applyFont="1" applyFill="1" applyBorder="1" applyAlignment="1">
      <alignment horizontal="center"/>
    </xf>
    <xf numFmtId="17" fontId="6" fillId="14" borderId="3" xfId="0" applyNumberFormat="1" applyFont="1" applyFill="1" applyBorder="1" applyAlignment="1">
      <alignment horizontal="center"/>
    </xf>
    <xf numFmtId="0" fontId="6" fillId="14" borderId="3" xfId="0" applyFont="1" applyFill="1" applyBorder="1" applyAlignment="1">
      <alignment horizontal="center"/>
    </xf>
    <xf numFmtId="1" fontId="6" fillId="14" borderId="1" xfId="0" applyNumberFormat="1" applyFont="1" applyFill="1" applyBorder="1" applyAlignment="1">
      <alignment horizontal="center"/>
    </xf>
    <xf numFmtId="3" fontId="6" fillId="14" borderId="1" xfId="4" applyNumberFormat="1" applyFont="1" applyFill="1" applyBorder="1" applyAlignment="1">
      <alignment horizontal="center" vertical="center"/>
    </xf>
    <xf numFmtId="0" fontId="0" fillId="0" borderId="51" xfId="0" applyBorder="1"/>
    <xf numFmtId="0" fontId="6" fillId="0" borderId="59" xfId="0" applyFont="1" applyBorder="1" applyAlignment="1">
      <alignment horizontal="left" vertical="center" wrapText="1"/>
    </xf>
    <xf numFmtId="0" fontId="6" fillId="0" borderId="1" xfId="0" applyFont="1" applyBorder="1" applyAlignment="1">
      <alignment vertical="center"/>
    </xf>
    <xf numFmtId="0" fontId="6" fillId="0" borderId="62" xfId="0" applyFont="1" applyBorder="1" applyAlignment="1">
      <alignment vertical="center" wrapText="1"/>
    </xf>
    <xf numFmtId="0" fontId="6" fillId="0" borderId="64" xfId="0" applyFont="1" applyBorder="1" applyAlignment="1">
      <alignment vertical="center" wrapText="1"/>
    </xf>
    <xf numFmtId="3" fontId="0" fillId="3" borderId="1" xfId="0" applyNumberFormat="1" applyFill="1" applyBorder="1" applyAlignment="1">
      <alignment horizontal="center"/>
    </xf>
    <xf numFmtId="3" fontId="0" fillId="0" borderId="1" xfId="1" applyNumberFormat="1" applyFont="1" applyBorder="1" applyAlignment="1">
      <alignment horizontal="center" vertical="center"/>
    </xf>
    <xf numFmtId="3" fontId="0" fillId="3" borderId="1" xfId="0" applyNumberFormat="1" applyFill="1" applyBorder="1" applyAlignment="1">
      <alignment horizontal="center" vertical="center"/>
    </xf>
    <xf numFmtId="165" fontId="10" fillId="15" borderId="1" xfId="3" applyNumberFormat="1" applyFont="1" applyFill="1" applyBorder="1" applyAlignment="1">
      <alignment horizontal="center" vertical="center"/>
    </xf>
    <xf numFmtId="3" fontId="6" fillId="15" borderId="1" xfId="1" applyNumberFormat="1" applyFont="1" applyFill="1" applyBorder="1" applyAlignment="1">
      <alignment horizontal="center"/>
    </xf>
    <xf numFmtId="3" fontId="0" fillId="0" borderId="82" xfId="0" applyNumberFormat="1" applyBorder="1" applyAlignment="1">
      <alignment horizontal="center" vertical="center" wrapText="1"/>
    </xf>
    <xf numFmtId="3" fontId="0" fillId="0" borderId="52" xfId="0" applyNumberFormat="1" applyBorder="1" applyAlignment="1">
      <alignment horizontal="center" vertical="center" wrapText="1"/>
    </xf>
    <xf numFmtId="3" fontId="6" fillId="15" borderId="52" xfId="0" applyNumberFormat="1" applyFont="1" applyFill="1" applyBorder="1" applyAlignment="1">
      <alignment horizontal="center" vertical="center" wrapText="1"/>
    </xf>
    <xf numFmtId="164" fontId="6" fillId="15" borderId="52" xfId="2" applyNumberFormat="1" applyFont="1" applyFill="1" applyBorder="1" applyAlignment="1">
      <alignment horizontal="center" vertical="center" wrapText="1"/>
    </xf>
    <xf numFmtId="0" fontId="6" fillId="15" borderId="1" xfId="0" applyFont="1" applyFill="1" applyBorder="1" applyAlignment="1">
      <alignment horizontal="center" vertical="center" wrapText="1"/>
    </xf>
    <xf numFmtId="0" fontId="10" fillId="15" borderId="1" xfId="0" applyFont="1" applyFill="1" applyBorder="1" applyAlignment="1">
      <alignment horizontal="center" vertical="center" wrapText="1"/>
    </xf>
    <xf numFmtId="0" fontId="6" fillId="15" borderId="1" xfId="0" applyFont="1" applyFill="1" applyBorder="1" applyAlignment="1">
      <alignment horizontal="left"/>
    </xf>
    <xf numFmtId="9" fontId="6" fillId="15" borderId="1" xfId="2" applyFont="1" applyFill="1" applyBorder="1" applyAlignment="1">
      <alignment horizontal="center"/>
    </xf>
    <xf numFmtId="0" fontId="6" fillId="15" borderId="3" xfId="0" applyFont="1" applyFill="1" applyBorder="1" applyAlignment="1">
      <alignment horizontal="center" vertical="center" wrapText="1"/>
    </xf>
    <xf numFmtId="164" fontId="6" fillId="15" borderId="1" xfId="2" applyNumberFormat="1" applyFont="1" applyFill="1" applyBorder="1" applyAlignment="1">
      <alignment horizontal="center"/>
    </xf>
    <xf numFmtId="0" fontId="7" fillId="2" borderId="0" xfId="0" applyFont="1" applyFill="1" applyAlignment="1">
      <alignment horizontal="left" vertical="top" wrapText="1"/>
    </xf>
    <xf numFmtId="3" fontId="1" fillId="0" borderId="1" xfId="4" applyNumberFormat="1" applyFont="1" applyFill="1" applyBorder="1" applyAlignment="1">
      <alignment horizontal="center" vertical="center"/>
    </xf>
    <xf numFmtId="3" fontId="0" fillId="0" borderId="0" xfId="1" applyNumberFormat="1" applyFont="1" applyBorder="1" applyAlignment="1">
      <alignment horizontal="center"/>
    </xf>
    <xf numFmtId="3" fontId="0" fillId="0" borderId="0" xfId="1" applyNumberFormat="1" applyFont="1" applyFill="1" applyBorder="1" applyAlignment="1">
      <alignment horizontal="center"/>
    </xf>
    <xf numFmtId="0" fontId="6" fillId="15" borderId="1" xfId="0" applyFont="1" applyFill="1" applyBorder="1"/>
    <xf numFmtId="3" fontId="6" fillId="15" borderId="1" xfId="1" applyNumberFormat="1" applyFont="1" applyFill="1" applyBorder="1" applyAlignment="1">
      <alignment horizontal="center" vertical="center" wrapText="1"/>
    </xf>
    <xf numFmtId="9" fontId="6" fillId="15" borderId="1" xfId="2" applyFont="1" applyFill="1" applyBorder="1" applyAlignment="1">
      <alignment horizontal="center" vertical="center" wrapText="1"/>
    </xf>
    <xf numFmtId="17" fontId="10" fillId="15" borderId="1" xfId="0" applyNumberFormat="1" applyFont="1" applyFill="1" applyBorder="1" applyAlignment="1">
      <alignment horizontal="center" vertical="center"/>
    </xf>
    <xf numFmtId="17" fontId="10" fillId="15" borderId="1" xfId="0" applyNumberFormat="1" applyFont="1" applyFill="1" applyBorder="1" applyAlignment="1">
      <alignment horizontal="center" vertical="center" wrapText="1"/>
    </xf>
    <xf numFmtId="0" fontId="0" fillId="0" borderId="64" xfId="0" applyBorder="1" applyAlignment="1">
      <alignment horizontal="left" vertical="center" wrapText="1"/>
    </xf>
    <xf numFmtId="0" fontId="0" fillId="0" borderId="75" xfId="0" applyBorder="1" applyAlignment="1">
      <alignment horizontal="left" vertical="center" wrapText="1"/>
    </xf>
    <xf numFmtId="3" fontId="6" fillId="15" borderId="2" xfId="1" applyNumberFormat="1" applyFont="1" applyFill="1" applyBorder="1" applyAlignment="1">
      <alignment horizontal="center"/>
    </xf>
    <xf numFmtId="0" fontId="6" fillId="0" borderId="50" xfId="0" applyFont="1" applyBorder="1" applyAlignment="1">
      <alignment horizontal="center" vertical="center" wrapText="1"/>
    </xf>
    <xf numFmtId="17" fontId="6" fillId="0" borderId="1" xfId="0" applyNumberFormat="1" applyFont="1" applyBorder="1" applyAlignment="1">
      <alignment horizontal="center" vertical="center" wrapText="1"/>
    </xf>
    <xf numFmtId="3" fontId="0" fillId="0" borderId="2" xfId="0" applyNumberFormat="1" applyBorder="1" applyAlignment="1">
      <alignment horizontal="center" vertical="center" wrapText="1"/>
    </xf>
    <xf numFmtId="9" fontId="1" fillId="0" borderId="1" xfId="2" applyFont="1" applyBorder="1" applyAlignment="1">
      <alignment horizontal="center" vertical="center" wrapText="1"/>
    </xf>
    <xf numFmtId="17" fontId="6" fillId="15" borderId="1" xfId="0" applyNumberFormat="1" applyFont="1" applyFill="1" applyBorder="1" applyAlignment="1">
      <alignment horizontal="center" vertical="center" wrapText="1"/>
    </xf>
    <xf numFmtId="3" fontId="6" fillId="15" borderId="2" xfId="0" applyNumberFormat="1" applyFont="1" applyFill="1" applyBorder="1" applyAlignment="1">
      <alignment horizontal="center" vertical="center" wrapText="1"/>
    </xf>
    <xf numFmtId="3" fontId="0" fillId="0" borderId="1" xfId="0" applyNumberFormat="1" applyBorder="1" applyAlignment="1">
      <alignment horizontal="center" vertical="center" wrapText="1"/>
    </xf>
    <xf numFmtId="3" fontId="6" fillId="15" borderId="1" xfId="0" applyNumberFormat="1" applyFont="1" applyFill="1" applyBorder="1" applyAlignment="1">
      <alignment horizontal="center" vertical="center" wrapText="1"/>
    </xf>
    <xf numFmtId="17" fontId="6" fillId="15" borderId="1" xfId="0" applyNumberFormat="1" applyFont="1" applyFill="1" applyBorder="1" applyAlignment="1">
      <alignment horizontal="center" vertical="center"/>
    </xf>
    <xf numFmtId="0" fontId="6" fillId="0" borderId="31" xfId="0" applyFont="1" applyBorder="1" applyAlignment="1">
      <alignment horizontal="center" vertical="center" wrapText="1"/>
    </xf>
    <xf numFmtId="3" fontId="6" fillId="15" borderId="1" xfId="0" applyNumberFormat="1" applyFont="1" applyFill="1" applyBorder="1"/>
    <xf numFmtId="17" fontId="10" fillId="0" borderId="1" xfId="3" applyNumberFormat="1" applyFont="1" applyFill="1" applyBorder="1" applyAlignment="1">
      <alignment horizontal="center" vertical="center" wrapText="1"/>
    </xf>
    <xf numFmtId="3" fontId="10" fillId="15" borderId="1" xfId="0" applyNumberFormat="1" applyFont="1" applyFill="1" applyBorder="1" applyAlignment="1">
      <alignment horizontal="center" vertical="center" wrapText="1"/>
    </xf>
    <xf numFmtId="17" fontId="10" fillId="15" borderId="1" xfId="3" applyNumberFormat="1" applyFont="1" applyFill="1" applyBorder="1" applyAlignment="1">
      <alignment horizontal="center" vertical="center" wrapText="1"/>
    </xf>
    <xf numFmtId="3" fontId="9" fillId="3" borderId="1" xfId="0" applyNumberFormat="1" applyFont="1" applyFill="1" applyBorder="1" applyAlignment="1">
      <alignment horizontal="center" vertical="center" wrapText="1"/>
    </xf>
    <xf numFmtId="17" fontId="5" fillId="0" borderId="1" xfId="0" applyNumberFormat="1" applyFont="1" applyBorder="1" applyAlignment="1">
      <alignment horizontal="center" vertical="center"/>
    </xf>
    <xf numFmtId="3" fontId="17" fillId="0" borderId="1" xfId="0" applyNumberFormat="1" applyFont="1" applyBorder="1" applyAlignment="1">
      <alignment horizontal="center" vertical="center"/>
    </xf>
    <xf numFmtId="3" fontId="32" fillId="0" borderId="1" xfId="0" applyNumberFormat="1" applyFont="1" applyBorder="1" applyAlignment="1">
      <alignment horizontal="center" vertical="center" wrapText="1"/>
    </xf>
    <xf numFmtId="3" fontId="9" fillId="0" borderId="1" xfId="0" applyNumberFormat="1" applyFont="1" applyBorder="1" applyAlignment="1">
      <alignment horizontal="center" vertical="center" wrapText="1"/>
    </xf>
    <xf numFmtId="3" fontId="9" fillId="0" borderId="12" xfId="0" applyNumberFormat="1" applyFont="1" applyBorder="1" applyAlignment="1">
      <alignment horizontal="center" vertical="center" wrapText="1"/>
    </xf>
    <xf numFmtId="17" fontId="10" fillId="0" borderId="1" xfId="0" applyNumberFormat="1" applyFont="1" applyBorder="1" applyAlignment="1">
      <alignment horizontal="center" vertical="center" wrapText="1"/>
    </xf>
    <xf numFmtId="3" fontId="0" fillId="0" borderId="1" xfId="0" applyNumberFormat="1" applyBorder="1" applyAlignment="1">
      <alignment horizontal="center" vertical="center"/>
    </xf>
    <xf numFmtId="17" fontId="6" fillId="0" borderId="1" xfId="0" applyNumberFormat="1" applyFont="1" applyBorder="1" applyAlignment="1">
      <alignment horizontal="center"/>
    </xf>
    <xf numFmtId="17" fontId="6" fillId="0" borderId="1" xfId="0" quotePrefix="1" applyNumberFormat="1" applyFont="1" applyBorder="1" applyAlignment="1">
      <alignment horizontal="center"/>
    </xf>
    <xf numFmtId="17" fontId="6" fillId="0" borderId="3" xfId="0" applyNumberFormat="1" applyFont="1" applyBorder="1" applyAlignment="1">
      <alignment horizontal="center"/>
    </xf>
    <xf numFmtId="3" fontId="1" fillId="0" borderId="1" xfId="4" applyNumberFormat="1" applyFont="1" applyFill="1" applyBorder="1" applyAlignment="1">
      <alignment horizontal="center"/>
    </xf>
    <xf numFmtId="170" fontId="31" fillId="0" borderId="1" xfId="0" applyNumberFormat="1" applyFont="1" applyBorder="1" applyAlignment="1">
      <alignment horizontal="center" vertical="center" wrapText="1"/>
    </xf>
    <xf numFmtId="0" fontId="7" fillId="3" borderId="0" xfId="0" applyFont="1" applyFill="1" applyAlignment="1">
      <alignment horizontal="left" vertical="center" wrapText="1"/>
    </xf>
    <xf numFmtId="0" fontId="31" fillId="0" borderId="1" xfId="0" applyFont="1" applyBorder="1" applyAlignment="1">
      <alignment horizontal="center" vertical="center"/>
    </xf>
    <xf numFmtId="3" fontId="32" fillId="0" borderId="1" xfId="0" applyNumberFormat="1" applyFont="1" applyBorder="1" applyAlignment="1">
      <alignment horizontal="center" vertical="center"/>
    </xf>
    <xf numFmtId="3" fontId="31" fillId="15" borderId="1" xfId="0" applyNumberFormat="1" applyFont="1" applyFill="1" applyBorder="1" applyAlignment="1">
      <alignment horizontal="center" vertical="center"/>
    </xf>
    <xf numFmtId="0" fontId="31" fillId="15" borderId="1" xfId="0" applyFont="1" applyFill="1" applyBorder="1" applyAlignment="1">
      <alignment horizontal="center" vertical="center"/>
    </xf>
    <xf numFmtId="171" fontId="6" fillId="14" borderId="1" xfId="0" applyNumberFormat="1" applyFont="1" applyFill="1" applyBorder="1" applyAlignment="1">
      <alignment horizontal="center" vertical="center"/>
    </xf>
    <xf numFmtId="0" fontId="6" fillId="15" borderId="64" xfId="0" applyFont="1" applyFill="1" applyBorder="1" applyAlignment="1">
      <alignment vertical="center" wrapText="1"/>
    </xf>
    <xf numFmtId="0" fontId="4" fillId="0" borderId="0" xfId="0" applyFont="1"/>
    <xf numFmtId="0" fontId="7" fillId="0" borderId="0" xfId="0" quotePrefix="1" applyFont="1" applyAlignment="1">
      <alignment horizontal="left" vertical="top" wrapText="1"/>
    </xf>
    <xf numFmtId="0" fontId="37" fillId="3" borderId="0" xfId="0" applyFont="1" applyFill="1"/>
    <xf numFmtId="0" fontId="13" fillId="0" borderId="0" xfId="0" quotePrefix="1" applyFont="1" applyAlignment="1">
      <alignment horizontal="left" vertical="top"/>
    </xf>
    <xf numFmtId="41" fontId="6" fillId="0" borderId="3" xfId="1" applyFont="1" applyBorder="1" applyAlignment="1">
      <alignment horizontal="center" vertical="center" wrapText="1"/>
    </xf>
    <xf numFmtId="3" fontId="9" fillId="3" borderId="1" xfId="1" applyNumberFormat="1" applyFont="1" applyFill="1" applyBorder="1" applyAlignment="1">
      <alignment horizontal="center" vertical="center"/>
    </xf>
    <xf numFmtId="3" fontId="6" fillId="15" borderId="1" xfId="1" applyNumberFormat="1" applyFont="1" applyFill="1" applyBorder="1" applyAlignment="1">
      <alignment horizontal="center" wrapText="1"/>
    </xf>
    <xf numFmtId="0" fontId="7" fillId="0" borderId="0" xfId="0" quotePrefix="1" applyFont="1" applyAlignment="1">
      <alignment horizontal="left" vertical="top"/>
    </xf>
    <xf numFmtId="0" fontId="13" fillId="0" borderId="0" xfId="0" quotePrefix="1" applyFont="1" applyAlignment="1">
      <alignment horizontal="left" vertical="top" wrapText="1"/>
    </xf>
    <xf numFmtId="9" fontId="6" fillId="0" borderId="1" xfId="0" quotePrefix="1" applyNumberFormat="1" applyFont="1" applyBorder="1" applyAlignment="1">
      <alignment horizontal="center" vertical="center" wrapText="1"/>
    </xf>
    <xf numFmtId="0" fontId="7" fillId="0" borderId="0" xfId="0" quotePrefix="1" applyFont="1" applyAlignment="1">
      <alignment vertical="top" wrapText="1"/>
    </xf>
    <xf numFmtId="3" fontId="6" fillId="15" borderId="1" xfId="0" applyNumberFormat="1" applyFont="1" applyFill="1" applyBorder="1" applyAlignment="1">
      <alignment horizontal="center" vertical="center"/>
    </xf>
    <xf numFmtId="0" fontId="6" fillId="15" borderId="1" xfId="0" applyFont="1" applyFill="1" applyBorder="1" applyAlignment="1">
      <alignment horizontal="center"/>
    </xf>
    <xf numFmtId="3" fontId="6" fillId="9" borderId="1" xfId="1" applyNumberFormat="1" applyFont="1" applyFill="1" applyBorder="1" applyAlignment="1">
      <alignment horizontal="center"/>
    </xf>
    <xf numFmtId="41" fontId="6" fillId="15" borderId="3" xfId="1" applyFont="1" applyFill="1" applyBorder="1" applyAlignment="1">
      <alignment horizontal="center" vertical="center" wrapText="1"/>
    </xf>
    <xf numFmtId="164" fontId="6" fillId="15" borderId="1" xfId="2" applyNumberFormat="1" applyFont="1" applyFill="1" applyBorder="1" applyAlignment="1">
      <alignment horizontal="center" vertical="center" wrapText="1"/>
    </xf>
    <xf numFmtId="171" fontId="6" fillId="15" borderId="1" xfId="1" applyNumberFormat="1" applyFont="1" applyFill="1" applyBorder="1" applyAlignment="1">
      <alignment horizontal="center"/>
    </xf>
    <xf numFmtId="3" fontId="6" fillId="15" borderId="57" xfId="1" applyNumberFormat="1" applyFont="1" applyFill="1" applyBorder="1" applyAlignment="1">
      <alignment horizontal="center" vertical="center" wrapText="1"/>
    </xf>
    <xf numFmtId="3" fontId="6" fillId="15" borderId="59" xfId="1" applyNumberFormat="1" applyFont="1" applyFill="1" applyBorder="1" applyAlignment="1">
      <alignment horizontal="center" vertical="center" wrapText="1"/>
    </xf>
    <xf numFmtId="3" fontId="6" fillId="15" borderId="82" xfId="1" applyNumberFormat="1" applyFont="1" applyFill="1" applyBorder="1" applyAlignment="1">
      <alignment horizontal="center" vertical="center" wrapText="1"/>
    </xf>
    <xf numFmtId="0" fontId="6" fillId="15" borderId="3" xfId="0" applyFont="1" applyFill="1" applyBorder="1" applyAlignment="1">
      <alignment vertical="center" wrapText="1"/>
    </xf>
    <xf numFmtId="3" fontId="10" fillId="15" borderId="1" xfId="1" applyNumberFormat="1" applyFont="1" applyFill="1" applyBorder="1" applyAlignment="1">
      <alignment horizontal="center" vertical="center"/>
    </xf>
    <xf numFmtId="3" fontId="6" fillId="15" borderId="1" xfId="0" applyNumberFormat="1" applyFont="1" applyFill="1" applyBorder="1" applyAlignment="1">
      <alignment horizontal="center"/>
    </xf>
    <xf numFmtId="164" fontId="9" fillId="3" borderId="1" xfId="2" applyNumberFormat="1" applyFont="1" applyFill="1" applyBorder="1" applyAlignment="1">
      <alignment horizontal="center" vertical="center" wrapText="1"/>
    </xf>
    <xf numFmtId="164" fontId="10" fillId="15" borderId="1" xfId="2" applyNumberFormat="1" applyFont="1" applyFill="1" applyBorder="1" applyAlignment="1">
      <alignment horizontal="center" vertical="center" wrapText="1"/>
    </xf>
    <xf numFmtId="165" fontId="10" fillId="15" borderId="1" xfId="3" applyNumberFormat="1" applyFont="1" applyFill="1" applyBorder="1" applyAlignment="1">
      <alignment horizontal="center" vertical="center" wrapText="1"/>
    </xf>
    <xf numFmtId="3" fontId="6" fillId="15" borderId="1" xfId="4" applyNumberFormat="1" applyFont="1" applyFill="1" applyBorder="1" applyAlignment="1">
      <alignment horizontal="center" vertical="center"/>
    </xf>
    <xf numFmtId="3" fontId="6" fillId="15" borderId="1" xfId="1" applyNumberFormat="1" applyFont="1" applyFill="1" applyBorder="1" applyAlignment="1">
      <alignment horizontal="center" vertical="center"/>
    </xf>
    <xf numFmtId="17" fontId="6" fillId="15" borderId="1" xfId="0" quotePrefix="1" applyNumberFormat="1" applyFont="1" applyFill="1" applyBorder="1" applyAlignment="1">
      <alignment horizontal="center"/>
    </xf>
    <xf numFmtId="3" fontId="34" fillId="15" borderId="1" xfId="0" applyNumberFormat="1" applyFont="1" applyFill="1" applyBorder="1" applyAlignment="1">
      <alignment horizontal="center" vertical="center"/>
    </xf>
    <xf numFmtId="0" fontId="5" fillId="15" borderId="1" xfId="0" applyFont="1" applyFill="1" applyBorder="1" applyAlignment="1">
      <alignment horizontal="center" vertical="center" wrapText="1"/>
    </xf>
    <xf numFmtId="3" fontId="5" fillId="15" borderId="1" xfId="0" applyNumberFormat="1" applyFont="1" applyFill="1" applyBorder="1" applyAlignment="1">
      <alignment horizontal="center" vertical="center"/>
    </xf>
    <xf numFmtId="0" fontId="34" fillId="15" borderId="1" xfId="0" applyFont="1" applyFill="1" applyBorder="1" applyAlignment="1">
      <alignment horizontal="center" vertical="center" wrapText="1"/>
    </xf>
    <xf numFmtId="3" fontId="32" fillId="15" borderId="1" xfId="0" applyNumberFormat="1" applyFont="1" applyFill="1" applyBorder="1" applyAlignment="1">
      <alignment horizontal="center" vertical="center" wrapText="1"/>
    </xf>
    <xf numFmtId="3" fontId="34" fillId="15" borderId="1" xfId="0" applyNumberFormat="1" applyFont="1" applyFill="1" applyBorder="1" applyAlignment="1">
      <alignment horizontal="center" vertical="center" wrapText="1"/>
    </xf>
    <xf numFmtId="0" fontId="5" fillId="15" borderId="1" xfId="0" applyFont="1" applyFill="1" applyBorder="1" applyAlignment="1">
      <alignment horizontal="center" vertical="center"/>
    </xf>
    <xf numFmtId="0" fontId="26" fillId="0" borderId="0" xfId="0" applyFont="1" applyAlignment="1">
      <alignment horizontal="left" vertical="center" wrapText="1"/>
    </xf>
    <xf numFmtId="0" fontId="26" fillId="0" borderId="0" xfId="0" applyFont="1" applyAlignment="1">
      <alignment horizontal="left" vertical="center"/>
    </xf>
    <xf numFmtId="0" fontId="0" fillId="0" borderId="0" xfId="0" applyAlignment="1">
      <alignment horizontal="center"/>
    </xf>
    <xf numFmtId="0" fontId="29" fillId="0" borderId="67" xfId="0" applyFont="1" applyBorder="1" applyAlignment="1">
      <alignment horizontal="center"/>
    </xf>
    <xf numFmtId="0" fontId="29" fillId="0" borderId="65" xfId="0" applyFont="1" applyBorder="1" applyAlignment="1">
      <alignment horizontal="center"/>
    </xf>
    <xf numFmtId="0" fontId="29" fillId="0" borderId="68" xfId="0" applyFont="1" applyBorder="1" applyAlignment="1">
      <alignment horizontal="center"/>
    </xf>
    <xf numFmtId="0" fontId="26" fillId="0" borderId="0" xfId="0" applyFont="1" applyAlignment="1">
      <alignment horizontal="center"/>
    </xf>
    <xf numFmtId="0" fontId="28" fillId="0" borderId="69" xfId="0" applyFont="1" applyBorder="1" applyAlignment="1">
      <alignment horizontal="center"/>
    </xf>
    <xf numFmtId="0" fontId="28" fillId="0" borderId="70" xfId="0" applyFont="1" applyBorder="1" applyAlignment="1">
      <alignment horizontal="center"/>
    </xf>
    <xf numFmtId="0" fontId="28" fillId="0" borderId="71" xfId="0" applyFont="1" applyBorder="1" applyAlignment="1">
      <alignment horizontal="center"/>
    </xf>
    <xf numFmtId="0" fontId="7" fillId="0" borderId="0" xfId="0" quotePrefix="1" applyFont="1" applyAlignment="1">
      <alignment horizontal="left" vertical="top" wrapText="1"/>
    </xf>
    <xf numFmtId="0" fontId="6" fillId="0" borderId="3"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xf>
    <xf numFmtId="0" fontId="6" fillId="0" borderId="4" xfId="0" applyFont="1" applyBorder="1" applyAlignment="1">
      <alignment horizontal="center"/>
    </xf>
    <xf numFmtId="0" fontId="6" fillId="0" borderId="2" xfId="0" applyFont="1" applyBorder="1" applyAlignment="1">
      <alignment horizontal="center"/>
    </xf>
    <xf numFmtId="170" fontId="6" fillId="0" borderId="50" xfId="0" quotePrefix="1" applyNumberFormat="1" applyFont="1" applyBorder="1" applyAlignment="1">
      <alignment horizontal="center" vertical="center"/>
    </xf>
    <xf numFmtId="170" fontId="6" fillId="0" borderId="51" xfId="0" quotePrefix="1" applyNumberFormat="1" applyFont="1" applyBorder="1" applyAlignment="1">
      <alignment horizontal="center" vertical="center"/>
    </xf>
    <xf numFmtId="170" fontId="6" fillId="0" borderId="12" xfId="0" quotePrefix="1" applyNumberFormat="1" applyFont="1" applyBorder="1" applyAlignment="1">
      <alignment horizontal="center" vertical="center"/>
    </xf>
    <xf numFmtId="17" fontId="6" fillId="0" borderId="1" xfId="0" applyNumberFormat="1" applyFont="1" applyBorder="1" applyAlignment="1">
      <alignment horizontal="center" vertical="center"/>
    </xf>
    <xf numFmtId="0" fontId="6" fillId="0" borderId="1" xfId="0" applyFont="1" applyBorder="1" applyAlignment="1">
      <alignment horizontal="center"/>
    </xf>
    <xf numFmtId="0" fontId="6" fillId="0" borderId="50" xfId="0" applyFont="1" applyBorder="1" applyAlignment="1">
      <alignment horizontal="center" vertical="center" wrapText="1"/>
    </xf>
    <xf numFmtId="0" fontId="6" fillId="0" borderId="51" xfId="0" applyFont="1" applyBorder="1" applyAlignment="1">
      <alignment horizontal="center" vertical="center" wrapText="1"/>
    </xf>
    <xf numFmtId="0" fontId="6" fillId="0" borderId="12" xfId="0" applyFont="1" applyBorder="1" applyAlignment="1">
      <alignment horizontal="center" vertical="center" wrapText="1"/>
    </xf>
    <xf numFmtId="0" fontId="13" fillId="0" borderId="0" xfId="0" applyFont="1" applyAlignment="1">
      <alignment horizontal="left" wrapText="1"/>
    </xf>
    <xf numFmtId="0" fontId="6" fillId="15" borderId="1" xfId="0" applyFont="1" applyFill="1" applyBorder="1" applyAlignment="1">
      <alignment horizont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13" fillId="0" borderId="0" xfId="0" quotePrefix="1" applyFont="1" applyAlignment="1">
      <alignment horizontal="left" vertical="center"/>
    </xf>
    <xf numFmtId="170" fontId="6" fillId="0" borderId="51" xfId="0" applyNumberFormat="1" applyFont="1" applyBorder="1" applyAlignment="1">
      <alignment horizontal="center" vertical="center"/>
    </xf>
    <xf numFmtId="170" fontId="6" fillId="0" borderId="1" xfId="0" quotePrefix="1" applyNumberFormat="1" applyFont="1" applyBorder="1" applyAlignment="1">
      <alignment horizontal="center" vertical="center"/>
    </xf>
    <xf numFmtId="170" fontId="6" fillId="0" borderId="1" xfId="0" applyNumberFormat="1" applyFont="1" applyBorder="1" applyAlignment="1">
      <alignment horizontal="center" vertical="center"/>
    </xf>
    <xf numFmtId="17" fontId="6" fillId="0" borderId="51" xfId="0" applyNumberFormat="1" applyFont="1" applyBorder="1" applyAlignment="1">
      <alignment horizontal="center" vertical="center"/>
    </xf>
    <xf numFmtId="17" fontId="6" fillId="0" borderId="12" xfId="0" applyNumberFormat="1" applyFont="1" applyBorder="1" applyAlignment="1">
      <alignment horizontal="center" vertical="center"/>
    </xf>
    <xf numFmtId="0" fontId="13" fillId="0" borderId="0" xfId="0" quotePrefix="1" applyFont="1" applyAlignment="1">
      <alignment horizontal="left" vertical="top" wrapText="1"/>
    </xf>
    <xf numFmtId="0" fontId="13" fillId="0" borderId="0" xfId="0" quotePrefix="1" applyFont="1" applyAlignment="1">
      <alignment horizontal="left" vertical="top"/>
    </xf>
    <xf numFmtId="0" fontId="6" fillId="0" borderId="0" xfId="0" applyFont="1" applyAlignment="1">
      <alignment horizontal="center"/>
    </xf>
    <xf numFmtId="0" fontId="6" fillId="0" borderId="50" xfId="0" applyFont="1" applyBorder="1" applyAlignment="1">
      <alignment horizontal="center" vertical="center"/>
    </xf>
    <xf numFmtId="0" fontId="6" fillId="0" borderId="12" xfId="0" applyFont="1" applyBorder="1" applyAlignment="1">
      <alignment horizontal="center" vertical="center"/>
    </xf>
    <xf numFmtId="0" fontId="6" fillId="15" borderId="50" xfId="0" applyFont="1" applyFill="1" applyBorder="1" applyAlignment="1">
      <alignment horizontal="center" vertical="center" wrapText="1"/>
    </xf>
    <xf numFmtId="0" fontId="6" fillId="15" borderId="12" xfId="0" applyFont="1" applyFill="1" applyBorder="1" applyAlignment="1">
      <alignment horizontal="center" vertical="center" wrapText="1"/>
    </xf>
    <xf numFmtId="0" fontId="7" fillId="3" borderId="5" xfId="0" applyFont="1" applyFill="1" applyBorder="1" applyAlignment="1">
      <alignment horizontal="left" vertical="top" wrapText="1"/>
    </xf>
    <xf numFmtId="0" fontId="28" fillId="0" borderId="72" xfId="0" applyFont="1" applyBorder="1" applyAlignment="1">
      <alignment horizontal="center"/>
    </xf>
    <xf numFmtId="0" fontId="28" fillId="0" borderId="73" xfId="0" applyFont="1" applyBorder="1" applyAlignment="1">
      <alignment horizontal="center"/>
    </xf>
    <xf numFmtId="0" fontId="28" fillId="0" borderId="74" xfId="0" applyFont="1" applyBorder="1" applyAlignment="1">
      <alignment horizontal="center"/>
    </xf>
    <xf numFmtId="0" fontId="10" fillId="15" borderId="1" xfId="0" applyFont="1" applyFill="1" applyBorder="1" applyAlignment="1">
      <alignment horizontal="center" vertical="center" wrapText="1"/>
    </xf>
    <xf numFmtId="0" fontId="6" fillId="15"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165" fontId="10" fillId="0" borderId="1" xfId="3" applyNumberFormat="1" applyFont="1" applyFill="1" applyBorder="1" applyAlignment="1">
      <alignment horizontal="center" vertical="center" wrapText="1"/>
    </xf>
    <xf numFmtId="0" fontId="10" fillId="3" borderId="3" xfId="0" applyFont="1" applyFill="1" applyBorder="1" applyAlignment="1">
      <alignment horizontal="center" vertical="top" wrapText="1"/>
    </xf>
    <xf numFmtId="0" fontId="10" fillId="3" borderId="4" xfId="0" applyFont="1" applyFill="1" applyBorder="1" applyAlignment="1">
      <alignment horizontal="center" vertical="top" wrapText="1"/>
    </xf>
    <xf numFmtId="0" fontId="10" fillId="3" borderId="2" xfId="0" applyFont="1" applyFill="1" applyBorder="1" applyAlignment="1">
      <alignment horizontal="center" vertical="top" wrapText="1"/>
    </xf>
    <xf numFmtId="0" fontId="6" fillId="0" borderId="30" xfId="0" applyFont="1" applyBorder="1" applyAlignment="1">
      <alignment horizontal="center" vertical="center" wrapText="1"/>
    </xf>
    <xf numFmtId="0" fontId="6" fillId="0" borderId="32" xfId="0" applyFont="1" applyBorder="1" applyAlignment="1">
      <alignment horizontal="center" vertical="center" wrapText="1"/>
    </xf>
    <xf numFmtId="0" fontId="6" fillId="0" borderId="13" xfId="0" applyFont="1" applyBorder="1" applyAlignment="1">
      <alignment horizontal="center" vertical="center" wrapText="1"/>
    </xf>
    <xf numFmtId="165" fontId="12" fillId="4" borderId="1" xfId="3" applyNumberFormat="1" applyFont="1" applyFill="1" applyBorder="1" applyAlignment="1">
      <alignment horizontal="center" vertical="center" wrapText="1"/>
    </xf>
    <xf numFmtId="0" fontId="19" fillId="3" borderId="1" xfId="0" applyFont="1" applyFill="1" applyBorder="1" applyAlignment="1">
      <alignment horizontal="center" wrapText="1"/>
    </xf>
    <xf numFmtId="0" fontId="19" fillId="3" borderId="1" xfId="0" applyFont="1" applyFill="1" applyBorder="1" applyAlignment="1">
      <alignment horizontal="center"/>
    </xf>
    <xf numFmtId="0" fontId="7" fillId="3" borderId="0" xfId="0" applyFont="1" applyFill="1" applyAlignment="1">
      <alignment horizontal="left" vertical="top" wrapText="1"/>
    </xf>
    <xf numFmtId="0" fontId="6" fillId="0" borderId="51" xfId="0" applyFont="1" applyBorder="1" applyAlignment="1">
      <alignment horizontal="center" vertical="center"/>
    </xf>
    <xf numFmtId="0" fontId="6" fillId="15" borderId="30" xfId="0" applyFont="1" applyFill="1" applyBorder="1" applyAlignment="1">
      <alignment horizontal="center" vertical="center"/>
    </xf>
    <xf numFmtId="0" fontId="6" fillId="15" borderId="5" xfId="0" applyFont="1" applyFill="1" applyBorder="1" applyAlignment="1">
      <alignment horizontal="center" vertical="center"/>
    </xf>
    <xf numFmtId="0" fontId="6" fillId="15" borderId="31" xfId="0" applyFont="1" applyFill="1" applyBorder="1" applyAlignment="1">
      <alignment horizontal="center" vertical="center"/>
    </xf>
    <xf numFmtId="0" fontId="6" fillId="15" borderId="13" xfId="0" applyFont="1" applyFill="1" applyBorder="1" applyAlignment="1">
      <alignment horizontal="center" vertical="center"/>
    </xf>
    <xf numFmtId="0" fontId="6" fillId="15" borderId="34" xfId="0" applyFont="1" applyFill="1" applyBorder="1" applyAlignment="1">
      <alignment horizontal="center" vertical="center"/>
    </xf>
    <xf numFmtId="0" fontId="6" fillId="15" borderId="11" xfId="0" applyFont="1" applyFill="1" applyBorder="1" applyAlignment="1">
      <alignment horizontal="center" vertical="center"/>
    </xf>
    <xf numFmtId="17" fontId="10" fillId="0" borderId="0" xfId="0" applyNumberFormat="1" applyFont="1" applyAlignment="1">
      <alignment horizontal="center" vertical="center" wrapText="1"/>
    </xf>
    <xf numFmtId="0" fontId="4" fillId="3" borderId="0" xfId="0" applyFont="1" applyFill="1" applyAlignment="1">
      <alignment horizontal="left"/>
    </xf>
    <xf numFmtId="0" fontId="6" fillId="3" borderId="50" xfId="0" applyFont="1" applyFill="1" applyBorder="1" applyAlignment="1">
      <alignment horizontal="center"/>
    </xf>
    <xf numFmtId="0" fontId="6" fillId="3" borderId="1" xfId="0" applyFont="1" applyFill="1" applyBorder="1" applyAlignment="1">
      <alignment horizontal="center" vertical="center"/>
    </xf>
    <xf numFmtId="0" fontId="4" fillId="0" borderId="0" xfId="0" applyFont="1" applyAlignment="1">
      <alignment horizontal="left"/>
    </xf>
    <xf numFmtId="0" fontId="6" fillId="0" borderId="1" xfId="0" applyFont="1" applyBorder="1" applyAlignment="1">
      <alignment horizontal="left" vertical="center" wrapText="1"/>
    </xf>
    <xf numFmtId="165" fontId="10" fillId="15" borderId="1" xfId="3" applyNumberFormat="1" applyFont="1" applyFill="1" applyBorder="1" applyAlignment="1">
      <alignment horizontal="center" vertical="center"/>
    </xf>
    <xf numFmtId="165" fontId="10" fillId="0" borderId="1" xfId="3" applyNumberFormat="1" applyFont="1" applyFill="1" applyBorder="1" applyAlignment="1">
      <alignment horizontal="center" vertical="center"/>
    </xf>
    <xf numFmtId="0" fontId="3" fillId="2" borderId="0" xfId="0" applyFont="1" applyFill="1" applyAlignment="1">
      <alignment horizontal="left"/>
    </xf>
    <xf numFmtId="0" fontId="6" fillId="15" borderId="1" xfId="0" applyFont="1" applyFill="1" applyBorder="1" applyAlignment="1">
      <alignment horizontal="left" vertical="center" wrapText="1"/>
    </xf>
    <xf numFmtId="0" fontId="6" fillId="0" borderId="5" xfId="0" applyFont="1" applyBorder="1" applyAlignment="1">
      <alignment horizontal="center" vertical="center" wrapText="1"/>
    </xf>
    <xf numFmtId="0" fontId="6" fillId="0" borderId="31" xfId="0" applyFont="1" applyBorder="1" applyAlignment="1">
      <alignment horizontal="center" vertical="center" wrapText="1"/>
    </xf>
    <xf numFmtId="0" fontId="6" fillId="0" borderId="34" xfId="0" applyFont="1" applyBorder="1" applyAlignment="1">
      <alignment horizontal="center" vertical="center" wrapText="1"/>
    </xf>
    <xf numFmtId="0" fontId="6" fillId="0" borderId="11" xfId="0" applyFont="1" applyBorder="1" applyAlignment="1">
      <alignment horizontal="center" vertical="center" wrapText="1"/>
    </xf>
    <xf numFmtId="0" fontId="0" fillId="0" borderId="3" xfId="0" applyBorder="1" applyAlignment="1">
      <alignment horizontal="left" wrapText="1"/>
    </xf>
    <xf numFmtId="0" fontId="0" fillId="0" borderId="4" xfId="0" applyBorder="1" applyAlignment="1">
      <alignment horizontal="left" wrapText="1"/>
    </xf>
    <xf numFmtId="0" fontId="0" fillId="0" borderId="2" xfId="0" applyBorder="1" applyAlignment="1">
      <alignment horizontal="left"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2" xfId="0" applyFont="1" applyBorder="1" applyAlignment="1">
      <alignment horizontal="center" vertical="center" wrapText="1"/>
    </xf>
    <xf numFmtId="0" fontId="6" fillId="15" borderId="1" xfId="0" applyFont="1" applyFill="1" applyBorder="1" applyAlignment="1">
      <alignment horizontal="left" wrapText="1"/>
    </xf>
    <xf numFmtId="0" fontId="7" fillId="3" borderId="53" xfId="0" applyFont="1" applyFill="1" applyBorder="1" applyAlignment="1">
      <alignment horizontal="left" vertical="top" wrapText="1"/>
    </xf>
    <xf numFmtId="0" fontId="28" fillId="0" borderId="76" xfId="0" applyFont="1" applyBorder="1" applyAlignment="1">
      <alignment horizontal="center"/>
    </xf>
    <xf numFmtId="0" fontId="28" fillId="0" borderId="77" xfId="0" applyFont="1" applyBorder="1" applyAlignment="1">
      <alignment horizontal="center"/>
    </xf>
    <xf numFmtId="0" fontId="28" fillId="0" borderId="78" xfId="0" applyFont="1" applyBorder="1" applyAlignment="1">
      <alignment horizontal="center"/>
    </xf>
    <xf numFmtId="0" fontId="6" fillId="15" borderId="1" xfId="0" applyFont="1" applyFill="1" applyBorder="1" applyAlignment="1">
      <alignment horizontal="center" vertical="center"/>
    </xf>
    <xf numFmtId="0" fontId="31" fillId="0" borderId="1" xfId="0" applyFont="1" applyBorder="1" applyAlignment="1">
      <alignment horizontal="center" vertical="center"/>
    </xf>
    <xf numFmtId="0" fontId="31" fillId="0" borderId="1" xfId="0" applyFont="1" applyBorder="1" applyAlignment="1">
      <alignment horizontal="center" vertical="center" wrapText="1"/>
    </xf>
    <xf numFmtId="0" fontId="31" fillId="0" borderId="3" xfId="0" applyFont="1" applyBorder="1" applyAlignment="1">
      <alignment horizontal="center" vertical="center"/>
    </xf>
    <xf numFmtId="0" fontId="31" fillId="0" borderId="2" xfId="0" applyFont="1" applyBorder="1" applyAlignment="1">
      <alignment horizontal="center" vertical="center"/>
    </xf>
    <xf numFmtId="0" fontId="34" fillId="15" borderId="3" xfId="0" applyFont="1" applyFill="1" applyBorder="1" applyAlignment="1">
      <alignment horizontal="center" vertical="center"/>
    </xf>
    <xf numFmtId="0" fontId="34" fillId="15" borderId="4" xfId="0" applyFont="1" applyFill="1" applyBorder="1" applyAlignment="1">
      <alignment horizontal="center" vertical="center"/>
    </xf>
    <xf numFmtId="0" fontId="34" fillId="15" borderId="2" xfId="0" applyFont="1" applyFill="1" applyBorder="1" applyAlignment="1">
      <alignment horizontal="center" vertical="center"/>
    </xf>
    <xf numFmtId="0" fontId="31" fillId="0" borderId="50" xfId="0" applyFont="1" applyBorder="1" applyAlignment="1">
      <alignment horizontal="center" vertical="center" wrapText="1"/>
    </xf>
    <xf numFmtId="0" fontId="31" fillId="0" borderId="12" xfId="0" applyFont="1" applyBorder="1" applyAlignment="1">
      <alignment horizontal="center" vertical="center" wrapText="1"/>
    </xf>
    <xf numFmtId="0" fontId="31" fillId="0" borderId="3" xfId="0" applyFont="1" applyBorder="1" applyAlignment="1">
      <alignment horizontal="center" vertical="center" wrapText="1"/>
    </xf>
    <xf numFmtId="0" fontId="31" fillId="15" borderId="1" xfId="0" applyFont="1" applyFill="1" applyBorder="1" applyAlignment="1">
      <alignment horizontal="center" vertical="center" wrapText="1"/>
    </xf>
    <xf numFmtId="0" fontId="28" fillId="0" borderId="79" xfId="0" applyFont="1" applyBorder="1" applyAlignment="1">
      <alignment horizontal="center"/>
    </xf>
    <xf numFmtId="0" fontId="28" fillId="0" borderId="80" xfId="0" applyFont="1" applyBorder="1" applyAlignment="1">
      <alignment horizontal="center"/>
    </xf>
    <xf numFmtId="0" fontId="28" fillId="0" borderId="81" xfId="0" applyFont="1" applyBorder="1" applyAlignment="1">
      <alignment horizontal="center"/>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50" xfId="0" applyFont="1" applyBorder="1" applyAlignment="1">
      <alignment horizontal="center" vertical="center" wrapText="1"/>
    </xf>
    <xf numFmtId="0" fontId="10" fillId="0" borderId="12" xfId="0" applyFont="1" applyBorder="1" applyAlignment="1">
      <alignment horizontal="center" vertical="center" wrapText="1"/>
    </xf>
    <xf numFmtId="0" fontId="6" fillId="0" borderId="1" xfId="0" applyFont="1" applyBorder="1" applyAlignment="1">
      <alignment horizont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51" xfId="0" applyFont="1" applyBorder="1" applyAlignment="1">
      <alignment horizontal="center" vertical="center" wrapText="1"/>
    </xf>
    <xf numFmtId="1" fontId="6" fillId="14" borderId="3" xfId="0" applyNumberFormat="1" applyFont="1" applyFill="1" applyBorder="1" applyAlignment="1">
      <alignment horizontal="center"/>
    </xf>
    <xf numFmtId="1" fontId="6" fillId="14" borderId="4" xfId="0" applyNumberFormat="1" applyFont="1" applyFill="1" applyBorder="1" applyAlignment="1">
      <alignment horizontal="center"/>
    </xf>
    <xf numFmtId="1" fontId="6" fillId="14" borderId="2" xfId="0" applyNumberFormat="1" applyFont="1" applyFill="1" applyBorder="1" applyAlignment="1">
      <alignment horizontal="center"/>
    </xf>
    <xf numFmtId="0" fontId="10" fillId="0" borderId="1" xfId="0" applyFont="1" applyBorder="1" applyAlignment="1">
      <alignment horizontal="center"/>
    </xf>
    <xf numFmtId="0" fontId="0" fillId="0" borderId="1" xfId="0" applyBorder="1" applyAlignment="1">
      <alignment horizontal="center" vertical="center" wrapText="1"/>
    </xf>
    <xf numFmtId="0" fontId="0" fillId="0" borderId="53" xfId="0" applyBorder="1" applyAlignment="1">
      <alignment horizontal="center" vertical="center"/>
    </xf>
    <xf numFmtId="0" fontId="0" fillId="0" borderId="57" xfId="0" applyBorder="1" applyAlignment="1">
      <alignment horizontal="center" vertical="center"/>
    </xf>
    <xf numFmtId="0" fontId="0" fillId="0" borderId="1" xfId="0" applyBorder="1" applyAlignment="1">
      <alignment horizontal="center" vertical="center"/>
    </xf>
    <xf numFmtId="0" fontId="6" fillId="2" borderId="0" xfId="0" applyFont="1" applyFill="1" applyAlignment="1">
      <alignment horizontal="left" vertical="top" wrapText="1"/>
    </xf>
    <xf numFmtId="0" fontId="24" fillId="4" borderId="1" xfId="0" applyFont="1" applyFill="1" applyBorder="1" applyAlignment="1">
      <alignment horizontal="center" vertical="center"/>
    </xf>
    <xf numFmtId="0" fontId="25" fillId="3" borderId="0" xfId="0" applyFont="1" applyFill="1" applyAlignment="1">
      <alignment horizontal="center" vertical="center" wrapText="1"/>
    </xf>
    <xf numFmtId="0" fontId="24" fillId="4" borderId="40" xfId="0" applyFont="1" applyFill="1" applyBorder="1" applyAlignment="1">
      <alignment horizontal="center" vertical="center" wrapText="1"/>
    </xf>
    <xf numFmtId="0" fontId="24" fillId="4" borderId="42" xfId="0" applyFont="1" applyFill="1" applyBorder="1" applyAlignment="1">
      <alignment horizontal="center" vertical="center" wrapText="1"/>
    </xf>
    <xf numFmtId="0" fontId="24" fillId="4" borderId="38" xfId="0" applyFont="1" applyFill="1" applyBorder="1" applyAlignment="1">
      <alignment horizontal="center" vertical="center" wrapText="1"/>
    </xf>
    <xf numFmtId="0" fontId="17" fillId="6" borderId="1" xfId="0" applyFont="1" applyFill="1" applyBorder="1" applyAlignment="1">
      <alignment horizontal="center" vertical="center" wrapText="1"/>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6" borderId="50" xfId="0" applyFont="1" applyFill="1" applyBorder="1" applyAlignment="1">
      <alignment horizontal="center" vertical="center" wrapText="1"/>
    </xf>
    <xf numFmtId="0" fontId="17" fillId="6" borderId="51" xfId="0" applyFont="1" applyFill="1" applyBorder="1" applyAlignment="1">
      <alignment horizontal="center" vertical="center" wrapText="1"/>
    </xf>
    <xf numFmtId="0" fontId="17" fillId="6" borderId="12" xfId="0" applyFont="1" applyFill="1" applyBorder="1" applyAlignment="1">
      <alignment horizontal="center" vertical="center" wrapText="1"/>
    </xf>
    <xf numFmtId="0" fontId="6" fillId="15" borderId="50" xfId="0" applyFont="1" applyFill="1" applyBorder="1" applyAlignment="1">
      <alignment horizontal="center" vertical="center"/>
    </xf>
    <xf numFmtId="0" fontId="6" fillId="15" borderId="3" xfId="0" applyFont="1" applyFill="1" applyBorder="1" applyAlignment="1">
      <alignment horizontal="center"/>
    </xf>
    <xf numFmtId="0" fontId="6" fillId="15" borderId="4" xfId="0" applyFont="1" applyFill="1" applyBorder="1" applyAlignment="1">
      <alignment horizontal="center"/>
    </xf>
    <xf numFmtId="0" fontId="6" fillId="15" borderId="2" xfId="0" applyFont="1" applyFill="1" applyBorder="1" applyAlignment="1">
      <alignment horizontal="center"/>
    </xf>
    <xf numFmtId="0" fontId="6" fillId="15" borderId="12" xfId="0" applyFont="1" applyFill="1" applyBorder="1" applyAlignment="1">
      <alignment horizontal="center" vertical="center"/>
    </xf>
    <xf numFmtId="0" fontId="22" fillId="0" borderId="0" xfId="5" applyAlignment="1" applyProtection="1"/>
    <xf numFmtId="0" fontId="43" fillId="0" borderId="0" xfId="5" applyFont="1" applyAlignment="1" applyProtection="1"/>
    <xf numFmtId="0" fontId="22" fillId="0" borderId="0" xfId="5" applyAlignment="1" applyProtection="1"/>
    <xf numFmtId="0" fontId="22" fillId="0" borderId="0" xfId="5" applyAlignment="1" applyProtection="1">
      <alignment horizontal="left"/>
    </xf>
    <xf numFmtId="0" fontId="22" fillId="0" borderId="0" xfId="5" applyFill="1" applyAlignment="1" applyProtection="1"/>
  </cellXfs>
  <cellStyles count="17">
    <cellStyle name="Énfasis1" xfId="3" builtinId="29"/>
    <cellStyle name="Hipervínculo" xfId="5" builtinId="8"/>
    <cellStyle name="Hipervínculo 2" xfId="7" xr:uid="{85AA409B-0980-419E-929B-89D3717590B8}"/>
    <cellStyle name="Millares [0]" xfId="1" builtinId="6"/>
    <cellStyle name="Millares [0] 2" xfId="8" xr:uid="{4CEBDFAD-F434-4B68-B000-A5B1CBCDE52B}"/>
    <cellStyle name="Millares [0] 3" xfId="9" xr:uid="{9C7E356D-B969-4636-9991-5E76F002E267}"/>
    <cellStyle name="Millares 2" xfId="4" xr:uid="{4500BE1E-3F64-4B12-BF64-4573CF79A08A}"/>
    <cellStyle name="Moneda 2" xfId="6" xr:uid="{840C7DF7-6A0F-4A69-903B-C397B8D3409C}"/>
    <cellStyle name="Normal" xfId="0" builtinId="0"/>
    <cellStyle name="Normal 10" xfId="13" xr:uid="{0C23251E-3C2C-4A01-A3A2-69696D50C3E8}"/>
    <cellStyle name="Normal 2" xfId="10" xr:uid="{674A1408-8A7E-44EA-9AC5-52D15FCAD068}"/>
    <cellStyle name="Normal 2 5" xfId="15" xr:uid="{2D51551A-756B-43EE-AAA9-BA8AAB054EF3}"/>
    <cellStyle name="Normal 3 5" xfId="14" xr:uid="{98333E36-C805-4A48-86BE-E34D16E74AAC}"/>
    <cellStyle name="Normal 46" xfId="12" xr:uid="{D33680AD-CF19-4C95-A08E-B06A8273D62C}"/>
    <cellStyle name="Normal 76" xfId="16" xr:uid="{AADA6E4E-A697-42AC-BD25-F1CDDAE3B747}"/>
    <cellStyle name="Normal 9" xfId="11" xr:uid="{0FD13D5E-4D39-4FF7-8268-92025368748E}"/>
    <cellStyle name="Porcentaje" xfId="2" builtinId="5"/>
  </cellStyles>
  <dxfs count="56">
    <dxf>
      <numFmt numFmtId="33" formatCode="_ * #,##0_ ;_ * \-#,##0_ ;_ * &quot;-&quot;_ ;_ @_ "/>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numFmt numFmtId="33" formatCode="_ * #,##0_ ;_ * \-#,##0_ ;_ * &quot;-&quot;_ ;_ @_ "/>
    </dxf>
    <dxf>
      <numFmt numFmtId="33" formatCode="_ * #,##0_ ;_ * \-#,##0_ ;_ * &quot;-&quot;_ ;_ @_ "/>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fill>
        <patternFill patternType="solid">
          <bgColor theme="2" tint="-0.249977111117893"/>
        </patternFill>
      </fill>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fill>
        <patternFill patternType="solid">
          <bgColor theme="2" tint="-9.9978637043366805E-2"/>
        </patternFill>
      </fill>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
      <numFmt numFmtId="33"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pivotCacheDefinition" Target="pivotCache/pivotCacheDefinition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pivotCacheDefinition" Target="pivotCache/pivotCacheDefinition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pivotCacheDefinition" Target="pivotCache/pivotCacheDefinition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pivotCacheDefinition" Target="pivotCache/pivotCacheDefinition3.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'Por sexo'!$D$18</c:f>
              <c:strCache>
                <c:ptCount val="1"/>
                <c:pt idx="0">
                  <c:v>Mujeres</c:v>
                </c:pt>
              </c:strCache>
            </c:strRef>
          </c:tx>
          <c:spPr>
            <a:ln w="28575" cap="rnd">
              <a:solidFill>
                <a:schemeClr val="accent1"/>
              </a:solidFill>
              <a:round/>
            </a:ln>
            <a:effectLst/>
          </c:spPr>
          <c:marker>
            <c:symbol val="none"/>
          </c:marker>
          <c:cat>
            <c:numRef>
              <c:f>'Por sexo'!$C$19:$C$33</c:f>
              <c:numCache>
                <c:formatCode>General</c:formatCod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numCache>
            </c:numRef>
          </c:cat>
          <c:val>
            <c:numRef>
              <c:f>'Por sexo'!$D$19:$D$33</c:f>
              <c:numCache>
                <c:formatCode>_-* #,##0_-;\-* #,##0_-;_-* "-"??_-;_-@_-</c:formatCode>
                <c:ptCount val="15"/>
                <c:pt idx="0">
                  <c:v>107640</c:v>
                </c:pt>
                <c:pt idx="1">
                  <c:v>256079</c:v>
                </c:pt>
                <c:pt idx="2">
                  <c:v>152798</c:v>
                </c:pt>
                <c:pt idx="3">
                  <c:v>123376</c:v>
                </c:pt>
                <c:pt idx="4">
                  <c:v>118771</c:v>
                </c:pt>
                <c:pt idx="5">
                  <c:v>82046</c:v>
                </c:pt>
                <c:pt idx="6">
                  <c:v>92858</c:v>
                </c:pt>
                <c:pt idx="7">
                  <c:v>86238</c:v>
                </c:pt>
                <c:pt idx="8">
                  <c:v>86383</c:v>
                </c:pt>
                <c:pt idx="9">
                  <c:v>95362</c:v>
                </c:pt>
                <c:pt idx="10">
                  <c:v>107375</c:v>
                </c:pt>
                <c:pt idx="11">
                  <c:v>98722</c:v>
                </c:pt>
                <c:pt idx="12">
                  <c:v>126382</c:v>
                </c:pt>
                <c:pt idx="13">
                  <c:v>165351</c:v>
                </c:pt>
                <c:pt idx="14">
                  <c:v>331479</c:v>
                </c:pt>
              </c:numCache>
            </c:numRef>
          </c:val>
          <c:smooth val="0"/>
          <c:extLst>
            <c:ext xmlns:c16="http://schemas.microsoft.com/office/drawing/2014/chart" uri="{C3380CC4-5D6E-409C-BE32-E72D297353CC}">
              <c16:uniqueId val="{00000000-78D2-4330-B20F-DF8C0B7CC39D}"/>
            </c:ext>
          </c:extLst>
        </c:ser>
        <c:ser>
          <c:idx val="1"/>
          <c:order val="1"/>
          <c:tx>
            <c:strRef>
              <c:f>'Por sexo'!$E$18</c:f>
              <c:strCache>
                <c:ptCount val="1"/>
                <c:pt idx="0">
                  <c:v>Hombres</c:v>
                </c:pt>
              </c:strCache>
            </c:strRef>
          </c:tx>
          <c:spPr>
            <a:ln w="28575" cap="rnd">
              <a:solidFill>
                <a:schemeClr val="accent2"/>
              </a:solidFill>
              <a:round/>
            </a:ln>
            <a:effectLst/>
          </c:spPr>
          <c:marker>
            <c:symbol val="none"/>
          </c:marker>
          <c:cat>
            <c:numRef>
              <c:f>'Por sexo'!$C$19:$C$33</c:f>
              <c:numCache>
                <c:formatCode>General</c:formatCode>
                <c:ptCount val="15"/>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pt idx="14">
                  <c:v>2022</c:v>
                </c:pt>
              </c:numCache>
            </c:numRef>
          </c:cat>
          <c:val>
            <c:numRef>
              <c:f>'Por sexo'!$E$19:$E$33</c:f>
              <c:numCache>
                <c:formatCode>_-* #,##0_-;\-* #,##0_-;_-* "-"??_-;_-@_-</c:formatCode>
                <c:ptCount val="15"/>
                <c:pt idx="0">
                  <c:v>31722</c:v>
                </c:pt>
                <c:pt idx="1">
                  <c:v>148361</c:v>
                </c:pt>
                <c:pt idx="2">
                  <c:v>92877</c:v>
                </c:pt>
                <c:pt idx="3">
                  <c:v>71415</c:v>
                </c:pt>
                <c:pt idx="4">
                  <c:v>73499</c:v>
                </c:pt>
                <c:pt idx="5">
                  <c:v>51988</c:v>
                </c:pt>
                <c:pt idx="6">
                  <c:v>58706</c:v>
                </c:pt>
                <c:pt idx="7">
                  <c:v>54740</c:v>
                </c:pt>
                <c:pt idx="8">
                  <c:v>52405</c:v>
                </c:pt>
                <c:pt idx="9">
                  <c:v>61704</c:v>
                </c:pt>
                <c:pt idx="10">
                  <c:v>71026</c:v>
                </c:pt>
                <c:pt idx="11">
                  <c:v>66590</c:v>
                </c:pt>
                <c:pt idx="12">
                  <c:v>93427</c:v>
                </c:pt>
                <c:pt idx="13">
                  <c:v>114859</c:v>
                </c:pt>
                <c:pt idx="14">
                  <c:v>322108</c:v>
                </c:pt>
              </c:numCache>
            </c:numRef>
          </c:val>
          <c:smooth val="0"/>
          <c:extLst>
            <c:ext xmlns:c16="http://schemas.microsoft.com/office/drawing/2014/chart" uri="{C3380CC4-5D6E-409C-BE32-E72D297353CC}">
              <c16:uniqueId val="{00000001-78D2-4330-B20F-DF8C0B7CC39D}"/>
            </c:ext>
          </c:extLst>
        </c:ser>
        <c:dLbls>
          <c:showLegendKey val="0"/>
          <c:showVal val="0"/>
          <c:showCatName val="0"/>
          <c:showSerName val="0"/>
          <c:showPercent val="0"/>
          <c:showBubbleSize val="0"/>
        </c:dLbls>
        <c:smooth val="0"/>
        <c:axId val="1193274656"/>
        <c:axId val="1193277608"/>
      </c:lineChart>
      <c:catAx>
        <c:axId val="119327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77608"/>
        <c:crosses val="autoZero"/>
        <c:auto val="1"/>
        <c:lblAlgn val="ctr"/>
        <c:lblOffset val="100"/>
        <c:noMultiLvlLbl val="0"/>
      </c:catAx>
      <c:valAx>
        <c:axId val="1193277608"/>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274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4.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5.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6.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7.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8.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 Beneficios pagados'!A1"/></Relationships>
</file>

<file path=xl/drawings/_rels/drawing9.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1.xml.rels><?xml version="1.0" encoding="UTF-8" standalone="yes"?>
<Relationships xmlns="http://schemas.openxmlformats.org/package/2006/relationships"><Relationship Id="rId1" Type="http://schemas.openxmlformats.org/officeDocument/2006/relationships/hyperlink" Target="#&#205;NDICE!A1"/></Relationships>
</file>

<file path=xl/drawings/_rels/drawing12.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3.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4.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5.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6.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 Estado de Solicitudes'!A1"/></Relationships>
</file>

<file path=xl/drawings/_rels/drawing17.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II. Bono por hijo'!A1"/></Relationships>
</file>

<file path=xl/drawings/_rels/drawing19.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21.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22.xml.rels><?xml version="1.0" encoding="UTF-8" standalone="yes"?>
<Relationships xmlns="http://schemas.openxmlformats.org/package/2006/relationships"><Relationship Id="rId2" Type="http://schemas.openxmlformats.org/officeDocument/2006/relationships/hyperlink" Target="#'Indice General'!A1"/><Relationship Id="rId1" Type="http://schemas.openxmlformats.org/officeDocument/2006/relationships/hyperlink" Target="#'IV. Subsidio STJ'!A1"/></Relationships>
</file>

<file path=xl/drawings/_rels/drawing23.xml.rels><?xml version="1.0" encoding="UTF-8" standalone="yes"?>
<Relationships xmlns="http://schemas.openxmlformats.org/package/2006/relationships"><Relationship Id="rId2" Type="http://schemas.openxmlformats.org/officeDocument/2006/relationships/hyperlink" Target="#&#205;NDICE!A1"/><Relationship Id="rId1" Type="http://schemas.openxmlformats.org/officeDocument/2006/relationships/chart" Target="../charts/chart1.xml"/></Relationships>
</file>

<file path=xl/drawings/_rels/drawing24.xml.rels><?xml version="1.0" encoding="UTF-8" standalone="yes"?>
<Relationships xmlns="http://schemas.openxmlformats.org/package/2006/relationships"><Relationship Id="rId1" Type="http://schemas.openxmlformats.org/officeDocument/2006/relationships/hyperlink" Target="#&#205;NDICE!A1"/></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3" name="Imagen 2">
          <a:extLst>
            <a:ext uri="{FF2B5EF4-FFF2-40B4-BE49-F238E27FC236}">
              <a16:creationId xmlns:a16="http://schemas.microsoft.com/office/drawing/2014/main" id="{7C1C1A53-1B9F-AE98-1CE0-F9F16DE9514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8DAF2DE4-573B-45C3-94A3-92AC5082730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twoCellAnchor>
    <xdr:from>
      <xdr:col>15</xdr:col>
      <xdr:colOff>276225</xdr:colOff>
      <xdr:row>0</xdr:row>
      <xdr:rowOff>171450</xdr:rowOff>
    </xdr:from>
    <xdr:to>
      <xdr:col>17</xdr:col>
      <xdr:colOff>578784</xdr:colOff>
      <xdr:row>3</xdr:row>
      <xdr:rowOff>126627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5F33BA5A-8F35-48EA-AECD-111E39D6E85D}"/>
            </a:ext>
          </a:extLst>
        </xdr:cNvPr>
        <xdr:cNvSpPr/>
      </xdr:nvSpPr>
      <xdr:spPr>
        <a:xfrm>
          <a:off x="11906250" y="17145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13</xdr:col>
      <xdr:colOff>987986</xdr:colOff>
      <xdr:row>1</xdr:row>
      <xdr:rowOff>24901</xdr:rowOff>
    </xdr:from>
    <xdr:to>
      <xdr:col>15</xdr:col>
      <xdr:colOff>730251</xdr:colOff>
      <xdr:row>3</xdr:row>
      <xdr:rowOff>77819</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4086A593-4F34-BD9A-A030-6A23122C5DA3}"/>
            </a:ext>
          </a:extLst>
        </xdr:cNvPr>
        <xdr:cNvSpPr/>
      </xdr:nvSpPr>
      <xdr:spPr>
        <a:xfrm>
          <a:off x="15148486" y="215401"/>
          <a:ext cx="1816598" cy="539751"/>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15</xdr:col>
      <xdr:colOff>1045760</xdr:colOff>
      <xdr:row>1</xdr:row>
      <xdr:rowOff>31002</xdr:rowOff>
    </xdr:from>
    <xdr:to>
      <xdr:col>18</xdr:col>
      <xdr:colOff>0</xdr:colOff>
      <xdr:row>3</xdr:row>
      <xdr:rowOff>83920</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1DF8D138-8ABD-441E-A125-D98715A82D1E}"/>
            </a:ext>
          </a:extLst>
        </xdr:cNvPr>
        <xdr:cNvSpPr/>
      </xdr:nvSpPr>
      <xdr:spPr>
        <a:xfrm>
          <a:off x="17280593" y="221502"/>
          <a:ext cx="2059392" cy="539751"/>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14</xdr:col>
      <xdr:colOff>0</xdr:colOff>
      <xdr:row>1</xdr:row>
      <xdr:rowOff>0</xdr:rowOff>
    </xdr:from>
    <xdr:to>
      <xdr:col>16</xdr:col>
      <xdr:colOff>294715</xdr:colOff>
      <xdr:row>3</xdr:row>
      <xdr:rowOff>52918</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953DBC9-294C-4DD6-9684-D9FEA1C41355}"/>
            </a:ext>
          </a:extLst>
        </xdr:cNvPr>
        <xdr:cNvSpPr/>
      </xdr:nvSpPr>
      <xdr:spPr>
        <a:xfrm>
          <a:off x="16849725" y="190500"/>
          <a:ext cx="1818715" cy="53869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610224</xdr:colOff>
      <xdr:row>1</xdr:row>
      <xdr:rowOff>6101</xdr:rowOff>
    </xdr:from>
    <xdr:to>
      <xdr:col>19</xdr:col>
      <xdr:colOff>88339</xdr:colOff>
      <xdr:row>3</xdr:row>
      <xdr:rowOff>59019</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72A07171-6C22-46E7-8F99-BF5DD0E0A3DF}"/>
            </a:ext>
          </a:extLst>
        </xdr:cNvPr>
        <xdr:cNvSpPr/>
      </xdr:nvSpPr>
      <xdr:spPr>
        <a:xfrm>
          <a:off x="18983949" y="196601"/>
          <a:ext cx="1764115" cy="53869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13</xdr:col>
      <xdr:colOff>0</xdr:colOff>
      <xdr:row>1</xdr:row>
      <xdr:rowOff>0</xdr:rowOff>
    </xdr:from>
    <xdr:to>
      <xdr:col>14</xdr:col>
      <xdr:colOff>770965</xdr:colOff>
      <xdr:row>3</xdr:row>
      <xdr:rowOff>52918</xdr:rowOff>
    </xdr:to>
    <xdr:sp macro="" textlink="">
      <xdr:nvSpPr>
        <xdr:cNvPr id="4" name="Rectángulo: esquinas redondeadas 3">
          <a:hlinkClick xmlns:r="http://schemas.openxmlformats.org/officeDocument/2006/relationships" r:id="rId1"/>
          <a:extLst>
            <a:ext uri="{FF2B5EF4-FFF2-40B4-BE49-F238E27FC236}">
              <a16:creationId xmlns:a16="http://schemas.microsoft.com/office/drawing/2014/main" id="{5B8942E1-1D5C-4A44-8658-7682F7D8F950}"/>
            </a:ext>
          </a:extLst>
        </xdr:cNvPr>
        <xdr:cNvSpPr/>
      </xdr:nvSpPr>
      <xdr:spPr>
        <a:xfrm>
          <a:off x="13506450" y="190500"/>
          <a:ext cx="1818715" cy="53869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15</xdr:col>
      <xdr:colOff>210174</xdr:colOff>
      <xdr:row>1</xdr:row>
      <xdr:rowOff>6101</xdr:rowOff>
    </xdr:from>
    <xdr:to>
      <xdr:col>17</xdr:col>
      <xdr:colOff>450289</xdr:colOff>
      <xdr:row>3</xdr:row>
      <xdr:rowOff>59019</xdr:rowOff>
    </xdr:to>
    <xdr:sp macro="" textlink="">
      <xdr:nvSpPr>
        <xdr:cNvPr id="5" name="Rectángulo: esquinas redondeadas 4">
          <a:hlinkClick xmlns:r="http://schemas.openxmlformats.org/officeDocument/2006/relationships" r:id="rId2"/>
          <a:extLst>
            <a:ext uri="{FF2B5EF4-FFF2-40B4-BE49-F238E27FC236}">
              <a16:creationId xmlns:a16="http://schemas.microsoft.com/office/drawing/2014/main" id="{09CF5AF1-0056-458F-8EC5-D67846AE595F}"/>
            </a:ext>
          </a:extLst>
        </xdr:cNvPr>
        <xdr:cNvSpPr/>
      </xdr:nvSpPr>
      <xdr:spPr>
        <a:xfrm>
          <a:off x="15640674" y="196601"/>
          <a:ext cx="1764115" cy="53869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0</xdr:colOff>
      <xdr:row>1</xdr:row>
      <xdr:rowOff>0</xdr:rowOff>
    </xdr:from>
    <xdr:to>
      <xdr:col>10</xdr:col>
      <xdr:colOff>866215</xdr:colOff>
      <xdr:row>3</xdr:row>
      <xdr:rowOff>52918</xdr:rowOff>
    </xdr:to>
    <xdr:sp macro="" textlink="">
      <xdr:nvSpPr>
        <xdr:cNvPr id="4" name="Rectángulo: esquinas redondeadas 3">
          <a:hlinkClick xmlns:r="http://schemas.openxmlformats.org/officeDocument/2006/relationships" r:id="rId1"/>
          <a:extLst>
            <a:ext uri="{FF2B5EF4-FFF2-40B4-BE49-F238E27FC236}">
              <a16:creationId xmlns:a16="http://schemas.microsoft.com/office/drawing/2014/main" id="{BB925087-F54B-4B02-BCE7-A89EDB84994C}"/>
            </a:ext>
          </a:extLst>
        </xdr:cNvPr>
        <xdr:cNvSpPr/>
      </xdr:nvSpPr>
      <xdr:spPr>
        <a:xfrm>
          <a:off x="9382125" y="190500"/>
          <a:ext cx="1818715" cy="53869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11</xdr:col>
      <xdr:colOff>248274</xdr:colOff>
      <xdr:row>1</xdr:row>
      <xdr:rowOff>6101</xdr:rowOff>
    </xdr:from>
    <xdr:to>
      <xdr:col>12</xdr:col>
      <xdr:colOff>936064</xdr:colOff>
      <xdr:row>3</xdr:row>
      <xdr:rowOff>59019</xdr:rowOff>
    </xdr:to>
    <xdr:sp macro="" textlink="">
      <xdr:nvSpPr>
        <xdr:cNvPr id="5" name="Rectángulo: esquinas redondeadas 4">
          <a:hlinkClick xmlns:r="http://schemas.openxmlformats.org/officeDocument/2006/relationships" r:id="rId2"/>
          <a:extLst>
            <a:ext uri="{FF2B5EF4-FFF2-40B4-BE49-F238E27FC236}">
              <a16:creationId xmlns:a16="http://schemas.microsoft.com/office/drawing/2014/main" id="{4437C9AB-F3BF-4B96-AB15-D881C4BC395F}"/>
            </a:ext>
          </a:extLst>
        </xdr:cNvPr>
        <xdr:cNvSpPr/>
      </xdr:nvSpPr>
      <xdr:spPr>
        <a:xfrm>
          <a:off x="11516349" y="196601"/>
          <a:ext cx="1764115" cy="53869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14</xdr:col>
      <xdr:colOff>0</xdr:colOff>
      <xdr:row>1</xdr:row>
      <xdr:rowOff>4483</xdr:rowOff>
    </xdr:from>
    <xdr:to>
      <xdr:col>16</xdr:col>
      <xdr:colOff>112059</xdr:colOff>
      <xdr:row>3</xdr:row>
      <xdr:rowOff>45385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C3655777-41BC-4DFD-A1CB-BEAD3E964D0C}"/>
            </a:ext>
          </a:extLst>
        </xdr:cNvPr>
        <xdr:cNvSpPr/>
      </xdr:nvSpPr>
      <xdr:spPr>
        <a:xfrm>
          <a:off x="12992100"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16</xdr:col>
      <xdr:colOff>443753</xdr:colOff>
      <xdr:row>1</xdr:row>
      <xdr:rowOff>0</xdr:rowOff>
    </xdr:from>
    <xdr:to>
      <xdr:col>18</xdr:col>
      <xdr:colOff>555812</xdr:colOff>
      <xdr:row>3</xdr:row>
      <xdr:rowOff>40902</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1832CB61-F435-4A43-944E-B8DEF4ABCAC1}"/>
            </a:ext>
          </a:extLst>
        </xdr:cNvPr>
        <xdr:cNvSpPr/>
      </xdr:nvSpPr>
      <xdr:spPr>
        <a:xfrm>
          <a:off x="15150353"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20</xdr:col>
      <xdr:colOff>0</xdr:colOff>
      <xdr:row>1</xdr:row>
      <xdr:rowOff>0</xdr:rowOff>
    </xdr:from>
    <xdr:to>
      <xdr:col>22</xdr:col>
      <xdr:colOff>294715</xdr:colOff>
      <xdr:row>3</xdr:row>
      <xdr:rowOff>52918</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CA89699-7D14-4D77-98E0-0817C42B7FB5}"/>
            </a:ext>
          </a:extLst>
        </xdr:cNvPr>
        <xdr:cNvSpPr/>
      </xdr:nvSpPr>
      <xdr:spPr>
        <a:xfrm>
          <a:off x="16563975" y="190500"/>
          <a:ext cx="1818715" cy="53869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Pago de Beneficios</a:t>
          </a:r>
        </a:p>
      </xdr:txBody>
    </xdr:sp>
    <xdr:clientData/>
  </xdr:twoCellAnchor>
  <xdr:twoCellAnchor>
    <xdr:from>
      <xdr:col>22</xdr:col>
      <xdr:colOff>610224</xdr:colOff>
      <xdr:row>1</xdr:row>
      <xdr:rowOff>6101</xdr:rowOff>
    </xdr:from>
    <xdr:to>
      <xdr:col>25</xdr:col>
      <xdr:colOff>88339</xdr:colOff>
      <xdr:row>3</xdr:row>
      <xdr:rowOff>59019</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7221BC1B-4433-48DA-9847-979810A44DDD}"/>
            </a:ext>
          </a:extLst>
        </xdr:cNvPr>
        <xdr:cNvSpPr/>
      </xdr:nvSpPr>
      <xdr:spPr>
        <a:xfrm>
          <a:off x="18698199" y="196601"/>
          <a:ext cx="1764115" cy="538693"/>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04EE63BE-9BA1-4CAD-8975-ED213B9B5E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5903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53BD3A05-9C33-4CC9-A73E-28DF88D2CA85}"/>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18</xdr:col>
      <xdr:colOff>0</xdr:colOff>
      <xdr:row>1</xdr:row>
      <xdr:rowOff>4483</xdr:rowOff>
    </xdr:from>
    <xdr:to>
      <xdr:col>20</xdr:col>
      <xdr:colOff>616884</xdr:colOff>
      <xdr:row>3</xdr:row>
      <xdr:rowOff>45385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A991DD41-B2B1-4C41-8917-0E43E98A9BAA}"/>
            </a:ext>
          </a:extLst>
        </xdr:cNvPr>
        <xdr:cNvSpPr/>
      </xdr:nvSpPr>
      <xdr:spPr>
        <a:xfrm>
          <a:off x="14411325"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21</xdr:col>
      <xdr:colOff>310404</xdr:colOff>
      <xdr:row>1</xdr:row>
      <xdr:rowOff>0</xdr:rowOff>
    </xdr:from>
    <xdr:to>
      <xdr:col>24</xdr:col>
      <xdr:colOff>19051</xdr:colOff>
      <xdr:row>3</xdr:row>
      <xdr:rowOff>40902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82A46C8B-0619-401E-9E16-F47403B7AECF}"/>
            </a:ext>
          </a:extLst>
        </xdr:cNvPr>
        <xdr:cNvSpPr/>
      </xdr:nvSpPr>
      <xdr:spPr>
        <a:xfrm>
          <a:off x="17693529" y="190500"/>
          <a:ext cx="1908922"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17</xdr:col>
      <xdr:colOff>581025</xdr:colOff>
      <xdr:row>1</xdr:row>
      <xdr:rowOff>295275</xdr:rowOff>
    </xdr:from>
    <xdr:to>
      <xdr:col>19</xdr:col>
      <xdr:colOff>619125</xdr:colOff>
      <xdr:row>3</xdr:row>
      <xdr:rowOff>28575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BAF3CBE5-9368-4CD1-89E3-BEBF1F55430A}"/>
            </a:ext>
          </a:extLst>
        </xdr:cNvPr>
        <xdr:cNvSpPr/>
      </xdr:nvSpPr>
      <xdr:spPr>
        <a:xfrm>
          <a:off x="13544550" y="485775"/>
          <a:ext cx="1581150" cy="257175"/>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14</xdr:col>
      <xdr:colOff>0</xdr:colOff>
      <xdr:row>1</xdr:row>
      <xdr:rowOff>4483</xdr:rowOff>
    </xdr:from>
    <xdr:to>
      <xdr:col>16</xdr:col>
      <xdr:colOff>283509</xdr:colOff>
      <xdr:row>3</xdr:row>
      <xdr:rowOff>45385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9A3198D2-9449-42CB-B258-42573E63347F}"/>
            </a:ext>
          </a:extLst>
        </xdr:cNvPr>
        <xdr:cNvSpPr/>
      </xdr:nvSpPr>
      <xdr:spPr>
        <a:xfrm>
          <a:off x="13344525"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16</xdr:col>
      <xdr:colOff>615203</xdr:colOff>
      <xdr:row>1</xdr:row>
      <xdr:rowOff>0</xdr:rowOff>
    </xdr:from>
    <xdr:to>
      <xdr:col>19</xdr:col>
      <xdr:colOff>247650</xdr:colOff>
      <xdr:row>3</xdr:row>
      <xdr:rowOff>40902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54443937-F1FA-4EAA-B0D3-4007F25E14EC}"/>
            </a:ext>
          </a:extLst>
        </xdr:cNvPr>
        <xdr:cNvSpPr/>
      </xdr:nvSpPr>
      <xdr:spPr>
        <a:xfrm>
          <a:off x="14340728" y="190500"/>
          <a:ext cx="1851772"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15</xdr:col>
      <xdr:colOff>581025</xdr:colOff>
      <xdr:row>0</xdr:row>
      <xdr:rowOff>118783</xdr:rowOff>
    </xdr:from>
    <xdr:to>
      <xdr:col>18</xdr:col>
      <xdr:colOff>302559</xdr:colOff>
      <xdr:row>2</xdr:row>
      <xdr:rowOff>159685</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B7F8DDDD-2558-4322-83F0-7989120C05FD}"/>
            </a:ext>
          </a:extLst>
        </xdr:cNvPr>
        <xdr:cNvSpPr/>
      </xdr:nvSpPr>
      <xdr:spPr>
        <a:xfrm>
          <a:off x="13649325" y="118783"/>
          <a:ext cx="1969434"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18</xdr:col>
      <xdr:colOff>544606</xdr:colOff>
      <xdr:row>0</xdr:row>
      <xdr:rowOff>121024</xdr:rowOff>
    </xdr:from>
    <xdr:to>
      <xdr:col>21</xdr:col>
      <xdr:colOff>523315</xdr:colOff>
      <xdr:row>2</xdr:row>
      <xdr:rowOff>161926</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B0CDF8DF-538E-4241-8544-C932C06489C0}"/>
            </a:ext>
          </a:extLst>
        </xdr:cNvPr>
        <xdr:cNvSpPr/>
      </xdr:nvSpPr>
      <xdr:spPr>
        <a:xfrm>
          <a:off x="17633577" y="121024"/>
          <a:ext cx="1827679" cy="522755"/>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11</xdr:col>
      <xdr:colOff>581025</xdr:colOff>
      <xdr:row>0</xdr:row>
      <xdr:rowOff>90208</xdr:rowOff>
    </xdr:from>
    <xdr:to>
      <xdr:col>14</xdr:col>
      <xdr:colOff>93009</xdr:colOff>
      <xdr:row>2</xdr:row>
      <xdr:rowOff>131110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B2ABEBBC-F3B7-4016-B890-0A1F3CDB9EC2}"/>
            </a:ext>
          </a:extLst>
        </xdr:cNvPr>
        <xdr:cNvSpPr/>
      </xdr:nvSpPr>
      <xdr:spPr>
        <a:xfrm>
          <a:off x="13154025" y="90208"/>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14</xdr:col>
      <xdr:colOff>329453</xdr:colOff>
      <xdr:row>0</xdr:row>
      <xdr:rowOff>95250</xdr:rowOff>
    </xdr:from>
    <xdr:to>
      <xdr:col>16</xdr:col>
      <xdr:colOff>693964</xdr:colOff>
      <xdr:row>2</xdr:row>
      <xdr:rowOff>136152</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060C2FB0-0F2E-4E55-B49A-68135D333053}"/>
            </a:ext>
          </a:extLst>
        </xdr:cNvPr>
        <xdr:cNvSpPr/>
      </xdr:nvSpPr>
      <xdr:spPr>
        <a:xfrm>
          <a:off x="13256239" y="95250"/>
          <a:ext cx="1915725" cy="530759"/>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18</xdr:col>
      <xdr:colOff>0</xdr:colOff>
      <xdr:row>1</xdr:row>
      <xdr:rowOff>4483</xdr:rowOff>
    </xdr:from>
    <xdr:to>
      <xdr:col>20</xdr:col>
      <xdr:colOff>283509</xdr:colOff>
      <xdr:row>3</xdr:row>
      <xdr:rowOff>45385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0112C864-7225-48DA-832D-EE0E42C06B58}"/>
            </a:ext>
          </a:extLst>
        </xdr:cNvPr>
        <xdr:cNvSpPr/>
      </xdr:nvSpPr>
      <xdr:spPr>
        <a:xfrm>
          <a:off x="14744700" y="194983"/>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20</xdr:col>
      <xdr:colOff>615203</xdr:colOff>
      <xdr:row>1</xdr:row>
      <xdr:rowOff>0</xdr:rowOff>
    </xdr:from>
    <xdr:to>
      <xdr:col>23</xdr:col>
      <xdr:colOff>127187</xdr:colOff>
      <xdr:row>3</xdr:row>
      <xdr:rowOff>40902</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5D01AC81-5BBA-42CA-BEE2-6FCBE6F3F545}"/>
            </a:ext>
          </a:extLst>
        </xdr:cNvPr>
        <xdr:cNvSpPr/>
      </xdr:nvSpPr>
      <xdr:spPr>
        <a:xfrm>
          <a:off x="16902953" y="1905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15</xdr:col>
      <xdr:colOff>0</xdr:colOff>
      <xdr:row>1</xdr:row>
      <xdr:rowOff>4483</xdr:rowOff>
    </xdr:from>
    <xdr:to>
      <xdr:col>17</xdr:col>
      <xdr:colOff>302559</xdr:colOff>
      <xdr:row>3</xdr:row>
      <xdr:rowOff>95250</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9FCEF562-4963-4399-8248-B655AF1B3E65}"/>
            </a:ext>
          </a:extLst>
        </xdr:cNvPr>
        <xdr:cNvSpPr/>
      </xdr:nvSpPr>
      <xdr:spPr>
        <a:xfrm>
          <a:off x="12982575" y="194983"/>
          <a:ext cx="1826559" cy="576542"/>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Estado de Solicitudes</a:t>
          </a:r>
        </a:p>
      </xdr:txBody>
    </xdr:sp>
    <xdr:clientData/>
  </xdr:twoCellAnchor>
  <xdr:twoCellAnchor>
    <xdr:from>
      <xdr:col>17</xdr:col>
      <xdr:colOff>634253</xdr:colOff>
      <xdr:row>1</xdr:row>
      <xdr:rowOff>0</xdr:rowOff>
    </xdr:from>
    <xdr:to>
      <xdr:col>20</xdr:col>
      <xdr:colOff>174812</xdr:colOff>
      <xdr:row>3</xdr:row>
      <xdr:rowOff>104775</xdr:rowOff>
    </xdr:to>
    <xdr:sp macro="" textlink="">
      <xdr:nvSpPr>
        <xdr:cNvPr id="4" name="Rectángulo: esquinas redondeadas 3">
          <a:hlinkClick xmlns:r="http://schemas.openxmlformats.org/officeDocument/2006/relationships" r:id="rId2"/>
          <a:extLst>
            <a:ext uri="{FF2B5EF4-FFF2-40B4-BE49-F238E27FC236}">
              <a16:creationId xmlns:a16="http://schemas.microsoft.com/office/drawing/2014/main" id="{12FB234A-E202-4D46-B999-A5A9AD4674A1}"/>
            </a:ext>
          </a:extLst>
        </xdr:cNvPr>
        <xdr:cNvSpPr/>
      </xdr:nvSpPr>
      <xdr:spPr>
        <a:xfrm>
          <a:off x="15140828" y="190500"/>
          <a:ext cx="1826559" cy="5905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4B566E95-CD21-4C0A-AC8A-3E69A869F8B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8951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95C860F3-33CA-4502-8A1D-9A6B8F0598E3}"/>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10</xdr:col>
      <xdr:colOff>0</xdr:colOff>
      <xdr:row>1</xdr:row>
      <xdr:rowOff>0</xdr:rowOff>
    </xdr:from>
    <xdr:to>
      <xdr:col>12</xdr:col>
      <xdr:colOff>302559</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E25C2244-E505-4AEC-8929-6543DEEE3461}"/>
            </a:ext>
          </a:extLst>
        </xdr:cNvPr>
        <xdr:cNvSpPr/>
      </xdr:nvSpPr>
      <xdr:spPr>
        <a:xfrm>
          <a:off x="13115925" y="190500"/>
          <a:ext cx="1826559"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s-CL" sz="1200" b="1"/>
            <a:t>Volver al Índice de Bono</a:t>
          </a:r>
          <a:r>
            <a:rPr lang="es-CL" sz="1200" b="1" baseline="0"/>
            <a:t> por Hijo</a:t>
          </a:r>
          <a:endParaRPr lang="es-CL" sz="1200" b="1"/>
        </a:p>
      </xdr:txBody>
    </xdr:sp>
    <xdr:clientData/>
  </xdr:twoCellAnchor>
  <xdr:twoCellAnchor>
    <xdr:from>
      <xdr:col>12</xdr:col>
      <xdr:colOff>634253</xdr:colOff>
      <xdr:row>1</xdr:row>
      <xdr:rowOff>19051</xdr:rowOff>
    </xdr:from>
    <xdr:to>
      <xdr:col>15</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205873BD-5CC1-4585-8C8C-5B7A6114AFA5}"/>
            </a:ext>
          </a:extLst>
        </xdr:cNvPr>
        <xdr:cNvSpPr/>
      </xdr:nvSpPr>
      <xdr:spPr>
        <a:xfrm>
          <a:off x="15274178"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22860</xdr:colOff>
      <xdr:row>0</xdr:row>
      <xdr:rowOff>22860</xdr:rowOff>
    </xdr:from>
    <xdr:to>
      <xdr:col>0</xdr:col>
      <xdr:colOff>861060</xdr:colOff>
      <xdr:row>4</xdr:row>
      <xdr:rowOff>50377</xdr:rowOff>
    </xdr:to>
    <xdr:pic>
      <xdr:nvPicPr>
        <xdr:cNvPr id="2" name="Imagen 1">
          <a:extLst>
            <a:ext uri="{FF2B5EF4-FFF2-40B4-BE49-F238E27FC236}">
              <a16:creationId xmlns:a16="http://schemas.microsoft.com/office/drawing/2014/main" id="{8CBB07F5-11C5-4EDC-8C5F-EF9C859F4CF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2860" y="22860"/>
          <a:ext cx="838200" cy="789517"/>
        </a:xfrm>
        <a:prstGeom prst="rect">
          <a:avLst/>
        </a:prstGeom>
      </xdr:spPr>
    </xdr:pic>
    <xdr:clientData/>
  </xdr:twoCellAnchor>
  <xdr:twoCellAnchor>
    <xdr:from>
      <xdr:col>16</xdr:col>
      <xdr:colOff>634253</xdr:colOff>
      <xdr:row>2</xdr:row>
      <xdr:rowOff>0</xdr:rowOff>
    </xdr:from>
    <xdr:to>
      <xdr:col>19</xdr:col>
      <xdr:colOff>174812</xdr:colOff>
      <xdr:row>4</xdr:row>
      <xdr:rowOff>145677</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648595C-3590-4984-8113-ED9058951528}"/>
            </a:ext>
          </a:extLst>
        </xdr:cNvPr>
        <xdr:cNvSpPr/>
      </xdr:nvSpPr>
      <xdr:spPr>
        <a:xfrm>
          <a:off x="13026278" y="381000"/>
          <a:ext cx="1826559" cy="526677"/>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12</xdr:col>
      <xdr:colOff>0</xdr:colOff>
      <xdr:row>1</xdr:row>
      <xdr:rowOff>0</xdr:rowOff>
    </xdr:from>
    <xdr:to>
      <xdr:col>14</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2D47391D-2BFE-4981-93E6-B8906BBF1E7D}"/>
            </a:ext>
          </a:extLst>
        </xdr:cNvPr>
        <xdr:cNvSpPr/>
      </xdr:nvSpPr>
      <xdr:spPr>
        <a:xfrm>
          <a:off x="1026795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14</xdr:col>
      <xdr:colOff>634253</xdr:colOff>
      <xdr:row>1</xdr:row>
      <xdr:rowOff>19051</xdr:rowOff>
    </xdr:from>
    <xdr:to>
      <xdr:col>17</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5E2C426-6E31-4C68-8B72-7B28DD09CFFB}"/>
            </a:ext>
          </a:extLst>
        </xdr:cNvPr>
        <xdr:cNvSpPr/>
      </xdr:nvSpPr>
      <xdr:spPr>
        <a:xfrm>
          <a:off x="1242620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14</xdr:col>
      <xdr:colOff>0</xdr:colOff>
      <xdr:row>1</xdr:row>
      <xdr:rowOff>0</xdr:rowOff>
    </xdr:from>
    <xdr:to>
      <xdr:col>16</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F60D2EA1-A353-488C-AD9A-FBD895ADD340}"/>
            </a:ext>
          </a:extLst>
        </xdr:cNvPr>
        <xdr:cNvSpPr/>
      </xdr:nvSpPr>
      <xdr:spPr>
        <a:xfrm>
          <a:off x="1072515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16</xdr:col>
      <xdr:colOff>634253</xdr:colOff>
      <xdr:row>1</xdr:row>
      <xdr:rowOff>19051</xdr:rowOff>
    </xdr:from>
    <xdr:to>
      <xdr:col>19</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7FA1B076-90DA-47C3-B05A-6C73F7033699}"/>
            </a:ext>
          </a:extLst>
        </xdr:cNvPr>
        <xdr:cNvSpPr/>
      </xdr:nvSpPr>
      <xdr:spPr>
        <a:xfrm>
          <a:off x="1288340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14</xdr:col>
      <xdr:colOff>0</xdr:colOff>
      <xdr:row>1</xdr:row>
      <xdr:rowOff>0</xdr:rowOff>
    </xdr:from>
    <xdr:to>
      <xdr:col>16</xdr:col>
      <xdr:colOff>447675</xdr:colOff>
      <xdr:row>3</xdr:row>
      <xdr:rowOff>85725</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E659881F-1285-4D30-99D5-5AF56F86B7B1}"/>
            </a:ext>
          </a:extLst>
        </xdr:cNvPr>
        <xdr:cNvSpPr/>
      </xdr:nvSpPr>
      <xdr:spPr>
        <a:xfrm>
          <a:off x="10858500" y="190500"/>
          <a:ext cx="1971675" cy="57150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b="1"/>
            <a:t>Volver al Índice de Subsidio al Trabajador Joven</a:t>
          </a:r>
        </a:p>
      </xdr:txBody>
    </xdr:sp>
    <xdr:clientData/>
  </xdr:twoCellAnchor>
  <xdr:twoCellAnchor>
    <xdr:from>
      <xdr:col>16</xdr:col>
      <xdr:colOff>634253</xdr:colOff>
      <xdr:row>1</xdr:row>
      <xdr:rowOff>19051</xdr:rowOff>
    </xdr:from>
    <xdr:to>
      <xdr:col>19</xdr:col>
      <xdr:colOff>174812</xdr:colOff>
      <xdr:row>3</xdr:row>
      <xdr:rowOff>85726</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F6771F69-81E7-4CE6-ADC2-6B6B03CDAADB}"/>
            </a:ext>
          </a:extLst>
        </xdr:cNvPr>
        <xdr:cNvSpPr/>
      </xdr:nvSpPr>
      <xdr:spPr>
        <a:xfrm>
          <a:off x="13016753" y="209551"/>
          <a:ext cx="1826559" cy="552450"/>
        </a:xfrm>
        <a:prstGeom prst="roundRect">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200" b="1"/>
            <a:t>Volver al Índice General</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371475</xdr:colOff>
      <xdr:row>44</xdr:row>
      <xdr:rowOff>119063</xdr:rowOff>
    </xdr:from>
    <xdr:to>
      <xdr:col>6</xdr:col>
      <xdr:colOff>552450</xdr:colOff>
      <xdr:row>59</xdr:row>
      <xdr:rowOff>147638</xdr:rowOff>
    </xdr:to>
    <xdr:graphicFrame macro="">
      <xdr:nvGraphicFramePr>
        <xdr:cNvPr id="2" name="Gráfico 1">
          <a:extLst>
            <a:ext uri="{FF2B5EF4-FFF2-40B4-BE49-F238E27FC236}">
              <a16:creationId xmlns:a16="http://schemas.microsoft.com/office/drawing/2014/main" id="{4EB7B7AC-42E2-4F27-B51A-DA44C4C85F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647700</xdr:colOff>
      <xdr:row>1</xdr:row>
      <xdr:rowOff>19050</xdr:rowOff>
    </xdr:from>
    <xdr:to>
      <xdr:col>17</xdr:col>
      <xdr:colOff>704850</xdr:colOff>
      <xdr:row>1</xdr:row>
      <xdr:rowOff>276225</xdr:rowOff>
    </xdr:to>
    <xdr:sp macro="" textlink="">
      <xdr:nvSpPr>
        <xdr:cNvPr id="3" name="Rectángulo: esquinas redondeadas 2">
          <a:hlinkClick xmlns:r="http://schemas.openxmlformats.org/officeDocument/2006/relationships" r:id="rId2"/>
          <a:extLst>
            <a:ext uri="{FF2B5EF4-FFF2-40B4-BE49-F238E27FC236}">
              <a16:creationId xmlns:a16="http://schemas.microsoft.com/office/drawing/2014/main" id="{A7B75B4F-F28B-46A9-A6E5-1A01AFD02889}"/>
            </a:ext>
          </a:extLst>
        </xdr:cNvPr>
        <xdr:cNvSpPr/>
      </xdr:nvSpPr>
      <xdr:spPr>
        <a:xfrm>
          <a:off x="11525250" y="209550"/>
          <a:ext cx="1581150" cy="257175"/>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9</xdr:col>
      <xdr:colOff>1266825</xdr:colOff>
      <xdr:row>1</xdr:row>
      <xdr:rowOff>219075</xdr:rowOff>
    </xdr:from>
    <xdr:to>
      <xdr:col>11</xdr:col>
      <xdr:colOff>19050</xdr:colOff>
      <xdr:row>3</xdr:row>
      <xdr:rowOff>0</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8555F16E-9F7B-485A-97AA-B082B8C0CB07}"/>
            </a:ext>
          </a:extLst>
        </xdr:cNvPr>
        <xdr:cNvSpPr/>
      </xdr:nvSpPr>
      <xdr:spPr>
        <a:xfrm>
          <a:off x="9591675" y="476250"/>
          <a:ext cx="1543050" cy="266700"/>
        </a:xfrm>
        <a:prstGeom prst="roundRect">
          <a:avLst/>
        </a:prstGeom>
        <a:solidFill>
          <a:schemeClr val="tx2"/>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s-CL" sz="1100"/>
            <a:t>Volver al índice</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3.757489699077" createdVersion="8" refreshedVersion="8" minRefreshableVersion="3" recordCount="174" xr:uid="{C3EA468B-1E4E-44FE-8BD2-BA39CA187CA5}">
  <cacheSource type="worksheet">
    <worksheetSource ref="N259:AI433" sheet="1.4"/>
  </cacheSource>
  <cacheFields count="25">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24"/>
    </cacheField>
    <cacheField name="HOMBRE" numFmtId="165">
      <sharedItems containsSemiMixedTypes="0" containsString="0" containsNumber="1" containsInteger="1" minValue="0" maxValue="18646277906"/>
    </cacheField>
    <cacheField name="MUJER" numFmtId="165">
      <sharedItems containsSemiMixedTypes="0" containsString="0" containsNumber="1" containsInteger="1" minValue="0" maxValue="54315078550"/>
    </cacheField>
    <cacheField name="TOTAL" numFmtId="165">
      <sharedItems containsSemiMixedTypes="0" containsString="0" containsNumber="1" containsInteger="1" minValue="0" maxValue="72961356456"/>
    </cacheField>
    <cacheField name="HOMBRE2" numFmtId="165">
      <sharedItems containsSemiMixedTypes="0" containsString="0" containsNumber="1" containsInteger="1" minValue="5056680000" maxValue="15816186175"/>
    </cacheField>
    <cacheField name="MUJER2" numFmtId="165">
      <sharedItems containsSemiMixedTypes="0" containsString="0" containsNumber="1" containsInteger="1" minValue="6505980000" maxValue="20154801071"/>
    </cacheField>
    <cacheField name="TOTAL2" numFmtId="165">
      <sharedItems containsSemiMixedTypes="0" containsString="0" containsNumber="1" containsInteger="1" minValue="11562660000" maxValue="35970023334"/>
    </cacheField>
    <cacheField name="HOMBRE3" numFmtId="165">
      <sharedItems containsSemiMixedTypes="0" containsString="0" containsNumber="1" containsInteger="1" minValue="11141880000" maxValue="32683185940"/>
    </cacheField>
    <cacheField name="MUJER3" numFmtId="165">
      <sharedItems containsSemiMixedTypes="0" containsString="0" containsNumber="1" containsInteger="1" minValue="17854980000" maxValue="72380608686"/>
    </cacheField>
    <cacheField name="TOTAL3" numFmtId="165">
      <sharedItems containsSemiMixedTypes="0" containsString="0" containsNumber="1" containsInteger="1" minValue="28996860000" maxValue="105063794626"/>
    </cacheField>
    <cacheField name="IPC PERIODO" numFmtId="167">
      <sharedItems containsSemiMixedTypes="0" containsString="0" containsNumber="1" minValue="75.903217299999994" maxValue="129.01505570699999"/>
    </cacheField>
    <cacheField name="IPC DICIEMBRE 2022" numFmtId="167">
      <sharedItems containsSemiMixedTypes="0" containsString="0" containsNumber="1" minValue="129.01505570699999" maxValue="129.01505570699999"/>
    </cacheField>
    <cacheField name="COEF. DEFLACTOR" numFmtId="43">
      <sharedItems containsSemiMixedTypes="0" containsString="0" containsNumber="1" minValue="1" maxValue="1.6997310561564298"/>
    </cacheField>
    <cacheField name="PBSV_HOMBRE" numFmtId="43">
      <sharedItems containsSemiMixedTypes="0" containsString="0" containsNumber="1" minValue="0" maxValue="16731658091.126375"/>
    </cacheField>
    <cacheField name="PBSV_MUJER" numFmtId="43">
      <sharedItems containsSemiMixedTypes="0" containsString="0" containsNumber="1" minValue="0" maxValue="48737948027.624557"/>
    </cacheField>
    <cacheField name="PBSV_TOTAL" numFmtId="43">
      <sharedItems containsSemiMixedTypes="0" containsString="0" containsNumber="1" minValue="0" maxValue="65469606118.750931"/>
    </cacheField>
    <cacheField name="PBSI_HOMBRE" numFmtId="43">
      <sharedItems containsSemiMixedTypes="0" containsString="0" containsNumber="1" minValue="2976339157.5564561" maxValue="15816186175"/>
    </cacheField>
    <cacheField name="PBSI_MUJER" numFmtId="43">
      <sharedItems containsSemiMixedTypes="0" containsString="0" containsNumber="1" minValue="3829390634.2262421" maxValue="20153837159"/>
    </cacheField>
    <cacheField name="PBSI_TOTAL" numFmtId="43">
      <sharedItems containsSemiMixedTypes="0" containsString="0" containsNumber="1" minValue="6805729791.7826977" maxValue="35970023334"/>
    </cacheField>
    <cacheField name="PBS_HOMBRE" numFmtId="43">
      <sharedItems containsSemiMixedTypes="0" containsString="0" containsNumber="1" minValue="6558060571.9157887" maxValue="29327241352.593231"/>
    </cacheField>
    <cacheField name="PBS_MUJER" numFmtId="43">
      <sharedItems containsSemiMixedTypes="0" containsString="0" containsNumber="1" minValue="10509361108.748699" maxValue="64948490152.66864"/>
    </cacheField>
    <cacheField name="PBS_TOTAL" numFmtId="43">
      <sharedItems containsSemiMixedTypes="0" containsString="0" containsNumber="1" minValue="17067421680.664488" maxValue="94275731505.261871"/>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497304166667" createdVersion="8" refreshedVersion="8" minRefreshableVersion="3" recordCount="174" xr:uid="{FAD5FDC5-4708-403A-9431-7EC95B3CF5CE}">
  <cacheSource type="worksheet">
    <worksheetSource ref="B259:K433" sheet="1.4"/>
  </cacheSource>
  <cacheFields count="13">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12"/>
    </cacheField>
    <cacheField name="PBS VEJEZ HOMBRE" numFmtId="165">
      <sharedItems containsSemiMixedTypes="0" containsString="0" containsNumber="1" containsInteger="1" minValue="0" maxValue="120331"/>
    </cacheField>
    <cacheField name="PBS VEJEZ MUJER" numFmtId="165">
      <sharedItems containsSemiMixedTypes="0" containsString="0" containsNumber="1" containsInteger="1" minValue="0" maxValue="309032" count="162">
        <n v="189150"/>
        <n v="190466"/>
        <n v="221382"/>
        <n v="230808"/>
        <n v="236178"/>
        <n v="244815"/>
        <n v="249383"/>
        <n v="251808"/>
        <n v="254074"/>
        <n v="255795"/>
        <n v="258094"/>
        <n v="260086"/>
        <n v="261334"/>
        <n v="261917"/>
        <n v="267244"/>
        <n v="273548"/>
        <n v="275060"/>
        <n v="278864"/>
        <n v="281175"/>
        <n v="280040"/>
        <n v="282275"/>
        <n v="283343"/>
        <n v="283931"/>
        <n v="284810"/>
        <n v="285566"/>
        <n v="286679"/>
        <n v="286024"/>
        <n v="286401"/>
        <n v="286938"/>
        <n v="287654"/>
        <n v="288408"/>
        <n v="288069"/>
        <n v="288568"/>
        <n v="285145"/>
        <n v="287109"/>
        <n v="287551"/>
        <n v="286810"/>
        <n v="287169"/>
        <n v="287346"/>
        <n v="285805"/>
        <n v="284570"/>
        <n v="287245"/>
        <n v="287462"/>
        <n v="288141"/>
        <n v="288041"/>
        <n v="288120"/>
        <n v="288068"/>
        <n v="288374"/>
        <n v="288929"/>
        <n v="287830"/>
        <n v="287533"/>
        <n v="288146"/>
        <n v="288062"/>
        <n v="290081"/>
        <n v="291117"/>
        <n v="291221"/>
        <n v="290983"/>
        <n v="291102"/>
        <n v="287944"/>
        <n v="287746"/>
        <n v="286900"/>
        <n v="286299"/>
        <n v="287419"/>
        <n v="287421"/>
        <n v="288032"/>
        <n v="288459"/>
        <n v="287495"/>
        <n v="285935"/>
        <n v="286445"/>
        <n v="287373"/>
        <n v="287751"/>
        <n v="288957"/>
        <n v="289553"/>
        <n v="289755"/>
        <n v="289334"/>
        <n v="289527"/>
        <n v="289642"/>
        <n v="290598"/>
        <n v="288077"/>
        <n v="288289"/>
        <n v="288868"/>
        <n v="289236"/>
        <n v="289051"/>
        <n v="289446"/>
        <n v="289186"/>
        <n v="289306"/>
        <n v="289406"/>
        <n v="289596"/>
        <n v="289818"/>
        <n v="289772"/>
        <n v="290041"/>
        <n v="289522"/>
        <n v="290006"/>
        <n v="290387"/>
        <n v="290710"/>
        <n v="290754"/>
        <n v="290722"/>
        <n v="290590"/>
        <n v="290392"/>
        <n v="290974"/>
        <n v="290606"/>
        <n v="291095"/>
        <n v="291502"/>
        <n v="291371"/>
        <n v="291764"/>
        <n v="292373"/>
        <n v="291766"/>
        <n v="291786"/>
        <n v="291749"/>
        <n v="291575"/>
        <n v="291941"/>
        <n v="292377"/>
        <n v="292583"/>
        <n v="293042"/>
        <n v="293567"/>
        <n v="294247"/>
        <n v="294732"/>
        <n v="295169"/>
        <n v="295634"/>
        <n v="295924"/>
        <n v="296093"/>
        <n v="296516"/>
        <n v="297058"/>
        <n v="297497"/>
        <n v="298080"/>
        <n v="298635"/>
        <n v="299080"/>
        <n v="299513"/>
        <n v="299970"/>
        <n v="299952"/>
        <n v="300192"/>
        <n v="300148"/>
        <n v="300285"/>
        <n v="300301"/>
        <n v="300782"/>
        <n v="300920"/>
        <n v="301556"/>
        <n v="302529"/>
        <n v="302939"/>
        <n v="303117"/>
        <n v="303106"/>
        <n v="303034"/>
        <n v="303114"/>
        <n v="302726"/>
        <n v="302786"/>
        <n v="302124"/>
        <n v="302029"/>
        <n v="302560"/>
        <n v="303535"/>
        <n v="303509"/>
        <n v="303836"/>
        <n v="304229"/>
        <n v="304427"/>
        <n v="304385"/>
        <n v="304412"/>
        <n v="304998"/>
        <n v="305471"/>
        <n v="306429"/>
        <n v="307296"/>
        <n v="308126"/>
        <n v="309032"/>
        <n v="0"/>
      </sharedItems>
    </cacheField>
    <cacheField name="PBS VEJEZ TOTAL" numFmtId="165">
      <sharedItems containsSemiMixedTypes="0" containsString="0" containsNumber="1" containsInteger="1" minValue="0" maxValue="414941"/>
    </cacheField>
    <cacheField name="PBS INVALIDEZ HOMBRE" numFmtId="165">
      <sharedItems containsSemiMixedTypes="0" containsString="0" containsNumber="1" containsInteger="1" minValue="74385" maxValue="90089"/>
    </cacheField>
    <cacheField name="PBS INVALIDEZ MUJER" numFmtId="165">
      <sharedItems containsSemiMixedTypes="0" containsString="0" containsNumber="1" containsInteger="1" minValue="102248" maxValue="126450"/>
    </cacheField>
    <cacheField name="PBS INVALIDEZ TOTAL" numFmtId="165">
      <sharedItems containsSemiMixedTypes="0" containsString="0" containsNumber="1" containsInteger="1" minValue="179362" maxValue="216539"/>
    </cacheField>
    <cacheField name="PBS TOTAL HOMBRE" numFmtId="165">
      <sharedItems containsSemiMixedTypes="0" containsString="0" containsNumber="1" containsInteger="1" minValue="79908" maxValue="210267"/>
    </cacheField>
    <cacheField name="PBS TOTAL MUJER" numFmtId="165">
      <sharedItems containsSemiMixedTypes="0" containsString="0" containsNumber="1" containsInteger="1" minValue="102632" maxValue="414798"/>
    </cacheField>
    <cacheField name="PBS TOTAL TOTAL" numFmtId="165">
      <sharedItems containsSemiMixedTypes="0" containsString="0" containsNumber="1" containsInteger="1" minValue="182599" maxValue="624344"/>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664281365738" createdVersion="8" refreshedVersion="8" minRefreshableVersion="3" recordCount="174" xr:uid="{EA320DF1-B4AC-46D6-B636-2778C20F3186}">
  <cacheSource type="worksheet">
    <worksheetSource ref="B261:AO435" sheet="1.5"/>
  </cacheSource>
  <cacheFields count="43">
    <cacheField name="PERIODO" numFmtId="17">
      <sharedItems containsSemiMixedTypes="0" containsNonDate="0" containsDate="1" containsString="0" minDate="2008-07-01T00:00:00" maxDate="2022-12-02T00:00:00" count="174">
        <d v="2008-07-01T00:00:00"/>
        <d v="2008-08-01T00:00:00"/>
        <d v="2008-09-01T00:00:00"/>
        <d v="2008-10-01T00:00:00"/>
        <d v="2008-11-01T00:00:00"/>
        <d v="2008-12-01T00:00:00"/>
        <d v="2009-01-01T00:00:00"/>
        <d v="2009-02-01T00:00:00"/>
        <d v="2009-03-01T00:00:00"/>
        <d v="2009-04-01T00:00:00"/>
        <d v="2009-05-01T00:00:00"/>
        <d v="2009-06-01T00:00:00"/>
        <d v="2009-07-01T00:00:00"/>
        <d v="2009-08-01T00:00:00"/>
        <d v="2009-09-01T00:00:00"/>
        <d v="2009-10-01T00:00:00"/>
        <d v="2009-11-01T00:00:00"/>
        <d v="2009-12-01T00:00:00"/>
        <d v="2010-01-01T00:00:00"/>
        <d v="2010-02-01T00:00:00"/>
        <d v="2010-03-01T00:00:00"/>
        <d v="2010-04-01T00:00:00"/>
        <d v="2010-05-01T00:00:00"/>
        <d v="2010-06-01T00:00:00"/>
        <d v="2010-07-01T00:00:00"/>
        <d v="2010-08-01T00:00:00"/>
        <d v="2010-09-01T00:00:00"/>
        <d v="2010-10-01T00:00:00"/>
        <d v="2010-11-01T00:00:00"/>
        <d v="2010-12-01T00:00:00"/>
        <d v="2011-01-01T00:00:00"/>
        <d v="2011-02-01T00:00:00"/>
        <d v="2011-03-01T00:00:00"/>
        <d v="2011-04-01T00:00:00"/>
        <d v="2011-05-01T00:00:00"/>
        <d v="2011-06-01T00:00:00"/>
        <d v="2011-07-01T00:00:00"/>
        <d v="2011-08-01T00:00:00"/>
        <d v="2011-09-01T00:00:00"/>
        <d v="2011-10-01T00:00:00"/>
        <d v="2011-11-01T00:00:00"/>
        <d v="2011-12-01T00:00:00"/>
        <d v="2012-01-01T00:00:00"/>
        <d v="2012-02-01T00:00:00"/>
        <d v="2012-03-01T00:00:00"/>
        <d v="2012-04-01T00:00:00"/>
        <d v="2012-05-01T00:00:00"/>
        <d v="2012-06-01T00:00:00"/>
        <d v="2012-07-01T00:00:00"/>
        <d v="2012-08-01T00:00:00"/>
        <d v="2012-09-01T00:00:00"/>
        <d v="2012-10-01T00:00:00"/>
        <d v="2012-11-01T00:00:00"/>
        <d v="2012-12-01T00:00:00"/>
        <d v="2013-01-01T00:00:00"/>
        <d v="2013-02-01T00:00:00"/>
        <d v="2013-03-01T00:00:00"/>
        <d v="2013-04-01T00:00:00"/>
        <d v="2013-05-01T00:00:00"/>
        <d v="2013-06-01T00:00:00"/>
        <d v="2013-07-01T00:00:00"/>
        <d v="2013-08-01T00:00:00"/>
        <d v="2013-09-01T00:00:00"/>
        <d v="2013-10-01T00:00:00"/>
        <d v="2013-11-01T00:00:00"/>
        <d v="2013-12-01T00:00:00"/>
        <d v="2014-01-01T00:00:00"/>
        <d v="2014-02-01T00:00:00"/>
        <d v="2014-03-01T00:00:00"/>
        <d v="2014-04-01T00:00:00"/>
        <d v="2014-05-01T00:00:00"/>
        <d v="2014-06-01T00:00:00"/>
        <d v="2014-07-01T00:00:00"/>
        <d v="2014-08-01T00:00:00"/>
        <d v="2014-09-01T00:00:00"/>
        <d v="2014-10-01T00:00:00"/>
        <d v="2014-11-01T00:00:00"/>
        <d v="2014-12-01T00:00:00"/>
        <d v="2015-01-01T00:00:00"/>
        <d v="2015-02-01T00:00:00"/>
        <d v="2015-03-01T00:00:00"/>
        <d v="2015-04-01T00:00:00"/>
        <d v="2015-05-01T00:00:00"/>
        <d v="2015-06-01T00:00:00"/>
        <d v="2015-07-01T00:00:00"/>
        <d v="2015-08-01T00:00:00"/>
        <d v="2015-09-01T00:00:00"/>
        <d v="2015-10-01T00:00:00"/>
        <d v="2015-11-01T00:00:00"/>
        <d v="2015-12-01T00:00:00"/>
        <d v="2016-01-01T00:00:00"/>
        <d v="2016-02-01T00:00:00"/>
        <d v="2016-03-01T00:00:00"/>
        <d v="2016-04-01T00:00:00"/>
        <d v="2016-05-01T00:00:00"/>
        <d v="2016-06-01T00:00:00"/>
        <d v="2016-07-01T00:00:00"/>
        <d v="2016-08-01T00:00:00"/>
        <d v="2016-09-01T00:00:00"/>
        <d v="2016-10-01T00:00:00"/>
        <d v="2016-11-01T00:00:00"/>
        <d v="2016-12-01T00:00:00"/>
        <d v="2017-01-01T00:00:00"/>
        <d v="2017-02-01T00:00:00"/>
        <d v="2017-03-01T00:00:00"/>
        <d v="2017-04-01T00:00:00"/>
        <d v="2017-05-01T00:00:00"/>
        <d v="2017-06-01T00:00:00"/>
        <d v="2017-07-01T00:00:00"/>
        <d v="2017-08-01T00:00:00"/>
        <d v="2017-09-01T00:00:00"/>
        <d v="2017-10-01T00:00:00"/>
        <d v="2017-11-01T00:00:00"/>
        <d v="2017-12-01T00:00:00"/>
        <d v="2018-01-01T00:00:00"/>
        <d v="2018-02-01T00:00:00"/>
        <d v="2018-03-01T00:00:00"/>
        <d v="2018-04-01T00:00:00"/>
        <d v="2018-05-01T00:00:00"/>
        <d v="2018-06-01T00:00:00"/>
        <d v="2018-07-01T00:00:00"/>
        <d v="2018-08-01T00:00:00"/>
        <d v="2018-09-01T00:00:00"/>
        <d v="2018-10-01T00:00:00"/>
        <d v="2018-11-01T00:00:00"/>
        <d v="2018-12-01T00:00:00"/>
        <d v="2019-01-01T00:00:00"/>
        <d v="2019-02-01T00:00:00"/>
        <d v="2019-03-01T00:00:00"/>
        <d v="2019-04-01T00:00:00"/>
        <d v="2019-05-01T00:00:00"/>
        <d v="2019-06-01T00:00:00"/>
        <d v="2019-07-01T00:00:00"/>
        <d v="2019-08-01T00:00:00"/>
        <d v="2019-09-01T00:00:00"/>
        <d v="2019-10-01T00:00:00"/>
        <d v="2019-11-01T00:00:00"/>
        <d v="2019-12-01T00:00:00"/>
        <d v="2020-01-01T00:00:00"/>
        <d v="2020-02-01T00:00:00"/>
        <d v="2020-03-01T00:00:00"/>
        <d v="2020-04-01T00:00:00"/>
        <d v="2020-05-01T00:00:00"/>
        <d v="2020-06-01T00:00:00"/>
        <d v="2020-07-01T00:00:00"/>
        <d v="2020-08-01T00:00:00"/>
        <d v="2020-09-01T00:00:00"/>
        <d v="2020-10-01T00:00:00"/>
        <d v="2020-11-01T00:00:00"/>
        <d v="2020-12-01T00:00:00"/>
        <d v="2021-01-01T00:00:00"/>
        <d v="2021-02-01T00:00:00"/>
        <d v="2021-03-01T00:00:00"/>
        <d v="2021-04-01T00:00:00"/>
        <d v="2021-05-01T00:00:00"/>
        <d v="2021-06-01T00:00:00"/>
        <d v="2021-07-01T00:00:00"/>
        <d v="2021-08-01T00:00:00"/>
        <d v="2021-09-01T00:00:00"/>
        <d v="2021-10-01T00:00:00"/>
        <d v="2021-11-01T00:00:00"/>
        <d v="2021-12-01T00:00:00"/>
        <d v="2022-01-01T00:00:00"/>
        <d v="2022-02-01T00:00:00"/>
        <d v="2022-03-01T00:00:00"/>
        <d v="2022-04-01T00:00:00"/>
        <d v="2022-05-01T00:00:00"/>
        <d v="2022-06-01T00:00:00"/>
        <d v="2022-07-01T00:00:00"/>
        <d v="2022-08-01T00:00:00"/>
        <d v="2022-09-01T00:00:00"/>
        <d v="2022-10-01T00:00:00"/>
        <d v="2022-11-01T00:00:00"/>
        <d v="2022-12-01T00:00:00"/>
      </sharedItems>
      <fieldGroup par="42"/>
    </cacheField>
    <cacheField name="APS VEJEZ HOMBRE n" numFmtId="165">
      <sharedItems containsString="0" containsBlank="1" containsNumber="1" containsInteger="1" minValue="955" maxValue="492231"/>
    </cacheField>
    <cacheField name="APS VEJEZ MUJER n" numFmtId="165">
      <sharedItems containsString="0" containsBlank="1" containsNumber="1" containsInteger="1" minValue="2444" maxValue="669074"/>
    </cacheField>
    <cacheField name="APS VEJEZ AMBOS n" numFmtId="165">
      <sharedItems containsString="0" containsBlank="1" containsNumber="1" containsInteger="1" minValue="3399" maxValue="1161305"/>
    </cacheField>
    <cacheField name="APS INVALIDEZ HOMBRE N" numFmtId="165">
      <sharedItems containsString="0" containsBlank="1" containsNumber="1" containsInteger="1" minValue="229" maxValue="46817"/>
    </cacheField>
    <cacheField name="APS INVALIDEZ MUJER N" numFmtId="165">
      <sharedItems containsString="0" containsBlank="1" containsNumber="1" containsInteger="1" minValue="217" maxValue="45910"/>
    </cacheField>
    <cacheField name="APS INVALIDEZ AMBOS N" numFmtId="165">
      <sharedItems containsString="0" containsBlank="1" containsNumber="1" containsInteger="1" minValue="446" maxValue="92698"/>
    </cacheField>
    <cacheField name="APS TOTAL HOMBRE N" numFmtId="165">
      <sharedItems containsString="0" containsBlank="1" containsNumber="1" containsInteger="1" minValue="1184" maxValue="534214"/>
    </cacheField>
    <cacheField name="APS TOTAL MUJER N" numFmtId="165">
      <sharedItems containsString="0" containsBlank="1" containsNumber="1" containsInteger="1" minValue="2661" maxValue="712635"/>
    </cacheField>
    <cacheField name="APS TOTAL AMBOS N" numFmtId="165">
      <sharedItems containsString="0" containsBlank="1" containsNumber="1" containsInteger="1" minValue="3845" maxValue="1246849"/>
    </cacheField>
    <cacheField name="APS VEJEZ HOMBRE" numFmtId="165">
      <sharedItems containsString="0" containsBlank="1" containsNumber="1" containsInteger="1" minValue="85654067" maxValue="66064824284"/>
    </cacheField>
    <cacheField name="APS VEJEZ MUJER" numFmtId="165">
      <sharedItems containsString="0" containsBlank="1" containsNumber="1" containsInteger="1" minValue="192967990" maxValue="95093530766"/>
    </cacheField>
    <cacheField name="APS VEJEZ AMBOS" numFmtId="165">
      <sharedItems containsString="0" containsBlank="1" containsNumber="1" containsInteger="1" minValue="278622057" maxValue="161158355050"/>
    </cacheField>
    <cacheField name="APS INVALIDEZ HOMBRE" numFmtId="165">
      <sharedItems containsString="0" containsBlank="1" containsNumber="1" containsInteger="1" minValue="19636312" maxValue="7421805869"/>
    </cacheField>
    <cacheField name="APS INVALIDEZ MUJER" numFmtId="165">
      <sharedItems containsString="0" containsBlank="1" containsNumber="1" containsInteger="1" minValue="20520752" maxValue="7678209975"/>
    </cacheField>
    <cacheField name="APS INVALIDEZ AMBOS" numFmtId="165">
      <sharedItems containsString="0" containsBlank="1" containsNumber="1" containsInteger="1" minValue="40157064" maxValue="15089051696"/>
    </cacheField>
    <cacheField name="APS TOTAL HOMBRE" numFmtId="165">
      <sharedItems containsString="0" containsBlank="1" containsNumber="1" containsInteger="1" minValue="105290379" maxValue="72394294731"/>
    </cacheField>
    <cacheField name="APS TOTAL MUJER" numFmtId="165">
      <sharedItems containsString="0" containsBlank="1" containsNumber="1" containsInteger="1" minValue="213488742" maxValue="101928001757"/>
    </cacheField>
    <cacheField name="APS TOTAL AMBOS" numFmtId="165">
      <sharedItems containsString="0" containsBlank="1" containsNumber="1" containsInteger="1" minValue="318779121" maxValue="174322296488"/>
    </cacheField>
    <cacheField name="IPC PERIODO" numFmtId="0">
      <sharedItems containsSemiMixedTypes="0" containsString="0" containsNumber="1" minValue="75.903217299999994" maxValue="129.01505570699999"/>
    </cacheField>
    <cacheField name="IPC DICIEMBRE 2022" numFmtId="0">
      <sharedItems containsSemiMixedTypes="0" containsString="0" containsNumber="1" minValue="129.01505570699999" maxValue="129.01505570699999"/>
    </cacheField>
    <cacheField name="COEF. DEFLACTOR" numFmtId="43">
      <sharedItems containsSemiMixedTypes="0" containsString="0" containsNumber="1" minValue="1" maxValue="1.6997310561564298"/>
    </cacheField>
    <cacheField name="PBSV_HOMBRE REAL" numFmtId="41">
      <sharedItems containsString="0" containsBlank="1" containsNumber="1" minValue="51817.3168968135" maxValue="59281217.267202884"/>
    </cacheField>
    <cacheField name="PBSV_MUJER REAL" numFmtId="41">
      <sharedItems containsString="0" containsBlank="1" containsNumber="1" minValue="116737.98850405011" maxValue="85329225.032237858"/>
    </cacheField>
    <cacheField name="PBSV_TOTAL REAL" numFmtId="41">
      <sharedItems containsString="0" containsBlank="1" containsNumber="1" minValue="168555.30540086361" maxValue="144610442.29944074"/>
    </cacheField>
    <cacheField name="PBSI_HOMBRE REAL" numFmtId="41">
      <sharedItems containsString="0" containsBlank="1" containsNumber="1" minValue="11879.190763804614" maxValue="7421805.8689999999"/>
    </cacheField>
    <cacheField name="PBSI_MUJER REAL" numFmtId="41">
      <sharedItems containsString="0" containsBlank="1" containsNumber="1" minValue="12414.241922043462" maxValue="7653519.1425991999"/>
    </cacheField>
    <cacheField name="PBSI_TOTAL REAL" numFmtId="41">
      <sharedItems containsString="0" containsBlank="1" containsNumber="1" minValue="24293.432685848074" maxValue="15071759.16"/>
    </cacheField>
    <cacheField name="PBS_HOMBRE REAL" numFmtId="41">
      <sharedItems containsString="0" containsBlank="1" containsNumber="1" minValue="63696.50766061811" maxValue="64960770.899888761"/>
    </cacheField>
    <cacheField name="PBS_MUJER REAL" numFmtId="41">
      <sharedItems containsString="0" containsBlank="1" containsNumber="1" minValue="129152.23042609356" maxValue="91461925.211416095"/>
    </cacheField>
    <cacheField name="PBS_TOTAL REAL" numFmtId="41">
      <sharedItems containsString="0" containsBlank="1" containsNumber="1" minValue="192848.73808671167" maxValue="156422696.11130488"/>
    </cacheField>
    <cacheField name="APS VEJEZ HOMBRE nom" numFmtId="41">
      <sharedItems containsString="0" containsBlank="1" containsNumber="1" minValue="85654.066999999995" maxValue="66064824.284000002"/>
    </cacheField>
    <cacheField name="APS VEJEZ MUJER nom" numFmtId="41">
      <sharedItems containsString="0" containsBlank="1" containsNumber="1" minValue="192967.99" maxValue="95093530.766000003"/>
    </cacheField>
    <cacheField name="APS VEJEZ AMBOS nom" numFmtId="41">
      <sharedItems containsString="0" containsBlank="1" containsNumber="1" minValue="278622.05699999997" maxValue="161158355.05000001"/>
    </cacheField>
    <cacheField name="APS INVALIDEZ HOMBRE nom" numFmtId="41">
      <sharedItems containsString="0" containsBlank="1" containsNumber="1" minValue="19636.312000000002" maxValue="7421805.8689999999"/>
    </cacheField>
    <cacheField name="APS INVALIDEZ MUJER nom" numFmtId="41">
      <sharedItems containsString="0" containsBlank="1" containsNumber="1" minValue="20520.752" maxValue="7678209.9749999996"/>
    </cacheField>
    <cacheField name="APS INVALIDEZ AMBOS nom" numFmtId="41">
      <sharedItems containsString="0" containsBlank="1" containsNumber="1" minValue="40157.063999999998" maxValue="15089051.696"/>
    </cacheField>
    <cacheField name="APS TOTAL HOMBRE nom" numFmtId="41">
      <sharedItems containsString="0" containsBlank="1" containsNumber="1" minValue="105290.379" maxValue="72394294.731000006"/>
    </cacheField>
    <cacheField name="APS TOTAL MUJER nom" numFmtId="41">
      <sharedItems containsString="0" containsBlank="1" containsNumber="1" minValue="213488.742" maxValue="101928001.757"/>
    </cacheField>
    <cacheField name="APS TOTAL AMBOS nom" numFmtId="41">
      <sharedItems containsString="0" containsBlank="1" containsNumber="1" minValue="318779.12099999998" maxValue="174322296.48800001"/>
    </cacheField>
    <cacheField name="Meses (PERIODO)" numFmtId="0" databaseField="0">
      <fieldGroup base="0">
        <rangePr groupBy="months" startDate="2008-07-01T00:00:00" endDate="2022-12-02T00:00:00"/>
        <groupItems count="14">
          <s v="&lt;01-07-2008"/>
          <s v="ene"/>
          <s v="feb"/>
          <s v="mar"/>
          <s v="abr"/>
          <s v="may"/>
          <s v="jun"/>
          <s v="jul"/>
          <s v="ago"/>
          <s v="sept"/>
          <s v="oct"/>
          <s v="nov"/>
          <s v="dic"/>
          <s v="&gt;02-12-2022"/>
        </groupItems>
      </fieldGroup>
    </cacheField>
    <cacheField name="Trimestres (PERIODO)" numFmtId="0" databaseField="0">
      <fieldGroup base="0">
        <rangePr groupBy="quarters" startDate="2008-07-01T00:00:00" endDate="2022-12-02T00:00:00"/>
        <groupItems count="6">
          <s v="&lt;01-07-2008"/>
          <s v="Trim.1"/>
          <s v="Trim.2"/>
          <s v="Trim.3"/>
          <s v="Trim.4"/>
          <s v="&gt;02-12-2022"/>
        </groupItems>
      </fieldGroup>
    </cacheField>
    <cacheField name="Años (PERIODO)" numFmtId="0" databaseField="0">
      <fieldGroup base="0">
        <rangePr groupBy="years" startDate="2008-07-01T00:00:00" endDate="2022-12-02T00:00:00"/>
        <groupItems count="17">
          <s v="&lt;01-07-2008"/>
          <s v="2008"/>
          <s v="2009"/>
          <s v="2010"/>
          <s v="2011"/>
          <s v="2012"/>
          <s v="2013"/>
          <s v="2014"/>
          <s v="2015"/>
          <s v="2016"/>
          <s v="2017"/>
          <s v="2018"/>
          <s v="2019"/>
          <s v="2020"/>
          <s v="2021"/>
          <s v="2022"/>
          <s v="&gt;02-12-2022"/>
        </groupItems>
      </fieldGroup>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nstanza Morales Lavín" refreshedDate="45064.714706944447" createdVersion="8" refreshedVersion="8" minRefreshableVersion="3" recordCount="11" xr:uid="{F261272C-87C9-4853-8DB2-B3EF0F854505}">
  <cacheSource type="worksheet">
    <worksheetSource ref="B110:W121" sheet="1.3"/>
  </cacheSource>
  <cacheFields count="24">
    <cacheField name="PERIODO" numFmtId="17">
      <sharedItems containsSemiMixedTypes="0" containsNonDate="0" containsDate="1" containsString="0" minDate="2022-02-01T00:00:00" maxDate="2022-12-02T00:00:00" count="11">
        <d v="2022-02-01T00:00:00"/>
        <d v="2022-03-01T00:00:00"/>
        <d v="2022-04-01T00:00:00"/>
        <d v="2022-05-01T00:00:00"/>
        <d v="2022-06-01T00:00:00"/>
        <d v="2022-07-01T00:00:00"/>
        <d v="2022-08-01T00:00:00"/>
        <d v="2022-09-01T00:00:00"/>
        <d v="2022-10-01T00:00:00"/>
        <d v="2022-11-01T00:00:00"/>
        <d v="2022-12-01T00:00:00"/>
      </sharedItems>
      <fieldGroup par="23"/>
    </cacheField>
    <cacheField name="PGU_NC_Mujer_n" numFmtId="41">
      <sharedItems containsSemiMixedTypes="0" containsString="0" containsNumber="1" containsInteger="1" minValue="309683" maxValue="329180"/>
    </cacheField>
    <cacheField name="PGU_NC_Mujer_Nom" numFmtId="41">
      <sharedItems containsSemiMixedTypes="0" containsString="0" containsNumber="1" minValue="57205360.538000003" maxValue="63417031.792999998"/>
    </cacheField>
    <cacheField name="PGU_NC_hombre_N" numFmtId="41">
      <sharedItems containsSemiMixedTypes="0" containsString="0" containsNumber="1" containsInteger="1" minValue="106066" maxValue="125728"/>
    </cacheField>
    <cacheField name="PGU_NC_hombre_Nom" numFmtId="41">
      <sharedItems containsSemiMixedTypes="0" containsString="0" containsNumber="1" minValue="19617326.636999998" maxValue="24368202.673"/>
    </cacheField>
    <cacheField name="PGU_C_Mujer_N" numFmtId="41">
      <sharedItems containsSemiMixedTypes="0" containsString="0" containsNumber="1" containsInteger="1" minValue="517361" maxValue="717919"/>
    </cacheField>
    <cacheField name="PGU_C_Mujer_Nom" numFmtId="41">
      <sharedItems containsSemiMixedTypes="0" containsString="0" containsNumber="1" minValue="85078213.942000002" maxValue="137636217.15900001"/>
    </cacheField>
    <cacheField name="PGU_C_hombre_N" numFmtId="41">
      <sharedItems containsSemiMixedTypes="0" containsString="0" containsNumber="1" containsInteger="1" minValue="340110" maxValue="594890"/>
    </cacheField>
    <cacheField name="PGU_C_hombre_Nom" numFmtId="41">
      <sharedItems containsSemiMixedTypes="0" containsString="0" containsNumber="1" minValue="58304127.729999997" maxValue="113286938.10600001"/>
    </cacheField>
    <cacheField name="PGU_TOT_Mujer_N" numFmtId="41">
      <sharedItems containsSemiMixedTypes="0" containsString="0" containsNumber="1" containsInteger="1" minValue="827044" maxValue="1047099"/>
    </cacheField>
    <cacheField name="PGU_TOT_Mujer_Nom" numFmtId="41">
      <sharedItems containsSemiMixedTypes="0" containsString="0" containsNumber="1" minValue="142283574.48000002" maxValue="201053248.95200002"/>
    </cacheField>
    <cacheField name="PGU_TOT_Hombre_N" numFmtId="41">
      <sharedItems containsSemiMixedTypes="0" containsString="0" containsNumber="1" containsInteger="1" minValue="446176" maxValue="720618"/>
    </cacheField>
    <cacheField name="PGU_TOT_Hombre_Nom" numFmtId="41">
      <sharedItems containsSemiMixedTypes="0" containsString="0" containsNumber="1" minValue="77921454.366999999" maxValue="137655140.77900001"/>
    </cacheField>
    <cacheField name="IPC PERIODO" numFmtId="167">
      <sharedItems containsSemiMixedTypes="0" containsString="0" containsNumber="1" minValue="116.102606374" maxValue="129.01505570699999"/>
    </cacheField>
    <cacheField name="IPC DICIEMBRE 2022" numFmtId="167">
      <sharedItems containsSemiMixedTypes="0" containsString="0" containsNumber="1" minValue="129.01505570699999" maxValue="129.01505570699999"/>
    </cacheField>
    <cacheField name="COEF. DEFLACTOR" numFmtId="43">
      <sharedItems containsSemiMixedTypes="0" containsString="0" containsNumber="1" minValue="1" maxValue="1.1112158437805026"/>
    </cacheField>
    <cacheField name="PGU_NC_Mujer_REAL" numFmtId="41">
      <sharedItems containsSemiMixedTypes="0" containsString="0" containsNumber="1" minValue="51479972.012799807" maxValue="63417031.792999998"/>
    </cacheField>
    <cacheField name="PGU_NC_hombre_REAL" numFmtId="41">
      <sharedItems containsSemiMixedTypes="0" containsString="0" containsNumber="1" minValue="17653929.924414385" maxValue="24368202.673"/>
    </cacheField>
    <cacheField name="PGU_C_Mujer_REAL" numFmtId="41">
      <sharedItems containsSemiMixedTypes="0" containsString="0" containsNumber="1" minValue="76563175.748604089" maxValue="137636217.15900001"/>
    </cacheField>
    <cacheField name="PGU_C_hombre_REAL" numFmtId="41">
      <sharedItems containsSemiMixedTypes="0" containsString="0" containsNumber="1" minValue="52468769.282160051" maxValue="113286938.10600001"/>
    </cacheField>
    <cacheField name="PGU_TOT_Mujer_REAL" numFmtId="41">
      <sharedItems containsSemiMixedTypes="0" containsString="0" containsNumber="1" minValue="128043147.7614039" maxValue="201053248.95200002"/>
    </cacheField>
    <cacheField name="PGU_TOT_Hombre_REAL" numFmtId="41">
      <sharedItems containsSemiMixedTypes="0" containsString="0" containsNumber="1" minValue="70122699.20657444" maxValue="137655140.77900001"/>
    </cacheField>
    <cacheField name="Días (PERIODO)" numFmtId="0" databaseField="0">
      <fieldGroup base="0">
        <rangePr groupBy="days" startDate="2022-02-01T00:00:00" endDate="2022-12-02T00:00:00"/>
        <groupItems count="368">
          <s v="&lt;01-02-2022"/>
          <s v="01-ene"/>
          <s v="02-ene"/>
          <s v="03-ene"/>
          <s v="04-ene"/>
          <s v="05-ene"/>
          <s v="06-ene"/>
          <s v="07-ene"/>
          <s v="08-ene"/>
          <s v="09-ene"/>
          <s v="10-ene"/>
          <s v="11-ene"/>
          <s v="12-ene"/>
          <s v="13-ene"/>
          <s v="14-ene"/>
          <s v="15-ene"/>
          <s v="16-ene"/>
          <s v="17-ene"/>
          <s v="18-ene"/>
          <s v="19-ene"/>
          <s v="20-ene"/>
          <s v="21-ene"/>
          <s v="22-ene"/>
          <s v="23-ene"/>
          <s v="24-ene"/>
          <s v="25-ene"/>
          <s v="26-ene"/>
          <s v="27-ene"/>
          <s v="28-ene"/>
          <s v="29-ene"/>
          <s v="30-ene"/>
          <s v="31-ene"/>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pt"/>
          <s v="02-sept"/>
          <s v="03-sept"/>
          <s v="04-sept"/>
          <s v="05-sept"/>
          <s v="06-sept"/>
          <s v="07-sept"/>
          <s v="08-sept"/>
          <s v="09-sept"/>
          <s v="10-sept"/>
          <s v="11-sept"/>
          <s v="12-sept"/>
          <s v="13-sept"/>
          <s v="14-sept"/>
          <s v="15-sept"/>
          <s v="16-sept"/>
          <s v="17-sept"/>
          <s v="18-sept"/>
          <s v="19-sept"/>
          <s v="20-sept"/>
          <s v="21-sept"/>
          <s v="22-sept"/>
          <s v="23-sept"/>
          <s v="24-sept"/>
          <s v="25-sept"/>
          <s v="26-sept"/>
          <s v="27-sept"/>
          <s v="28-sept"/>
          <s v="29-sept"/>
          <s v="30-sept"/>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ic"/>
          <s v="02-dic"/>
          <s v="03-dic"/>
          <s v="04-dic"/>
          <s v="05-dic"/>
          <s v="06-dic"/>
          <s v="07-dic"/>
          <s v="08-dic"/>
          <s v="09-dic"/>
          <s v="10-dic"/>
          <s v="11-dic"/>
          <s v="12-dic"/>
          <s v="13-dic"/>
          <s v="14-dic"/>
          <s v="15-dic"/>
          <s v="16-dic"/>
          <s v="17-dic"/>
          <s v="18-dic"/>
          <s v="19-dic"/>
          <s v="20-dic"/>
          <s v="21-dic"/>
          <s v="22-dic"/>
          <s v="23-dic"/>
          <s v="24-dic"/>
          <s v="25-dic"/>
          <s v="26-dic"/>
          <s v="27-dic"/>
          <s v="28-dic"/>
          <s v="29-dic"/>
          <s v="30-dic"/>
          <s v="31-dic"/>
          <s v="&gt;02-12-2022"/>
        </groupItems>
      </fieldGroup>
    </cacheField>
    <cacheField name="Meses (PERIODO)" numFmtId="0" databaseField="0">
      <fieldGroup base="0">
        <rangePr groupBy="months" startDate="2022-02-01T00:00:00" endDate="2022-12-02T00:00:00"/>
        <groupItems count="14">
          <s v="&lt;01-02-2022"/>
          <s v="ene"/>
          <s v="feb"/>
          <s v="mar"/>
          <s v="abr"/>
          <s v="may"/>
          <s v="jun"/>
          <s v="jul"/>
          <s v="ago"/>
          <s v="sept"/>
          <s v="oct"/>
          <s v="nov"/>
          <s v="dic"/>
          <s v="&gt;02-12-2022"/>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n v="6085200000"/>
    <n v="11349000000"/>
    <n v="17434200000"/>
    <n v="5056680000"/>
    <n v="6505980000"/>
    <n v="11562660000"/>
    <n v="11141880000"/>
    <n v="17854980000"/>
    <n v="28996860000"/>
    <n v="75.937682870000003"/>
    <n v="129.01505570699999"/>
    <n v="1.6989596051786928"/>
    <n v="3581721414.3593321"/>
    <n v="6679970474.5224581"/>
    <n v="10261691888.88179"/>
    <n v="2976339157.5564561"/>
    <n v="3829390634.2262421"/>
    <n v="6805729791.7826977"/>
    <n v="6558060571.9157887"/>
    <n v="10509361108.748699"/>
    <n v="17067421680.664488"/>
  </r>
  <r>
    <x v="1"/>
    <n v="6100260000"/>
    <n v="11427960000"/>
    <n v="17528220000"/>
    <n v="5089920000"/>
    <n v="6568320000"/>
    <n v="11658240000"/>
    <n v="11190180000"/>
    <n v="17996280000"/>
    <n v="29186460000"/>
    <n v="76.645666680000005"/>
    <n v="129.01505570699999"/>
    <n v="1.6832661426985187"/>
    <n v="3624061486.9258895"/>
    <n v="6789158119.5112314"/>
    <n v="10413219606.43712"/>
    <n v="3023835548.5723267"/>
    <n v="3902128031.5601397"/>
    <n v="6925963580.1324663"/>
    <n v="6647897035.4982166"/>
    <n v="10691286151.071371"/>
    <n v="17339183186.569588"/>
  </r>
  <r>
    <x v="2"/>
    <n v="6488552979"/>
    <n v="13279878039"/>
    <n v="19768431018"/>
    <n v="5073600000"/>
    <n v="6537480000"/>
    <n v="11611080000"/>
    <n v="11562152979"/>
    <n v="19817358039"/>
    <n v="31379511018"/>
    <n v="77.460120860000004"/>
    <n v="129.01505570699999"/>
    <n v="1.6655674465081125"/>
    <n v="3895701127.3265157"/>
    <n v="7973185395.0684891"/>
    <n v="11868886522.395004"/>
    <n v="3046169046.2532029"/>
    <n v="3925076714.0687857"/>
    <n v="6971245760.3219891"/>
    <n v="6941870173.5797186"/>
    <n v="11898262109.137276"/>
    <n v="18840132282.716995"/>
  </r>
  <r>
    <x v="3"/>
    <n v="6917450409"/>
    <n v="15225059687"/>
    <n v="22142510096"/>
    <n v="5094062168"/>
    <n v="6541980000"/>
    <n v="11636042168"/>
    <n v="12011512577"/>
    <n v="21767039687"/>
    <n v="33778552264"/>
    <n v="78.144751220000003"/>
    <n v="129.01505570699999"/>
    <n v="1.6509753207068945"/>
    <n v="4189917512.5392976"/>
    <n v="9221857829.1534481"/>
    <n v="13411775341.692745"/>
    <n v="3085486563.0692086"/>
    <n v="3962494119.6570611"/>
    <n v="7047980682.7262697"/>
    <n v="7275404075.6085062"/>
    <n v="13184351948.810509"/>
    <n v="20459756024.419014"/>
  </r>
  <r>
    <x v="4"/>
    <n v="6911023396"/>
    <n v="15133152021"/>
    <n v="22044175417"/>
    <n v="5088893297"/>
    <n v="6574320000"/>
    <n v="11663213297"/>
    <n v="11999916693"/>
    <n v="21707472021"/>
    <n v="33707388714"/>
    <n v="78.04899709"/>
    <n v="129.01505570699999"/>
    <n v="1.6530008138122507"/>
    <n v="4180895337.8924108"/>
    <n v="9154957392.9724865"/>
    <n v="13335852730.864897"/>
    <n v="3078578821.3035936"/>
    <n v="3977203123.5955076"/>
    <n v="7055781944.8991013"/>
    <n v="7259474159.1960049"/>
    <n v="13132160516.567993"/>
    <n v="20391634675.763996"/>
  </r>
  <r>
    <x v="5"/>
    <n v="7304694318"/>
    <n v="16162566723"/>
    <n v="23467261041"/>
    <n v="5314694603"/>
    <n v="7061640000"/>
    <n v="12376334603"/>
    <n v="12619388921"/>
    <n v="23224206723"/>
    <n v="35843595644"/>
    <n v="77.128789299999994"/>
    <n v="129.01505570699999"/>
    <n v="1.6727224280052324"/>
    <n v="4366949468.5445509"/>
    <n v="9662432004.4983826"/>
    <n v="14029381473.042934"/>
    <n v="3177272280.2180157"/>
    <n v="4221644835.8507395"/>
    <n v="7398917116.0687551"/>
    <n v="7544221748.7625666"/>
    <n v="13884076840.349123"/>
    <n v="21428298589.111691"/>
  </r>
  <r>
    <x v="6"/>
    <n v="7092138129"/>
    <n v="15637465548"/>
    <n v="22729603677"/>
    <n v="5351180474"/>
    <n v="7229794857"/>
    <n v="12580975331"/>
    <n v="12443318603"/>
    <n v="22867260405"/>
    <n v="35310579008"/>
    <n v="76.540568890000003"/>
    <n v="129.01505570699999"/>
    <n v="1.6855774340064482"/>
    <n v="4207542166.8067188"/>
    <n v="9277215767.4366322"/>
    <n v="13484757934.243351"/>
    <n v="3174686826.0337238"/>
    <n v="4289209567.6764631"/>
    <n v="7463896393.710187"/>
    <n v="7382228992.8404427"/>
    <n v="13566425335.113094"/>
    <n v="20948654327.953537"/>
  </r>
  <r>
    <x v="7"/>
    <n v="7061355476"/>
    <n v="15606041944"/>
    <n v="22667397420"/>
    <n v="5318677943"/>
    <n v="7233871020"/>
    <n v="12552548963"/>
    <n v="12380033419"/>
    <n v="22839912964"/>
    <n v="35219946383"/>
    <n v="76.261696380000004"/>
    <n v="129.01505570699999"/>
    <n v="1.6917412256886906"/>
    <n v="4174016314.5373454"/>
    <n v="9224839891.0104828"/>
    <n v="13398856205.547829"/>
    <n v="3143907509.1610541"/>
    <n v="4275991451.9758573"/>
    <n v="7419898961.1369114"/>
    <n v="7317923823.6983995"/>
    <n v="13500831342.98634"/>
    <n v="20818755166.684738"/>
  </r>
  <r>
    <x v="8"/>
    <n v="7110673605"/>
    <n v="15641610883"/>
    <n v="22752284488"/>
    <n v="5310501393"/>
    <n v="7228184571"/>
    <n v="12538685964"/>
    <n v="12421174998"/>
    <n v="22869795454"/>
    <n v="35290970452"/>
    <n v="76.560749150000007"/>
    <n v="129.01505570699999"/>
    <n v="1.6851331411900112"/>
    <n v="4219650917.3029308"/>
    <n v="9282121691.5561771"/>
    <n v="13501772608.859108"/>
    <n v="3151383865.8765073"/>
    <n v="4289384852.9354682"/>
    <n v="7440768718.8119755"/>
    <n v="7371034783.1794386"/>
    <n v="13571506544.491644"/>
    <n v="20942541327.671082"/>
  </r>
  <r>
    <x v="9"/>
    <n v="7082297950"/>
    <n v="15659382741"/>
    <n v="22741680691"/>
    <n v="5349218781"/>
    <n v="7298661306"/>
    <n v="12647880087"/>
    <n v="12431516731"/>
    <n v="22958044047"/>
    <n v="35389560778"/>
    <n v="76.441391870000004"/>
    <n v="129.01505570699999"/>
    <n v="1.6877643453485167"/>
    <n v="4196259963.3763051"/>
    <n v="9278180798.2597237"/>
    <n v="13474440761.636028"/>
    <n v="3169410940.4209552"/>
    <n v="4324455203.7819328"/>
    <n v="7493866144.2028875"/>
    <n v="7365670903.7972603"/>
    <n v="13602636002.041656"/>
    <n v="20968306905.838917"/>
  </r>
  <r>
    <x v="10"/>
    <n v="7116381469"/>
    <n v="15830182876"/>
    <n v="22946564345"/>
    <n v="5432318781"/>
    <n v="7445721306"/>
    <n v="12878040087"/>
    <n v="12548700250"/>
    <n v="23275904182"/>
    <n v="35824604432"/>
    <n v="76.250226720000001"/>
    <n v="129.01505570699999"/>
    <n v="1.6919956996424257"/>
    <n v="4205909903.023941"/>
    <n v="9355923823.7694321"/>
    <n v="13561833726.793373"/>
    <n v="3210598456.1001115"/>
    <n v="4400555691.4674931"/>
    <n v="7611154147.567605"/>
    <n v="7416508359.124053"/>
    <n v="13756479515.236927"/>
    <n v="21172987874.360977"/>
  </r>
  <r>
    <x v="11"/>
    <n v="7146998932"/>
    <n v="15976444926"/>
    <n v="23123443858"/>
    <n v="5488751760"/>
    <n v="7632606430"/>
    <n v="13121358190"/>
    <n v="12635750692"/>
    <n v="23609051356"/>
    <n v="36244802048"/>
    <n v="76.514479230000006"/>
    <n v="129.01505570699999"/>
    <n v="1.6861521767557872"/>
    <n v="4238644074.0782146"/>
    <n v="9475090769.5290051"/>
    <n v="13713734843.60722"/>
    <n v="3255193591.4589515"/>
    <n v="4526641506.7502317"/>
    <n v="7781835098.2091837"/>
    <n v="7493837665.5371666"/>
    <n v="14001732276.279238"/>
    <n v="21495569941.816402"/>
  </r>
  <r>
    <x v="12"/>
    <n v="8902853195"/>
    <n v="19913272247"/>
    <n v="28816125442"/>
    <n v="6798319434"/>
    <n v="9511333826"/>
    <n v="16309653260"/>
    <n v="15701172629"/>
    <n v="29424606073"/>
    <n v="45125778702"/>
    <n v="76.177530309999995"/>
    <n v="129.01505570699999"/>
    <n v="1.6936103754214764"/>
    <n v="5256730428.7944107"/>
    <n v="11757882766.893377"/>
    <n v="17014613195.687788"/>
    <n v="4014098834.4548564"/>
    <n v="5616010603.1666136"/>
    <n v="9630109437.6214695"/>
    <n v="9270829263.2492657"/>
    <n v="17373893370.05999"/>
    <n v="26644722633.309258"/>
  </r>
  <r>
    <x v="13"/>
    <n v="9016017775"/>
    <n v="19952724859"/>
    <n v="28968742634"/>
    <n v="6952929882"/>
    <n v="9873459778"/>
    <n v="16826389660"/>
    <n v="15968947657"/>
    <n v="29826184637"/>
    <n v="45795132294"/>
    <n v="75.903217299999994"/>
    <n v="129.01505570699999"/>
    <n v="1.6997310561564298"/>
    <n v="5304379032.4027805"/>
    <n v="11738754073.317179"/>
    <n v="17043133105.719959"/>
    <n v="4090605897.2191348"/>
    <n v="5808836487.536252"/>
    <n v="9899442384.7553864"/>
    <n v="9394984929.6219158"/>
    <n v="17547590560.853432"/>
    <n v="26942575490.475346"/>
  </r>
  <r>
    <x v="14"/>
    <n v="8940979460"/>
    <n v="21089928935"/>
    <n v="30030908395"/>
    <n v="6954455001"/>
    <n v="9885217799"/>
    <n v="16839672800"/>
    <n v="15895434461"/>
    <n v="30975146734"/>
    <n v="46870581195"/>
    <n v="76.648749370000004"/>
    <n v="129.01505570699999"/>
    <n v="1.6831984444288393"/>
    <n v="5311898599.7126131"/>
    <n v="12529674682.628677"/>
    <n v="17841573282.34129"/>
    <n v="4131690487.2496238"/>
    <n v="5872877218.7965975"/>
    <n v="10004567706.046221"/>
    <n v="9443589086.9622364"/>
    <n v="18402551901.425274"/>
    <n v="27846140988.387512"/>
  </r>
  <r>
    <x v="15"/>
    <n v="9151987328"/>
    <n v="21514109166"/>
    <n v="30666096494"/>
    <n v="7026223830"/>
    <n v="10213584933"/>
    <n v="17239808763"/>
    <n v="16178211158"/>
    <n v="31727694099"/>
    <n v="47905905257"/>
    <n v="76.646904160000005"/>
    <n v="129.01505570699999"/>
    <n v="1.6832389660211422"/>
    <n v="5437128959.5520496"/>
    <n v="12781375431.710255"/>
    <n v="18218504391.262306"/>
    <n v="4174228360.818346"/>
    <n v="6067816358.329072"/>
    <n v="10242044719.147419"/>
    <n v="9611357320.3703957"/>
    <n v="18849191790.039326"/>
    <n v="28460549110.409721"/>
  </r>
  <r>
    <x v="16"/>
    <n v="9007325084"/>
    <n v="20985331285"/>
    <n v="29992656369"/>
    <n v="6973391796"/>
    <n v="10114403630"/>
    <n v="17087795426"/>
    <n v="15980716880"/>
    <n v="31099734915"/>
    <n v="47080451795"/>
    <n v="76.297590920000005"/>
    <n v="129.01505570699999"/>
    <n v="1.6909453385268167"/>
    <n v="5326798494.7682285"/>
    <n v="12410413753.103819"/>
    <n v="17737212247.872047"/>
    <n v="4123960507.2481818"/>
    <n v="5981508331.198842"/>
    <n v="10105468838.447023"/>
    <n v="9450759002.0164108"/>
    <n v="18391922084.302662"/>
    <n v="27842681086.319073"/>
  </r>
  <r>
    <x v="17"/>
    <n v="9265868136"/>
    <n v="21832267361"/>
    <n v="31098135497"/>
    <n v="7170116321"/>
    <n v="10746564432"/>
    <n v="17916680753"/>
    <n v="16435984457"/>
    <n v="32578831793"/>
    <n v="49014816250"/>
    <n v="76.064574460000003"/>
    <n v="129.01505570699999"/>
    <n v="1.6961253858699361"/>
    <n v="5462961767.5627041"/>
    <n v="12871847531.367685"/>
    <n v="18334809298.930389"/>
    <n v="4227350395.6327353"/>
    <n v="6335949288.6123676"/>
    <n v="10563299684.245104"/>
    <n v="9690312163.1954403"/>
    <n v="19207796819.980053"/>
    <n v="28898108983.175491"/>
  </r>
  <r>
    <x v="18"/>
    <n v="9093895927"/>
    <n v="21326987046"/>
    <n v="30420882973"/>
    <n v="6976173439"/>
    <n v="10077852775"/>
    <n v="17054026214"/>
    <n v="16070069366"/>
    <n v="31404839821"/>
    <n v="47474909187"/>
    <n v="76.458779579999998"/>
    <n v="129.01505570699999"/>
    <n v="1.6873805260259163"/>
    <n v="5389356927.3421421"/>
    <n v="12639109387.038429"/>
    <n v="18028466314.380569"/>
    <n v="4134321412.0351024"/>
    <n v="5972483751.9223661"/>
    <n v="10106805163.957468"/>
    <n v="9523678339.3772449"/>
    <n v="18611593138.960796"/>
    <n v="28135271478.338039"/>
  </r>
  <r>
    <x v="19"/>
    <n v="8969081379"/>
    <n v="20993952795"/>
    <n v="29963034174"/>
    <n v="6677691875"/>
    <n v="9276880764"/>
    <n v="15954572639"/>
    <n v="15646773254"/>
    <n v="30270833559"/>
    <n v="45917606813"/>
    <n v="76.673626780000006"/>
    <n v="129.01505570699999"/>
    <n v="1.6826523163849219"/>
    <n v="5330323615.6769075"/>
    <n v="12476702757.052185"/>
    <n v="17807026372.729092"/>
    <n v="3968551203.3446236"/>
    <n v="5513248740.4949026"/>
    <n v="9481799943.8395252"/>
    <n v="9298874819.0215302"/>
    <n v="17989951497.547089"/>
    <n v="27288826316.568619"/>
  </r>
  <r>
    <x v="20"/>
    <n v="9156392753"/>
    <n v="21922751114"/>
    <n v="31079143867"/>
    <n v="7034220159"/>
    <n v="10251381058"/>
    <n v="17285601217"/>
    <n v="16190612912"/>
    <n v="32174132172"/>
    <n v="48364745084"/>
    <n v="76.738096589999998"/>
    <n v="129.01505570699999"/>
    <n v="1.6812386733581346"/>
    <n v="5446218254.4914141"/>
    <n v="13039642414.489031"/>
    <n v="18485860668.980442"/>
    <n v="4183950958.5808716"/>
    <n v="6097516801.4210129"/>
    <n v="10281467760.001884"/>
    <n v="9630169213.0722847"/>
    <n v="19137159215.910042"/>
    <n v="28767328428.982327"/>
  </r>
  <r>
    <x v="21"/>
    <n v="9163006529"/>
    <n v="21534048636"/>
    <n v="30697055165"/>
    <n v="6902070898"/>
    <n v="9769581116"/>
    <n v="16671652014"/>
    <n v="16065077427"/>
    <n v="31303629752"/>
    <n v="47368707179"/>
    <n v="77.092779820000004"/>
    <n v="129.01505570699999"/>
    <n v="1.6735037445559837"/>
    <n v="5475342710.6499491"/>
    <n v="12867642935.399254"/>
    <n v="18342985646.049202"/>
    <n v="4124323546.0051312"/>
    <n v="5837800571.275135"/>
    <n v="9962124117.2802658"/>
    <n v="9599666256.6550808"/>
    <n v="18705443506.674389"/>
    <n v="28305109763.329468"/>
  </r>
  <r>
    <x v="22"/>
    <n v="9140848308"/>
    <n v="21690650936"/>
    <n v="30831499244"/>
    <n v="6886442490"/>
    <n v="9809696698"/>
    <n v="16696139188"/>
    <n v="16027290798"/>
    <n v="31500347634"/>
    <n v="47527638432"/>
    <n v="77.370182610000001"/>
    <n v="129.01505570699999"/>
    <n v="1.6675035699130552"/>
    <n v="5481756364.9813414"/>
    <n v="13007858770.060064"/>
    <n v="18489615135.041405"/>
    <n v="4129791752.3253422"/>
    <n v="5882863986.0192232"/>
    <n v="10012655738.344566"/>
    <n v="9611548117.3066845"/>
    <n v="18890722756.079288"/>
    <n v="28502270873.385971"/>
  </r>
  <r>
    <x v="23"/>
    <n v="9129284500"/>
    <n v="21677022113"/>
    <n v="30806306613"/>
    <n v="6939724618"/>
    <n v="9954787801"/>
    <n v="16894512419"/>
    <n v="16069009118"/>
    <n v="31631809914"/>
    <n v="47700819032"/>
    <n v="77.370464859999998"/>
    <n v="129.01505570699999"/>
    <n v="1.6674974868051993"/>
    <n v="5474841534.8385487"/>
    <n v="12999733003.81493"/>
    <n v="18474574538.653481"/>
    <n v="4161760166.3052545"/>
    <n v="5969896734.3408899"/>
    <n v="10131656900.646145"/>
    <n v="9636601701.1438026"/>
    <n v="18969629738.155819"/>
    <n v="28606231439.299622"/>
  </r>
  <r>
    <x v="24"/>
    <n v="9257048528"/>
    <n v="21991648255"/>
    <n v="31248696783"/>
    <n v="7040667289"/>
    <n v="10060863533"/>
    <n v="17101530822"/>
    <n v="16297715817"/>
    <n v="32052511788"/>
    <n v="48350227605"/>
    <n v="77.867484759999996"/>
    <n v="129.01505570699999"/>
    <n v="1.6568540271288454"/>
    <n v="5587123775.7990637"/>
    <n v="13273135650.404413"/>
    <n v="18860259426.203476"/>
    <n v="4249419184.6222806"/>
    <n v="6072269112.5870771"/>
    <n v="10321688297.209358"/>
    <n v="9836542960.4213448"/>
    <n v="19345404762.991489"/>
    <n v="29181947723.412834"/>
  </r>
  <r>
    <x v="25"/>
    <n v="9241109979"/>
    <n v="22135189881"/>
    <n v="31376299860"/>
    <n v="6999182205"/>
    <n v="10002980708"/>
    <n v="17002162913"/>
    <n v="16240292184"/>
    <n v="32138170589"/>
    <n v="48378462773"/>
    <n v="77.790935050000002"/>
    <n v="129.01505570699999"/>
    <n v="1.6584844445445444"/>
    <n v="5572020894.9790955"/>
    <n v="13346637017.797777"/>
    <n v="18918657912.776871"/>
    <n v="4220227827.8962855"/>
    <n v="6031398570.4864626"/>
    <n v="10251626398.382748"/>
    <n v="9792248722.8753815"/>
    <n v="19378035588.284241"/>
    <n v="29170284311.159622"/>
  </r>
  <r>
    <x v="26"/>
    <n v="9096591542"/>
    <n v="21771278159"/>
    <n v="30867869701"/>
    <n v="7033761183"/>
    <n v="10035588641"/>
    <n v="17069349824"/>
    <n v="16130352725"/>
    <n v="31806866800"/>
    <n v="47937219525"/>
    <n v="78.102046270000002"/>
    <n v="129.01505570699999"/>
    <n v="1.6518780476121318"/>
    <n v="5506817864.1574392"/>
    <n v="13179712746.029537"/>
    <n v="18686530610.186977"/>
    <n v="4258039019.9916005"/>
    <n v="6075260008.1506748"/>
    <n v="10333299028.142275"/>
    <n v="9764856884.1490402"/>
    <n v="19254972754.180214"/>
    <n v="29019829638.32925"/>
  </r>
  <r>
    <x v="27"/>
    <n v="9202530436"/>
    <n v="22030268861"/>
    <n v="31232799297"/>
    <n v="7020672515"/>
    <n v="10031869374"/>
    <n v="17052541889"/>
    <n v="16223202951"/>
    <n v="32062138235"/>
    <n v="48285341186"/>
    <n v="78.178624009999993"/>
    <n v="129.01505570699999"/>
    <n v="1.6502599955007828"/>
    <n v="5576412481.1178179"/>
    <n v="13349574564.652016"/>
    <n v="18925987045.769833"/>
    <n v="4254282679.1783972"/>
    <n v="6078962952.1109247"/>
    <n v="10333245631.289322"/>
    <n v="9830695160.2962151"/>
    <n v="19428537516.762939"/>
    <n v="29259232677.059155"/>
  </r>
  <r>
    <x v="28"/>
    <n v="9239415607"/>
    <n v="22184544240"/>
    <n v="31423959847"/>
    <n v="7011071998"/>
    <n v="10037855660"/>
    <n v="17048927658"/>
    <n v="16250487605"/>
    <n v="32222399900"/>
    <n v="48472887505"/>
    <n v="78.23364977"/>
    <n v="129.01505570699999"/>
    <n v="1.6490992825503197"/>
    <n v="5602704279.0967159"/>
    <n v="13452521915.898094"/>
    <n v="19055226194.994812"/>
    <n v="4251455368.5072432"/>
    <n v="6086871643.3352222"/>
    <n v="10338327011.842466"/>
    <n v="9854159647.60396"/>
    <n v="19539393559.233318"/>
    <n v="29393553206.837276"/>
  </r>
  <r>
    <x v="29"/>
    <n v="9212018546"/>
    <n v="22260577637"/>
    <n v="31472596183"/>
    <n v="6995573785"/>
    <n v="9984055696"/>
    <n v="16979629481"/>
    <n v="16207592331"/>
    <n v="32244633333"/>
    <n v="48452225664"/>
    <n v="78.325873939999994"/>
    <n v="129.01505570699999"/>
    <n v="1.6471575638700113"/>
    <n v="5592675981.9845533"/>
    <n v="13514540518.333035"/>
    <n v="19107216500.317585"/>
    <n v="4247058046.2040544"/>
    <n v="6061384724.204752"/>
    <n v="10308442770.408806"/>
    <n v="9839734028.1886082"/>
    <n v="19575925242.537785"/>
    <n v="29415659270.726395"/>
  </r>
  <r>
    <x v="30"/>
    <n v="9315148750"/>
    <n v="22546888667"/>
    <n v="31862037417"/>
    <n v="6937581984"/>
    <n v="9890309838"/>
    <n v="16827891822"/>
    <n v="16252730734"/>
    <n v="32437198505"/>
    <n v="48689929239"/>
    <n v="78.537898409999997"/>
    <n v="129.01505570699999"/>
    <n v="1.642710822658999"/>
    <n v="5670595592.06038"/>
    <n v="13725415548.492054"/>
    <n v="19396011140.552433"/>
    <n v="4223252131.9670715"/>
    <n v="6020724829.7000313"/>
    <n v="10243976961.667103"/>
    <n v="9893847724.0274506"/>
    <n v="19746140378.192085"/>
    <n v="29639988102.219536"/>
  </r>
  <r>
    <x v="31"/>
    <n v="9167844292"/>
    <n v="22112373599"/>
    <n v="31280217891"/>
    <n v="6911595207"/>
    <n v="9830503853"/>
    <n v="16742099060"/>
    <n v="16079439499"/>
    <n v="31942877452"/>
    <n v="48022316951"/>
    <n v="78.718604459999995"/>
    <n v="129.01505570699999"/>
    <n v="1.6389398235909731"/>
    <n v="5593765042.521781"/>
    <n v="13491876443.975248"/>
    <n v="19085641486.497028"/>
    <n v="4217113470.2532635"/>
    <n v="5998087124.0659895"/>
    <n v="10215200594.319252"/>
    <n v="9810878512.7750435"/>
    <n v="19489963568.041237"/>
    <n v="29300842080.816284"/>
  </r>
  <r>
    <x v="32"/>
    <n v="9222280232"/>
    <n v="22286086187"/>
    <n v="31508366419"/>
    <n v="6963837825"/>
    <n v="9940294253"/>
    <n v="16904132078"/>
    <n v="16186118057"/>
    <n v="32226380440"/>
    <n v="48412498497"/>
    <n v="79.320558019999993"/>
    <n v="129.01505570699999"/>
    <n v="1.6265021190908662"/>
    <n v="5670008125.8761568"/>
    <n v="13701848848.163084"/>
    <n v="19371856974.039242"/>
    <n v="4281480941.9937549"/>
    <n v="6111454843.0813789"/>
    <n v="10392935785.075134"/>
    <n v="9951489067.8699112"/>
    <n v="19813303691.244465"/>
    <n v="29764792759.114376"/>
  </r>
  <r>
    <x v="33"/>
    <n v="8960510595"/>
    <n v="21612411466"/>
    <n v="30572922061"/>
    <n v="6950877103"/>
    <n v="9961834460"/>
    <n v="16912711563"/>
    <n v="15911387698"/>
    <n v="31574245926"/>
    <n v="47485633624"/>
    <n v="79.573556539999998"/>
    <n v="129.01505570699999"/>
    <n v="1.6213307701302349"/>
    <n v="5526639449.5678625"/>
    <n v="13330044593.099262"/>
    <n v="18856684042.667126"/>
    <n v="4287143148.7368026"/>
    <n v="6144233270.3028927"/>
    <n v="10431376419.039696"/>
    <n v="9813782598.3046646"/>
    <n v="19474277863.402153"/>
    <n v="29288060461.706821"/>
  </r>
  <r>
    <x v="34"/>
    <n v="9375705410"/>
    <n v="22569105211"/>
    <n v="31944810621"/>
    <n v="6913423621"/>
    <n v="9853869542"/>
    <n v="16767293163"/>
    <n v="16289129031"/>
    <n v="32422974753"/>
    <n v="48712103784"/>
    <n v="79.89172499"/>
    <n v="129.01505570699999"/>
    <n v="1.6148738273350429"/>
    <n v="5805843931.146203"/>
    <n v="13975770013.094353"/>
    <n v="19781613944.240555"/>
    <n v="4281092122.4780307"/>
    <n v="6101943926.0226412"/>
    <n v="10383036048.500671"/>
    <n v="10086936053.624233"/>
    <n v="20077713939.116993"/>
    <n v="30164649992.741226"/>
  </r>
  <r>
    <x v="35"/>
    <n v="9174653935"/>
    <n v="22179625998"/>
    <n v="31354279933"/>
    <n v="6923047026"/>
    <n v="9908537308"/>
    <n v="16831584334"/>
    <n v="16097700961"/>
    <n v="32088163306"/>
    <n v="48185864267"/>
    <n v="80.027305999999996"/>
    <n v="129.01505570699999"/>
    <n v="1.6121379333573966"/>
    <n v="5690985706.1009064"/>
    <n v="13757895983.3848"/>
    <n v="19448881689.485706"/>
    <n v="4294326733.9304161"/>
    <n v="6146209392.4958"/>
    <n v="10440536126.426216"/>
    <n v="9985312440.0313225"/>
    <n v="19904105375.8806"/>
    <n v="29889417815.911922"/>
  </r>
  <r>
    <x v="36"/>
    <n v="9456691415"/>
    <n v="22823692653"/>
    <n v="32280384068"/>
    <n v="7085634818"/>
    <n v="10088190157"/>
    <n v="17173824975"/>
    <n v="16542326233"/>
    <n v="32911882810"/>
    <n v="49454209043"/>
    <n v="80.12891166"/>
    <n v="129.01505570699999"/>
    <n v="1.6100936981951264"/>
    <n v="5873379558.9664803"/>
    <n v="14175381643.058893"/>
    <n v="20048761202.025372"/>
    <n v="4400759301.1157141"/>
    <n v="6265591976.6089401"/>
    <n v="10666351277.724655"/>
    <n v="10274138860.082193"/>
    <n v="20440973619.667831"/>
    <n v="30715112479.750027"/>
  </r>
  <r>
    <x v="37"/>
    <n v="9466393837"/>
    <n v="22868475003"/>
    <n v="32334868840"/>
    <n v="7138033221"/>
    <n v="10120989298"/>
    <n v="17259022519"/>
    <n v="16604427058"/>
    <n v="32989464301"/>
    <n v="49593891359"/>
    <n v="80.258840259999999"/>
    <n v="129.01505570699999"/>
    <n v="1.6074871663863237"/>
    <n v="5888938981.8773603"/>
    <n v="14226225553.270807"/>
    <n v="20115164535.148167"/>
    <n v="4440491576.0829983"/>
    <n v="6296155583.4702358"/>
    <n v="10736647159.553234"/>
    <n v="10329430557.96036"/>
    <n v="20522381136.741043"/>
    <n v="30851811694.701401"/>
  </r>
  <r>
    <x v="38"/>
    <n v="9446994640"/>
    <n v="22910999169"/>
    <n v="32357993809"/>
    <n v="7269204406"/>
    <n v="10315712587"/>
    <n v="17584916993"/>
    <n v="16716199046"/>
    <n v="33226711756"/>
    <n v="49942910802"/>
    <n v="80.657741869999995"/>
    <n v="129.01505570699999"/>
    <n v="1.5995371642679983"/>
    <n v="5906080115.5709696"/>
    <n v="14323517878.051205"/>
    <n v="20229597993.622173"/>
    <n v="4544567371.3537197"/>
    <n v="6449185937.9339991"/>
    <n v="10993753309.28772"/>
    <n v="10450647486.924688"/>
    <n v="20772703815.985203"/>
    <n v="31223351302.909893"/>
  </r>
  <r>
    <x v="39"/>
    <n v="9325007931"/>
    <n v="22677749441"/>
    <n v="32002757372"/>
    <n v="7166867504"/>
    <n v="10138595025"/>
    <n v="17305462529"/>
    <n v="16491875435"/>
    <n v="32816344466"/>
    <n v="49308219901"/>
    <n v="81.04926494"/>
    <n v="129.01505570699999"/>
    <n v="1.5918103119443292"/>
    <n v="5858115041.1130934"/>
    <n v="14246514971.560955"/>
    <n v="20104630012.674049"/>
    <n v="4502337653.0624266"/>
    <n v="6369223109.6405783"/>
    <n v="10871560762.703005"/>
    <n v="10360452694.17552"/>
    <n v="20615738081.201534"/>
    <n v="30976190775.377052"/>
  </r>
  <r>
    <x v="40"/>
    <n v="9186249321"/>
    <n v="22309455910"/>
    <n v="31495705231"/>
    <n v="7092745961"/>
    <n v="10046524068"/>
    <n v="17139270029"/>
    <n v="16278995282"/>
    <n v="32355979978"/>
    <n v="48634975260"/>
    <n v="81.306441989999996"/>
    <n v="129.01505570699999"/>
    <n v="1.5867753224629821"/>
    <n v="5789256481.9707203"/>
    <n v="14059618645.550531"/>
    <n v="19848875127.521252"/>
    <n v="4469911940.6461945"/>
    <n v="6331409321.6460238"/>
    <n v="10801321262.292219"/>
    <n v="10259168422.616915"/>
    <n v="20391027967.196556"/>
    <n v="30650196389.813469"/>
  </r>
  <r>
    <x v="41"/>
    <n v="9601300082"/>
    <n v="23540515168"/>
    <n v="33141815250"/>
    <n v="7159487112"/>
    <n v="10133285365"/>
    <n v="17292772477"/>
    <n v="16760787194"/>
    <n v="33673800533"/>
    <n v="50434587727"/>
    <n v="81.801766929999999"/>
    <n v="129.01505570699999"/>
    <n v="1.5771671022387779"/>
    <n v="6087687264.3177891"/>
    <n v="14925821832.438934"/>
    <n v="21013509096.756721"/>
    <n v="4539460087.5437717"/>
    <n v="6424991588.1556692"/>
    <n v="10964451675.699442"/>
    <n v="10627147351.861561"/>
    <n v="21350813420.594604"/>
    <n v="31977960772.456165"/>
  </r>
  <r>
    <x v="42"/>
    <n v="9364491594"/>
    <n v="22892678969"/>
    <n v="32257170563"/>
    <n v="7064607787"/>
    <n v="9971013631"/>
    <n v="17035621418"/>
    <n v="16429099381"/>
    <n v="32863692600"/>
    <n v="49292791981"/>
    <n v="81.873765579999997"/>
    <n v="129.01505570699999"/>
    <n v="1.5757801634387707"/>
    <n v="5942765248.1448889"/>
    <n v="14527838019.639805"/>
    <n v="20470603267.784695"/>
    <n v="4483244522.8801146"/>
    <n v="6327667946.5494738"/>
    <n v="10810912469.429588"/>
    <n v="10426009771.025003"/>
    <n v="20855505966.189278"/>
    <n v="31281515737.214283"/>
  </r>
  <r>
    <x v="43"/>
    <n v="9390546248"/>
    <n v="23043246653"/>
    <n v="32433792901"/>
    <n v="7012662104"/>
    <n v="9870529228"/>
    <n v="16883191332"/>
    <n v="16403208352"/>
    <n v="32913775881"/>
    <n v="49316984233"/>
    <n v="82.191759719999993"/>
    <n v="129.01505570699999"/>
    <n v="1.5696835807690626"/>
    <n v="5982445355.8972216"/>
    <n v="14680185825.547094"/>
    <n v="20662631181.444317"/>
    <n v="4467564157.4616995"/>
    <n v="6288228627.0484905"/>
    <n v="10755792784.510189"/>
    <n v="10450009513.358921"/>
    <n v="20968414452.595585"/>
    <n v="31418423965.954506"/>
  </r>
  <r>
    <x v="44"/>
    <n v="9400604974"/>
    <n v="23014933635"/>
    <n v="32415538609"/>
    <n v="7146626855"/>
    <n v="9981741212"/>
    <n v="17128368067"/>
    <n v="16547231829"/>
    <n v="32996674847"/>
    <n v="49543906676"/>
    <n v="82.325894520000006"/>
    <n v="129.01505570699999"/>
    <n v="1.5671260720484179"/>
    <n v="5998627131.3272867"/>
    <n v="14686076663.198372"/>
    <n v="20684703794.525658"/>
    <n v="4560339453.5185795"/>
    <n v="6369456414.5389347"/>
    <n v="10929795868.057514"/>
    <n v="10558966584.845865"/>
    <n v="21055533077.737305"/>
    <n v="31614499662.583172"/>
  </r>
  <r>
    <x v="45"/>
    <n v="9341739477"/>
    <n v="22990287705"/>
    <n v="32332027182"/>
    <n v="7116232378"/>
    <n v="9964909178"/>
    <n v="17081141556"/>
    <n v="16457971855"/>
    <n v="32955196883"/>
    <n v="49413168738"/>
    <n v="82.367637090000002"/>
    <n v="129.01505570699999"/>
    <n v="1.5663318782112217"/>
    <n v="5964086926.2447939"/>
    <n v="14677788293.024662"/>
    <n v="20641875219.269455"/>
    <n v="4543246853.9980564"/>
    <n v="6361939839.5824642"/>
    <n v="10905186693.580521"/>
    <n v="10507333780.242851"/>
    <n v="21039728132.607128"/>
    <n v="31547061912.849976"/>
  </r>
  <r>
    <x v="46"/>
    <n v="9303244292"/>
    <n v="22904546229"/>
    <n v="32207790521"/>
    <n v="7106853715"/>
    <n v="10044898421"/>
    <n v="17151752136"/>
    <n v="16410098007"/>
    <n v="32949444650"/>
    <n v="49359542657"/>
    <n v="82.392904430000002"/>
    <n v="129.01505570699999"/>
    <n v="1.5658515329631277"/>
    <n v="5941332301.4060431"/>
    <n v="14627533803.065447"/>
    <n v="20568866104.471489"/>
    <n v="4538651056.8798294"/>
    <n v="6414974989.3539457"/>
    <n v="10953626046.233774"/>
    <n v="10479983358.285872"/>
    <n v="21042508792.419392"/>
    <n v="31522492150.705265"/>
  </r>
  <r>
    <x v="47"/>
    <n v="9321480131"/>
    <n v="22982535873"/>
    <n v="32304016004"/>
    <n v="7145725951"/>
    <n v="10055339674"/>
    <n v="17201065625"/>
    <n v="16467206082"/>
    <n v="33037875547"/>
    <n v="49505081629"/>
    <n v="82.148900620000006"/>
    <n v="129.01505570699999"/>
    <n v="1.570502523263104"/>
    <n v="5935348713.5011663"/>
    <n v="14633873892.318331"/>
    <n v="20569222605.819496"/>
    <n v="4549961458.2936182"/>
    <n v="6402625608.7176266"/>
    <n v="10952587067.011246"/>
    <n v="10485310171.794785"/>
    <n v="21036499501.035957"/>
    <n v="31521809672.830742"/>
  </r>
  <r>
    <x v="48"/>
    <n v="9579223819"/>
    <n v="23625224164"/>
    <n v="33204447983"/>
    <n v="7330022900"/>
    <n v="10287910867"/>
    <n v="17617933767"/>
    <n v="16909246719"/>
    <n v="33913135031"/>
    <n v="50822381750"/>
    <n v="82.138100140000006"/>
    <n v="129.01505570699999"/>
    <n v="1.5707090313399106"/>
    <n v="6098662214.2411299"/>
    <n v="15041120724.852676"/>
    <n v="21139782939.093807"/>
    <n v="4666696857.1174784"/>
    <n v="6549851475.8164883"/>
    <n v="11216548332.933968"/>
    <n v="10765359071.358608"/>
    <n v="21590972200.669163"/>
    <n v="32356331272.027775"/>
  </r>
  <r>
    <x v="49"/>
    <n v="9505346743"/>
    <n v="23570869542"/>
    <n v="33076216285"/>
    <n v="6708451227"/>
    <n v="9639553344"/>
    <n v="16348004571"/>
    <n v="16213797970"/>
    <n v="33210422886"/>
    <n v="49424220856"/>
    <n v="82.319750740000003"/>
    <n v="129.01505570699999"/>
    <n v="1.5672430315597428"/>
    <n v="6065011329.8255615"/>
    <n v="15039702884.205479"/>
    <n v="21104714214.03104"/>
    <n v="4280415412.2310266"/>
    <n v="6150643614.2240038"/>
    <n v="10431059026.45503"/>
    <n v="10345426742.056587"/>
    <n v="21190346498.429482"/>
    <n v="31535773240.486069"/>
  </r>
  <r>
    <x v="50"/>
    <n v="9402537561"/>
    <n v="23415891330"/>
    <n v="32818428891"/>
    <n v="6763177248"/>
    <n v="9781105703"/>
    <n v="16544282951"/>
    <n v="16165714809"/>
    <n v="33196997033"/>
    <n v="49362711842"/>
    <n v="82.952428870000006"/>
    <n v="129.01505570699999"/>
    <n v="1.5552896698080731"/>
    <n v="6045521772.2627182"/>
    <n v="15055646407.585014"/>
    <n v="21101168179.847733"/>
    <n v="4348500076.4099426"/>
    <n v="6288928611.0972586"/>
    <n v="10637428687.507202"/>
    <n v="10394021848.672661"/>
    <n v="21344575018.682274"/>
    <n v="31738596867.354935"/>
  </r>
  <r>
    <x v="51"/>
    <n v="9505710826"/>
    <n v="23671707485"/>
    <n v="33177418311"/>
    <n v="6641653947"/>
    <n v="9486782338"/>
    <n v="16128436285"/>
    <n v="16147364773"/>
    <n v="33158489823"/>
    <n v="49305854596"/>
    <n v="83.415861460000002"/>
    <n v="129.01505570699999"/>
    <n v="1.5466489639846965"/>
    <n v="6146004069.0229015"/>
    <n v="15305158465.960878"/>
    <n v="21451162534.98378"/>
    <n v="4294221960.9347091"/>
    <n v="6133765682.3942814"/>
    <n v="10427987643.328991"/>
    <n v="10440226029.957611"/>
    <n v="21438924148.35516"/>
    <n v="31879150178.312771"/>
  </r>
  <r>
    <x v="52"/>
    <n v="9415966403"/>
    <n v="23487576331"/>
    <n v="32903542734"/>
    <n v="6776797309"/>
    <n v="9729304207"/>
    <n v="16506101516"/>
    <n v="16192763712"/>
    <n v="33216880538"/>
    <n v="49409644250"/>
    <n v="83.040174840000006"/>
    <n v="129.01505570699999"/>
    <n v="1.5536462435873164"/>
    <n v="6060560080.4330168"/>
    <n v="15117711916.689596"/>
    <n v="21178271997.122612"/>
    <n v="4361866375.2905588"/>
    <n v="6262239069.6452026"/>
    <n v="10624105444.93576"/>
    <n v="10422426455.723576"/>
    <n v="21379950986.334797"/>
    <n v="31802377442.058372"/>
  </r>
  <r>
    <x v="53"/>
    <n v="9559536164"/>
    <n v="23954986984"/>
    <n v="33514523148"/>
    <n v="6656752755"/>
    <n v="9501041522"/>
    <n v="16157794277"/>
    <n v="16216288919"/>
    <n v="33456028506"/>
    <n v="49672317425"/>
    <n v="83.01813027"/>
    <n v="129.01505570699999"/>
    <n v="1.5540587976072711"/>
    <n v="6151334929.359479"/>
    <n v="15414466312.910837"/>
    <n v="21565801242.270317"/>
    <n v="4283462611.0988626"/>
    <n v="6113695013.7462072"/>
    <n v="10397157624.84507"/>
    <n v="10434797540.458342"/>
    <n v="21528161326.657043"/>
    <n v="31962958867.115387"/>
  </r>
  <r>
    <x v="54"/>
    <n v="9490976797"/>
    <n v="23825269948"/>
    <n v="33316246745"/>
    <n v="6717455048"/>
    <n v="9630604254"/>
    <n v="16348059302"/>
    <n v="16208431845"/>
    <n v="33455874202"/>
    <n v="49664306047"/>
    <n v="83.165705209999999"/>
    <n v="129.01505570699999"/>
    <n v="1.5513011689280665"/>
    <n v="6118074934.190999"/>
    <n v="15358249207.317379"/>
    <n v="21476324141.508377"/>
    <n v="4330206914.394124"/>
    <n v="6208081607.1676464"/>
    <n v="10538288521.561771"/>
    <n v="10448281848.585123"/>
    <n v="21566330814.485027"/>
    <n v="32014612663.070148"/>
  </r>
  <r>
    <x v="55"/>
    <n v="9451241747"/>
    <n v="23675656448"/>
    <n v="33126898195"/>
    <n v="6718313365"/>
    <n v="9568449839"/>
    <n v="16286763204"/>
    <n v="16169555112"/>
    <n v="33244106287"/>
    <n v="49413661399"/>
    <n v="83.263245900000001"/>
    <n v="129.01505570699999"/>
    <n v="1.5494838606454087"/>
    <n v="6099606447.7001143"/>
    <n v="15279705100.083035"/>
    <n v="21379311547.78315"/>
    <n v="4335839524.1378069"/>
    <n v="6175249760.2746506"/>
    <n v="10511089284.412457"/>
    <n v="10435445971.837921"/>
    <n v="21454954860.357685"/>
    <n v="31890400832.195606"/>
  </r>
  <r>
    <x v="56"/>
    <n v="9444575565"/>
    <n v="23681559782"/>
    <n v="33126135347"/>
    <n v="6713131111"/>
    <n v="9592483433"/>
    <n v="16305614544"/>
    <n v="16157706676"/>
    <n v="33274043215"/>
    <n v="49431749891"/>
    <n v="83.582810629999997"/>
    <n v="129.01505570699999"/>
    <n v="1.5435596713553588"/>
    <n v="6118698058.9528933"/>
    <n v="15342173173.782036"/>
    <n v="21460871232.734928"/>
    <n v="4349123157.0629063"/>
    <n v="6214520637.5967932"/>
    <n v="10563643794.659698"/>
    <n v="10467821216.0158"/>
    <n v="21556693811.37883"/>
    <n v="32024515027.394627"/>
  </r>
  <r>
    <x v="57"/>
    <n v="9466512338"/>
    <n v="23712734690"/>
    <n v="33179247028"/>
    <n v="6662874117"/>
    <n v="9479153574"/>
    <n v="16142027691"/>
    <n v="16129386455"/>
    <n v="33191888264"/>
    <n v="49321274719"/>
    <n v="83.178496589999995"/>
    <n v="129.01505570699999"/>
    <n v="1.5510626062759425"/>
    <n v="6103243221.5800934"/>
    <n v="15288057744.447599"/>
    <n v="21391300966.027695"/>
    <n v="4295683546.2608261"/>
    <n v="6111393270.4232874"/>
    <n v="10407076816.684113"/>
    <n v="10398926767.840919"/>
    <n v="21399451014.870888"/>
    <n v="31798377782.711807"/>
  </r>
  <r>
    <x v="58"/>
    <n v="9313563017"/>
    <n v="23349133922"/>
    <n v="32662696939"/>
    <n v="6642796123"/>
    <n v="9449077606"/>
    <n v="16091873729"/>
    <n v="15956359140"/>
    <n v="32798211528"/>
    <n v="48754570668"/>
    <n v="83.171387879999997"/>
    <n v="129.01505570699999"/>
    <n v="1.5511951765569119"/>
    <n v="6004120666.2805109"/>
    <n v="15052350777.564026"/>
    <n v="21056471443.844536"/>
    <n v="4282372858.9361572"/>
    <n v="6091482070.6015282"/>
    <n v="10373854929.537685"/>
    <n v="10286493525.216667"/>
    <n v="21143832848.165554"/>
    <n v="31430326373.382221"/>
  </r>
  <r>
    <x v="59"/>
    <n v="9277966913"/>
    <n v="23321256514"/>
    <n v="32599223427"/>
    <n v="6643306880"/>
    <n v="9440350321"/>
    <n v="16083657201"/>
    <n v="15921273793"/>
    <n v="32761606835"/>
    <n v="48682880628"/>
    <n v="83.703907880000003"/>
    <n v="129.01505570699999"/>
    <n v="1.5413265518255035"/>
    <n v="6019468685.6016588"/>
    <n v="15130639569.12892"/>
    <n v="21150108254.730579"/>
    <n v="4310122908.174037"/>
    <n v="6124821706.2238474"/>
    <n v="10434944614.397884"/>
    <n v="10329591593.775696"/>
    <n v="21255461275.352768"/>
    <n v="31585052869.128464"/>
  </r>
  <r>
    <x v="60"/>
    <n v="9309660768"/>
    <n v="23516711160"/>
    <n v="32826371928"/>
    <n v="6721648420"/>
    <n v="9542922435"/>
    <n v="16264570855"/>
    <n v="16031309188"/>
    <n v="33059633595"/>
    <n v="49090942783"/>
    <n v="83.922140080000005"/>
    <n v="129.01505570699999"/>
    <n v="1.5373184666646311"/>
    <n v="6055778922.7616949"/>
    <n v="15297228043.465775"/>
    <n v="21353006966.22747"/>
    <n v="4372320092.2599335"/>
    <n v="6207511743.2917728"/>
    <n v="10579831835.551706"/>
    <n v="10428099015.021629"/>
    <n v="21504739786.757549"/>
    <n v="31932838801.779175"/>
  </r>
  <r>
    <x v="61"/>
    <n v="9293481135"/>
    <n v="23606504903"/>
    <n v="32899986038"/>
    <n v="6623273921"/>
    <n v="9385835516"/>
    <n v="16009109437"/>
    <n v="15916755056"/>
    <n v="32992340419"/>
    <n v="48909095475"/>
    <n v="84.124094580000005"/>
    <n v="129.01505570699999"/>
    <n v="1.5336278666786689"/>
    <n v="6059801948.6478224"/>
    <n v="15392589959.990677"/>
    <n v="21452391908.6385"/>
    <n v="4318696904.8389959"/>
    <n v="6120021499.300621"/>
    <n v="10438718404.139618"/>
    <n v="10378498853.486818"/>
    <n v="21512611459.291298"/>
    <n v="31891110312.778118"/>
  </r>
  <r>
    <x v="62"/>
    <n v="9757955546"/>
    <n v="24419698527"/>
    <n v="34177654073"/>
    <n v="6512226982"/>
    <n v="9373547637"/>
    <n v="15885774619"/>
    <n v="16270182528"/>
    <n v="33793246164"/>
    <n v="50063428692"/>
    <n v="84.57561853"/>
    <n v="129.01505570699999"/>
    <n v="1.5254402858577591"/>
    <n v="6396812537.6425829"/>
    <n v="16008295279.332247"/>
    <n v="22405107816.974831"/>
    <n v="4269080240.2259603"/>
    <n v="6144814532.5001888"/>
    <n v="10413894772.726149"/>
    <n v="10665892777.868544"/>
    <n v="22153109811.832436"/>
    <n v="32819002589.700981"/>
  </r>
  <r>
    <x v="63"/>
    <n v="9410753781"/>
    <n v="23932815302"/>
    <n v="33343569083"/>
    <n v="6443282832"/>
    <n v="9263190185"/>
    <n v="15706473017"/>
    <n v="15854036613"/>
    <n v="33196005487"/>
    <n v="49050042100"/>
    <n v="84.696262430000004"/>
    <n v="129.01505570699999"/>
    <n v="1.5232674028990205"/>
    <n v="6178005098.178978"/>
    <n v="15711499672.645813"/>
    <n v="21889504770.824791"/>
    <n v="4229909219.9684744"/>
    <n v="6081132024.0757952"/>
    <n v="10311041244.04427"/>
    <n v="10407914318.147453"/>
    <n v="21792631696.721607"/>
    <n v="32200546014.869061"/>
  </r>
  <r>
    <x v="64"/>
    <n v="9380328493"/>
    <n v="23981533175"/>
    <n v="33361861668"/>
    <n v="6397886352"/>
    <n v="9229279008"/>
    <n v="15627165360"/>
    <n v="15778214845"/>
    <n v="33210812183"/>
    <n v="48989027028"/>
    <n v="85.011592280000002"/>
    <n v="129.01505570699999"/>
    <n v="1.5176172125098795"/>
    <n v="6180958159.72365"/>
    <n v="15802096192.187122"/>
    <n v="21983054351.91077"/>
    <n v="4215744457.3384809"/>
    <n v="6081427471.9093027"/>
    <n v="10297171929.247784"/>
    <n v="10396702617.062132"/>
    <n v="21883523664.096424"/>
    <n v="32280226281.158554"/>
  </r>
  <r>
    <x v="65"/>
    <n v="9348827399"/>
    <n v="24003442306"/>
    <n v="33352269705"/>
    <n v="6321431917"/>
    <n v="9110564180"/>
    <n v="15431996097"/>
    <n v="15670259316"/>
    <n v="33114006486"/>
    <n v="48784265802"/>
    <n v="85.520646979999995"/>
    <n v="129.01505570699999"/>
    <n v="1.5085837194048786"/>
    <n v="6197088884.5917149"/>
    <n v="15911243106.527174"/>
    <n v="22108331991.118889"/>
    <n v="4190308986.9574776"/>
    <n v="6039150537.5611687"/>
    <n v="10229459524.518646"/>
    <n v="10387397871.549192"/>
    <n v="21950393644.088345"/>
    <n v="32337791515.637535"/>
  </r>
  <r>
    <x v="66"/>
    <n v="9245237305"/>
    <n v="23893249676"/>
    <n v="33138486981"/>
    <n v="6451920325"/>
    <n v="9277157471"/>
    <n v="15729077796"/>
    <n v="15697157630"/>
    <n v="33170407147"/>
    <n v="48867564777"/>
    <n v="85.673733110000001"/>
    <n v="129.01505570699999"/>
    <n v="1.5058881062338243"/>
    <n v="6139391942.0228567"/>
    <n v="15866550494.08433"/>
    <n v="22005942436.107185"/>
    <n v="4284461971.8366966"/>
    <n v="6160588846.2734861"/>
    <n v="10445050818.110182"/>
    <n v="10423853913.859552"/>
    <n v="22027139340.357815"/>
    <n v="32450993254.217369"/>
  </r>
  <r>
    <x v="67"/>
    <n v="9217271923"/>
    <n v="23705404308"/>
    <n v="32922676231"/>
    <n v="6289976759"/>
    <n v="9117486083"/>
    <n v="15407462842"/>
    <n v="15507248682"/>
    <n v="32822890391"/>
    <n v="48330139073"/>
    <n v="86.090680660000004"/>
    <n v="129.01505570699999"/>
    <n v="1.4985949085072547"/>
    <n v="6150609394.623723"/>
    <n v="15818420423.9776"/>
    <n v="21969029818.601322"/>
    <n v="4197249519.0614414"/>
    <n v="6084023128.0926323"/>
    <n v="10281272647.154074"/>
    <n v="10347858913.685165"/>
    <n v="21902443552.070232"/>
    <n v="32250302465.755398"/>
  </r>
  <r>
    <x v="68"/>
    <n v="9226329191"/>
    <n v="23800129353"/>
    <n v="33026458544"/>
    <n v="6372815069"/>
    <n v="9205279740"/>
    <n v="15578094809"/>
    <n v="15599144260"/>
    <n v="33005409093"/>
    <n v="48604553353"/>
    <n v="86.811527290000001"/>
    <n v="129.01505570699999"/>
    <n v="1.4861512028928616"/>
    <n v="6208203561.6837149"/>
    <n v="16014608275.841619"/>
    <n v="22222811837.525333"/>
    <n v="4288133708.4645376"/>
    <n v="6194039827.2272024"/>
    <n v="10482173535.69174"/>
    <n v="10496337270.148252"/>
    <n v="22208648103.068821"/>
    <n v="32704985373.217075"/>
  </r>
  <r>
    <x v="69"/>
    <n v="9235565895"/>
    <n v="23832959579"/>
    <n v="33068525474"/>
    <n v="6263281117"/>
    <n v="9173175836"/>
    <n v="15436456953"/>
    <n v="15498847012"/>
    <n v="33006135415"/>
    <n v="48504982427"/>
    <n v="87.350598349999999"/>
    <n v="129.01505570699999"/>
    <n v="1.476979644604804"/>
    <n v="6253008244.7217236"/>
    <n v="16136281678.666595"/>
    <n v="22389289923.388321"/>
    <n v="4240600836.9031167"/>
    <n v="6210766593.5060806"/>
    <n v="10451367430.409197"/>
    <n v="10493609081.62484"/>
    <n v="22347048272.172676"/>
    <n v="32840657353.797516"/>
  </r>
  <r>
    <x v="70"/>
    <n v="9237724967"/>
    <n v="23880144901"/>
    <n v="33117869868"/>
    <n v="6282437937"/>
    <n v="9089161906"/>
    <n v="15371599843"/>
    <n v="15520162904"/>
    <n v="32969306807"/>
    <n v="48489469711"/>
    <n v="87.645523609999998"/>
    <n v="129.01505570699999"/>
    <n v="1.4720096405731313"/>
    <n v="6275587273.6018658"/>
    <n v="16222818276.99321"/>
    <n v="22498405550.595074"/>
    <n v="4267932603.045938"/>
    <n v="6174661942.0652084"/>
    <n v="10442594545.111147"/>
    <n v="10543519876.647804"/>
    <n v="22397480219.058418"/>
    <n v="32941000095.706223"/>
  </r>
  <r>
    <x v="71"/>
    <n v="9294413657"/>
    <n v="24122680604"/>
    <n v="33417094261"/>
    <n v="6374803697"/>
    <n v="9143227326"/>
    <n v="15518031023"/>
    <n v="15669217354"/>
    <n v="33265907930"/>
    <n v="48935125284"/>
    <n v="87.690897609999993"/>
    <n v="129.01505570699999"/>
    <n v="1.4712479769654851"/>
    <n v="6317367162.108283"/>
    <n v="16396067135.979422"/>
    <n v="22713434298.087704"/>
    <n v="4332922659.4066887"/>
    <n v="6214606557.9361515"/>
    <n v="10547529217.34284"/>
    <n v="10650289821.514971"/>
    <n v="22610673693.915573"/>
    <n v="33260963515.430546"/>
  </r>
  <r>
    <x v="72"/>
    <n v="9690025875"/>
    <n v="25169576538"/>
    <n v="34859602413"/>
    <n v="6492031177"/>
    <n v="9448846402"/>
    <n v="15940877579"/>
    <n v="16182057052"/>
    <n v="34618422940"/>
    <n v="50800479992"/>
    <n v="87.894560830000003"/>
    <n v="129.01505570699999"/>
    <n v="1.4678389025292771"/>
    <n v="6601559516.0360088"/>
    <n v="17147369847.351471"/>
    <n v="23748929363.387478"/>
    <n v="4422849922.9809122"/>
    <n v="6437250290.6949873"/>
    <n v="10860100213.6759"/>
    <n v="11024409439.01692"/>
    <n v="23584620138.046459"/>
    <n v="34609029577.063377"/>
  </r>
  <r>
    <x v="73"/>
    <n v="9648650446"/>
    <n v="25103368823"/>
    <n v="34752019269"/>
    <n v="6488751394"/>
    <n v="9384603377"/>
    <n v="15873354771"/>
    <n v="16137401840"/>
    <n v="34487972200"/>
    <n v="50625374040"/>
    <n v="88.179932219999998"/>
    <n v="129.01505570699999"/>
    <n v="1.4630886241227823"/>
    <n v="6594713598.9694405"/>
    <n v="17157790997.145588"/>
    <n v="23752504596.115028"/>
    <n v="4434968112.6735792"/>
    <n v="6414241230.6887331"/>
    <n v="10849209343.362312"/>
    <n v="11029681711.643021"/>
    <n v="23572032227.83432"/>
    <n v="34601713939.477341"/>
  </r>
  <r>
    <x v="74"/>
    <n v="9637560287"/>
    <n v="25131917138"/>
    <n v="34769477425"/>
    <n v="6503264006"/>
    <n v="9455679504"/>
    <n v="15958943510"/>
    <n v="16140824293"/>
    <n v="34587596642"/>
    <n v="50728420935"/>
    <n v="88.917875609999996"/>
    <n v="129.01505570699999"/>
    <n v="1.4509462222519689"/>
    <n v="6642258782.0255938"/>
    <n v="17321053497.760605"/>
    <n v="23963312279.786198"/>
    <n v="4482084798.3645353"/>
    <n v="6516905560.6514015"/>
    <n v="10998990359.015936"/>
    <n v="11124343580.390129"/>
    <n v="23837959058.412006"/>
    <n v="34962302638.802132"/>
  </r>
  <r>
    <x v="75"/>
    <n v="9625031973"/>
    <n v="25115561542"/>
    <n v="34740593515"/>
    <n v="6502918718"/>
    <n v="9414767512"/>
    <n v="15917686230"/>
    <n v="16127950691"/>
    <n v="34530329054"/>
    <n v="50658279745"/>
    <n v="89.84344969"/>
    <n v="129.01505570699999"/>
    <n v="1.4359984634623839"/>
    <n v="6702675676.8198509"/>
    <n v="17489964077.98587"/>
    <n v="24192639754.805721"/>
    <n v="4528499774.5196714"/>
    <n v="6556251800.7851763"/>
    <n v="11084751575.304848"/>
    <n v="11231175451.339521"/>
    <n v="24046215878.771046"/>
    <n v="35277391330.110565"/>
  </r>
  <r>
    <x v="76"/>
    <n v="9669173528"/>
    <n v="25148544835"/>
    <n v="34817718363"/>
    <n v="6523762729"/>
    <n v="9391821565"/>
    <n v="15915584294"/>
    <n v="16192936257"/>
    <n v="34540366400"/>
    <n v="50733302657"/>
    <n v="89.865715080000001"/>
    <n v="129.01505570699999"/>
    <n v="1.435642676321538"/>
    <n v="6735083657.9856691"/>
    <n v="17517273099.902981"/>
    <n v="24252356757.888649"/>
    <n v="4544140987.5857477"/>
    <n v="6541893550.4648743"/>
    <n v="11086034538.050623"/>
    <n v="11279224645.571417"/>
    <n v="24059166650.367855"/>
    <n v="35338391295.93927"/>
  </r>
  <r>
    <x v="77"/>
    <n v="9652887457"/>
    <n v="25289592286"/>
    <n v="34942479743"/>
    <n v="6484270913"/>
    <n v="9354948509"/>
    <n v="15839219422"/>
    <n v="16137158370"/>
    <n v="34644540795"/>
    <n v="50781699165"/>
    <n v="89.494262109999994"/>
    <n v="129.01505570699999"/>
    <n v="1.4416014241049759"/>
    <n v="6695947503.6541634"/>
    <n v="17542707618.855984"/>
    <n v="24238655122.510147"/>
    <n v="4497963726.0179501"/>
    <n v="6489275296.6084623"/>
    <n v="10987239022.626411"/>
    <n v="11193911229.672113"/>
    <n v="24031982915.464447"/>
    <n v="35225894145.136559"/>
  </r>
  <r>
    <x v="78"/>
    <n v="9600894815"/>
    <n v="25041804985"/>
    <n v="34642699800"/>
    <n v="6466158700"/>
    <n v="9311694841"/>
    <n v="15777853541"/>
    <n v="16067053515"/>
    <n v="34353499826"/>
    <n v="50420553341"/>
    <n v="89.563556840000004"/>
    <n v="129.01505570699999"/>
    <n v="1.4404860666429065"/>
    <n v="6665038307.0869665"/>
    <n v="17384274353.559444"/>
    <n v="24049312660.646412"/>
    <n v="4488872783.8024607"/>
    <n v="6464272759.4728966"/>
    <n v="10953145543.275356"/>
    <n v="11153911090.889427"/>
    <n v="23848547113.032341"/>
    <n v="35002458203.921768"/>
  </r>
  <r>
    <x v="79"/>
    <n v="9583451947"/>
    <n v="24983780566"/>
    <n v="34567232513"/>
    <n v="6444850853"/>
    <n v="9256384977"/>
    <n v="15701235830"/>
    <n v="16028302800"/>
    <n v="34240165543"/>
    <n v="50268468343"/>
    <n v="89.878604980000006"/>
    <n v="129.01505570699999"/>
    <n v="1.4354367842681661"/>
    <n v="6676331589.12391"/>
    <n v="17405002323.900715"/>
    <n v="24081333913.024624"/>
    <n v="4489818655.640625"/>
    <n v="6448479709.0658474"/>
    <n v="10938298364.706472"/>
    <n v="11166150244.764534"/>
    <n v="23853482032.966564"/>
    <n v="35019632277.731094"/>
  </r>
  <r>
    <x v="80"/>
    <n v="9569025755"/>
    <n v="25035526485"/>
    <n v="34604552240"/>
    <n v="6536987076"/>
    <n v="9207700277"/>
    <n v="15744687353"/>
    <n v="16106012831"/>
    <n v="34243226762"/>
    <n v="50349239593"/>
    <n v="90.443760650000002"/>
    <n v="129.01505570699999"/>
    <n v="1.4264671745159236"/>
    <n v="6708199057.0496521"/>
    <n v="17550720361.648621"/>
    <n v="24258919418.698273"/>
    <n v="4582641081.9571419"/>
    <n v="6454898115.7765961"/>
    <n v="11037539197.733738"/>
    <n v="11290840139.006794"/>
    <n v="24005618477.425217"/>
    <n v="35296458616.432014"/>
  </r>
  <r>
    <x v="81"/>
    <n v="9555503406"/>
    <n v="25010859543"/>
    <n v="34566362949"/>
    <n v="6558242646"/>
    <n v="9252236869"/>
    <n v="15810479515"/>
    <n v="16113746052"/>
    <n v="34263096412"/>
    <n v="50376842464"/>
    <n v="90.963671410000003"/>
    <n v="129.01505570699999"/>
    <n v="1.418314077556206"/>
    <n v="6737226653.256093"/>
    <n v="17634217934.362179"/>
    <n v="24371444587.618275"/>
    <n v="4623970635.1219692"/>
    <n v="6523404805.3318748"/>
    <n v="11147375440.453844"/>
    <n v="11361197288.378061"/>
    <n v="24157622739.694057"/>
    <n v="35518820028.072121"/>
  </r>
  <r>
    <x v="82"/>
    <n v="9575932370"/>
    <n v="25057285104"/>
    <n v="34633217474"/>
    <n v="6575207768"/>
    <n v="9256639102"/>
    <n v="15831846870"/>
    <n v="16151140138"/>
    <n v="34313924206"/>
    <n v="50465064344"/>
    <n v="91.124380560000006"/>
    <n v="129.01505570699999"/>
    <n v="1.415812704724519"/>
    <n v="6763558723.5835915"/>
    <n v="17698163761.622345"/>
    <n v="24461722485.205936"/>
    <n v="4644122591.963439"/>
    <n v="6538039297.9317875"/>
    <n v="11182161889.895226"/>
    <n v="11407681315.547029"/>
    <n v="24236203059.554134"/>
    <n v="35643884375.101166"/>
  </r>
  <r>
    <x v="83"/>
    <n v="9557622992"/>
    <n v="25028350239"/>
    <n v="34585973231"/>
    <n v="6545933468"/>
    <n v="9255151209"/>
    <n v="15801084677"/>
    <n v="16103556460"/>
    <n v="34283501448"/>
    <n v="50387057908"/>
    <n v="91.565864430000005"/>
    <n v="129.01505570699999"/>
    <n v="1.4089863783858998"/>
    <n v="6783332428.627861"/>
    <n v="17763372750.041676"/>
    <n v="24546705178.669537"/>
    <n v="4645845813.9949236"/>
    <n v="6568659109.1125193"/>
    <n v="11214504923.107443"/>
    <n v="11429178242.622784"/>
    <n v="24332031859.154194"/>
    <n v="35761210101.776978"/>
  </r>
  <r>
    <x v="84"/>
    <n v="9984312844"/>
    <n v="26140906973"/>
    <n v="36125219817"/>
    <n v="6929303861"/>
    <n v="9750486684"/>
    <n v="16679790545"/>
    <n v="16913616705"/>
    <n v="35891393657"/>
    <n v="52805010362"/>
    <n v="91.952975289999998"/>
    <n v="129.01505570699999"/>
    <n v="1.403054716827967"/>
    <n v="7116125069.2863808"/>
    <n v="18631423749.530945"/>
    <n v="25747548818.817326"/>
    <n v="4938726749.4925671"/>
    <n v="6949470014.9998055"/>
    <n v="11888196764.492373"/>
    <n v="12054851818.778948"/>
    <n v="25580893764.53075"/>
    <n v="37635745583.3097"/>
  </r>
  <r>
    <x v="85"/>
    <n v="9932077301"/>
    <n v="26053736006"/>
    <n v="35985813307"/>
    <n v="6832269419"/>
    <n v="9717082795"/>
    <n v="16549352214"/>
    <n v="16764346720"/>
    <n v="35770818801"/>
    <n v="52535165521"/>
    <n v="92.574250430000006"/>
    <n v="129.01505570699999"/>
    <n v="1.3936386749850562"/>
    <n v="7126723360.4194431"/>
    <n v="18694756735.478348"/>
    <n v="25821480095.897793"/>
    <n v="4902468295.1434746"/>
    <n v="6972454890.5075378"/>
    <n v="11874923185.651012"/>
    <n v="12029191655.562918"/>
    <n v="25667211625.985886"/>
    <n v="37696403281.548805"/>
  </r>
  <r>
    <x v="86"/>
    <n v="9962781583"/>
    <n v="26180153942"/>
    <n v="36142935525"/>
    <n v="6892795011"/>
    <n v="9767271351"/>
    <n v="16660066362"/>
    <n v="16855576594"/>
    <n v="35947425293"/>
    <n v="52803001887"/>
    <n v="93.047945729999995"/>
    <n v="129.01505570699999"/>
    <n v="1.3865438371027214"/>
    <n v="7185334726.8254538"/>
    <n v="18881591220.877106"/>
    <n v="26066925947.70256"/>
    <n v="4971205977.4489126"/>
    <n v="7044329280.933075"/>
    <n v="12015535258.381987"/>
    <n v="12156540704.274366"/>
    <n v="25925920501.810181"/>
    <n v="38082461206.084549"/>
  </r>
  <r>
    <x v="87"/>
    <n v="9946092898"/>
    <n v="26182709630"/>
    <n v="36128802528"/>
    <n v="6893586781"/>
    <n v="9762506719"/>
    <n v="16656093500"/>
    <n v="16839679679"/>
    <n v="35945216349"/>
    <n v="52784896028"/>
    <n v="93.427485750000002"/>
    <n v="129.01505570699999"/>
    <n v="1.3809111384226669"/>
    <n v="7202558239.4540129"/>
    <n v="18960459439.777538"/>
    <n v="26163017679.231548"/>
    <n v="4992056758.1735468"/>
    <n v="7069612553.1662626"/>
    <n v="12061669311.339809"/>
    <n v="12194614997.62756"/>
    <n v="26030071992.943798"/>
    <n v="38224686990.571358"/>
  </r>
  <r>
    <x v="88"/>
    <n v="9942473386"/>
    <n v="26177962985"/>
    <n v="36120436371"/>
    <n v="6883106533"/>
    <n v="9731958080"/>
    <n v="16615064613"/>
    <n v="16825579919"/>
    <n v="35909921065"/>
    <n v="52735500984"/>
    <n v="93.403431920000003"/>
    <n v="129.01505570699999"/>
    <n v="1.3812667592075345"/>
    <n v="7198083440.2358551"/>
    <n v="18952141438.645"/>
    <n v="26150224878.880856"/>
    <n v="4983184085.9972639"/>
    <n v="7045676018.1382017"/>
    <n v="12028860104.135466"/>
    <n v="12181267526.233118"/>
    <n v="25997817456.783203"/>
    <n v="38179084983.016319"/>
  </r>
  <r>
    <x v="89"/>
    <n v="9930986295"/>
    <n v="26203198941"/>
    <n v="36134185236"/>
    <n v="6897709242"/>
    <n v="9748005527"/>
    <n v="16645714769"/>
    <n v="16828695537"/>
    <n v="35951204468"/>
    <n v="52779900005"/>
    <n v="93.412779229999998"/>
    <n v="129.01505570699999"/>
    <n v="1.3811285433370999"/>
    <n v="7190486608.1506271"/>
    <n v="18972310048.48217"/>
    <n v="26162796656.632797"/>
    <n v="4994255802.8188086"/>
    <n v="7058000194.1359844"/>
    <n v="12052255996.954794"/>
    <n v="12184742410.969437"/>
    <n v="26030310242.618153"/>
    <n v="38215052653.587585"/>
  </r>
  <r>
    <x v="90"/>
    <n v="9916727363"/>
    <n v="26186624080"/>
    <n v="36103351443"/>
    <n v="6889863211"/>
    <n v="9780090518"/>
    <n v="16669953729"/>
    <n v="16806590574"/>
    <n v="35966714598"/>
    <n v="52773305172"/>
    <n v="93.852448350000003"/>
    <n v="129.01505570699999"/>
    <n v="1.3746583917115252"/>
    <n v="7213957607.7902021"/>
    <n v="19049550228.5453"/>
    <n v="26263507836.335503"/>
    <n v="5012054814.8851309"/>
    <n v="7114560662.4662952"/>
    <n v="12126615477.351425"/>
    <n v="12226012422.675333"/>
    <n v="26164110891.011597"/>
    <n v="38390123313.686928"/>
  </r>
  <r>
    <x v="91"/>
    <n v="9938778331"/>
    <n v="26246322202"/>
    <n v="36185100533"/>
    <n v="6933708776"/>
    <n v="9796591879"/>
    <n v="16730300655"/>
    <n v="16872487107"/>
    <n v="36042914081"/>
    <n v="52915401188"/>
    <n v="94.113330169999998"/>
    <n v="129.01505570699999"/>
    <n v="1.370847843487802"/>
    <n v="7250095901.0250921"/>
    <n v="19146050618.734146"/>
    <n v="26396146519.759239"/>
    <n v="5057971100.8326044"/>
    <n v="7146374359.151969"/>
    <n v="12204345459.984573"/>
    <n v="12308067001.857697"/>
    <n v="26292424977.886116"/>
    <n v="38600491979.743813"/>
  </r>
  <r>
    <x v="92"/>
    <n v="9852548583"/>
    <n v="26089860443"/>
    <n v="35942409026"/>
    <n v="6846444367"/>
    <n v="9697024522"/>
    <n v="16543468889"/>
    <n v="16698992950"/>
    <n v="35786884965"/>
    <n v="52485877915"/>
    <n v="94.47035631"/>
    <n v="129.01505570699999"/>
    <n v="1.3656670806199056"/>
    <n v="7214458576.9232397"/>
    <n v="19104114621.520535"/>
    <n v="26318573198.443775"/>
    <n v="5013260159.9302311"/>
    <n v="7100577190.1584625"/>
    <n v="12113837350.088694"/>
    <n v="12227718736.853472"/>
    <n v="26204691811.678997"/>
    <n v="38432410548.532471"/>
  </r>
  <r>
    <x v="93"/>
    <n v="9893233728"/>
    <n v="26277141800"/>
    <n v="36170375528"/>
    <n v="6972818203"/>
    <n v="9816822769"/>
    <n v="16789640972"/>
    <n v="16866051931"/>
    <n v="36093964569"/>
    <n v="52960016500"/>
    <n v="94.778282419999996"/>
    <n v="129.01505570699999"/>
    <n v="1.3612301511783398"/>
    <n v="7267862616.3518257"/>
    <n v="19303966913.496124"/>
    <n v="26571829529.84795"/>
    <n v="5122438844.7199955"/>
    <n v="7211728861.9430981"/>
    <n v="12334167706.663094"/>
    <n v="12390301461.071821"/>
    <n v="26515695775.439224"/>
    <n v="38905997236.511047"/>
  </r>
  <r>
    <x v="94"/>
    <n v="9890380367"/>
    <n v="26283366634"/>
    <n v="36173747001"/>
    <n v="6930852931"/>
    <n v="9711594785"/>
    <n v="16642447716"/>
    <n v="16821233298"/>
    <n v="35994961419"/>
    <n v="52816194717"/>
    <n v="94.991013120000005"/>
    <n v="129.01505570699999"/>
    <n v="1.3581817002416658"/>
    <n v="7282074530.4108953"/>
    <n v="19351878050.870007"/>
    <n v="26633952581.280903"/>
    <n v="5103038076.3978558"/>
    <n v="7150438548.2973175"/>
    <n v="12253476624.695173"/>
    <n v="12385112606.808752"/>
    <n v="26502316599.167324"/>
    <n v="38887429205.976074"/>
  </r>
  <r>
    <x v="95"/>
    <n v="9844539367"/>
    <n v="26248141977"/>
    <n v="36092681344"/>
    <n v="6978550231"/>
    <n v="9835346893"/>
    <n v="16813897124"/>
    <n v="16823089598"/>
    <n v="36083488870"/>
    <n v="52906578468"/>
    <n v="95.418256529999994"/>
    <n v="129.01505570699999"/>
    <n v="1.3521003254386332"/>
    <n v="7280923746.3990288"/>
    <n v="19412865660.308804"/>
    <n v="26693789406.707832"/>
    <n v="5161266586.2912922"/>
    <n v="7274125083.7354298"/>
    <n v="12435391670.026722"/>
    <n v="12442190332.690321"/>
    <n v="26686990744.044231"/>
    <n v="39129181076.734558"/>
  </r>
  <r>
    <x v="96"/>
    <n v="10262112056"/>
    <n v="27334633774"/>
    <n v="37596745830"/>
    <n v="7239816129"/>
    <n v="10187591693"/>
    <n v="17427407822"/>
    <n v="17501928185"/>
    <n v="37522225467"/>
    <n v="55024153652"/>
    <n v="95.649096819999997"/>
    <n v="129.01505570699999"/>
    <n v="1.3488371557735739"/>
    <n v="7608117860.6876078"/>
    <n v="20265332740.12849"/>
    <n v="27873450600.816097"/>
    <n v="5367450101.7492218"/>
    <n v="7552870003.1675043"/>
    <n v="12920320104.916725"/>
    <n v="12975567962.436829"/>
    <n v="27818202743.295994"/>
    <n v="40793770705.732826"/>
  </r>
  <r>
    <x v="97"/>
    <n v="10245169740"/>
    <n v="27356818116"/>
    <n v="37601987856"/>
    <n v="7211976844"/>
    <n v="10163480961"/>
    <n v="17375457805"/>
    <n v="17457146584"/>
    <n v="37520299077"/>
    <n v="54977445661"/>
    <n v="95.695814540000001"/>
    <n v="129.01505570699999"/>
    <n v="1.3481786672401732"/>
    <n v="7599267062.2601242"/>
    <n v="20291685946.938725"/>
    <n v="27890953009.198849"/>
    <n v="5349422164.3214979"/>
    <n v="7538675108.8455048"/>
    <n v="12888097273.167002"/>
    <n v="12948689226.581621"/>
    <n v="27830361055.784229"/>
    <n v="40779050282.365852"/>
  </r>
  <r>
    <x v="98"/>
    <n v="10238296402"/>
    <n v="27343619532"/>
    <n v="37581915934"/>
    <n v="7234726113"/>
    <n v="10176862099"/>
    <n v="17411588212"/>
    <n v="17473022515"/>
    <n v="37520481631"/>
    <n v="54993504146"/>
    <n v="95.928713310000006"/>
    <n v="129.01505570699999"/>
    <n v="1.344905516350243"/>
    <n v="7612651058.0344162"/>
    <n v="20331256879.817215"/>
    <n v="27943907937.851627"/>
    <n v="5379356412.0647993"/>
    <n v="7566971787.4439297"/>
    <n v="12946328199.50873"/>
    <n v="12992007470.099216"/>
    <n v="27898228667.261143"/>
    <n v="40890236137.360359"/>
  </r>
  <r>
    <x v="99"/>
    <n v="10186060552"/>
    <n v="27312508571"/>
    <n v="37498569123"/>
    <n v="7264783756"/>
    <n v="10176916761"/>
    <n v="17441700517"/>
    <n v="17450844308"/>
    <n v="37489425332"/>
    <n v="54940269640"/>
    <n v="96.087759489999996"/>
    <n v="129.01505570699999"/>
    <n v="1.3426794046584756"/>
    <n v="7586368359.1623497"/>
    <n v="20341794531.321659"/>
    <n v="27928162890.484009"/>
    <n v="5410661495.8079834"/>
    <n v="7579558251.7247324"/>
    <n v="12990219747.532717"/>
    <n v="12997029854.970333"/>
    <n v="27921352783.046391"/>
    <n v="40918382638.016724"/>
  </r>
  <r>
    <x v="100"/>
    <n v="10249108498"/>
    <n v="27514866810"/>
    <n v="37763975308"/>
    <n v="7283753192"/>
    <n v="10194658316"/>
    <n v="17478411508"/>
    <n v="17532861690"/>
    <n v="37709525126"/>
    <n v="55242386816"/>
    <n v="96.139417210000005"/>
    <n v="129.01505570699999"/>
    <n v="1.3419579549269454"/>
    <n v="7637428922.6952343"/>
    <n v="20503523757.193928"/>
    <n v="28140952679.88916"/>
    <n v="5427705961.4706926"/>
    <n v="7596853745.3582039"/>
    <n v="13024559706.828896"/>
    <n v="13065134884.165926"/>
    <n v="28100377502.552128"/>
    <n v="41165512386.718056"/>
  </r>
  <r>
    <x v="101"/>
    <n v="10158205178"/>
    <n v="27294187395"/>
    <n v="37452392573"/>
    <n v="7227228342"/>
    <n v="10100605296"/>
    <n v="17327833638"/>
    <n v="17385433520"/>
    <n v="37394792691"/>
    <n v="54780226211"/>
    <n v="95.943074190000004"/>
    <n v="129.01505570699999"/>
    <n v="1.3447042092012413"/>
    <n v="7554230222.8934097"/>
    <n v="20297539940.930828"/>
    <n v="27851770163.824238"/>
    <n v="5374585944.2895603"/>
    <n v="7511395611.6786404"/>
    <n v="12885981555.968201"/>
    <n v="12928816167.18297"/>
    <n v="27808935552.609467"/>
    <n v="40737751719.792435"/>
  </r>
  <r>
    <x v="102"/>
    <n v="11205597277"/>
    <n v="30181828091"/>
    <n v="41387425368"/>
    <n v="7984661269"/>
    <n v="11179745680"/>
    <n v="19164406949"/>
    <n v="19190258546"/>
    <n v="41361573771"/>
    <n v="60551832317"/>
    <n v="96.461260159999995"/>
    <n v="129.01505570699999"/>
    <n v="1.3374805128297425"/>
    <n v="8378138723.8996296"/>
    <n v="22566181564.12875"/>
    <n v="30944320288.028378"/>
    <n v="5969927182.0466709"/>
    <n v="8358810145.4627705"/>
    <n v="14328737327.509441"/>
    <n v="14348065905.946301"/>
    <n v="30924991709.591518"/>
    <n v="45273057615.537819"/>
  </r>
  <r>
    <x v="103"/>
    <n v="11200708741"/>
    <n v="30217329635"/>
    <n v="41418038376"/>
    <n v="7966353014"/>
    <n v="11123442543"/>
    <n v="19089795557"/>
    <n v="19167061755"/>
    <n v="41340772178"/>
    <n v="60507833933"/>
    <n v="96.692182329999994"/>
    <n v="129.01505570699999"/>
    <n v="1.3342863155853233"/>
    <n v="8394531675.9742718"/>
    <n v="22646810719.739933"/>
    <n v="31041342395.714207"/>
    <n v="5970497426.9374323"/>
    <n v="8336623416.6318197"/>
    <n v="14307120843.569252"/>
    <n v="14365029102.911705"/>
    <n v="30983434136.371754"/>
    <n v="45348463239.283455"/>
  </r>
  <r>
    <x v="104"/>
    <n v="11183322639"/>
    <n v="30159711812"/>
    <n v="41343034451"/>
    <n v="8005676044"/>
    <n v="11150465454"/>
    <n v="19156141498"/>
    <n v="19188998683"/>
    <n v="41310177266"/>
    <n v="60499175949"/>
    <n v="97.061786810000001"/>
    <n v="129.01505570699999"/>
    <n v="1.3292054468309864"/>
    <n v="8413539581.6069078"/>
    <n v="22690030261.23991"/>
    <n v="31103569842.846821"/>
    <n v="6022903429.3281469"/>
    <n v="8388820163.6430883"/>
    <n v="14411723592.971235"/>
    <n v="14436443010.935055"/>
    <n v="31078850424.882999"/>
    <n v="45515293435.818054"/>
  </r>
  <r>
    <x v="105"/>
    <n v="11222038177"/>
    <n v="30265242559"/>
    <n v="41487280736"/>
    <n v="7999480925"/>
    <n v="11107828564"/>
    <n v="19107309489"/>
    <n v="19221519102"/>
    <n v="41373071123"/>
    <n v="60594590225"/>
    <n v="97.29417085"/>
    <n v="129.01505570699999"/>
    <n v="1.3260306817959793"/>
    <n v="8462879728.9975548"/>
    <n v="22823938370.723579"/>
    <n v="31286818099.721134"/>
    <n v="6032651457.3293905"/>
    <n v="8376750792.0371265"/>
    <n v="14409402249.366518"/>
    <n v="14495531186.326946"/>
    <n v="31200689162.760704"/>
    <n v="45696220349.087654"/>
  </r>
  <r>
    <x v="106"/>
    <n v="11242735608"/>
    <n v="30358785506"/>
    <n v="41601521114"/>
    <n v="8031006209"/>
    <n v="11177250922"/>
    <n v="19208257131"/>
    <n v="19273741817"/>
    <n v="41536036428"/>
    <n v="60809778245"/>
    <n v="97.417611260000001"/>
    <n v="129.01505570699999"/>
    <n v="1.3243504335439809"/>
    <n v="8489245235.4278145"/>
    <n v="22923528952.04591"/>
    <n v="31412774187.473724"/>
    <n v="6064109623.5449638"/>
    <n v="8439798590.2337914"/>
    <n v="14503908213.778755"/>
    <n v="14553354858.972778"/>
    <n v="31363327542.279701"/>
    <n v="45916682401.25248"/>
  </r>
  <r>
    <x v="107"/>
    <n v="11134611297"/>
    <n v="30108905912"/>
    <n v="41243517209"/>
    <n v="7980190244"/>
    <n v="11086367744"/>
    <n v="19066557988"/>
    <n v="19114801541"/>
    <n v="41195273656"/>
    <n v="60310075197"/>
    <n v="97.037847170000006"/>
    <n v="129.01505570699999"/>
    <n v="1.3295333673363476"/>
    <n v="8374826514.7399998"/>
    <n v="22646220585.137821"/>
    <n v="31021047099.877819"/>
    <n v="6002248939.4063911"/>
    <n v="8338540435.5897989"/>
    <n v="14340789374.996189"/>
    <n v="14377075454.146391"/>
    <n v="30984761020.727619"/>
    <n v="45361836474.874008"/>
  </r>
  <r>
    <x v="108"/>
    <n v="11439017331"/>
    <n v="30909688848"/>
    <n v="42348706179"/>
    <n v="8221990488"/>
    <n v="11429949522"/>
    <n v="19651940010"/>
    <n v="19661007819"/>
    <n v="42339638370"/>
    <n v="62000646189"/>
    <n v="97.271810860000002"/>
    <n v="129.01505570699999"/>
    <n v="1.326335498088824"/>
    <n v="8624527766.5288982"/>
    <n v="23304577833.0891"/>
    <n v="31929105599.618"/>
    <n v="6199027696.874157"/>
    <n v="8617691028.0015316"/>
    <n v="14816718724.875687"/>
    <n v="14823555463.403055"/>
    <n v="31922268861.090633"/>
    <n v="46745824324.49369"/>
  </r>
  <r>
    <x v="109"/>
    <n v="11341866701"/>
    <n v="30743653221"/>
    <n v="42085519922"/>
    <n v="8166629725"/>
    <n v="11358625696"/>
    <n v="19525255421"/>
    <n v="19508496426"/>
    <n v="42102278917"/>
    <n v="61610775343"/>
    <n v="97.468426390000005"/>
    <n v="129.01505570699999"/>
    <n v="1.3236599839087644"/>
    <n v="8568565068.7327557"/>
    <n v="23226246615.247879"/>
    <n v="31794811683.980633"/>
    <n v="6169733786.8324499"/>
    <n v="8581226171.4356651"/>
    <n v="14750959958.268114"/>
    <n v="14738298855.565205"/>
    <n v="31807472786.683544"/>
    <n v="46545771642.248749"/>
  </r>
  <r>
    <x v="110"/>
    <n v="11320778405"/>
    <n v="30723767350"/>
    <n v="42044545755"/>
    <n v="8175077444"/>
    <n v="11325332109"/>
    <n v="19500409553"/>
    <n v="19495855849"/>
    <n v="42049099459"/>
    <n v="61544955308"/>
    <n v="97.321077840000001"/>
    <n v="129.01505570699999"/>
    <n v="1.3256640654875014"/>
    <n v="8539703760.3466177"/>
    <n v="23176133494.047455"/>
    <n v="31715837254.394073"/>
    <n v="6166779093.4603682"/>
    <n v="8543138796.5058918"/>
    <n v="14709917889.966259"/>
    <n v="14706482853.806986"/>
    <n v="31719272290.553349"/>
    <n v="46425755144.360336"/>
  </r>
  <r>
    <x v="111"/>
    <n v="11313546112"/>
    <n v="30745743680"/>
    <n v="42059289792"/>
    <n v="8186253226"/>
    <n v="11317809192"/>
    <n v="19504062418"/>
    <n v="19499799338"/>
    <n v="42063552872"/>
    <n v="61563352210"/>
    <n v="97.892102530000003"/>
    <n v="129.01505570699999"/>
    <n v="1.3179311953940518"/>
    <n v="8584322270.7975531"/>
    <n v="23328792722.602829"/>
    <n v="31913114993.400379"/>
    <n v="6211442034.7659883"/>
    <n v="8587556946.4884377"/>
    <n v="14798998981.254425"/>
    <n v="14795764305.563541"/>
    <n v="31916349669.091267"/>
    <n v="46712113974.654808"/>
  </r>
  <r>
    <x v="112"/>
    <n v="11306556940"/>
    <n v="30772771949"/>
    <n v="42079328889"/>
    <n v="8187839998"/>
    <n v="11360429267"/>
    <n v="19548269265"/>
    <n v="19494396938"/>
    <n v="42133201216"/>
    <n v="61627598154"/>
    <n v="97.97588863"/>
    <n v="129.01505570699999"/>
    <n v="1.3168041393757348"/>
    <n v="8586361936.3773928"/>
    <n v="23369285551.903439"/>
    <n v="31955647488.28083"/>
    <n v="6217963441.3069649"/>
    <n v="8627273356.2226696"/>
    <n v="14845236797.529634"/>
    <n v="14804325377.684357"/>
    <n v="31996558908.126106"/>
    <n v="46800884285.810463"/>
  </r>
  <r>
    <x v="113"/>
    <n v="11305880567"/>
    <n v="30842449318"/>
    <n v="42148329885"/>
    <n v="8185013475"/>
    <n v="11317464200"/>
    <n v="19502477675"/>
    <n v="19490894042"/>
    <n v="42159913518"/>
    <n v="61650807560"/>
    <n v="98.120592090000002"/>
    <n v="129.01505570699999"/>
    <n v="1.3148621809034986"/>
    <n v="8598528979.8442917"/>
    <n v="23456792480.567677"/>
    <n v="32055321460.411968"/>
    <n v="6224997261.2154102"/>
    <n v="8607338749.5435314"/>
    <n v="14832336010.758942"/>
    <n v="14823526241.059702"/>
    <n v="32064131230.111206"/>
    <n v="46887657471.170906"/>
  </r>
  <r>
    <x v="114"/>
    <n v="11291373357"/>
    <n v="30821601517"/>
    <n v="42112974874"/>
    <n v="8208034372"/>
    <n v="11314814767"/>
    <n v="19522849139"/>
    <n v="19499407729"/>
    <n v="42136416284"/>
    <n v="61635824013"/>
    <n v="98.572460250000006"/>
    <n v="129.01505570699999"/>
    <n v="1.3088346925682011"/>
    <n v="8627043140.8293571"/>
    <n v="23548887947.431866"/>
    <n v="32175931088.261223"/>
    <n v="6271253672.1456852"/>
    <n v="8644953278.857563"/>
    <n v="14916206951.003248"/>
    <n v="14898296812.975042"/>
    <n v="32193841226.289429"/>
    <n v="47092138039.264473"/>
  </r>
  <r>
    <x v="115"/>
    <n v="11303846643"/>
    <n v="30887435579"/>
    <n v="42191282222"/>
    <n v="8210393084"/>
    <n v="11341823281"/>
    <n v="19552216365"/>
    <n v="19514239727"/>
    <n v="42229258860"/>
    <n v="61743498587"/>
    <n v="98.616791239999998"/>
    <n v="129.01505570699999"/>
    <n v="1.3082463349777917"/>
    <n v="8640457336.4938107"/>
    <n v="23609800962.694332"/>
    <n v="32250258299.188145"/>
    <n v="6275876999.9836283"/>
    <n v="8669485996.4522915"/>
    <n v="14945362996.435921"/>
    <n v="14916334336.477438"/>
    <n v="32279286959.146626"/>
    <n v="47195621295.624062"/>
  </r>
  <r>
    <x v="116"/>
    <n v="11315557212"/>
    <n v="31011594394"/>
    <n v="42327151606"/>
    <n v="8254611081"/>
    <n v="11363102844"/>
    <n v="19617713925"/>
    <n v="19570168293"/>
    <n v="42374697238"/>
    <n v="61944865531"/>
    <n v="98.818593930000006"/>
    <n v="129.01505570699999"/>
    <n v="1.3055746957742609"/>
    <n v="8667108246.372221"/>
    <n v="23753213427.293652"/>
    <n v="32420321673.665874"/>
    <n v="6322588135.1083231"/>
    <n v="8703525643.3652"/>
    <n v="15026113778.473524"/>
    <n v="14989696381.480543"/>
    <n v="32456739070.658855"/>
    <n v="47446435452.139397"/>
  </r>
  <r>
    <x v="117"/>
    <n v="11326559341"/>
    <n v="31066575741"/>
    <n v="42393135082"/>
    <n v="8218341804"/>
    <n v="11319278009"/>
    <n v="19537619813"/>
    <n v="19544901145"/>
    <n v="42385853750"/>
    <n v="61930754895"/>
    <n v="99.131000330000006"/>
    <n v="129.01505570699999"/>
    <n v="1.3014602422805994"/>
    <n v="8702962236.5966625"/>
    <n v="23870553038.609024"/>
    <n v="32573515275.205688"/>
    <n v="6314708307.6457872"/>
    <n v="8697367496.3476315"/>
    <n v="15012075803.99342"/>
    <n v="15017670544.242449"/>
    <n v="32567920534.956657"/>
    <n v="47585591079.199104"/>
  </r>
  <r>
    <x v="118"/>
    <n v="11334878193"/>
    <n v="31105473313"/>
    <n v="42440351506"/>
    <n v="8233198789"/>
    <n v="11330715126"/>
    <n v="19563913915"/>
    <n v="19568076982"/>
    <n v="42436188439"/>
    <n v="62004265421"/>
    <n v="99.408296890000003"/>
    <n v="129.01505570699999"/>
    <n v="1.2978298566945701"/>
    <n v="8733716622.8157883"/>
    <n v="23967296755.078682"/>
    <n v="32701013377.89447"/>
    <n v="6343819836.2681007"/>
    <n v="8730508908.8165112"/>
    <n v="15074328745.084612"/>
    <n v="15077536459.083889"/>
    <n v="32697805663.895191"/>
    <n v="47775342122.97908"/>
  </r>
  <r>
    <x v="119"/>
    <n v="11326077616"/>
    <n v="31138783288"/>
    <n v="42464860904"/>
    <n v="8251288207"/>
    <n v="11375228519"/>
    <n v="19626516726"/>
    <n v="19577365823"/>
    <n v="42514011807"/>
    <n v="62091377630"/>
    <n v="99.510759739999997"/>
    <n v="129.01505570699999"/>
    <n v="1.2964935253643757"/>
    <n v="8735930719.6052818"/>
    <n v="24017692860.632324"/>
    <n v="32753623580.237606"/>
    <n v="6364311155.8779287"/>
    <n v="8773841362.4572678"/>
    <n v="15138152518.335196"/>
    <n v="15100241875.483212"/>
    <n v="32791534223.089592"/>
    <n v="47891776098.572807"/>
  </r>
  <r>
    <x v="120"/>
    <n v="11586116785"/>
    <n v="31945149121"/>
    <n v="43531265906"/>
    <n v="8457395709"/>
    <n v="11612497614"/>
    <n v="20069893323"/>
    <n v="20043512494"/>
    <n v="43557646735"/>
    <n v="63601159229"/>
    <n v="99.863231380000002"/>
    <n v="129.01505570699999"/>
    <n v="1.2919174947991752"/>
    <n v="8968155344.0074959"/>
    <n v="24726926641.678291"/>
    <n v="33695081985.685787"/>
    <n v="6546389953.7289553"/>
    <n v="8988575246.2893372"/>
    <n v="15534965200.018293"/>
    <n v="15514545297.736452"/>
    <n v="33715501887.967628"/>
    <n v="49230047185.704079"/>
  </r>
  <r>
    <x v="121"/>
    <n v="11577485946"/>
    <n v="31984105604"/>
    <n v="43561591550"/>
    <n v="8458225242"/>
    <n v="11594452815"/>
    <n v="20052678057"/>
    <n v="20035711188"/>
    <n v="43578558419"/>
    <n v="63614269607"/>
    <n v="100.0348635"/>
    <n v="129.01505570699999"/>
    <n v="1.2897009221889926"/>
    <n v="8976876535.3363342"/>
    <n v="24799629940.338257"/>
    <n v="33776506475.674591"/>
    <n v="6558284247.5168304"/>
    <n v="8990032197.0157909"/>
    <n v="15548316444.532621"/>
    <n v="15535160782.853167"/>
    <n v="33789662137.354046"/>
    <n v="49324822920.207214"/>
  </r>
  <r>
    <x v="122"/>
    <n v="11566226192"/>
    <n v="32010968695"/>
    <n v="43577194887"/>
    <n v="8451709343"/>
    <n v="11593971136"/>
    <n v="20045680479"/>
    <n v="20017935535"/>
    <n v="43604939831"/>
    <n v="63622875366"/>
    <n v="100.3748626"/>
    <n v="129.01505570699999"/>
    <n v="1.2853323268907766"/>
    <n v="8998627008.7664738"/>
    <n v="24904818796.890175"/>
    <n v="33903445805.656651"/>
    <n v="6575505156.2771435"/>
    <n v="9020212822.3491096"/>
    <n v="15595717978.626253"/>
    <n v="15574132165.043617"/>
    <n v="33925031619.239285"/>
    <n v="49499163784.282898"/>
  </r>
  <r>
    <x v="123"/>
    <n v="11562862482"/>
    <n v="32102815281"/>
    <n v="43665677763"/>
    <n v="8475180059"/>
    <n v="11581323138"/>
    <n v="20056503197"/>
    <n v="20038042541"/>
    <n v="43684138419"/>
    <n v="63722180960"/>
    <n v="100.74281120000001"/>
    <n v="129.01505570699999"/>
    <n v="1.2806378357942823"/>
    <n v="9028987086.6016045"/>
    <n v="25067832906.162003"/>
    <n v="34096819992.763607"/>
    <n v="6617936642.2853584"/>
    <n v="9043402290.8724899"/>
    <n v="15661338933.157848"/>
    <n v="15646923728.886963"/>
    <n v="34111235197.034492"/>
    <n v="49758158925.921455"/>
  </r>
  <r>
    <x v="124"/>
    <n v="11539171024"/>
    <n v="32118362077"/>
    <n v="43657533101"/>
    <n v="8464379335"/>
    <n v="11566739558"/>
    <n v="20031118893"/>
    <n v="20003550359"/>
    <n v="43685101635"/>
    <n v="63688651994"/>
    <n v="100.73748740000001"/>
    <n v="129.01505570699999"/>
    <n v="1.280705515263824"/>
    <n v="9010011190.29533"/>
    <n v="25078647428.471214"/>
    <n v="34088658618.766541"/>
    <n v="6609153497.1303272"/>
    <n v="9031537242.671484"/>
    <n v="15640690739.801811"/>
    <n v="15619164687.425655"/>
    <n v="34110184671.142696"/>
    <n v="49729349358.568352"/>
  </r>
  <r>
    <x v="125"/>
    <n v="11561435315"/>
    <n v="32178023913"/>
    <n v="43739459228"/>
    <n v="8490433416"/>
    <n v="11619828182"/>
    <n v="20110261598"/>
    <n v="20051868731"/>
    <n v="43797852095"/>
    <n v="63849720826"/>
    <n v="100.63564100000001"/>
    <n v="129.01505570699999"/>
    <n v="1.2820016290948053"/>
    <n v="9018268816.9930706"/>
    <n v="25099830751.167011"/>
    <n v="34118099568.160084"/>
    <n v="6622794560.7174606"/>
    <n v="9063817017.3032608"/>
    <n v="15686611578.020721"/>
    <n v="15641063377.710531"/>
    <n v="34163647768.470272"/>
    <n v="49804711146.180801"/>
  </r>
  <r>
    <x v="126"/>
    <n v="11568904008"/>
    <n v="32274734542"/>
    <n v="43843638550"/>
    <n v="8479911885"/>
    <n v="11573675969"/>
    <n v="20053587854"/>
    <n v="20048815893"/>
    <n v="43848410511"/>
    <n v="63897226404"/>
    <n v="100.748087958"/>
    <n v="129.01505570699999"/>
    <n v="1.2805707614102211"/>
    <n v="9034177849.9298325"/>
    <n v="25203397980.489292"/>
    <n v="34237575830.419125"/>
    <n v="6621978371.3174477"/>
    <n v="9037904282.8172626"/>
    <n v="15659882654.13471"/>
    <n v="15656156221.24728"/>
    <n v="34241302263.306553"/>
    <n v="49897458484.553833"/>
  </r>
  <r>
    <x v="127"/>
    <n v="11564049696"/>
    <n v="32285206327"/>
    <n v="43849256023"/>
    <n v="8494881546"/>
    <n v="11567369298"/>
    <n v="20062250844"/>
    <n v="20058931242"/>
    <n v="43852575625"/>
    <n v="63911506867"/>
    <n v="100.79463698399999"/>
    <n v="129.01505570699999"/>
    <n v="1.2799793676272644"/>
    <n v="9034559453.4360504"/>
    <n v="25223224017.155872"/>
    <n v="34257783470.591923"/>
    <n v="6636733185.58815"/>
    <n v="9037152934.3029766"/>
    <n v="15673886119.891127"/>
    <n v="15671292639.0242"/>
    <n v="34260376951.458847"/>
    <n v="49931669590.483047"/>
  </r>
  <r>
    <x v="128"/>
    <n v="11580280802"/>
    <n v="32354929275"/>
    <n v="43935210077"/>
    <n v="8512182233"/>
    <n v="11552234557"/>
    <n v="20064416790"/>
    <n v="20092463035"/>
    <n v="43907163832"/>
    <n v="63999626867"/>
    <n v="101.272680897"/>
    <n v="129.01505570699999"/>
    <n v="1.273937399151263"/>
    <n v="9090149021.2275314"/>
    <n v="25397581778.002487"/>
    <n v="34487730799.230019"/>
    <n v="6681790046.0973063"/>
    <n v="9068133618.4152069"/>
    <n v="15749923664.512512"/>
    <n v="15771939067.324837"/>
    <n v="34465715396.417694"/>
    <n v="50237654463.742531"/>
  </r>
  <r>
    <x v="129"/>
    <n v="11558792223"/>
    <n v="32361884474"/>
    <n v="43920676697"/>
    <n v="8473399137"/>
    <n v="11551421115"/>
    <n v="20024820252"/>
    <n v="20032191360"/>
    <n v="43913305589"/>
    <n v="63945496949"/>
    <n v="101.536606212"/>
    <n v="129.01505570699999"/>
    <n v="1.2706260384321619"/>
    <n v="9096926926.8733921"/>
    <n v="25469243896.443089"/>
    <n v="34566170823.316483"/>
    <n v="6668680540.7005596"/>
    <n v="9091125764.4723015"/>
    <n v="15759806305.172861"/>
    <n v="15765607467.573952"/>
    <n v="34560369660.91539"/>
    <n v="50325977128.489342"/>
  </r>
  <r>
    <x v="130"/>
    <n v="11569304556"/>
    <n v="32420201219"/>
    <n v="43989505775"/>
    <n v="8518399628"/>
    <n v="11533373570"/>
    <n v="20051773198"/>
    <n v="20087704184"/>
    <n v="43953574789"/>
    <n v="64041278973"/>
    <n v="102.150333284"/>
    <n v="129.01505570699999"/>
    <n v="1.2629920193046287"/>
    <n v="9160235677.7913494"/>
    <n v="25669363482.478489"/>
    <n v="34829599160.269836"/>
    <n v="6744618729.0162086"/>
    <n v="9131786577.9943581"/>
    <n v="15876405307.010567"/>
    <n v="15904854406.807558"/>
    <n v="34801150060.472847"/>
    <n v="50706004467.280403"/>
  </r>
  <r>
    <x v="131"/>
    <n v="11559160558"/>
    <n v="32390976790"/>
    <n v="43950137348"/>
    <n v="8495391892"/>
    <n v="11543608865"/>
    <n v="20039000757"/>
    <n v="20054552450"/>
    <n v="43934585655"/>
    <n v="63989138105"/>
    <n v="102.200162221"/>
    <n v="129.01505570699999"/>
    <n v="1.262376232123926"/>
    <n v="9156668403.4853172"/>
    <n v="25658734667.003944"/>
    <n v="34815403070.489265"/>
    <n v="6729683018.2762957"/>
    <n v="9144349023.0943909"/>
    <n v="15874032041.370686"/>
    <n v="15886351421.761612"/>
    <n v="34803083690.098335"/>
    <n v="50689435111.859947"/>
  </r>
  <r>
    <x v="132"/>
    <n v="11861603439"/>
    <n v="33312088054"/>
    <n v="45173691493"/>
    <n v="8720043393"/>
    <n v="11824733396"/>
    <n v="20544776789"/>
    <n v="20581646832"/>
    <n v="45136821450"/>
    <n v="65718468282"/>
    <n v="102.42867542899999"/>
    <n v="129.01505570699999"/>
    <n v="1.2595599344289945"/>
    <n v="9417260040.4103107"/>
    <n v="26447402099.290821"/>
    <n v="35864662139.701134"/>
    <n v="6923087305.8479118"/>
    <n v="9387987877.9731064"/>
    <n v="16311075183.821018"/>
    <n v="16340347346.258223"/>
    <n v="35835389977.263931"/>
    <n v="52175737323.522148"/>
  </r>
  <r>
    <x v="133"/>
    <n v="11829319906"/>
    <n v="33290132503"/>
    <n v="45119452409"/>
    <n v="8693730594"/>
    <n v="11769774540"/>
    <n v="20463505134"/>
    <n v="20523050500"/>
    <n v="45059907043"/>
    <n v="65582957543"/>
    <n v="102.620430008"/>
    <n v="129.01505570699999"/>
    <n v="1.2572063447496988"/>
    <n v="9409211109.5375805"/>
    <n v="26479449966.208878"/>
    <n v="35888661075.74646"/>
    <n v="6915118294.070384"/>
    <n v="9361847869.4070549"/>
    <n v="16276966163.47744"/>
    <n v="16324329403.607964"/>
    <n v="35841297835.615936"/>
    <n v="52165627239.2239"/>
  </r>
  <r>
    <x v="134"/>
    <n v="11825332848"/>
    <n v="33327225112"/>
    <n v="45152557960"/>
    <n v="8706301513"/>
    <n v="11768223669"/>
    <n v="20474525182"/>
    <n v="20531634361"/>
    <n v="45095448781"/>
    <n v="65627083142"/>
    <n v="102.632852466"/>
    <n v="129.01505570699999"/>
    <n v="1.2570541752187958"/>
    <n v="9407178370.7665176"/>
    <n v="26512162935.379654"/>
    <n v="35919341306.146172"/>
    <n v="6925955686.4242783"/>
    <n v="9361747409.9329796"/>
    <n v="16287703096.357258"/>
    <n v="16333134057.190796"/>
    <n v="35873910345.312637"/>
    <n v="52207044402.503433"/>
  </r>
  <r>
    <x v="135"/>
    <n v="11799274226"/>
    <n v="33335034397"/>
    <n v="45134308623"/>
    <n v="8725143045"/>
    <n v="11802499075"/>
    <n v="20527642120"/>
    <n v="20524417271"/>
    <n v="45137533472"/>
    <n v="65661950743"/>
    <n v="103.465396218"/>
    <n v="129.01505570699999"/>
    <n v="1.2469391740903137"/>
    <n v="9462590053.4466629"/>
    <n v="26733488761.646362"/>
    <n v="36196078815.093025"/>
    <n v="6997248323.171257"/>
    <n v="9465176265.4023132"/>
    <n v="16462424588.57357"/>
    <n v="16459838376.61792"/>
    <n v="36198665027.048676"/>
    <n v="52658503403.666595"/>
  </r>
  <r>
    <x v="136"/>
    <n v="11793840990"/>
    <n v="33391211605"/>
    <n v="45185052595"/>
    <n v="8733417402"/>
    <n v="11794425577"/>
    <n v="20527842979"/>
    <n v="20527258392"/>
    <n v="45185637182"/>
    <n v="65712895574"/>
    <n v="103.553177745"/>
    <n v="129.01505570699999"/>
    <n v="1.2458821497945716"/>
    <n v="9466257295.6395912"/>
    <n v="26801260143.670685"/>
    <n v="36267517439.310272"/>
    <n v="7009826253.181344"/>
    <n v="9466726510.9663334"/>
    <n v="16476552764.147678"/>
    <n v="16476083548.820934"/>
    <n v="36267986654.637016"/>
    <n v="52744070203.457954"/>
  </r>
  <r>
    <x v="137"/>
    <n v="15149481124"/>
    <n v="43162878690"/>
    <n v="58312359814"/>
    <n v="10732259856"/>
    <n v="14440306519"/>
    <n v="25172566375"/>
    <n v="25881740980"/>
    <n v="57603185209"/>
    <n v="83484926189"/>
    <n v="103.65598192"/>
    <n v="129.01505570699999"/>
    <n v="1.2446465058482752"/>
    <n v="12171713858.365784"/>
    <n v="34678825262.585548"/>
    <n v="46850539120.951332"/>
    <n v="8622737303.7821255"/>
    <n v="11601933923.526638"/>
    <n v="20224671227.308765"/>
    <n v="20794451162.147907"/>
    <n v="46280759186.11219"/>
    <n v="67075210348.260101"/>
  </r>
  <r>
    <x v="138"/>
    <n v="16236882245"/>
    <n v="45114474415"/>
    <n v="61351356660"/>
    <n v="11111370940"/>
    <n v="14977382354"/>
    <n v="26088753294"/>
    <n v="27348253185"/>
    <n v="60091856769"/>
    <n v="87440109954"/>
    <n v="104.242876376"/>
    <n v="129.01505570699999"/>
    <n v="1.2376390617009425"/>
    <n v="13119238675.842155"/>
    <n v="36452044712.452087"/>
    <n v="49571283388.294235"/>
    <n v="8977876736.3153095"/>
    <n v="12101575344.12005"/>
    <n v="21079452080.43536"/>
    <n v="22097115412.157463"/>
    <n v="48553620056.572136"/>
    <n v="70650735468.729599"/>
  </r>
  <r>
    <x v="139"/>
    <n v="15658001578"/>
    <n v="44074943619"/>
    <n v="59732945197"/>
    <n v="10724650630"/>
    <n v="14359515440"/>
    <n v="25084166070"/>
    <n v="26382652208"/>
    <n v="58434459059"/>
    <n v="84817111267"/>
    <n v="104.710269657"/>
    <n v="129.01505570699999"/>
    <n v="1.2321146352656269"/>
    <n v="12708234388.129276"/>
    <n v="35771788076.762878"/>
    <n v="48480022464.892159"/>
    <n v="8704263648.0719299"/>
    <n v="11654366427.44227"/>
    <n v="20358630075.514198"/>
    <n v="21412498036.201206"/>
    <n v="47426154504.205154"/>
    <n v="68838652540.406357"/>
  </r>
  <r>
    <x v="140"/>
    <n v="15656734041"/>
    <n v="44136538859"/>
    <n v="59793272900"/>
    <n v="10736413585"/>
    <n v="14388029182"/>
    <n v="25124442767"/>
    <n v="26393147626"/>
    <n v="58524568041"/>
    <n v="84917715667"/>
    <n v="105.056432253"/>
    <n v="129.01505570699999"/>
    <n v="1.2280547981707786"/>
    <n v="12749214501.112764"/>
    <n v="35940203095.776009"/>
    <n v="48689417596.888779"/>
    <n v="8742617675.5240765"/>
    <n v="11716113322.818628"/>
    <n v="20458730998.342705"/>
    <n v="21491832176.636841"/>
    <n v="47656316418.594643"/>
    <n v="69148148595.231476"/>
  </r>
  <r>
    <x v="141"/>
    <n v="15645469216"/>
    <n v="44167807281"/>
    <n v="59813276497"/>
    <n v="10751536542"/>
    <n v="14385410864"/>
    <n v="25136947406"/>
    <n v="26397005758"/>
    <n v="58553218145"/>
    <n v="84950223903"/>
    <n v="105.013698925"/>
    <n v="129.01505570699999"/>
    <n v="1.2285545317201099"/>
    <n v="12734859391.299988"/>
    <n v="35951035253.730469"/>
    <n v="48685894645.030457"/>
    <n v="8751371033.5239906"/>
    <n v="11709216394.211546"/>
    <n v="20460587427.735538"/>
    <n v="21486230424.823978"/>
    <n v="47660251647.942017"/>
    <n v="69146482072.765991"/>
  </r>
  <r>
    <x v="142"/>
    <n v="15650986839"/>
    <n v="44177632133"/>
    <n v="59828618972"/>
    <n v="10750601938"/>
    <n v="14377725429"/>
    <n v="25128327367"/>
    <n v="26401588777"/>
    <n v="58555357562"/>
    <n v="84956946339"/>
    <n v="104.961473516"/>
    <n v="129.01505570699999"/>
    <n v="1.2291658204220364"/>
    <n v="12733015008.199793"/>
    <n v="35941149191.596893"/>
    <n v="48674164199.796684"/>
    <n v="8746258445.6739616"/>
    <n v="11697140605.539602"/>
    <n v="20443399051.213562"/>
    <n v="21479273453.873753"/>
    <n v="47638289797.13649"/>
    <n v="69117563251.010239"/>
  </r>
  <r>
    <x v="143"/>
    <n v="15640096446"/>
    <n v="44174881732"/>
    <n v="59814978178"/>
    <n v="10749169015"/>
    <n v="14362258933"/>
    <n v="25111427948"/>
    <n v="26389265461"/>
    <n v="58537140665"/>
    <n v="84926406126"/>
    <n v="104.88601455600001"/>
    <n v="129.01505570699999"/>
    <n v="1.2300501287339618"/>
    <n v="12715007364.860556"/>
    <n v="35913074353.699165"/>
    <n v="48628081718.559723"/>
    <n v="8738805650.1922092"/>
    <n v="11676157416.269255"/>
    <n v="20414963066.461464"/>
    <n v="21453813015.052765"/>
    <n v="47589231769.968422"/>
    <n v="69043044785.021179"/>
  </r>
  <r>
    <x v="144"/>
    <n v="16011853600"/>
    <n v="45345935371"/>
    <n v="61357788971"/>
    <n v="11013923298"/>
    <n v="14722951584"/>
    <n v="25736874882"/>
    <n v="27025776898"/>
    <n v="60068886955"/>
    <n v="87094663853"/>
    <n v="104.991247675"/>
    <n v="129.01505570699999"/>
    <n v="1.2288172449037429"/>
    <n v="13030296951.321072"/>
    <n v="36902098793.83007"/>
    <n v="49932395745.151138"/>
    <n v="8963027939.0022354"/>
    <n v="11981400525.635767"/>
    <n v="20944428464.638004"/>
    <n v="21993324890.323307"/>
    <n v="48883499319.465836"/>
    <n v="70876824209.789139"/>
  </r>
  <r>
    <x v="145"/>
    <n v="15937487356"/>
    <n v="45306102685"/>
    <n v="61243590041"/>
    <n v="11014244517"/>
    <n v="14699610553"/>
    <n v="25713855070"/>
    <n v="26951731873"/>
    <n v="60005713238"/>
    <n v="86957445111"/>
    <n v="105.129937336"/>
    <n v="129.01505570699999"/>
    <n v="1.2271961629222901"/>
    <n v="12986911006.997023"/>
    <n v="36918386851.140213"/>
    <n v="49905297858.137238"/>
    <n v="8975129526.7841034"/>
    <n v="11978207720.268782"/>
    <n v="20953337247.052883"/>
    <n v="21962040533.781124"/>
    <n v="48896594571.408997"/>
    <n v="70858635105.190125"/>
  </r>
  <r>
    <x v="146"/>
    <n v="15876717643"/>
    <n v="45321808817"/>
    <n v="61198526460"/>
    <n v="11009952499"/>
    <n v="14670557101"/>
    <n v="25680509600"/>
    <n v="26886670142"/>
    <n v="59992365918"/>
    <n v="86879036060"/>
    <n v="105.797754142"/>
    <n v="129.01505570699999"/>
    <n v="1.2194498527240767"/>
    <n v="13019574037.861156"/>
    <n v="37165783173.254364"/>
    <n v="50185357211.115517"/>
    <n v="9028622599.2855225"/>
    <n v="12030471829.758371"/>
    <n v="21059094429.043892"/>
    <n v="22048196637.146679"/>
    <n v="49196255003.012733"/>
    <n v="71244451640.159409"/>
  </r>
  <r>
    <x v="147"/>
    <n v="15822313874"/>
    <n v="45236459304"/>
    <n v="61058773178"/>
    <n v="11013062727"/>
    <n v="14636485967"/>
    <n v="25649548694"/>
    <n v="26835376601"/>
    <n v="59872945271"/>
    <n v="86708321872"/>
    <n v="106.52430936899999"/>
    <n v="129.01505570699999"/>
    <n v="1.2111325243151034"/>
    <n v="13064064878.405882"/>
    <n v="37350544548.856255"/>
    <n v="50414609427.262138"/>
    <n v="9093193771.8606777"/>
    <n v="12084958229.71722"/>
    <n v="21178152001.5779"/>
    <n v="22157258650.26656"/>
    <n v="49435502778.573471"/>
    <n v="71592761428.840027"/>
  </r>
  <r>
    <x v="148"/>
    <n v="15788809746"/>
    <n v="45232599263"/>
    <n v="61021409009"/>
    <n v="11019986430"/>
    <n v="14607787045"/>
    <n v="25627773475"/>
    <n v="26808796176"/>
    <n v="59840386308"/>
    <n v="86649182484"/>
    <n v="106.37812172300001"/>
    <n v="129.01505570699999"/>
    <n v="1.2127968948628809"/>
    <n v="13018511024.292395"/>
    <n v="37296104116.521515"/>
    <n v="50314615140.813911"/>
    <n v="9086423684.5246239"/>
    <n v="12044710129.845409"/>
    <n v="21131133814.370033"/>
    <n v="22104934708.817017"/>
    <n v="49340814246.36692"/>
    <n v="71445748955.183945"/>
  </r>
  <r>
    <x v="149"/>
    <n v="15810698446"/>
    <n v="45341815088"/>
    <n v="61152513534"/>
    <n v="11034926487"/>
    <n v="14579214444"/>
    <n v="25614140931"/>
    <n v="26845624933"/>
    <n v="59921029532"/>
    <n v="86766654465"/>
    <n v="106.737540442"/>
    <n v="129.01505570699999"/>
    <n v="1.2087130279819904"/>
    <n v="13080605635.894226"/>
    <n v="37512473215.996132"/>
    <n v="50593078851.890358"/>
    <n v="9129484196.446022"/>
    <n v="12061766611.666924"/>
    <n v="21191250808.112946"/>
    <n v="22210089832.340248"/>
    <n v="49574239827.663055"/>
    <n v="71784329660.003311"/>
  </r>
  <r>
    <x v="150"/>
    <n v="17217079756"/>
    <n v="49707068980"/>
    <n v="66924148736"/>
    <n v="12364287101"/>
    <n v="16294392147"/>
    <n v="28658679248"/>
    <n v="29581366857"/>
    <n v="66001461127"/>
    <n v="95582827984"/>
    <n v="107.487129776"/>
    <n v="129.01505570699999"/>
    <n v="1.2002837546770813"/>
    <n v="14344174607.805138"/>
    <n v="41412764928.550545"/>
    <n v="55756939536.355682"/>
    <n v="10301136754.388906"/>
    <n v="13575450041.297749"/>
    <n v="23876586795.686657"/>
    <n v="24645311362.194046"/>
    <n v="54988214969.848297"/>
    <n v="79633526332.042343"/>
  </r>
  <r>
    <x v="151"/>
    <n v="17178642700"/>
    <n v="49710219507"/>
    <n v="66888862207"/>
    <n v="12360855779"/>
    <n v="16242030034"/>
    <n v="28602885813"/>
    <n v="29539498479"/>
    <n v="65952249541"/>
    <n v="95491748020"/>
    <n v="107.68630519200001"/>
    <n v="129.01505570699999"/>
    <n v="1.1980637229308939"/>
    <n v="14338671951.417471"/>
    <n v="41492133144.129395"/>
    <n v="55830805095.546867"/>
    <n v="10317360873.560974"/>
    <n v="13556899957.095909"/>
    <n v="23874260830.656883"/>
    <n v="24656032824.978443"/>
    <n v="55049033101.225304"/>
    <n v="79705065926.203751"/>
  </r>
  <r>
    <x v="152"/>
    <n v="17174602621"/>
    <n v="49759756867"/>
    <n v="66934359488"/>
    <n v="12369934705"/>
    <n v="16217796040"/>
    <n v="28587730745"/>
    <n v="29544537326"/>
    <n v="65977552907"/>
    <n v="95522090233"/>
    <n v="108.090507335"/>
    <n v="129.01505570699999"/>
    <n v="1.1935835892336919"/>
    <n v="14389107537.936651"/>
    <n v="41689377531.52832"/>
    <n v="56078485069.464966"/>
    <n v="10363693683.943645"/>
    <n v="13587482423.759024"/>
    <n v="23951176107.702671"/>
    <n v="24752801221.880299"/>
    <n v="55276859955.287346"/>
    <n v="80029661177.167633"/>
  </r>
  <r>
    <x v="153"/>
    <n v="17180273634"/>
    <n v="49815834488"/>
    <n v="66996108122"/>
    <n v="12409632129"/>
    <n v="16240933376"/>
    <n v="28650565505"/>
    <n v="29589905763"/>
    <n v="66056767864"/>
    <n v="95646673627"/>
    <n v="108.497976482"/>
    <n v="129.01505570699999"/>
    <n v="1.1891010310999099"/>
    <n v="14448119364.683731"/>
    <n v="41893693794.81633"/>
    <n v="56341813159.500061"/>
    <n v="10436146134.295401"/>
    <n v="13658161040.342596"/>
    <n v="24094307174.637997"/>
    <n v="24884265498.97913"/>
    <n v="55551854835.158928"/>
    <n v="80436120334.138062"/>
  </r>
  <r>
    <x v="154"/>
    <n v="17165173605"/>
    <n v="49842484652"/>
    <n v="67007658257"/>
    <n v="12399905357"/>
    <n v="16188048558"/>
    <n v="28587953915"/>
    <n v="29565078962"/>
    <n v="66030533210"/>
    <n v="95595612172"/>
    <n v="108.789464045"/>
    <n v="129.01505570699999"/>
    <n v="1.1859149857897435"/>
    <n v="14474202460.279303"/>
    <n v="42028716433.503952"/>
    <n v="56502918893.783257"/>
    <n v="10455981672.870468"/>
    <n v="13650260559.967369"/>
    <n v="24106242232.837837"/>
    <n v="24930184133.149773"/>
    <n v="55678976993.471321"/>
    <n v="80609161126.621094"/>
  </r>
  <r>
    <x v="155"/>
    <n v="17128034948"/>
    <n v="49829768322"/>
    <n v="66957803270"/>
    <n v="12428740020"/>
    <n v="16202506541"/>
    <n v="28631246561"/>
    <n v="29556774968"/>
    <n v="66032274863"/>
    <n v="95589049831"/>
    <n v="108.876200532"/>
    <n v="129.01505570699999"/>
    <n v="1.1849702237642004"/>
    <n v="14454401135.575151"/>
    <n v="42051494056.711189"/>
    <n v="56505895192.286339"/>
    <n v="10488651757.441307"/>
    <n v="13673344879.106573"/>
    <n v="24161996636.547882"/>
    <n v="24943052893.01646"/>
    <n v="55724838935.817764"/>
    <n v="80667891828.834229"/>
  </r>
  <r>
    <x v="156"/>
    <n v="17743282728"/>
    <n v="51682733987"/>
    <n v="69426016715"/>
    <n v="12911728976"/>
    <n v="16804622756"/>
    <n v="29716351732"/>
    <n v="30655011704"/>
    <n v="68487356743"/>
    <n v="99142368447"/>
    <n v="109.757009083"/>
    <n v="129.01505570699999"/>
    <n v="1.175460745376514"/>
    <n v="15094747143.016346"/>
    <n v="43968064599.592735"/>
    <n v="59062811742.609085"/>
    <n v="10984398268.326876"/>
    <n v="14296200721.375242"/>
    <n v="25280598989.702118"/>
    <n v="26079145411.343224"/>
    <n v="58264265320.967979"/>
    <n v="84343410732.311203"/>
  </r>
  <r>
    <x v="157"/>
    <n v="17783453046"/>
    <n v="51815794846"/>
    <n v="69599247892"/>
    <n v="12949563556"/>
    <n v="16818777595"/>
    <n v="29768341151"/>
    <n v="30733016602"/>
    <n v="68634572441"/>
    <n v="99367589043"/>
    <n v="110.15137928"/>
    <n v="129.01505570699999"/>
    <n v="1.1712522943453059"/>
    <n v="15183281289.48546"/>
    <n v="44239652802.527435"/>
    <n v="59422934092.012894"/>
    <n v="11056169211.807955"/>
    <n v="14359653915.897924"/>
    <n v="25415823127.705879"/>
    <n v="26239450501.293415"/>
    <n v="58599306718.425362"/>
    <n v="84838757219.718781"/>
  </r>
  <r>
    <x v="158"/>
    <n v="17782944333"/>
    <n v="51891053583"/>
    <n v="69673997916"/>
    <n v="12961471477"/>
    <n v="16808739458"/>
    <n v="29770210935"/>
    <n v="30744415810"/>
    <n v="68699793041"/>
    <n v="99444208851"/>
    <n v="111.448827579"/>
    <n v="129.01505570699999"/>
    <n v="1.1576169844904671"/>
    <n v="15361682293.239056"/>
    <n v="44825753490.339638"/>
    <n v="60187435783.57869"/>
    <n v="11196683921.068314"/>
    <n v="14520121666.492722"/>
    <n v="25716805587.561035"/>
    <n v="26558366214.307369"/>
    <n v="59345875156.832359"/>
    <n v="85904241371.139725"/>
  </r>
  <r>
    <x v="159"/>
    <n v="17842453495"/>
    <n v="52041374004"/>
    <n v="69883827499"/>
    <n v="12997825364"/>
    <n v="16827202730"/>
    <n v="29825028094"/>
    <n v="30840278859"/>
    <n v="68868576734"/>
    <n v="99708855593"/>
    <n v="112.943374746"/>
    <n v="129.01505570699999"/>
    <n v="1.1422985721574535"/>
    <n v="15619780966.110331"/>
    <n v="45558468926.131744"/>
    <n v="61178249892.242073"/>
    <n v="11378658505.587618"/>
    <n v="14731002156.65905"/>
    <n v="26109660662.24667"/>
    <n v="26998439471.697948"/>
    <n v="60289471082.790794"/>
    <n v="87287910554.488739"/>
  </r>
  <r>
    <x v="160"/>
    <n v="17910825825"/>
    <n v="52180158679"/>
    <n v="70090984504"/>
    <n v="13045928802"/>
    <n v="16844779661"/>
    <n v="29890708463"/>
    <n v="30956754627"/>
    <n v="69024938340"/>
    <n v="99981692967"/>
    <n v="113.506710539"/>
    <n v="129.01505570699999"/>
    <n v="1.136629324331194"/>
    <n v="15757842457.160728"/>
    <n v="45907806144.015701"/>
    <n v="61665648601.176422"/>
    <n v="11477733789.488827"/>
    <n v="14819941119.248938"/>
    <n v="26297674908.737766"/>
    <n v="27235576246.649555"/>
    <n v="60727747263.264633"/>
    <n v="87963323509.914185"/>
  </r>
  <r>
    <x v="161"/>
    <n v="17961543330"/>
    <n v="52306407841"/>
    <n v="70267951171"/>
    <n v="13072950160"/>
    <n v="16850285977"/>
    <n v="29923236137"/>
    <n v="31034493490"/>
    <n v="69156693818"/>
    <n v="100191187308"/>
    <n v="114.393654431"/>
    <n v="129.01505570699999"/>
    <n v="1.1278165414745041"/>
    <n v="15925944220.074242"/>
    <n v="46378471956.631134"/>
    <n v="62304416176.705376"/>
    <n v="11591380050.96863"/>
    <n v="14940626739.673445"/>
    <n v="26532006790.642075"/>
    <n v="27517324271.042873"/>
    <n v="61319098696.304581"/>
    <n v="88836422967.347443"/>
  </r>
  <r>
    <x v="162"/>
    <n v="18646277906"/>
    <n v="54315078550"/>
    <n v="72961356456"/>
    <n v="14036908034"/>
    <n v="18065530136"/>
    <n v="32102438170"/>
    <n v="32683185940"/>
    <n v="72380608686"/>
    <n v="105063794626"/>
    <n v="115.767651409"/>
    <n v="129.01505570699999"/>
    <n v="1.1144309669995613"/>
    <n v="16731658091.126375"/>
    <n v="48737948027.624557"/>
    <n v="65469606118.750931"/>
    <n v="12595583261.466858"/>
    <n v="16210542125.044081"/>
    <n v="28806125386.510941"/>
    <n v="29327241352.593231"/>
    <n v="64948490152.66864"/>
    <n v="94275731505.261871"/>
  </r>
  <r>
    <x v="163"/>
    <n v="0"/>
    <n v="0"/>
    <n v="0"/>
    <n v="14778863364"/>
    <n v="18992871736"/>
    <n v="33771735100"/>
    <n v="14778863364"/>
    <n v="18992871736"/>
    <n v="33771735100"/>
    <n v="116.102606374"/>
    <n v="129.01505570699999"/>
    <n v="1.1112158437805026"/>
    <n v="0"/>
    <n v="0"/>
    <n v="0"/>
    <n v="13299723403.619192"/>
    <n v="17091973483.192741"/>
    <n v="30391696886.811935"/>
    <n v="13299723403.619192"/>
    <n v="17091973483.192741"/>
    <n v="30391696886.811935"/>
  </r>
  <r>
    <x v="164"/>
    <n v="0"/>
    <n v="0"/>
    <n v="0"/>
    <n v="14808731490"/>
    <n v="19009957753"/>
    <n v="33818689243"/>
    <n v="14808731490"/>
    <n v="19009957753"/>
    <n v="33818689243"/>
    <n v="118.25573740900001"/>
    <n v="129.01505570699999"/>
    <n v="1.0909834781274734"/>
    <n v="0"/>
    <n v="0"/>
    <n v="0"/>
    <n v="13573744962.130131"/>
    <n v="17424606452.911678"/>
    <n v="30998351415.041809"/>
    <n v="13573744962.130131"/>
    <n v="17424606452.911678"/>
    <n v="30998351415.041809"/>
  </r>
  <r>
    <x v="165"/>
    <n v="0"/>
    <n v="0"/>
    <n v="0"/>
    <n v="14815375370"/>
    <n v="18981692515"/>
    <n v="33797067885"/>
    <n v="14815375370"/>
    <n v="18981692515"/>
    <n v="33797067885"/>
    <n v="119.909282101"/>
    <n v="129.01505570699999"/>
    <n v="1.075938855161606"/>
    <n v="0"/>
    <n v="0"/>
    <n v="0"/>
    <n v="13769718696.30522"/>
    <n v="17641980698.009972"/>
    <n v="31411699394.315189"/>
    <n v="13769718696.30522"/>
    <n v="17641980698.009972"/>
    <n v="31411699394.315189"/>
  </r>
  <r>
    <x v="166"/>
    <n v="0"/>
    <n v="0"/>
    <n v="0"/>
    <n v="14867960341"/>
    <n v="19022253818"/>
    <n v="33890214159"/>
    <n v="14867960341"/>
    <n v="19022253818"/>
    <n v="33890214159"/>
    <n v="121.346820029"/>
    <n v="129.01505570699999"/>
    <n v="1.0631927204698681"/>
    <n v="0"/>
    <n v="0"/>
    <n v="0"/>
    <n v="13984257091.629864"/>
    <n v="17891632863.695015"/>
    <n v="31875889955.324879"/>
    <n v="13984257091.629864"/>
    <n v="17891632863.695015"/>
    <n v="31875889955.324879"/>
  </r>
  <r>
    <x v="167"/>
    <n v="0"/>
    <n v="0"/>
    <n v="0"/>
    <n v="14935618005"/>
    <n v="19123392921"/>
    <n v="34059010926"/>
    <n v="14935618005"/>
    <n v="19123392921"/>
    <n v="34059010926"/>
    <n v="122.478537359"/>
    <n v="129.01505570699999"/>
    <n v="1.0533686839257448"/>
    <n v="0"/>
    <n v="0"/>
    <n v="0"/>
    <n v="14178908328.029295"/>
    <n v="18154510583.825241"/>
    <n v="32333418911.854538"/>
    <n v="14178908328.029295"/>
    <n v="18154510583.825241"/>
    <n v="32333418911.854538"/>
  </r>
  <r>
    <x v="168"/>
    <n v="0"/>
    <n v="0"/>
    <n v="0"/>
    <n v="15706845630"/>
    <n v="20092998521"/>
    <n v="35799844151"/>
    <n v="15706845630"/>
    <n v="20092998521"/>
    <n v="35799844151"/>
    <n v="124.162318965"/>
    <n v="129.01505570699999"/>
    <n v="1.0390838120812476"/>
    <n v="0"/>
    <n v="0"/>
    <n v="0"/>
    <n v="15116052668.109373"/>
    <n v="19337226013.322685"/>
    <n v="34453278681.43206"/>
    <n v="15116052668.109373"/>
    <n v="19337226013.322685"/>
    <n v="34453278681.43206"/>
  </r>
  <r>
    <x v="169"/>
    <n v="0"/>
    <n v="0"/>
    <n v="0"/>
    <n v="15743337681"/>
    <n v="20138797901"/>
    <n v="35882135582"/>
    <n v="15743337681"/>
    <n v="20138797901"/>
    <n v="35882135582"/>
    <n v="125.665828594"/>
    <n v="129.01505570699999"/>
    <n v="1.0266518523808141"/>
    <n v="0"/>
    <n v="0"/>
    <n v="0"/>
    <n v="15334641090.347298"/>
    <n v="19615995290.222252"/>
    <n v="34950636380.56955"/>
    <n v="15334641090.347298"/>
    <n v="19615995290.222252"/>
    <n v="34950636380.56955"/>
  </r>
  <r>
    <x v="170"/>
    <n v="0"/>
    <n v="0"/>
    <n v="0"/>
    <n v="15767795621"/>
    <n v="20148903199"/>
    <n v="35916698820"/>
    <n v="15767795621"/>
    <n v="20148903199"/>
    <n v="35916698820"/>
    <n v="126.752235783"/>
    <n v="129.01505570699999"/>
    <n v="1.0178523077721007"/>
    <n v="0"/>
    <n v="0"/>
    <n v="0"/>
    <n v="15491241215.056953"/>
    <n v="19795507702.981388"/>
    <n v="35286748918.038338"/>
    <n v="15491241215.056953"/>
    <n v="19795507702.981388"/>
    <n v="35286748918.038338"/>
  </r>
  <r>
    <x v="171"/>
    <n v="0"/>
    <n v="0"/>
    <n v="0"/>
    <n v="15780083599"/>
    <n v="20154801071"/>
    <n v="35934884670"/>
    <n v="15780083599"/>
    <n v="20154801071"/>
    <n v="35934884670"/>
    <n v="127.40762281400001"/>
    <n v="129.01505570699999"/>
    <n v="1.0126164577714996"/>
    <n v="0"/>
    <n v="0"/>
    <n v="0"/>
    <n v="15583475340.434208"/>
    <n v="19903687043.913326"/>
    <n v="35487162384.347534"/>
    <n v="15583475340.434208"/>
    <n v="19903687043.913326"/>
    <n v="35487162384.347534"/>
  </r>
  <r>
    <x v="172"/>
    <n v="0"/>
    <n v="0"/>
    <n v="0"/>
    <n v="15794446196"/>
    <n v="20132730649"/>
    <n v="35927176845"/>
    <n v="15794446196"/>
    <n v="20132730649"/>
    <n v="35927176845"/>
    <n v="128.65015935900001"/>
    <n v="129.01505570699999"/>
    <n v="1.0028363458686571"/>
    <n v="0"/>
    <n v="0"/>
    <n v="0"/>
    <n v="15749774388.480951"/>
    <n v="20075788768.466526"/>
    <n v="35825563156.947479"/>
    <n v="15749774388.480951"/>
    <n v="20075788768.466526"/>
    <n v="35825563156.947479"/>
  </r>
  <r>
    <x v="173"/>
    <n v="0"/>
    <n v="0"/>
    <n v="0"/>
    <n v="15816186175"/>
    <n v="20153837159"/>
    <n v="35970023334"/>
    <n v="15816186175"/>
    <n v="20153837159"/>
    <n v="35970023334"/>
    <n v="129.01505570699999"/>
    <n v="129.01505570699999"/>
    <n v="1"/>
    <n v="0"/>
    <n v="0"/>
    <n v="0"/>
    <n v="15816186175"/>
    <n v="20153837159"/>
    <n v="35970023334"/>
    <n v="15816186175"/>
    <n v="20153837159"/>
    <n v="3597002333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n v="101420"/>
    <x v="0"/>
    <n v="290570"/>
    <n v="84278"/>
    <n v="108433"/>
    <n v="192711"/>
    <n v="185698"/>
    <n v="297583"/>
    <n v="483281"/>
  </r>
  <r>
    <x v="1"/>
    <n v="101671"/>
    <x v="1"/>
    <n v="292137"/>
    <n v="84832"/>
    <n v="109472"/>
    <n v="194304"/>
    <n v="186503"/>
    <n v="299938"/>
    <n v="486441"/>
  </r>
  <r>
    <x v="2"/>
    <n v="108164"/>
    <x v="2"/>
    <n v="329546"/>
    <n v="84560"/>
    <n v="108958"/>
    <n v="193518"/>
    <n v="192724"/>
    <n v="330340"/>
    <n v="523064"/>
  </r>
  <r>
    <x v="3"/>
    <n v="110075"/>
    <x v="3"/>
    <n v="340883"/>
    <n v="84437"/>
    <n v="108604"/>
    <n v="193041"/>
    <n v="194512"/>
    <n v="339412"/>
    <n v="533924"/>
  </r>
  <r>
    <x v="4"/>
    <n v="111136"/>
    <x v="4"/>
    <n v="347314"/>
    <n v="84286"/>
    <n v="108404"/>
    <n v="192690"/>
    <n v="195422"/>
    <n v="344582"/>
    <n v="540004"/>
  </r>
  <r>
    <x v="5"/>
    <n v="113630"/>
    <x v="5"/>
    <n v="358445"/>
    <n v="84823"/>
    <n v="109628"/>
    <n v="194451"/>
    <n v="198453"/>
    <n v="354443"/>
    <n v="552896"/>
  </r>
  <r>
    <x v="6"/>
    <n v="114748"/>
    <x v="6"/>
    <n v="364131"/>
    <n v="85291"/>
    <n v="110901"/>
    <n v="196192"/>
    <n v="200039"/>
    <n v="360284"/>
    <n v="560323"/>
  </r>
  <r>
    <x v="7"/>
    <n v="115183"/>
    <x v="7"/>
    <n v="366991"/>
    <n v="85481"/>
    <n v="111775"/>
    <n v="197256"/>
    <n v="200664"/>
    <n v="363583"/>
    <n v="564247"/>
  </r>
  <r>
    <x v="8"/>
    <n v="115759"/>
    <x v="8"/>
    <n v="369833"/>
    <n v="85609"/>
    <n v="112459"/>
    <n v="198068"/>
    <n v="201368"/>
    <n v="366533"/>
    <n v="567901"/>
  </r>
  <r>
    <x v="9"/>
    <n v="116177"/>
    <x v="9"/>
    <n v="371972"/>
    <n v="85787"/>
    <n v="113104"/>
    <n v="198891"/>
    <n v="201964"/>
    <n v="368899"/>
    <n v="570863"/>
  </r>
  <r>
    <x v="10"/>
    <n v="116638"/>
    <x v="10"/>
    <n v="374732"/>
    <n v="86085"/>
    <n v="114003"/>
    <n v="200088"/>
    <n v="202723"/>
    <n v="372097"/>
    <n v="574820"/>
  </r>
  <r>
    <x v="11"/>
    <n v="116982"/>
    <x v="11"/>
    <n v="377068"/>
    <n v="86441"/>
    <n v="114983"/>
    <n v="201424"/>
    <n v="203423"/>
    <n v="375069"/>
    <n v="578492"/>
  </r>
  <r>
    <x v="12"/>
    <n v="117124"/>
    <x v="12"/>
    <n v="378458"/>
    <n v="86710"/>
    <n v="116028"/>
    <n v="202738"/>
    <n v="203834"/>
    <n v="377362"/>
    <n v="581196"/>
  </r>
  <r>
    <x v="13"/>
    <n v="117348"/>
    <x v="13"/>
    <n v="379265"/>
    <n v="87229"/>
    <n v="117514"/>
    <n v="204743"/>
    <n v="204577"/>
    <n v="379431"/>
    <n v="584008"/>
  </r>
  <r>
    <x v="14"/>
    <n v="117430"/>
    <x v="14"/>
    <n v="384674"/>
    <n v="87678"/>
    <n v="118761"/>
    <n v="206439"/>
    <n v="205108"/>
    <n v="386005"/>
    <n v="591113"/>
  </r>
  <r>
    <x v="15"/>
    <n v="118419"/>
    <x v="15"/>
    <n v="391967"/>
    <n v="88090"/>
    <n v="120250"/>
    <n v="208340"/>
    <n v="206509"/>
    <n v="393798"/>
    <n v="600307"/>
  </r>
  <r>
    <x v="16"/>
    <n v="118547"/>
    <x v="16"/>
    <n v="393607"/>
    <n v="88421"/>
    <n v="121468"/>
    <n v="209889"/>
    <n v="206968"/>
    <n v="396528"/>
    <n v="603496"/>
  </r>
  <r>
    <x v="17"/>
    <n v="119964"/>
    <x v="17"/>
    <n v="398828"/>
    <n v="88990"/>
    <n v="123215"/>
    <n v="212205"/>
    <n v="208954"/>
    <n v="402079"/>
    <n v="611033"/>
  </r>
  <r>
    <x v="18"/>
    <n v="120328"/>
    <x v="18"/>
    <n v="401503"/>
    <n v="89382"/>
    <n v="124307"/>
    <n v="213689"/>
    <n v="209710"/>
    <n v="405482"/>
    <n v="615192"/>
  </r>
  <r>
    <x v="19"/>
    <n v="119616"/>
    <x v="19"/>
    <n v="399656"/>
    <n v="89028"/>
    <n v="123693"/>
    <n v="212721"/>
    <n v="208644"/>
    <n v="403733"/>
    <n v="612377"/>
  </r>
  <r>
    <x v="20"/>
    <n v="120019"/>
    <x v="20"/>
    <n v="402294"/>
    <n v="89480"/>
    <n v="124927"/>
    <n v="214407"/>
    <n v="209499"/>
    <n v="407202"/>
    <n v="616701"/>
  </r>
  <r>
    <x v="21"/>
    <n v="120234"/>
    <x v="21"/>
    <n v="403577"/>
    <n v="89554"/>
    <n v="125111"/>
    <n v="214665"/>
    <n v="209788"/>
    <n v="408454"/>
    <n v="618242"/>
  </r>
  <r>
    <x v="22"/>
    <n v="120295"/>
    <x v="22"/>
    <n v="404226"/>
    <n v="89604"/>
    <n v="125246"/>
    <n v="214850"/>
    <n v="209899"/>
    <n v="409177"/>
    <n v="619076"/>
  </r>
  <r>
    <x v="23"/>
    <n v="120331"/>
    <x v="23"/>
    <n v="405141"/>
    <n v="89759"/>
    <n v="125671"/>
    <n v="215430"/>
    <n v="210090"/>
    <n v="410481"/>
    <n v="620571"/>
  </r>
  <r>
    <x v="24"/>
    <n v="120293"/>
    <x v="24"/>
    <n v="405859"/>
    <n v="89862"/>
    <n v="125791"/>
    <n v="215653"/>
    <n v="210155"/>
    <n v="411357"/>
    <n v="621512"/>
  </r>
  <r>
    <x v="25"/>
    <n v="120325"/>
    <x v="25"/>
    <n v="407004"/>
    <n v="89942"/>
    <n v="126047"/>
    <n v="215989"/>
    <n v="210267"/>
    <n v="412726"/>
    <n v="622993"/>
  </r>
  <r>
    <x v="26"/>
    <n v="119687"/>
    <x v="26"/>
    <n v="405711"/>
    <n v="90028"/>
    <n v="126265"/>
    <n v="216293"/>
    <n v="209715"/>
    <n v="412289"/>
    <n v="622004"/>
  </r>
  <r>
    <x v="27"/>
    <n v="119515"/>
    <x v="27"/>
    <n v="405916"/>
    <n v="90089"/>
    <n v="126450"/>
    <n v="216539"/>
    <n v="209604"/>
    <n v="412851"/>
    <n v="622455"/>
  </r>
  <r>
    <x v="28"/>
    <n v="119528"/>
    <x v="28"/>
    <n v="406466"/>
    <n v="90074"/>
    <n v="126434"/>
    <n v="216508"/>
    <n v="209602"/>
    <n v="413372"/>
    <n v="622974"/>
  </r>
  <r>
    <x v="29"/>
    <n v="119464"/>
    <x v="29"/>
    <n v="407118"/>
    <n v="89975"/>
    <n v="126415"/>
    <n v="216390"/>
    <n v="209439"/>
    <n v="414069"/>
    <n v="623508"/>
  </r>
  <r>
    <x v="30"/>
    <n v="119753"/>
    <x v="30"/>
    <n v="408161"/>
    <n v="89864"/>
    <n v="126319"/>
    <n v="216183"/>
    <n v="209617"/>
    <n v="414727"/>
    <n v="624344"/>
  </r>
  <r>
    <x v="31"/>
    <n v="119558"/>
    <x v="31"/>
    <n v="407627"/>
    <n v="89724"/>
    <n v="126149"/>
    <n v="215873"/>
    <n v="209282"/>
    <n v="414218"/>
    <n v="623500"/>
  </r>
  <r>
    <x v="32"/>
    <n v="119590"/>
    <x v="32"/>
    <n v="408158"/>
    <n v="89738"/>
    <n v="126230"/>
    <n v="215968"/>
    <n v="209328"/>
    <n v="414798"/>
    <n v="624126"/>
  </r>
  <r>
    <x v="33"/>
    <n v="118210"/>
    <x v="33"/>
    <n v="403355"/>
    <n v="89436"/>
    <n v="126017"/>
    <n v="215453"/>
    <n v="207646"/>
    <n v="411162"/>
    <n v="618808"/>
  </r>
  <r>
    <x v="34"/>
    <n v="119022"/>
    <x v="34"/>
    <n v="406131"/>
    <n v="89387"/>
    <n v="125967"/>
    <n v="215354"/>
    <n v="208409"/>
    <n v="413076"/>
    <n v="621485"/>
  </r>
  <r>
    <x v="35"/>
    <n v="119061"/>
    <x v="35"/>
    <n v="406612"/>
    <n v="89400"/>
    <n v="126043"/>
    <n v="215443"/>
    <n v="208461"/>
    <n v="413594"/>
    <n v="622055"/>
  </r>
  <r>
    <x v="36"/>
    <n v="118793"/>
    <x v="36"/>
    <n v="405603"/>
    <n v="88825"/>
    <n v="125405"/>
    <n v="214230"/>
    <n v="207618"/>
    <n v="412215"/>
    <n v="619833"/>
  </r>
  <r>
    <x v="37"/>
    <n v="118828"/>
    <x v="37"/>
    <n v="405997"/>
    <n v="89066"/>
    <n v="125477"/>
    <n v="214543"/>
    <n v="207894"/>
    <n v="412646"/>
    <n v="620540"/>
  </r>
  <r>
    <x v="38"/>
    <n v="118398"/>
    <x v="38"/>
    <n v="405744"/>
    <n v="89260"/>
    <n v="125589"/>
    <n v="214849"/>
    <n v="207658"/>
    <n v="412935"/>
    <n v="620593"/>
  </r>
  <r>
    <x v="39"/>
    <n v="117820"/>
    <x v="39"/>
    <n v="403625"/>
    <n v="89136"/>
    <n v="125210"/>
    <n v="214346"/>
    <n v="206956"/>
    <n v="411015"/>
    <n v="617971"/>
  </r>
  <r>
    <x v="40"/>
    <n v="117123"/>
    <x v="40"/>
    <n v="401693"/>
    <n v="88970"/>
    <n v="124897"/>
    <n v="213867"/>
    <n v="206093"/>
    <n v="409467"/>
    <n v="615560"/>
  </r>
  <r>
    <x v="41"/>
    <n v="117871"/>
    <x v="41"/>
    <n v="405116"/>
    <n v="89009"/>
    <n v="124792"/>
    <n v="213801"/>
    <n v="206880"/>
    <n v="412037"/>
    <n v="618917"/>
  </r>
  <r>
    <x v="42"/>
    <n v="117685"/>
    <x v="42"/>
    <n v="405147"/>
    <n v="88526"/>
    <n v="123692"/>
    <n v="212218"/>
    <n v="206211"/>
    <n v="411154"/>
    <n v="617365"/>
  </r>
  <r>
    <x v="43"/>
    <n v="117647"/>
    <x v="43"/>
    <n v="405788"/>
    <n v="88158"/>
    <n v="123321"/>
    <n v="211479"/>
    <n v="205805"/>
    <n v="411462"/>
    <n v="617267"/>
  </r>
  <r>
    <x v="44"/>
    <n v="117683"/>
    <x v="44"/>
    <n v="405724"/>
    <n v="88567"/>
    <n v="123408"/>
    <n v="211975"/>
    <n v="206250"/>
    <n v="411449"/>
    <n v="617699"/>
  </r>
  <r>
    <x v="45"/>
    <n v="117158"/>
    <x v="45"/>
    <n v="405278"/>
    <n v="88182"/>
    <n v="122653"/>
    <n v="210835"/>
    <n v="205340"/>
    <n v="410773"/>
    <n v="616113"/>
  </r>
  <r>
    <x v="46"/>
    <n v="117009"/>
    <x v="46"/>
    <n v="405077"/>
    <n v="88223"/>
    <n v="122948"/>
    <n v="211171"/>
    <n v="205232"/>
    <n v="411016"/>
    <n v="616248"/>
  </r>
  <r>
    <x v="47"/>
    <n v="117073"/>
    <x v="47"/>
    <n v="405447"/>
    <n v="88439"/>
    <n v="123076"/>
    <n v="211515"/>
    <n v="205512"/>
    <n v="411450"/>
    <n v="616962"/>
  </r>
  <r>
    <x v="48"/>
    <n v="117059"/>
    <x v="48"/>
    <n v="405988"/>
    <n v="88350"/>
    <n v="122827"/>
    <n v="211177"/>
    <n v="205409"/>
    <n v="411756"/>
    <n v="617165"/>
  </r>
  <r>
    <x v="49"/>
    <n v="116045"/>
    <x v="49"/>
    <n v="403875"/>
    <n v="81780"/>
    <n v="116667"/>
    <n v="198447"/>
    <n v="197825"/>
    <n v="404497"/>
    <n v="602322"/>
  </r>
  <r>
    <x v="50"/>
    <n v="115611"/>
    <x v="50"/>
    <n v="403144"/>
    <n v="81736"/>
    <n v="116640"/>
    <n v="198376"/>
    <n v="197347"/>
    <n v="404173"/>
    <n v="601520"/>
  </r>
  <r>
    <x v="51"/>
    <n v="115666"/>
    <x v="51"/>
    <n v="403812"/>
    <n v="81467"/>
    <n v="115891"/>
    <n v="197358"/>
    <n v="197133"/>
    <n v="404037"/>
    <n v="601170"/>
  </r>
  <r>
    <x v="52"/>
    <n v="115528"/>
    <x v="52"/>
    <n v="403590"/>
    <n v="81174"/>
    <n v="115087"/>
    <n v="196261"/>
    <n v="196702"/>
    <n v="403149"/>
    <n v="599851"/>
  </r>
  <r>
    <x v="53"/>
    <n v="116042"/>
    <x v="53"/>
    <n v="406123"/>
    <n v="80753"/>
    <n v="114101"/>
    <n v="194854"/>
    <n v="196795"/>
    <n v="404182"/>
    <n v="600977"/>
  </r>
  <r>
    <x v="54"/>
    <n v="116175"/>
    <x v="54"/>
    <n v="407292"/>
    <n v="80974"/>
    <n v="114577"/>
    <n v="195551"/>
    <n v="197149"/>
    <n v="405694"/>
    <n v="602843"/>
  </r>
  <r>
    <x v="55"/>
    <n v="116163"/>
    <x v="55"/>
    <n v="407384"/>
    <n v="81066"/>
    <n v="114575"/>
    <n v="195641"/>
    <n v="197229"/>
    <n v="405796"/>
    <n v="603025"/>
  </r>
  <r>
    <x v="56"/>
    <n v="116050"/>
    <x v="56"/>
    <n v="407033"/>
    <n v="81057"/>
    <n v="114606"/>
    <n v="195663"/>
    <n v="197107"/>
    <n v="405589"/>
    <n v="602696"/>
  </r>
  <r>
    <x v="57"/>
    <n v="116061"/>
    <x v="57"/>
    <n v="407163"/>
    <n v="81062"/>
    <n v="114367"/>
    <n v="195429"/>
    <n v="197123"/>
    <n v="405469"/>
    <n v="602592"/>
  </r>
  <r>
    <x v="58"/>
    <n v="115158"/>
    <x v="58"/>
    <n v="403102"/>
    <n v="80923"/>
    <n v="113862"/>
    <n v="194785"/>
    <n v="196081"/>
    <n v="401806"/>
    <n v="597887"/>
  </r>
  <r>
    <x v="59"/>
    <n v="114755"/>
    <x v="59"/>
    <n v="402501"/>
    <n v="80780"/>
    <n v="113747"/>
    <n v="194527"/>
    <n v="195535"/>
    <n v="401493"/>
    <n v="597028"/>
  </r>
  <r>
    <x v="60"/>
    <n v="113823"/>
    <x v="60"/>
    <n v="400723"/>
    <n v="80448"/>
    <n v="113259"/>
    <n v="193707"/>
    <n v="194271"/>
    <n v="400159"/>
    <n v="594430"/>
  </r>
  <r>
    <x v="61"/>
    <n v="112889"/>
    <x v="61"/>
    <n v="399188"/>
    <n v="79869"/>
    <n v="112410"/>
    <n v="192279"/>
    <n v="192758"/>
    <n v="398709"/>
    <n v="591467"/>
  </r>
  <r>
    <x v="62"/>
    <n v="112931"/>
    <x v="62"/>
    <n v="400350"/>
    <n v="78807"/>
    <n v="110949"/>
    <n v="189756"/>
    <n v="191738"/>
    <n v="398368"/>
    <n v="590106"/>
  </r>
  <r>
    <x v="63"/>
    <n v="112713"/>
    <x v="63"/>
    <n v="400134"/>
    <n v="77668"/>
    <n v="110059"/>
    <n v="187727"/>
    <n v="190381"/>
    <n v="397480"/>
    <n v="587861"/>
  </r>
  <r>
    <x v="64"/>
    <n v="112717"/>
    <x v="64"/>
    <n v="400749"/>
    <n v="77463"/>
    <n v="109706"/>
    <n v="187169"/>
    <n v="190180"/>
    <n v="397738"/>
    <n v="587918"/>
  </r>
  <r>
    <x v="65"/>
    <n v="112309"/>
    <x v="65"/>
    <n v="400768"/>
    <n v="77638"/>
    <n v="109144"/>
    <n v="186782"/>
    <n v="189947"/>
    <n v="397603"/>
    <n v="587550"/>
  </r>
  <r>
    <x v="66"/>
    <n v="111320"/>
    <x v="66"/>
    <n v="398815"/>
    <n v="77061"/>
    <n v="108852"/>
    <n v="185913"/>
    <n v="188381"/>
    <n v="396347"/>
    <n v="584728"/>
  </r>
  <r>
    <x v="67"/>
    <n v="111117"/>
    <x v="67"/>
    <n v="397052"/>
    <n v="75818"/>
    <n v="107883"/>
    <n v="183701"/>
    <n v="186935"/>
    <n v="393818"/>
    <n v="580753"/>
  </r>
  <r>
    <x v="68"/>
    <n v="111073"/>
    <x v="68"/>
    <n v="397518"/>
    <n v="75876"/>
    <n v="107894"/>
    <n v="183770"/>
    <n v="186949"/>
    <n v="394339"/>
    <n v="581288"/>
  </r>
  <r>
    <x v="69"/>
    <n v="111174"/>
    <x v="69"/>
    <n v="398547"/>
    <n v="75651"/>
    <n v="107871"/>
    <n v="183522"/>
    <n v="186825"/>
    <n v="395244"/>
    <n v="582069"/>
  </r>
  <r>
    <x v="70"/>
    <n v="111202"/>
    <x v="70"/>
    <n v="398953"/>
    <n v="75719"/>
    <n v="107839"/>
    <n v="183558"/>
    <n v="186921"/>
    <n v="395590"/>
    <n v="582511"/>
  </r>
  <r>
    <x v="71"/>
    <n v="111355"/>
    <x v="71"/>
    <n v="400312"/>
    <n v="75992"/>
    <n v="107906"/>
    <n v="183898"/>
    <n v="187347"/>
    <n v="396863"/>
    <n v="584210"/>
  </r>
  <r>
    <x v="72"/>
    <n v="111373"/>
    <x v="72"/>
    <n v="400926"/>
    <n v="74825"/>
    <n v="107060"/>
    <n v="181885"/>
    <n v="186198"/>
    <n v="396613"/>
    <n v="582811"/>
  </r>
  <r>
    <x v="73"/>
    <n v="111178"/>
    <x v="73"/>
    <n v="400933"/>
    <n v="74941"/>
    <n v="106935"/>
    <n v="181876"/>
    <n v="186119"/>
    <n v="396690"/>
    <n v="582809"/>
  </r>
  <r>
    <x v="74"/>
    <n v="110940"/>
    <x v="74"/>
    <n v="400274"/>
    <n v="75437"/>
    <n v="106925"/>
    <n v="182362"/>
    <n v="186377"/>
    <n v="396259"/>
    <n v="582636"/>
  </r>
  <r>
    <x v="75"/>
    <n v="110909"/>
    <x v="75"/>
    <n v="400436"/>
    <n v="74919"/>
    <n v="106689"/>
    <n v="181608"/>
    <n v="185828"/>
    <n v="396216"/>
    <n v="582044"/>
  </r>
  <r>
    <x v="76"/>
    <n v="110935"/>
    <x v="76"/>
    <n v="400577"/>
    <n v="74860"/>
    <n v="106361"/>
    <n v="181221"/>
    <n v="185795"/>
    <n v="396003"/>
    <n v="581798"/>
  </r>
  <r>
    <x v="77"/>
    <n v="111058"/>
    <x v="77"/>
    <n v="401656"/>
    <n v="75235"/>
    <n v="106311"/>
    <n v="181546"/>
    <n v="186293"/>
    <n v="396909"/>
    <n v="583202"/>
  </r>
  <r>
    <x v="78"/>
    <n v="110424"/>
    <x v="78"/>
    <n v="398501"/>
    <n v="74385"/>
    <n v="105707"/>
    <n v="180092"/>
    <n v="184809"/>
    <n v="393784"/>
    <n v="578593"/>
  </r>
  <r>
    <x v="79"/>
    <n v="110423"/>
    <x v="79"/>
    <n v="398712"/>
    <n v="74432"/>
    <n v="105538"/>
    <n v="179970"/>
    <n v="184855"/>
    <n v="393827"/>
    <n v="578682"/>
  </r>
  <r>
    <x v="80"/>
    <n v="110370"/>
    <x v="32"/>
    <n v="398938"/>
    <n v="74896"/>
    <n v="105402"/>
    <n v="180298"/>
    <n v="185266"/>
    <n v="393970"/>
    <n v="579236"/>
  </r>
  <r>
    <x v="81"/>
    <n v="110349"/>
    <x v="80"/>
    <n v="399217"/>
    <n v="74817"/>
    <n v="105285"/>
    <n v="180102"/>
    <n v="185166"/>
    <n v="394153"/>
    <n v="579319"/>
  </r>
  <r>
    <x v="82"/>
    <n v="110347"/>
    <x v="81"/>
    <n v="399583"/>
    <n v="74786"/>
    <n v="105163"/>
    <n v="179949"/>
    <n v="185133"/>
    <n v="394399"/>
    <n v="579532"/>
  </r>
  <r>
    <x v="83"/>
    <n v="110287"/>
    <x v="82"/>
    <n v="399338"/>
    <n v="74517"/>
    <n v="104884"/>
    <n v="179401"/>
    <n v="184804"/>
    <n v="393935"/>
    <n v="578739"/>
  </r>
  <r>
    <x v="84"/>
    <n v="110438"/>
    <x v="83"/>
    <n v="399884"/>
    <n v="74672"/>
    <n v="105035"/>
    <n v="179707"/>
    <n v="185110"/>
    <n v="394481"/>
    <n v="579591"/>
  </r>
  <r>
    <x v="85"/>
    <n v="110169"/>
    <x v="84"/>
    <n v="399355"/>
    <n v="74524"/>
    <n v="104933"/>
    <n v="179457"/>
    <n v="184693"/>
    <n v="394119"/>
    <n v="578812"/>
  </r>
  <r>
    <x v="86"/>
    <n v="109983"/>
    <x v="85"/>
    <n v="399289"/>
    <n v="74536"/>
    <n v="104826"/>
    <n v="179362"/>
    <n v="184519"/>
    <n v="394132"/>
    <n v="578651"/>
  </r>
  <r>
    <x v="87"/>
    <n v="109773"/>
    <x v="86"/>
    <n v="399179"/>
    <n v="74656"/>
    <n v="104834"/>
    <n v="179490"/>
    <n v="184429"/>
    <n v="394240"/>
    <n v="578669"/>
  </r>
  <r>
    <x v="88"/>
    <n v="109685"/>
    <x v="87"/>
    <n v="399281"/>
    <n v="74747"/>
    <n v="104776"/>
    <n v="179523"/>
    <n v="184432"/>
    <n v="394372"/>
    <n v="578804"/>
  </r>
  <r>
    <x v="89"/>
    <n v="109696"/>
    <x v="88"/>
    <n v="399514"/>
    <n v="74896"/>
    <n v="104882"/>
    <n v="179778"/>
    <n v="184592"/>
    <n v="394700"/>
    <n v="579292"/>
  </r>
  <r>
    <x v="90"/>
    <n v="109526"/>
    <x v="89"/>
    <n v="399298"/>
    <n v="74980"/>
    <n v="104970"/>
    <n v="179950"/>
    <n v="184506"/>
    <n v="394742"/>
    <n v="579248"/>
  </r>
  <r>
    <x v="91"/>
    <n v="109494"/>
    <x v="90"/>
    <n v="399535"/>
    <n v="75133"/>
    <n v="105124"/>
    <n v="180257"/>
    <n v="184627"/>
    <n v="395165"/>
    <n v="579792"/>
  </r>
  <r>
    <x v="92"/>
    <n v="109195"/>
    <x v="91"/>
    <n v="398717"/>
    <n v="74986"/>
    <n v="105070"/>
    <n v="180056"/>
    <n v="184181"/>
    <n v="394592"/>
    <n v="578773"/>
  </r>
  <r>
    <x v="93"/>
    <n v="109202"/>
    <x v="92"/>
    <n v="399208"/>
    <n v="75254"/>
    <n v="105346"/>
    <n v="180600"/>
    <n v="184456"/>
    <n v="395352"/>
    <n v="579808"/>
  </r>
  <r>
    <x v="94"/>
    <n v="109075"/>
    <x v="93"/>
    <n v="399462"/>
    <n v="75437"/>
    <n v="105384"/>
    <n v="180821"/>
    <n v="184512"/>
    <n v="395771"/>
    <n v="580283"/>
  </r>
  <r>
    <x v="95"/>
    <n v="109011"/>
    <x v="94"/>
    <n v="399721"/>
    <n v="75584"/>
    <n v="105613"/>
    <n v="181197"/>
    <n v="184595"/>
    <n v="396323"/>
    <n v="580918"/>
  </r>
  <r>
    <x v="96"/>
    <n v="108892"/>
    <x v="95"/>
    <n v="399646"/>
    <n v="75723"/>
    <n v="105761"/>
    <n v="181484"/>
    <n v="184615"/>
    <n v="396515"/>
    <n v="581130"/>
  </r>
  <r>
    <x v="97"/>
    <n v="108727"/>
    <x v="96"/>
    <n v="399449"/>
    <n v="75743"/>
    <n v="105741"/>
    <n v="181484"/>
    <n v="184470"/>
    <n v="396463"/>
    <n v="580933"/>
  </r>
  <r>
    <x v="98"/>
    <n v="108480"/>
    <x v="97"/>
    <n v="399070"/>
    <n v="75770"/>
    <n v="105661"/>
    <n v="181431"/>
    <n v="184250"/>
    <n v="396251"/>
    <n v="580501"/>
  </r>
  <r>
    <x v="99"/>
    <n v="108234"/>
    <x v="98"/>
    <n v="398626"/>
    <n v="75906"/>
    <n v="105680"/>
    <n v="181586"/>
    <n v="184140"/>
    <n v="396072"/>
    <n v="580212"/>
  </r>
  <r>
    <x v="100"/>
    <n v="108240"/>
    <x v="99"/>
    <n v="399214"/>
    <n v="76030"/>
    <n v="105692"/>
    <n v="181722"/>
    <n v="184270"/>
    <n v="396666"/>
    <n v="580936"/>
  </r>
  <r>
    <x v="101"/>
    <n v="108045"/>
    <x v="100"/>
    <n v="398651"/>
    <n v="75845"/>
    <n v="105476"/>
    <n v="181321"/>
    <n v="183890"/>
    <n v="396082"/>
    <n v="579972"/>
  </r>
  <r>
    <x v="102"/>
    <n v="108041"/>
    <x v="101"/>
    <n v="399136"/>
    <n v="75921"/>
    <n v="105535"/>
    <n v="181456"/>
    <n v="183962"/>
    <n v="396630"/>
    <n v="580592"/>
  </r>
  <r>
    <x v="103"/>
    <n v="108057"/>
    <x v="102"/>
    <n v="399559"/>
    <n v="75979"/>
    <n v="105511"/>
    <n v="181490"/>
    <n v="184036"/>
    <n v="397013"/>
    <n v="581049"/>
  </r>
  <r>
    <x v="104"/>
    <n v="107931"/>
    <x v="103"/>
    <n v="399302"/>
    <n v="76113"/>
    <n v="105627"/>
    <n v="181740"/>
    <n v="184044"/>
    <n v="396998"/>
    <n v="581042"/>
  </r>
  <r>
    <x v="105"/>
    <n v="108038"/>
    <x v="104"/>
    <n v="399802"/>
    <n v="76247"/>
    <n v="105610"/>
    <n v="181857"/>
    <n v="184285"/>
    <n v="397374"/>
    <n v="581659"/>
  </r>
  <r>
    <x v="106"/>
    <n v="108173"/>
    <x v="105"/>
    <n v="400546"/>
    <n v="76469"/>
    <n v="105793"/>
    <n v="182262"/>
    <n v="184642"/>
    <n v="398166"/>
    <n v="582808"/>
  </r>
  <r>
    <x v="107"/>
    <n v="107911"/>
    <x v="106"/>
    <n v="399677"/>
    <n v="76366"/>
    <n v="105559"/>
    <n v="181925"/>
    <n v="184277"/>
    <n v="397325"/>
    <n v="581602"/>
  </r>
  <r>
    <x v="108"/>
    <n v="107824"/>
    <x v="107"/>
    <n v="399610"/>
    <n v="76509"/>
    <n v="105652"/>
    <n v="182161"/>
    <n v="184333"/>
    <n v="397438"/>
    <n v="581771"/>
  </r>
  <r>
    <x v="109"/>
    <n v="107568"/>
    <x v="108"/>
    <n v="399317"/>
    <n v="76579"/>
    <n v="105661"/>
    <n v="182240"/>
    <n v="184147"/>
    <n v="397410"/>
    <n v="581557"/>
  </r>
  <r>
    <x v="110"/>
    <n v="107329"/>
    <x v="108"/>
    <n v="399078"/>
    <n v="76689"/>
    <n v="105608"/>
    <n v="182297"/>
    <n v="184018"/>
    <n v="397357"/>
    <n v="581375"/>
  </r>
  <r>
    <x v="111"/>
    <n v="107184"/>
    <x v="109"/>
    <n v="398759"/>
    <n v="76751"/>
    <n v="105489"/>
    <n v="182240"/>
    <n v="183935"/>
    <n v="397064"/>
    <n v="580999"/>
  </r>
  <r>
    <x v="112"/>
    <n v="107149"/>
    <x v="110"/>
    <n v="399090"/>
    <n v="76753"/>
    <n v="105467"/>
    <n v="182220"/>
    <n v="183902"/>
    <n v="397408"/>
    <n v="581310"/>
  </r>
  <r>
    <x v="113"/>
    <n v="107133"/>
    <x v="111"/>
    <n v="399510"/>
    <n v="76834"/>
    <n v="105470"/>
    <n v="182304"/>
    <n v="183967"/>
    <n v="397847"/>
    <n v="581814"/>
  </r>
  <r>
    <x v="114"/>
    <n v="107127"/>
    <x v="112"/>
    <n v="399710"/>
    <n v="76961"/>
    <n v="105437"/>
    <n v="182398"/>
    <n v="184088"/>
    <n v="398020"/>
    <n v="582108"/>
  </r>
  <r>
    <x v="115"/>
    <n v="107132"/>
    <x v="113"/>
    <n v="400174"/>
    <n v="77084"/>
    <n v="105456"/>
    <n v="182540"/>
    <n v="184216"/>
    <n v="398498"/>
    <n v="582714"/>
  </r>
  <r>
    <x v="116"/>
    <n v="107103"/>
    <x v="114"/>
    <n v="400670"/>
    <n v="77234"/>
    <n v="105616"/>
    <n v="182850"/>
    <n v="184337"/>
    <n v="399183"/>
    <n v="583520"/>
  </r>
  <r>
    <x v="117"/>
    <n v="107208"/>
    <x v="115"/>
    <n v="401455"/>
    <n v="77305"/>
    <n v="105655"/>
    <n v="182960"/>
    <n v="184513"/>
    <n v="399902"/>
    <n v="584415"/>
  </r>
  <r>
    <x v="118"/>
    <n v="107281"/>
    <x v="116"/>
    <n v="402013"/>
    <n v="77366"/>
    <n v="105715"/>
    <n v="183081"/>
    <n v="184647"/>
    <n v="400447"/>
    <n v="585094"/>
  </r>
  <r>
    <x v="119"/>
    <n v="107282"/>
    <x v="117"/>
    <n v="402451"/>
    <n v="77464"/>
    <n v="105807"/>
    <n v="183271"/>
    <n v="184746"/>
    <n v="400976"/>
    <n v="585722"/>
  </r>
  <r>
    <x v="120"/>
    <n v="107234"/>
    <x v="118"/>
    <n v="402868"/>
    <n v="77547"/>
    <n v="105788"/>
    <n v="183335"/>
    <n v="184781"/>
    <n v="401422"/>
    <n v="586203"/>
  </r>
  <r>
    <x v="121"/>
    <n v="107093"/>
    <x v="119"/>
    <n v="403017"/>
    <n v="77605"/>
    <n v="105679"/>
    <n v="183284"/>
    <n v="184698"/>
    <n v="401603"/>
    <n v="586301"/>
  </r>
  <r>
    <x v="122"/>
    <n v="106961"/>
    <x v="120"/>
    <n v="403054"/>
    <n v="77584"/>
    <n v="105529"/>
    <n v="183113"/>
    <n v="184545"/>
    <n v="401622"/>
    <n v="586167"/>
  </r>
  <r>
    <x v="123"/>
    <n v="106848"/>
    <x v="121"/>
    <n v="403364"/>
    <n v="77638"/>
    <n v="105419"/>
    <n v="183057"/>
    <n v="184486"/>
    <n v="401935"/>
    <n v="586421"/>
  </r>
  <r>
    <x v="124"/>
    <n v="106809"/>
    <x v="122"/>
    <n v="403867"/>
    <n v="77607"/>
    <n v="105310"/>
    <n v="182917"/>
    <n v="184416"/>
    <n v="402368"/>
    <n v="586784"/>
  </r>
  <r>
    <x v="125"/>
    <n v="106851"/>
    <x v="123"/>
    <n v="404348"/>
    <n v="77609"/>
    <n v="105302"/>
    <n v="182911"/>
    <n v="184460"/>
    <n v="402799"/>
    <n v="587259"/>
  </r>
  <r>
    <x v="126"/>
    <n v="106872"/>
    <x v="124"/>
    <n v="404952"/>
    <n v="77670"/>
    <n v="105208"/>
    <n v="182878"/>
    <n v="184542"/>
    <n v="403288"/>
    <n v="587830"/>
  </r>
  <r>
    <x v="127"/>
    <n v="106895"/>
    <x v="125"/>
    <n v="405530"/>
    <n v="77752"/>
    <n v="105188"/>
    <n v="182940"/>
    <n v="184647"/>
    <n v="403823"/>
    <n v="588470"/>
  </r>
  <r>
    <x v="128"/>
    <n v="106958"/>
    <x v="126"/>
    <n v="406038"/>
    <n v="77866"/>
    <n v="105239"/>
    <n v="183105"/>
    <n v="184824"/>
    <n v="404319"/>
    <n v="589143"/>
  </r>
  <r>
    <x v="129"/>
    <n v="106957"/>
    <x v="127"/>
    <n v="406470"/>
    <n v="77900"/>
    <n v="105215"/>
    <n v="183115"/>
    <n v="184857"/>
    <n v="404728"/>
    <n v="589585"/>
  </r>
  <r>
    <x v="130"/>
    <n v="107023"/>
    <x v="128"/>
    <n v="406993"/>
    <n v="77981"/>
    <n v="105207"/>
    <n v="183188"/>
    <n v="185004"/>
    <n v="405177"/>
    <n v="590181"/>
  </r>
  <r>
    <x v="131"/>
    <n v="106910"/>
    <x v="129"/>
    <n v="406862"/>
    <n v="78001"/>
    <n v="105150"/>
    <n v="183151"/>
    <n v="184911"/>
    <n v="405102"/>
    <n v="590013"/>
  </r>
  <r>
    <x v="132"/>
    <n v="106888"/>
    <x v="130"/>
    <n v="407080"/>
    <n v="78024"/>
    <n v="105129"/>
    <n v="183153"/>
    <n v="184912"/>
    <n v="405321"/>
    <n v="590233"/>
  </r>
  <r>
    <x v="133"/>
    <n v="106680"/>
    <x v="131"/>
    <n v="406828"/>
    <n v="77895"/>
    <n v="104843"/>
    <n v="182738"/>
    <n v="184575"/>
    <n v="404991"/>
    <n v="589566"/>
  </r>
  <r>
    <x v="134"/>
    <n v="106524"/>
    <x v="132"/>
    <n v="406809"/>
    <n v="77795"/>
    <n v="104591"/>
    <n v="182386"/>
    <n v="184319"/>
    <n v="404876"/>
    <n v="589195"/>
  </r>
  <r>
    <x v="135"/>
    <n v="106310"/>
    <x v="133"/>
    <n v="406611"/>
    <n v="77796"/>
    <n v="104481"/>
    <n v="182277"/>
    <n v="184106"/>
    <n v="404782"/>
    <n v="588888"/>
  </r>
  <r>
    <x v="136"/>
    <n v="106300"/>
    <x v="134"/>
    <n v="407082"/>
    <n v="77764"/>
    <n v="104343"/>
    <n v="182107"/>
    <n v="184064"/>
    <n v="405125"/>
    <n v="589189"/>
  </r>
  <r>
    <x v="137"/>
    <n v="106146"/>
    <x v="135"/>
    <n v="407066"/>
    <n v="77761"/>
    <n v="104196"/>
    <n v="181957"/>
    <n v="183907"/>
    <n v="405116"/>
    <n v="589023"/>
  </r>
  <r>
    <x v="138"/>
    <n v="106262"/>
    <x v="136"/>
    <n v="407818"/>
    <n v="77856"/>
    <n v="104225"/>
    <n v="182081"/>
    <n v="184118"/>
    <n v="405781"/>
    <n v="589899"/>
  </r>
  <r>
    <x v="139"/>
    <n v="106478"/>
    <x v="137"/>
    <n v="409007"/>
    <n v="77902"/>
    <n v="104288"/>
    <n v="182190"/>
    <n v="184380"/>
    <n v="406817"/>
    <n v="591197"/>
  </r>
  <r>
    <x v="140"/>
    <n v="106463"/>
    <x v="138"/>
    <n v="409402"/>
    <n v="77989"/>
    <n v="104495"/>
    <n v="182484"/>
    <n v="184452"/>
    <n v="407434"/>
    <n v="591886"/>
  </r>
  <r>
    <x v="141"/>
    <n v="106371"/>
    <x v="139"/>
    <n v="409488"/>
    <n v="78073"/>
    <n v="104476"/>
    <n v="182549"/>
    <n v="184444"/>
    <n v="407593"/>
    <n v="592037"/>
  </r>
  <r>
    <x v="142"/>
    <n v="106379"/>
    <x v="140"/>
    <n v="409485"/>
    <n v="78092"/>
    <n v="104421"/>
    <n v="182513"/>
    <n v="184471"/>
    <n v="407527"/>
    <n v="591998"/>
  </r>
  <r>
    <x v="143"/>
    <n v="106296"/>
    <x v="141"/>
    <n v="409330"/>
    <n v="78085"/>
    <n v="104307"/>
    <n v="182392"/>
    <n v="184381"/>
    <n v="407341"/>
    <n v="591722"/>
  </r>
  <r>
    <x v="144"/>
    <n v="106052"/>
    <x v="142"/>
    <n v="409166"/>
    <n v="77973"/>
    <n v="104212"/>
    <n v="182185"/>
    <n v="184025"/>
    <n v="407326"/>
    <n v="591351"/>
  </r>
  <r>
    <x v="145"/>
    <n v="105522"/>
    <x v="143"/>
    <n v="408248"/>
    <n v="77954"/>
    <n v="104019"/>
    <n v="181973"/>
    <n v="183476"/>
    <n v="406745"/>
    <n v="590221"/>
  </r>
  <r>
    <x v="146"/>
    <n v="105100"/>
    <x v="144"/>
    <n v="407886"/>
    <n v="77928"/>
    <n v="103817"/>
    <n v="181745"/>
    <n v="183028"/>
    <n v="406603"/>
    <n v="589631"/>
  </r>
  <r>
    <x v="147"/>
    <n v="104702"/>
    <x v="145"/>
    <n v="406826"/>
    <n v="77950"/>
    <n v="103576"/>
    <n v="181526"/>
    <n v="182652"/>
    <n v="405700"/>
    <n v="588352"/>
  </r>
  <r>
    <x v="148"/>
    <n v="104460"/>
    <x v="146"/>
    <n v="406489"/>
    <n v="77999"/>
    <n v="103373"/>
    <n v="181372"/>
    <n v="182459"/>
    <n v="405402"/>
    <n v="587861"/>
  </r>
  <r>
    <x v="149"/>
    <n v="104548"/>
    <x v="147"/>
    <n v="407108"/>
    <n v="78045"/>
    <n v="103131"/>
    <n v="181176"/>
    <n v="182593"/>
    <n v="405691"/>
    <n v="588284"/>
  </r>
  <r>
    <x v="150"/>
    <n v="104773"/>
    <x v="148"/>
    <n v="408308"/>
    <n v="78093"/>
    <n v="102915"/>
    <n v="181008"/>
    <n v="182866"/>
    <n v="406450"/>
    <n v="589316"/>
  </r>
  <r>
    <x v="151"/>
    <n v="104543"/>
    <x v="149"/>
    <n v="408052"/>
    <n v="78054"/>
    <n v="102585"/>
    <n v="180639"/>
    <n v="182597"/>
    <n v="406094"/>
    <n v="588691"/>
  </r>
  <r>
    <x v="152"/>
    <n v="104524"/>
    <x v="150"/>
    <n v="408360"/>
    <n v="78131"/>
    <n v="102435"/>
    <n v="180566"/>
    <n v="182655"/>
    <n v="406271"/>
    <n v="588926"/>
  </r>
  <r>
    <x v="153"/>
    <n v="104568"/>
    <x v="151"/>
    <n v="408797"/>
    <n v="78384"/>
    <n v="102581"/>
    <n v="180965"/>
    <n v="182952"/>
    <n v="406810"/>
    <n v="589762"/>
  </r>
  <r>
    <x v="154"/>
    <n v="104477"/>
    <x v="152"/>
    <n v="408904"/>
    <n v="78324"/>
    <n v="102248"/>
    <n v="180572"/>
    <n v="182801"/>
    <n v="406675"/>
    <n v="589476"/>
  </r>
  <r>
    <x v="155"/>
    <n v="104256"/>
    <x v="153"/>
    <n v="408641"/>
    <n v="78508"/>
    <n v="102342"/>
    <n v="180850"/>
    <n v="182764"/>
    <n v="406727"/>
    <n v="589491"/>
  </r>
  <r>
    <x v="156"/>
    <n v="104136"/>
    <x v="154"/>
    <n v="408548"/>
    <n v="78636"/>
    <n v="102344"/>
    <n v="180980"/>
    <n v="182772"/>
    <n v="406756"/>
    <n v="589528"/>
  </r>
  <r>
    <x v="157"/>
    <n v="104304"/>
    <x v="155"/>
    <n v="409302"/>
    <n v="78808"/>
    <n v="102353"/>
    <n v="181161"/>
    <n v="183112"/>
    <n v="407351"/>
    <n v="590463"/>
  </r>
  <r>
    <x v="158"/>
    <n v="104316"/>
    <x v="156"/>
    <n v="409787"/>
    <n v="78880"/>
    <n v="102289"/>
    <n v="181169"/>
    <n v="183196"/>
    <n v="407760"/>
    <n v="590956"/>
  </r>
  <r>
    <x v="159"/>
    <n v="104673"/>
    <x v="157"/>
    <n v="411102"/>
    <n v="79105"/>
    <n v="102399"/>
    <n v="181504"/>
    <n v="183778"/>
    <n v="408828"/>
    <n v="592606"/>
  </r>
  <r>
    <x v="160"/>
    <n v="105079"/>
    <x v="158"/>
    <n v="412375"/>
    <n v="79398"/>
    <n v="102500"/>
    <n v="181898"/>
    <n v="184477"/>
    <n v="409796"/>
    <n v="594273"/>
  </r>
  <r>
    <x v="161"/>
    <n v="105397"/>
    <x v="159"/>
    <n v="413523"/>
    <n v="79548"/>
    <n v="102539"/>
    <n v="182087"/>
    <n v="184945"/>
    <n v="410665"/>
    <n v="595610"/>
  </r>
  <r>
    <x v="162"/>
    <n v="105909"/>
    <x v="160"/>
    <n v="414941"/>
    <n v="79732"/>
    <n v="102612"/>
    <n v="182344"/>
    <n v="185641"/>
    <n v="411644"/>
    <n v="597285"/>
  </r>
  <r>
    <x v="163"/>
    <n v="0"/>
    <x v="161"/>
    <n v="0"/>
    <n v="79908"/>
    <n v="102691"/>
    <n v="182599"/>
    <n v="79908"/>
    <n v="102691"/>
    <n v="182599"/>
  </r>
  <r>
    <x v="164"/>
    <n v="0"/>
    <x v="161"/>
    <n v="0"/>
    <n v="80074"/>
    <n v="102784"/>
    <n v="182858"/>
    <n v="80074"/>
    <n v="102784"/>
    <n v="182858"/>
  </r>
  <r>
    <x v="165"/>
    <n v="0"/>
    <x v="161"/>
    <n v="0"/>
    <n v="80110"/>
    <n v="102632"/>
    <n v="182742"/>
    <n v="80110"/>
    <n v="102632"/>
    <n v="182742"/>
  </r>
  <r>
    <x v="166"/>
    <n v="0"/>
    <x v="161"/>
    <n v="0"/>
    <n v="80398"/>
    <n v="102856"/>
    <n v="183254"/>
    <n v="80398"/>
    <n v="102856"/>
    <n v="183254"/>
  </r>
  <r>
    <x v="167"/>
    <n v="0"/>
    <x v="161"/>
    <n v="0"/>
    <n v="80766"/>
    <n v="103404"/>
    <n v="184170"/>
    <n v="80766"/>
    <n v="103404"/>
    <n v="184170"/>
  </r>
  <r>
    <x v="168"/>
    <n v="0"/>
    <x v="161"/>
    <n v="0"/>
    <n v="81031"/>
    <n v="103650"/>
    <n v="184681"/>
    <n v="81031"/>
    <n v="103650"/>
    <n v="184681"/>
  </r>
  <r>
    <x v="169"/>
    <n v="0"/>
    <x v="161"/>
    <n v="0"/>
    <n v="81219"/>
    <n v="103890"/>
    <n v="185109"/>
    <n v="81219"/>
    <n v="103890"/>
    <n v="185109"/>
  </r>
  <r>
    <x v="170"/>
    <n v="0"/>
    <x v="161"/>
    <n v="0"/>
    <n v="81350"/>
    <n v="103948"/>
    <n v="185298"/>
    <n v="81350"/>
    <n v="103948"/>
    <n v="185298"/>
  </r>
  <r>
    <x v="171"/>
    <n v="0"/>
    <x v="161"/>
    <n v="0"/>
    <n v="81414"/>
    <n v="103979"/>
    <n v="185393"/>
    <n v="81414"/>
    <n v="103979"/>
    <n v="185393"/>
  </r>
  <r>
    <x v="172"/>
    <n v="0"/>
    <x v="161"/>
    <n v="0"/>
    <n v="81490"/>
    <n v="103866"/>
    <n v="185356"/>
    <n v="81490"/>
    <n v="103866"/>
    <n v="185356"/>
  </r>
  <r>
    <x v="173"/>
    <n v="0"/>
    <x v="161"/>
    <n v="0"/>
    <n v="81605"/>
    <n v="103979"/>
    <n v="185584"/>
    <n v="81605"/>
    <n v="103979"/>
    <n v="18558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4">
  <r>
    <x v="0"/>
    <m/>
    <m/>
    <m/>
    <m/>
    <m/>
    <m/>
    <m/>
    <m/>
    <m/>
    <m/>
    <m/>
    <m/>
    <m/>
    <m/>
    <m/>
    <m/>
    <m/>
    <m/>
    <n v="75.937682870000003"/>
    <n v="129.01505570699999"/>
    <n v="1.6989596051786928"/>
    <m/>
    <m/>
    <m/>
    <m/>
    <m/>
    <m/>
    <m/>
    <m/>
    <m/>
    <m/>
    <m/>
    <m/>
    <m/>
    <m/>
    <m/>
    <m/>
    <m/>
    <m/>
  </r>
  <r>
    <x v="1"/>
    <m/>
    <m/>
    <m/>
    <m/>
    <m/>
    <m/>
    <m/>
    <m/>
    <m/>
    <m/>
    <m/>
    <m/>
    <m/>
    <m/>
    <m/>
    <m/>
    <m/>
    <m/>
    <n v="76.645666680000005"/>
    <n v="129.01505570699999"/>
    <n v="1.6832661426985187"/>
    <m/>
    <m/>
    <m/>
    <m/>
    <m/>
    <m/>
    <m/>
    <m/>
    <m/>
    <m/>
    <m/>
    <m/>
    <m/>
    <m/>
    <m/>
    <m/>
    <m/>
    <m/>
  </r>
  <r>
    <x v="2"/>
    <m/>
    <m/>
    <m/>
    <m/>
    <m/>
    <m/>
    <m/>
    <m/>
    <m/>
    <m/>
    <m/>
    <m/>
    <m/>
    <m/>
    <m/>
    <m/>
    <m/>
    <m/>
    <n v="77.460120860000004"/>
    <n v="129.01505570699999"/>
    <n v="1.6655674465081125"/>
    <m/>
    <m/>
    <m/>
    <m/>
    <m/>
    <m/>
    <m/>
    <m/>
    <m/>
    <m/>
    <m/>
    <m/>
    <m/>
    <m/>
    <m/>
    <m/>
    <m/>
    <m/>
  </r>
  <r>
    <x v="3"/>
    <n v="955"/>
    <n v="2444"/>
    <n v="3399"/>
    <n v="229"/>
    <n v="217"/>
    <n v="446"/>
    <n v="1184"/>
    <n v="2661"/>
    <n v="3845"/>
    <n v="191695297"/>
    <n v="385553922"/>
    <n v="577249219"/>
    <n v="35923118"/>
    <n v="35328138"/>
    <n v="71251256"/>
    <n v="227618415"/>
    <n v="420882060"/>
    <n v="648500475"/>
    <n v="78.144751220000003"/>
    <n v="129.01505570699999"/>
    <n v="1.6509753207068945"/>
    <n v="116110.33465837772"/>
    <n v="233531.0026529762"/>
    <n v="349641.33731135394"/>
    <n v="21758.72500905639"/>
    <n v="21398.344092068939"/>
    <n v="43157.069101125329"/>
    <n v="137869.05966743414"/>
    <n v="254929.34674504513"/>
    <n v="392798.40641247923"/>
    <n v="191695.29699999999"/>
    <n v="385553.92200000002"/>
    <n v="577249.21900000004"/>
    <n v="35923.118000000002"/>
    <n v="35328.137999999999"/>
    <n v="71251.255999999994"/>
    <n v="227618.41500000001"/>
    <n v="420882.06"/>
    <n v="648500.47499999998"/>
  </r>
  <r>
    <x v="4"/>
    <n v="1159"/>
    <n v="3067"/>
    <n v="4226"/>
    <n v="294"/>
    <n v="290"/>
    <n v="584"/>
    <n v="1453"/>
    <n v="3357"/>
    <n v="4810"/>
    <n v="85654067"/>
    <n v="192967990"/>
    <n v="278622057"/>
    <n v="19636312"/>
    <n v="20520752"/>
    <n v="40157064"/>
    <n v="105290379"/>
    <n v="213488742"/>
    <n v="318779121"/>
    <n v="78.04899709"/>
    <n v="129.01505570699999"/>
    <n v="1.6530008138122507"/>
    <n v="51817.3168968135"/>
    <n v="116737.98850405011"/>
    <n v="168555.30540086361"/>
    <n v="11879.190763804614"/>
    <n v="12414.241922043462"/>
    <n v="24293.432685848074"/>
    <n v="63696.50766061811"/>
    <n v="129152.23042609356"/>
    <n v="192848.73808671167"/>
    <n v="85654.066999999995"/>
    <n v="192967.99"/>
    <n v="278622.05699999997"/>
    <n v="19636.312000000002"/>
    <n v="20520.752"/>
    <n v="40157.063999999998"/>
    <n v="105290.379"/>
    <n v="213488.742"/>
    <n v="318779.12099999998"/>
  </r>
  <r>
    <x v="5"/>
    <n v="1234"/>
    <n v="3251"/>
    <n v="4485"/>
    <n v="348"/>
    <n v="352"/>
    <n v="700"/>
    <n v="1582"/>
    <n v="3603"/>
    <n v="5185"/>
    <n v="107688464"/>
    <n v="198565283"/>
    <n v="306253747"/>
    <n v="20228436"/>
    <n v="21138228"/>
    <n v="41366664"/>
    <n v="127916900"/>
    <n v="219703511"/>
    <n v="347620411"/>
    <n v="77.128789299999994"/>
    <n v="129.01505570699999"/>
    <n v="1.6727224280052324"/>
    <n v="64379.159504916461"/>
    <n v="118707.84995499496"/>
    <n v="183087.00945991144"/>
    <n v="12093.121764453752"/>
    <n v="12637.020731053339"/>
    <n v="24730.142495507091"/>
    <n v="76472.281269370214"/>
    <n v="131344.87068604832"/>
    <n v="207817.15195541852"/>
    <n v="107688.46400000001"/>
    <n v="198565.283"/>
    <n v="306253.74699999997"/>
    <n v="20228.436000000002"/>
    <n v="21138.227999999999"/>
    <n v="41366.663999999997"/>
    <n v="127916.9"/>
    <n v="219703.511"/>
    <n v="347620.41100000002"/>
  </r>
  <r>
    <x v="6"/>
    <n v="1765"/>
    <n v="4434"/>
    <n v="6199"/>
    <n v="481"/>
    <n v="468"/>
    <n v="949"/>
    <n v="2246"/>
    <n v="4902"/>
    <n v="7148"/>
    <n v="194887690"/>
    <n v="386551685"/>
    <n v="581439375"/>
    <n v="43687880"/>
    <n v="38038701"/>
    <n v="81726581"/>
    <n v="238575570"/>
    <n v="424590386"/>
    <n v="663165956"/>
    <n v="76.540568890000003"/>
    <n v="129.01505570699999"/>
    <n v="1.6855774340064482"/>
    <n v="115620.72798801746"/>
    <n v="229328.9392710992"/>
    <n v="344949.66725911666"/>
    <n v="25918.643141868779"/>
    <n v="22567.163176589183"/>
    <n v="48485.806318457959"/>
    <n v="141539.37112988625"/>
    <n v="251896.1024476884"/>
    <n v="393435.47357757459"/>
    <n v="194887.69"/>
    <n v="386551.685"/>
    <n v="581439.375"/>
    <n v="43687.88"/>
    <n v="38038.701000000001"/>
    <n v="81726.581000000006"/>
    <n v="238575.57"/>
    <n v="424590.386"/>
    <n v="663165.95600000001"/>
  </r>
  <r>
    <x v="7"/>
    <n v="2132"/>
    <n v="5048"/>
    <n v="7180"/>
    <n v="584"/>
    <n v="596"/>
    <n v="1180"/>
    <n v="2716"/>
    <n v="5644"/>
    <n v="8360"/>
    <n v="156341312"/>
    <n v="297761340"/>
    <n v="454102652"/>
    <n v="43785755"/>
    <n v="47118131"/>
    <n v="90903886"/>
    <n v="200127067"/>
    <n v="344879471"/>
    <n v="545006538"/>
    <n v="76.261696380000004"/>
    <n v="129.01505570699999"/>
    <n v="1.6917412256886906"/>
    <n v="92414.436455170653"/>
    <n v="176008.79820067305"/>
    <n v="268423.2346558437"/>
    <n v="25882.064192279329"/>
    <n v="27851.854813562688"/>
    <n v="53733.919005842014"/>
    <n v="118296.50064744997"/>
    <n v="203860.65301423572"/>
    <n v="322157.1536616857"/>
    <n v="156341.31200000001"/>
    <n v="297761.34000000003"/>
    <n v="454102.652"/>
    <n v="43785.754999999997"/>
    <n v="47118.131000000001"/>
    <n v="90903.885999999999"/>
    <n v="200127.06700000001"/>
    <n v="344879.47100000002"/>
    <n v="545006.53799999994"/>
  </r>
  <r>
    <x v="8"/>
    <n v="2584"/>
    <n v="5703"/>
    <n v="8287"/>
    <n v="703"/>
    <n v="787"/>
    <n v="1490"/>
    <n v="3287"/>
    <n v="6490"/>
    <n v="9777"/>
    <n v="202020432"/>
    <n v="330681512"/>
    <n v="532701944"/>
    <n v="47441952"/>
    <n v="61973136"/>
    <n v="109415088"/>
    <n v="249462384"/>
    <n v="392654648"/>
    <n v="642117032"/>
    <n v="76.560749150000007"/>
    <n v="129.01505570699999"/>
    <n v="1.6851331411900112"/>
    <n v="119883.95875790369"/>
    <n v="196234.64990219026"/>
    <n v="316118.60866009397"/>
    <n v="28153.23658431958"/>
    <n v="36776.403291336181"/>
    <n v="64929.639875655761"/>
    <n v="148037.19534222325"/>
    <n v="233011.05319352646"/>
    <n v="381048.24853574974"/>
    <n v="202020.432"/>
    <n v="330681.51199999999"/>
    <n v="532701.94400000002"/>
    <n v="47441.951999999997"/>
    <n v="61973.135999999999"/>
    <n v="109415.088"/>
    <n v="249462.38399999999"/>
    <n v="392654.64799999999"/>
    <n v="642117.03200000001"/>
  </r>
  <r>
    <x v="9"/>
    <n v="3131"/>
    <n v="6499"/>
    <n v="9630"/>
    <n v="922"/>
    <n v="1119"/>
    <n v="2041"/>
    <n v="4053"/>
    <n v="7618"/>
    <n v="11671"/>
    <n v="281550462"/>
    <n v="474237539"/>
    <n v="755788001"/>
    <n v="79704356"/>
    <n v="109278129"/>
    <n v="188982485"/>
    <n v="361254818"/>
    <n v="583515668"/>
    <n v="944770486"/>
    <n v="76.441391870000004"/>
    <n v="129.01505570699999"/>
    <n v="1.6877643453485167"/>
    <n v="166818.58624158869"/>
    <n v="280985.63659494289"/>
    <n v="447804.22283653158"/>
    <n v="47224.813238687871"/>
    <n v="64747.267176943766"/>
    <n v="111972.08041563163"/>
    <n v="214043.39948027657"/>
    <n v="345732.90377188666"/>
    <n v="559776.30325216323"/>
    <n v="281550.462"/>
    <n v="474237.53899999999"/>
    <n v="755788.00100000005"/>
    <n v="79704.356"/>
    <n v="109278.129"/>
    <n v="188982.48499999999"/>
    <n v="361254.81800000003"/>
    <n v="583515.66799999995"/>
    <n v="944770.48600000003"/>
  </r>
  <r>
    <x v="10"/>
    <n v="3842"/>
    <n v="7208"/>
    <n v="11050"/>
    <n v="1125"/>
    <n v="1372"/>
    <n v="2497"/>
    <n v="4967"/>
    <n v="8580"/>
    <n v="13547"/>
    <n v="331166000"/>
    <n v="435187423"/>
    <n v="766353423"/>
    <n v="83507484"/>
    <n v="103344394"/>
    <n v="186851878"/>
    <n v="414673484"/>
    <n v="538531817"/>
    <n v="953205301"/>
    <n v="76.250226720000001"/>
    <n v="129.01505570699999"/>
    <n v="1.6919956996424257"/>
    <n v="195725.0837398619"/>
    <n v="257203.62238034612"/>
    <n v="452928.70612020802"/>
    <n v="49354.430402895159"/>
    <n v="61078.402280715054"/>
    <n v="110432.83268361022"/>
    <n v="245079.51414275705"/>
    <n v="318282.02466106118"/>
    <n v="563361.53880381817"/>
    <n v="331166"/>
    <n v="435187.42300000001"/>
    <n v="766353.42299999995"/>
    <n v="83507.483999999997"/>
    <n v="103344.394"/>
    <n v="186851.878"/>
    <n v="414673.484"/>
    <n v="538531.81700000004"/>
    <n v="953205.30099999998"/>
  </r>
  <r>
    <x v="11"/>
    <n v="4373"/>
    <n v="7817"/>
    <n v="12190"/>
    <n v="1346"/>
    <n v="1674"/>
    <n v="3020"/>
    <n v="5719"/>
    <n v="9491"/>
    <n v="15210"/>
    <n v="305748999"/>
    <n v="439866065"/>
    <n v="745615064"/>
    <n v="94453398"/>
    <n v="122954975"/>
    <n v="217408373"/>
    <n v="400202397"/>
    <n v="562821040"/>
    <n v="963023437"/>
    <n v="76.514479230000006"/>
    <n v="129.01505570699999"/>
    <n v="1.6861521767557872"/>
    <n v="181329.42163516418"/>
    <n v="260869.73113323431"/>
    <n v="442199.15276839846"/>
    <n v="56017.125442219265"/>
    <n v="72920.449704942672"/>
    <n v="128937.57514716194"/>
    <n v="237346.54707738344"/>
    <n v="333790.18083817704"/>
    <n v="571136.72791556048"/>
    <n v="305748.99900000001"/>
    <n v="439866.065"/>
    <n v="745615.06400000001"/>
    <n v="94453.398000000001"/>
    <n v="122954.97500000001"/>
    <n v="217408.37299999999"/>
    <n v="400202.397"/>
    <n v="562821.04"/>
    <n v="963023.43700000003"/>
  </r>
  <r>
    <x v="12"/>
    <n v="4882"/>
    <n v="8395"/>
    <n v="13277"/>
    <n v="1670"/>
    <n v="2118"/>
    <n v="3788"/>
    <n v="6552"/>
    <n v="10513"/>
    <n v="17065"/>
    <n v="424219133"/>
    <n v="635123794"/>
    <n v="1059342927"/>
    <n v="172993990"/>
    <n v="222382190"/>
    <n v="395376180"/>
    <n v="597213123"/>
    <n v="857505984"/>
    <n v="1454719107"/>
    <n v="76.177530309999995"/>
    <n v="129.01505570699999"/>
    <n v="1.6936103754214764"/>
    <n v="250482.12927629691"/>
    <n v="375011.75194556854"/>
    <n v="625493.88122186554"/>
    <n v="102145.0934114337"/>
    <n v="131306.58221473009"/>
    <n v="233451.67562616381"/>
    <n v="352627.22268773062"/>
    <n v="506318.33416029869"/>
    <n v="858945.55684802926"/>
    <n v="424219.13299999997"/>
    <n v="635123.79399999999"/>
    <n v="1059342.9269999999"/>
    <n v="172993.99"/>
    <n v="222382.19"/>
    <n v="395376.18"/>
    <n v="597213.12300000002"/>
    <n v="857505.98400000005"/>
    <n v="1454719.1070000001"/>
  </r>
  <r>
    <x v="13"/>
    <n v="5603"/>
    <n v="9052"/>
    <n v="14655"/>
    <n v="1969"/>
    <n v="2469"/>
    <n v="4438"/>
    <n v="7572"/>
    <n v="11521"/>
    <n v="19093"/>
    <n v="579269980"/>
    <n v="737039569"/>
    <n v="1316309549"/>
    <n v="179837233"/>
    <n v="230495621"/>
    <n v="410332854"/>
    <n v="759107213"/>
    <n v="967535190"/>
    <n v="1726642403"/>
    <n v="75.903217299999994"/>
    <n v="129.01505570699999"/>
    <n v="1.6997310561564298"/>
    <n v="340800.96254162258"/>
    <n v="433621.28751512832"/>
    <n v="774422.25005675084"/>
    <n v="105803.34597560544"/>
    <n v="135607.11276360124"/>
    <n v="241410.45873920666"/>
    <n v="446604.308517228"/>
    <n v="569228.4002787295"/>
    <n v="1015832.7087959576"/>
    <n v="579269.98"/>
    <n v="737039.56900000002"/>
    <n v="1316309.5490000001"/>
    <n v="179837.23300000001"/>
    <n v="230495.62100000001"/>
    <n v="410332.85399999999"/>
    <n v="759107.21299999999"/>
    <n v="967535.19"/>
    <n v="1726642.4029999999"/>
  </r>
  <r>
    <x v="14"/>
    <n v="15010"/>
    <n v="12193"/>
    <n v="27203"/>
    <n v="2203"/>
    <n v="2777"/>
    <n v="4980"/>
    <n v="17213"/>
    <n v="14970"/>
    <n v="32183"/>
    <n v="989777643"/>
    <n v="957691029"/>
    <n v="1947468672"/>
    <n v="186413223"/>
    <n v="240836118"/>
    <n v="427249341"/>
    <n v="1176190866"/>
    <n v="1198527147"/>
    <n v="2374718013"/>
    <n v="76.648749370000004"/>
    <n v="129.01505570699999"/>
    <n v="1.6831984444288393"/>
    <n v="588033.8389546586"/>
    <n v="568970.95655585278"/>
    <n v="1157004.7955105114"/>
    <n v="110749.40308850851"/>
    <n v="143082.42667234823"/>
    <n v="253831.82976085675"/>
    <n v="698783.24204316712"/>
    <n v="712053.38322820095"/>
    <n v="1410836.6252713681"/>
    <n v="989777.64300000004"/>
    <n v="957691.02899999998"/>
    <n v="1947468.672"/>
    <n v="186413.223"/>
    <n v="240836.11799999999"/>
    <n v="427249.34100000001"/>
    <n v="1176190.8659999999"/>
    <n v="1198527.1470000001"/>
    <n v="2374718.0129999998"/>
  </r>
  <r>
    <x v="15"/>
    <n v="70157"/>
    <n v="98877"/>
    <n v="169034"/>
    <n v="3042"/>
    <n v="3876"/>
    <n v="6918"/>
    <n v="73199"/>
    <n v="102753"/>
    <n v="175952"/>
    <n v="2976202751"/>
    <n v="4711096314"/>
    <n v="7687299065"/>
    <n v="324540829"/>
    <n v="432331835"/>
    <n v="756872664"/>
    <n v="3300743580"/>
    <n v="5143428149"/>
    <n v="8444171729"/>
    <n v="76.646904160000005"/>
    <n v="129.01505570699999"/>
    <n v="1.6832389660211422"/>
    <n v="1768140.3597940577"/>
    <n v="2798827.979330908"/>
    <n v="4566968.3391249655"/>
    <n v="192807.34081813291"/>
    <n v="256845.19175667048"/>
    <n v="449652.53257480334"/>
    <n v="1960947.7006121904"/>
    <n v="3055673.1710875784"/>
    <n v="5016620.871699769"/>
    <n v="2976202.7510000002"/>
    <n v="4711096.3140000002"/>
    <n v="7687299.0650000004"/>
    <n v="324540.82900000003"/>
    <n v="432331.83500000002"/>
    <n v="756872.66399999999"/>
    <n v="3300743.58"/>
    <n v="5143428.1490000002"/>
    <n v="8444171.7290000003"/>
  </r>
  <r>
    <x v="16"/>
    <n v="85364"/>
    <n v="118191"/>
    <n v="203555"/>
    <n v="3394"/>
    <n v="4342"/>
    <n v="7736"/>
    <n v="88758"/>
    <n v="122533"/>
    <n v="211291"/>
    <n v="2120002026"/>
    <n v="2839653290"/>
    <n v="4959655316"/>
    <n v="289394586"/>
    <n v="379201822"/>
    <n v="668596408"/>
    <n v="2409396612"/>
    <n v="3218855112"/>
    <n v="5628251724"/>
    <n v="76.297590920000005"/>
    <n v="129.01505570699999"/>
    <n v="1.6909453385268167"/>
    <n v="1253737.762952755"/>
    <n v="1679328.849549897"/>
    <n v="2933066.6125026518"/>
    <n v="171143.66704019302"/>
    <n v="224254.33475594647"/>
    <n v="395398.00179613946"/>
    <n v="1424881.4299929477"/>
    <n v="1903583.1843058434"/>
    <n v="3328464.6142987916"/>
    <n v="2120002.0260000001"/>
    <n v="2839653.29"/>
    <n v="4959655.3159999996"/>
    <n v="289394.58600000001"/>
    <n v="379201.82199999999"/>
    <n v="668596.40800000005"/>
    <n v="2409396.6120000002"/>
    <n v="3218855.1120000002"/>
    <n v="5628251.7240000004"/>
  </r>
  <r>
    <x v="17"/>
    <n v="100434"/>
    <n v="137544"/>
    <n v="237978"/>
    <n v="3798"/>
    <n v="4968"/>
    <n v="8766"/>
    <n v="104232"/>
    <n v="142512"/>
    <n v="246744"/>
    <n v="2651948824"/>
    <n v="3411337309"/>
    <n v="6063286133"/>
    <n v="345570858"/>
    <n v="462489303"/>
    <n v="808060161"/>
    <n v="2997519682"/>
    <n v="3873826612"/>
    <n v="6871346294"/>
    <n v="76.064574460000003"/>
    <n v="129.01505570699999"/>
    <n v="1.6961253858699361"/>
    <n v="1563533.4781808162"/>
    <n v="2011253.0225767114"/>
    <n v="3574786.5007575275"/>
    <n v="203741.33945454631"/>
    <n v="272674.00562063459"/>
    <n v="476415.34507518093"/>
    <n v="1767274.8176353625"/>
    <n v="2283927.0281973463"/>
    <n v="4051201.8458327083"/>
    <n v="2651948.824"/>
    <n v="3411337.3089999999"/>
    <n v="6063286.1330000004"/>
    <n v="345570.85800000001"/>
    <n v="462489.30300000001"/>
    <n v="808060.16099999996"/>
    <n v="2997519.682"/>
    <n v="3873826.6120000002"/>
    <n v="6871346.2939999998"/>
  </r>
  <r>
    <x v="18"/>
    <n v="103465"/>
    <n v="147468"/>
    <n v="250933"/>
    <n v="4172"/>
    <n v="5495"/>
    <n v="9667"/>
    <n v="107637"/>
    <n v="152963"/>
    <n v="260600"/>
    <n v="2379907921"/>
    <n v="3231997495"/>
    <n v="5611905416"/>
    <n v="351938424"/>
    <n v="471503431"/>
    <n v="823441855"/>
    <n v="2731846345"/>
    <n v="3703500926"/>
    <n v="6435347271"/>
    <n v="76.458779579999998"/>
    <n v="129.01505570699999"/>
    <n v="1.6873805260259163"/>
    <n v="1410415.6616084161"/>
    <n v="1915393.3835019027"/>
    <n v="3325809.0451103188"/>
    <n v="208570.86980189235"/>
    <n v="279429.22401177353"/>
    <n v="488000.09381366585"/>
    <n v="1618986.5314103086"/>
    <n v="2194822.6075136764"/>
    <n v="3813809.1389239845"/>
    <n v="2379907.9210000001"/>
    <n v="3231997.4950000001"/>
    <n v="5611905.4160000002"/>
    <n v="351938.424"/>
    <n v="471503.43099999998"/>
    <n v="823441.85499999998"/>
    <n v="2731846.3450000002"/>
    <n v="3703500.926"/>
    <n v="6435347.2709999997"/>
  </r>
  <r>
    <x v="19"/>
    <n v="108163"/>
    <n v="157189"/>
    <n v="265352"/>
    <n v="4576"/>
    <n v="5997"/>
    <n v="10573"/>
    <n v="112739"/>
    <n v="163186"/>
    <n v="275925"/>
    <n v="2506907601"/>
    <n v="3484520068"/>
    <n v="5991427669"/>
    <n v="365194655"/>
    <n v="477915724"/>
    <n v="843110379"/>
    <n v="2872102256"/>
    <n v="3962435792"/>
    <n v="6834538048"/>
    <n v="76.673626780000006"/>
    <n v="129.01505570699999"/>
    <n v="1.6826523163849219"/>
    <n v="1489854.7825886819"/>
    <n v="2070849.7139125471"/>
    <n v="3560704.4965012292"/>
    <n v="217035.12451377889"/>
    <n v="284025.23762411799"/>
    <n v="501060.36213789688"/>
    <n v="1706889.907102461"/>
    <n v="2354874.9515366647"/>
    <n v="4061764.8586391257"/>
    <n v="2506907.6009999998"/>
    <n v="3484520.068"/>
    <n v="5991427.6689999998"/>
    <n v="365194.65500000003"/>
    <n v="477915.72399999999"/>
    <n v="843110.37899999996"/>
    <n v="2872102.2560000001"/>
    <n v="3962435.7919999999"/>
    <n v="6834538.0480000004"/>
  </r>
  <r>
    <x v="20"/>
    <n v="115920"/>
    <n v="167854"/>
    <n v="283774"/>
    <n v="4862"/>
    <n v="6477"/>
    <n v="11339"/>
    <n v="120782"/>
    <n v="174331"/>
    <n v="295113"/>
    <n v="3086123204"/>
    <n v="3992205803"/>
    <n v="7078329007"/>
    <n v="403716065"/>
    <n v="550247245"/>
    <n v="953963310"/>
    <n v="3489839269"/>
    <n v="4542453048"/>
    <n v="8032292317"/>
    <n v="76.738096589999998"/>
    <n v="129.01505570699999"/>
    <n v="1.6812386733581346"/>
    <n v="1835624.6813164994"/>
    <n v="2374562.2000390347"/>
    <n v="4210186.8813555343"/>
    <n v="240130.13226349992"/>
    <n v="327286.81163449975"/>
    <n v="567416.94389799959"/>
    <n v="2075754.8135799991"/>
    <n v="2701849.0116735343"/>
    <n v="4777603.8252535332"/>
    <n v="3086123.2039999999"/>
    <n v="3992205.8029999998"/>
    <n v="7078329.0070000002"/>
    <n v="403716.065"/>
    <n v="550247.245"/>
    <n v="953963.31"/>
    <n v="3489839.2689999999"/>
    <n v="4542453.0480000004"/>
    <n v="8032292.3169999998"/>
  </r>
  <r>
    <x v="21"/>
    <n v="118241"/>
    <n v="172340"/>
    <n v="290581"/>
    <n v="5130"/>
    <n v="6887"/>
    <n v="12017"/>
    <n v="123371"/>
    <n v="179227"/>
    <n v="302598"/>
    <n v="2589495364"/>
    <n v="3533379966"/>
    <n v="6122875330"/>
    <n v="402946712"/>
    <n v="551553424"/>
    <n v="954500136"/>
    <n v="2992442076"/>
    <n v="4084933390"/>
    <n v="7077375466"/>
    <n v="77.092779820000004"/>
    <n v="129.01505570699999"/>
    <n v="1.6735037445559837"/>
    <n v="1547349.6085227155"/>
    <n v="2111366.6327274824"/>
    <n v="3658716.2412501979"/>
    <n v="240780.28705392015"/>
    <n v="329580.03577478637"/>
    <n v="570360.32282870647"/>
    <n v="1788129.8955766356"/>
    <n v="2440946.6685022688"/>
    <n v="4229076.5640789038"/>
    <n v="2589495.3640000001"/>
    <n v="3533379.966"/>
    <n v="6122875.3300000001"/>
    <n v="402946.712"/>
    <n v="551553.424"/>
    <n v="954500.13600000006"/>
    <n v="2992442.0759999999"/>
    <n v="4084933.39"/>
    <n v="7077375.466"/>
  </r>
  <r>
    <x v="22"/>
    <n v="120927"/>
    <n v="177041"/>
    <n v="297968"/>
    <n v="5506"/>
    <n v="7424"/>
    <n v="12930"/>
    <n v="126433"/>
    <n v="184465"/>
    <n v="310898"/>
    <n v="2776372445"/>
    <n v="3677489480"/>
    <n v="6453861925"/>
    <n v="437436151"/>
    <n v="607874598"/>
    <n v="1045310749"/>
    <n v="3213808596"/>
    <n v="4285364078"/>
    <n v="7499172674"/>
    <n v="77.370182610000001"/>
    <n v="129.01505570699999"/>
    <n v="1.6675035699130552"/>
    <n v="1664987.4069803415"/>
    <n v="2205386.2710421346"/>
    <n v="3870373.6780224759"/>
    <n v="262329.96372104215"/>
    <n v="364541.70711712184"/>
    <n v="626871.67083816393"/>
    <n v="1927317.3707013833"/>
    <n v="2569927.9781592563"/>
    <n v="4497245.3488606391"/>
    <n v="2776372.4449999998"/>
    <n v="3677489.48"/>
    <n v="6453861.9249999998"/>
    <n v="437436.15100000001"/>
    <n v="607874.598"/>
    <n v="1045310.749"/>
    <n v="3213808.5959999999"/>
    <n v="4285364.0779999997"/>
    <n v="7499172.6739999996"/>
  </r>
  <r>
    <x v="23"/>
    <n v="125869"/>
    <n v="183571"/>
    <n v="309440"/>
    <n v="6003"/>
    <n v="8152"/>
    <n v="14155"/>
    <n v="131872"/>
    <n v="191723"/>
    <n v="323595"/>
    <n v="2812183769"/>
    <n v="3903654623"/>
    <n v="6715838392"/>
    <n v="519396267"/>
    <n v="737631705"/>
    <n v="1257027972"/>
    <n v="3331580036"/>
    <n v="4641286328"/>
    <n v="7972866364"/>
    <n v="77.370464859999998"/>
    <n v="129.01505570699999"/>
    <n v="1.6674974868051993"/>
    <n v="1686469.5696710967"/>
    <n v="2341025.7909768196"/>
    <n v="4027495.3606479163"/>
    <n v="311482.4886453799"/>
    <n v="442358.51078447339"/>
    <n v="753840.99942985328"/>
    <n v="1997952.0583164769"/>
    <n v="2783384.3017612929"/>
    <n v="4781336.3600777695"/>
    <n v="2812183.7689999999"/>
    <n v="3903654.6230000001"/>
    <n v="6715838.392"/>
    <n v="519396.26699999999"/>
    <n v="737631.70499999996"/>
    <n v="1257027.9720000001"/>
    <n v="3331580.0359999998"/>
    <n v="4641286.3279999997"/>
    <n v="7972866.3640000001"/>
  </r>
  <r>
    <x v="24"/>
    <n v="129748"/>
    <n v="187484"/>
    <n v="317232"/>
    <n v="6395"/>
    <n v="8702"/>
    <n v="15097"/>
    <n v="136143"/>
    <n v="196186"/>
    <n v="332329"/>
    <n v="5016331446"/>
    <n v="6978003893"/>
    <n v="11994335339"/>
    <n v="530831523"/>
    <n v="725533885"/>
    <n v="1256365408"/>
    <n v="5547162969"/>
    <n v="7703537778"/>
    <n v="13250700747"/>
    <n v="77.867484759999996"/>
    <n v="129.01505570699999"/>
    <n v="1.6568540271288454"/>
    <n v="3027624.2589051593"/>
    <n v="4211598.4744245391"/>
    <n v="7239222.7333296994"/>
    <n v="320385.20853878447"/>
    <n v="437898.49505165778"/>
    <n v="758283.70359044231"/>
    <n v="3348009.467443944"/>
    <n v="4649496.9694761969"/>
    <n v="7997506.4369201409"/>
    <n v="5016331.4460000005"/>
    <n v="6978003.8930000002"/>
    <n v="11994335.339"/>
    <n v="530831.52300000004"/>
    <n v="725533.88500000001"/>
    <n v="1256365.4080000001"/>
    <n v="5547162.9689999996"/>
    <n v="7703537.7779999999"/>
    <n v="13250700.747"/>
  </r>
  <r>
    <x v="25"/>
    <n v="133983"/>
    <n v="192848"/>
    <n v="326831"/>
    <n v="6680"/>
    <n v="9142"/>
    <n v="15822"/>
    <n v="140663"/>
    <n v="201990"/>
    <n v="342653"/>
    <n v="5234640792"/>
    <n v="7437883694"/>
    <n v="12672524486"/>
    <n v="544858304"/>
    <n v="741398031"/>
    <n v="1286256335"/>
    <n v="5779499096"/>
    <n v="8179281725"/>
    <n v="13958780821"/>
    <n v="77.790935050000002"/>
    <n v="129.01505570699999"/>
    <n v="1.6584844445445444"/>
    <n v="3156279.7041714462"/>
    <n v="4484747.335717462"/>
    <n v="7641027.0398889082"/>
    <n v="328527.83503171767"/>
    <n v="447033.45481398463"/>
    <n v="775561.28984570224"/>
    <n v="3484807.5392031642"/>
    <n v="4931780.7905314462"/>
    <n v="8416588.3297346104"/>
    <n v="5234640.7920000004"/>
    <n v="7437883.6940000001"/>
    <n v="12672524.486"/>
    <n v="544858.304"/>
    <n v="741398.03099999996"/>
    <n v="1286256.335"/>
    <n v="5779499.0959999999"/>
    <n v="8179281.7249999996"/>
    <n v="13958780.821"/>
  </r>
  <r>
    <x v="26"/>
    <n v="138718"/>
    <n v="198415"/>
    <n v="337133"/>
    <n v="6646"/>
    <n v="9139"/>
    <n v="15785"/>
    <n v="145364"/>
    <n v="207554"/>
    <n v="352918"/>
    <n v="5168893015"/>
    <n v="7259748727"/>
    <n v="12428641742"/>
    <n v="500634772"/>
    <n v="696795040"/>
    <n v="1197429812"/>
    <n v="5669527787"/>
    <n v="7956543767"/>
    <n v="13626071554"/>
    <n v="78.102046270000002"/>
    <n v="129.01505570699999"/>
    <n v="1.6518780476121318"/>
    <n v="3129100.8573374292"/>
    <n v="4394845.4533276912"/>
    <n v="7523946.3106651204"/>
    <n v="303070.05576089065"/>
    <n v="421819.90432480793"/>
    <n v="724889.96008569864"/>
    <n v="3432170.9130983199"/>
    <n v="4816665.3576524993"/>
    <n v="8248836.2707508178"/>
    <n v="5168893.0149999997"/>
    <n v="7259748.727"/>
    <n v="12428641.742000001"/>
    <n v="500634.772"/>
    <n v="696795.04"/>
    <n v="1197429.8119999999"/>
    <n v="5669527.7869999995"/>
    <n v="7956543.767"/>
    <n v="13626071.554"/>
  </r>
  <r>
    <x v="27"/>
    <n v="143664"/>
    <n v="204343"/>
    <n v="348007"/>
    <n v="6792"/>
    <n v="9374"/>
    <n v="16166"/>
    <n v="150456"/>
    <n v="213717"/>
    <n v="364173"/>
    <n v="5666357137"/>
    <n v="7907342017"/>
    <n v="13573699154"/>
    <n v="525646489"/>
    <n v="735642107"/>
    <n v="1261288596"/>
    <n v="6192003626"/>
    <n v="8642984124"/>
    <n v="14834987750"/>
    <n v="78.178624009999993"/>
    <n v="129.01505570699999"/>
    <n v="1.6502599955007828"/>
    <n v="3433614.7955162087"/>
    <n v="4791573.4723972771"/>
    <n v="8225188.2679134859"/>
    <n v="318523.43899331387"/>
    <n v="445773.45933709329"/>
    <n v="764296.8983304071"/>
    <n v="3752138.2345095226"/>
    <n v="5237346.9317343701"/>
    <n v="8989485.1662438922"/>
    <n v="5666357.1370000001"/>
    <n v="7907342.017"/>
    <n v="13573699.153999999"/>
    <n v="525646.48899999994"/>
    <n v="735642.10699999996"/>
    <n v="1261288.5959999999"/>
    <n v="6192003.6260000002"/>
    <n v="8642984.1239999998"/>
    <n v="14834987.75"/>
  </r>
  <r>
    <x v="28"/>
    <n v="150888"/>
    <n v="211646"/>
    <n v="362534"/>
    <n v="7036"/>
    <n v="9728"/>
    <n v="16764"/>
    <n v="157924"/>
    <n v="221374"/>
    <n v="379298"/>
    <n v="6069989446"/>
    <n v="8385359780"/>
    <n v="14455349226"/>
    <n v="569561985"/>
    <n v="794328911"/>
    <n v="1363890896"/>
    <n v="6639551431"/>
    <n v="9179688691"/>
    <n v="15819240122"/>
    <n v="78.23364977"/>
    <n v="129.01505570699999"/>
    <n v="1.6490992825503197"/>
    <n v="3680790.7869639033"/>
    <n v="5084811.9750753297"/>
    <n v="8765602.762039233"/>
    <n v="345377.61978719477"/>
    <n v="481674.4021448947"/>
    <n v="827052.02193208947"/>
    <n v="4026168.4067510981"/>
    <n v="5566486.3772202246"/>
    <n v="9592654.7839713227"/>
    <n v="6069989.4460000005"/>
    <n v="8385359.7800000003"/>
    <n v="14455349.226"/>
    <n v="569561.98499999999"/>
    <n v="794328.91099999996"/>
    <n v="1363890.8959999999"/>
    <n v="6639551.4309999999"/>
    <n v="9179688.6909999996"/>
    <n v="15819240.122"/>
  </r>
  <r>
    <x v="29"/>
    <n v="154356"/>
    <n v="215860"/>
    <n v="370216"/>
    <n v="7277"/>
    <n v="10094"/>
    <n v="17371"/>
    <n v="161633"/>
    <n v="225954"/>
    <n v="387587"/>
    <n v="6018338269"/>
    <n v="8301289317"/>
    <n v="14319627586"/>
    <n v="589406510"/>
    <n v="820455598"/>
    <n v="1409862108"/>
    <n v="6607744779"/>
    <n v="9121744915"/>
    <n v="15729489694"/>
    <n v="78.325873939999994"/>
    <n v="129.01505570699999"/>
    <n v="1.6471575638700113"/>
    <n v="3653772.0501127173"/>
    <n v="5039766.3824558752"/>
    <n v="8693538.432568593"/>
    <n v="357832.50062318513"/>
    <n v="498103.89485285932"/>
    <n v="855936.39547604439"/>
    <n v="4011604.5507359025"/>
    <n v="5537870.2773087351"/>
    <n v="9549474.828044638"/>
    <n v="6018338.2690000003"/>
    <n v="8301289.3169999998"/>
    <n v="14319627.585999999"/>
    <n v="589406.51"/>
    <n v="820455.598"/>
    <n v="1409862.108"/>
    <n v="6607744.7790000001"/>
    <n v="9121744.9149999991"/>
    <n v="15729489.694"/>
  </r>
  <r>
    <x v="30"/>
    <n v="156801"/>
    <n v="216052"/>
    <n v="372853"/>
    <n v="7665"/>
    <n v="10664"/>
    <n v="18329"/>
    <n v="164466"/>
    <n v="226716"/>
    <n v="391182"/>
    <n v="6162838203"/>
    <n v="8129503838"/>
    <n v="14292342041"/>
    <n v="676929695"/>
    <n v="943536722"/>
    <n v="1620466417"/>
    <n v="6839767898"/>
    <n v="9073040560"/>
    <n v="15912808458"/>
    <n v="78.537898409999997"/>
    <n v="129.01505570699999"/>
    <n v="1.642710822658999"/>
    <n v="3751626.9558779844"/>
    <n v="4948834.4058274692"/>
    <n v="8700461.3617054541"/>
    <n v="412080.86393701198"/>
    <n v="574377.85700634145"/>
    <n v="986458.72094335337"/>
    <n v="4163707.8198149963"/>
    <n v="5523212.2628338095"/>
    <n v="9686920.0826488081"/>
    <n v="6162838.2029999997"/>
    <n v="8129503.8380000005"/>
    <n v="14292342.040999999"/>
    <n v="676929.69499999995"/>
    <n v="943536.72199999995"/>
    <n v="1620466.4169999999"/>
    <n v="6839767.898"/>
    <n v="9073040.5600000005"/>
    <n v="15912808.458000001"/>
  </r>
  <r>
    <x v="31"/>
    <n v="159862"/>
    <n v="221369"/>
    <n v="381231"/>
    <n v="7770"/>
    <n v="10862"/>
    <n v="18632"/>
    <n v="167632"/>
    <n v="232231"/>
    <n v="399863"/>
    <n v="6288169323"/>
    <n v="8823039511"/>
    <n v="15111208834"/>
    <n v="595696176"/>
    <n v="843745750"/>
    <n v="1439441926"/>
    <n v="6883865499"/>
    <n v="9666785261"/>
    <n v="16550650760"/>
    <n v="78.718604459999995"/>
    <n v="129.01505570699999"/>
    <n v="1.6389398235909731"/>
    <n v="3836729.8374765259"/>
    <n v="5383382.223069313"/>
    <n v="9220112.0605458375"/>
    <n v="363464.33677766722"/>
    <n v="514811.9155170226"/>
    <n v="878276.25229468988"/>
    <n v="4200194.174254193"/>
    <n v="5898194.1385863349"/>
    <n v="10098388.312840529"/>
    <n v="6288169.3229999999"/>
    <n v="8823039.5109999999"/>
    <n v="15111208.834000001"/>
    <n v="595696.17599999998"/>
    <n v="843745.75"/>
    <n v="1439441.926"/>
    <n v="6883865.4989999998"/>
    <n v="9666785.2609999999"/>
    <n v="16550650.76"/>
  </r>
  <r>
    <x v="32"/>
    <n v="161524"/>
    <n v="222893"/>
    <n v="384417"/>
    <n v="8148"/>
    <n v="11369"/>
    <n v="19517"/>
    <n v="169672"/>
    <n v="234262"/>
    <n v="403934"/>
    <n v="6041629769"/>
    <n v="8191716339"/>
    <n v="14233346108"/>
    <n v="697485183"/>
    <n v="988420323"/>
    <n v="1685905506"/>
    <n v="6739114952"/>
    <n v="9180136662"/>
    <n v="15919251614"/>
    <n v="79.320558019999993"/>
    <n v="129.01505570699999"/>
    <n v="1.6265021190908662"/>
    <n v="3714492.4055659827"/>
    <n v="5036400.6556467097"/>
    <n v="8750893.0612126924"/>
    <n v="428825.2531695806"/>
    <n v="607696.91683677468"/>
    <n v="1036522.1700063553"/>
    <n v="4143317.658735563"/>
    <n v="5644097.5724834837"/>
    <n v="9787415.2312190477"/>
    <n v="6041629.7690000003"/>
    <n v="8191716.3389999997"/>
    <n v="14233346.107999999"/>
    <n v="697485.18299999996"/>
    <n v="988420.32299999997"/>
    <n v="1685905.5060000001"/>
    <n v="6739114.9519999996"/>
    <n v="9180136.6620000005"/>
    <n v="15919251.614"/>
  </r>
  <r>
    <x v="33"/>
    <n v="161901"/>
    <n v="222010"/>
    <n v="383911"/>
    <n v="8406"/>
    <n v="11684"/>
    <n v="20090"/>
    <n v="170307"/>
    <n v="233694"/>
    <n v="404001"/>
    <n v="5763556123"/>
    <n v="7768121312"/>
    <n v="13531677435"/>
    <n v="601583549"/>
    <n v="844452334"/>
    <n v="1446035883"/>
    <n v="6365139672"/>
    <n v="8612573646"/>
    <n v="14977713318"/>
    <n v="79.573556539999998"/>
    <n v="129.01505570699999"/>
    <n v="1.6213307701302349"/>
    <n v="3554830.5313030216"/>
    <n v="4791200.8179404493"/>
    <n v="8346031.3492434714"/>
    <n v="371043.07158228866"/>
    <n v="520839.02283071371"/>
    <n v="891882.09441300237"/>
    <n v="3925873.6028853101"/>
    <n v="5312039.8407711629"/>
    <n v="9237913.4436564725"/>
    <n v="5763556.1229999997"/>
    <n v="7768121.3119999999"/>
    <n v="13531677.435000001"/>
    <n v="601583.549"/>
    <n v="844452.33400000003"/>
    <n v="1446035.8829999999"/>
    <n v="6365139.6720000003"/>
    <n v="8612573.6459999997"/>
    <n v="14977713.318"/>
  </r>
  <r>
    <x v="34"/>
    <n v="165419"/>
    <n v="223751"/>
    <n v="389170"/>
    <n v="9044"/>
    <n v="12497"/>
    <n v="21541"/>
    <n v="174463"/>
    <n v="236248"/>
    <n v="410711"/>
    <n v="6442570634"/>
    <n v="8385773560"/>
    <n v="14828344194"/>
    <n v="834321983"/>
    <n v="1136068074"/>
    <n v="1970390057"/>
    <n v="7276892617"/>
    <n v="9521841634"/>
    <n v="16798734251"/>
    <n v="79.89172499"/>
    <n v="129.01505570699999"/>
    <n v="1.6148738273350429"/>
    <n v="3989519.5060730525"/>
    <n v="5192835.1417018641"/>
    <n v="9182354.647774918"/>
    <n v="516648.40241843899"/>
    <n v="703502.68533041026"/>
    <n v="1220151.0877488491"/>
    <n v="4506167.9084914913"/>
    <n v="5896337.8270322755"/>
    <n v="10402505.735523766"/>
    <n v="6442570.6339999996"/>
    <n v="8385773.5599999996"/>
    <n v="14828344.194"/>
    <n v="834321.98300000001"/>
    <n v="1136068.074"/>
    <n v="1970390.057"/>
    <n v="7276892.6169999996"/>
    <n v="9521841.6339999996"/>
    <n v="16798734.250999998"/>
  </r>
  <r>
    <x v="35"/>
    <n v="168072"/>
    <n v="229420"/>
    <n v="397492"/>
    <n v="9368"/>
    <n v="13001"/>
    <n v="22369"/>
    <n v="177440"/>
    <n v="242421"/>
    <n v="419861"/>
    <n v="6439677760"/>
    <n v="9001948485"/>
    <n v="15441626245"/>
    <n v="766367074"/>
    <n v="1085237373"/>
    <n v="1851604447"/>
    <n v="7206044834"/>
    <n v="10087185858"/>
    <n v="17293230692"/>
    <n v="80.027305999999996"/>
    <n v="129.01505570699999"/>
    <n v="1.6121379333573966"/>
    <n v="3994495.5247029602"/>
    <n v="5583857.4967669016"/>
    <n v="9578353.0214698613"/>
    <n v="475373.14155494364"/>
    <n v="673166.57622459938"/>
    <n v="1148539.717779543"/>
    <n v="4469868.6662579039"/>
    <n v="6257024.0729915015"/>
    <n v="10726892.739249405"/>
    <n v="6439677.7599999998"/>
    <n v="9001948.4849999994"/>
    <n v="15441626.244999999"/>
    <n v="766367.07400000002"/>
    <n v="1085237.3729999999"/>
    <n v="1851604.4469999999"/>
    <n v="7206044.8339999998"/>
    <n v="10087185.857999999"/>
    <n v="17293230.692000002"/>
  </r>
  <r>
    <x v="36"/>
    <n v="169626"/>
    <n v="232716"/>
    <n v="402342"/>
    <n v="9629"/>
    <n v="13322"/>
    <n v="22951"/>
    <n v="179255"/>
    <n v="246038"/>
    <n v="425293"/>
    <n v="8074691873"/>
    <n v="11131936645"/>
    <n v="19206628518"/>
    <n v="785916326"/>
    <n v="1081480996"/>
    <n v="1867397322"/>
    <n v="8860608199"/>
    <n v="12213417641"/>
    <n v="21074025840"/>
    <n v="80.12891166"/>
    <n v="129.01505570699999"/>
    <n v="1.6100936981951264"/>
    <n v="5015044.7033309443"/>
    <n v="6913843.9939729059"/>
    <n v="11928888.69730385"/>
    <n v="488118.3789993042"/>
    <n v="671688.23604012141"/>
    <n v="1159806.6150394257"/>
    <n v="5503163.0823302483"/>
    <n v="7585532.2300130278"/>
    <n v="13088695.312343275"/>
    <n v="8074691.8729999997"/>
    <n v="11131936.645"/>
    <n v="19206628.517999999"/>
    <n v="785916.326"/>
    <n v="1081480.996"/>
    <n v="1867397.3219999999"/>
    <n v="8860608.1989999991"/>
    <n v="12213417.641000001"/>
    <n v="21074025.84"/>
  </r>
  <r>
    <x v="37"/>
    <n v="172104"/>
    <n v="237643"/>
    <n v="409747"/>
    <n v="9887"/>
    <n v="13665"/>
    <n v="23552"/>
    <n v="181991"/>
    <n v="251308"/>
    <n v="433299"/>
    <n v="8420956934"/>
    <n v="11666210709"/>
    <n v="20087167643"/>
    <n v="819803003"/>
    <n v="1121989017"/>
    <n v="1941792020"/>
    <n v="9240759937"/>
    <n v="12788199726"/>
    <n v="22028959663"/>
    <n v="80.258840259999999"/>
    <n v="129.01505570699999"/>
    <n v="1.6074871663863237"/>
    <n v="5238584.2388593042"/>
    <n v="7257420.745215633"/>
    <n v="12496004.984074937"/>
    <n v="509990.3875705211"/>
    <n v="697976.96707107325"/>
    <n v="1207967.3546415945"/>
    <n v="5748574.626429826"/>
    <n v="7955397.712286707"/>
    <n v="13703972.338716531"/>
    <n v="8420956.9340000004"/>
    <n v="11666210.709000001"/>
    <n v="20087167.642999999"/>
    <n v="819803.00300000003"/>
    <n v="1121989.017"/>
    <n v="1941792.02"/>
    <n v="9240759.9370000008"/>
    <n v="12788199.726"/>
    <n v="22028959.662999999"/>
  </r>
  <r>
    <x v="38"/>
    <n v="171862"/>
    <n v="237602"/>
    <n v="409464"/>
    <n v="9861"/>
    <n v="13650"/>
    <n v="23511"/>
    <n v="181723"/>
    <n v="251252"/>
    <n v="432975"/>
    <n v="7874370677"/>
    <n v="10801076694"/>
    <n v="18675447371"/>
    <n v="736387641"/>
    <n v="1030572640"/>
    <n v="1766960281"/>
    <n v="8610758318"/>
    <n v="11831649334"/>
    <n v="20442407652"/>
    <n v="80.657741869999995"/>
    <n v="129.01505570699999"/>
    <n v="1.5995371642679983"/>
    <n v="4922905.733549227"/>
    <n v="6752626.2817050172"/>
    <n v="11675532.015254244"/>
    <n v="460375.44950510457"/>
    <n v="644294.27650818264"/>
    <n v="1104669.726013287"/>
    <n v="5383281.1830543308"/>
    <n v="7396920.5582131995"/>
    <n v="12780201.74126753"/>
    <n v="7874370.6770000001"/>
    <n v="10801076.694"/>
    <n v="18675447.370999999"/>
    <n v="736387.64099999995"/>
    <n v="1030572.64"/>
    <n v="1766960.281"/>
    <n v="8610758.318"/>
    <n v="11831649.334000001"/>
    <n v="20442407.651999999"/>
  </r>
  <r>
    <x v="39"/>
    <n v="177646"/>
    <n v="244518"/>
    <n v="422164"/>
    <n v="10422"/>
    <n v="14421"/>
    <n v="24843"/>
    <n v="188068"/>
    <n v="258939"/>
    <n v="447007"/>
    <n v="9310324617"/>
    <n v="12331326425"/>
    <n v="21641651042"/>
    <n v="932633139"/>
    <n v="1284272713"/>
    <n v="2216905852"/>
    <n v="10242957756"/>
    <n v="13615599138"/>
    <n v="23858556894"/>
    <n v="81.04926494"/>
    <n v="129.01505570699999"/>
    <n v="1.5918103119443292"/>
    <n v="5848890.7548461789"/>
    <n v="7746731.0850234441"/>
    <n v="13595621.839869624"/>
    <n v="585894.64586444839"/>
    <n v="806800.09632009175"/>
    <n v="1392694.7421845403"/>
    <n v="6434785.4007106274"/>
    <n v="8553531.181343535"/>
    <n v="14988316.582054162"/>
    <n v="9310324.6170000006"/>
    <n v="12331326.425000001"/>
    <n v="21641651.041999999"/>
    <n v="932633.13899999997"/>
    <n v="1284272.713"/>
    <n v="2216905.852"/>
    <n v="10242957.755999999"/>
    <n v="13615599.138"/>
    <n v="23858556.894000001"/>
  </r>
  <r>
    <x v="40"/>
    <n v="177882"/>
    <n v="244805"/>
    <n v="422687"/>
    <n v="10364"/>
    <n v="14395"/>
    <n v="24759"/>
    <n v="188246"/>
    <n v="259200"/>
    <n v="447446"/>
    <n v="8523793522"/>
    <n v="11477395828"/>
    <n v="20001189350"/>
    <n v="780005958"/>
    <n v="1091560498"/>
    <n v="1871566456"/>
    <n v="9303799480"/>
    <n v="12568956326"/>
    <n v="21872755806"/>
    <n v="81.306441989999996"/>
    <n v="129.01505570699999"/>
    <n v="1.5867753224629821"/>
    <n v="5371770.9125759685"/>
    <n v="7233157.5022132704"/>
    <n v="12604928.414789237"/>
    <n v="491566.73094038281"/>
    <n v="687911.18852648092"/>
    <n v="1179477.9194668636"/>
    <n v="5863337.6435163505"/>
    <n v="7921068.6907397509"/>
    <n v="13784406.334256101"/>
    <n v="8523793.5219999999"/>
    <n v="11477395.828"/>
    <n v="20001189.350000001"/>
    <n v="780005.95799999998"/>
    <n v="1091560.4979999999"/>
    <n v="1871566.456"/>
    <n v="9303799.4800000004"/>
    <n v="12568956.325999999"/>
    <n v="21872755.806000002"/>
  </r>
  <r>
    <x v="41"/>
    <n v="183726"/>
    <n v="253065"/>
    <n v="436791"/>
    <n v="10837"/>
    <n v="15067"/>
    <n v="25904"/>
    <n v="194563"/>
    <n v="268132"/>
    <n v="462695"/>
    <n v="9472467759"/>
    <n v="12824071208"/>
    <n v="22296538967"/>
    <n v="956107644"/>
    <n v="1327843193"/>
    <n v="2283950837"/>
    <n v="10428575403"/>
    <n v="14151914401"/>
    <n v="24580489804"/>
    <n v="81.801766929999999"/>
    <n v="129.01505570699999"/>
    <n v="1.5771671022387779"/>
    <n v="6006001.3587361146"/>
    <n v="8131079.5728596672"/>
    <n v="14137080.931595782"/>
    <n v="606218.35355480842"/>
    <n v="841916.61816629057"/>
    <n v="1448134.971721099"/>
    <n v="6612219.7122909222"/>
    <n v="8972996.1910259575"/>
    <n v="15585215.90331688"/>
    <n v="9472467.7589999996"/>
    <n v="12824071.208000001"/>
    <n v="22296538.967"/>
    <n v="956107.64399999997"/>
    <n v="1327843.193"/>
    <n v="2283950.8369999998"/>
    <n v="10428575.403000001"/>
    <n v="14151914.401000001"/>
    <n v="24580489.804000001"/>
  </r>
  <r>
    <x v="42"/>
    <n v="182814"/>
    <n v="252071"/>
    <n v="434885"/>
    <n v="10786"/>
    <n v="15016"/>
    <n v="25802"/>
    <n v="193600"/>
    <n v="267087"/>
    <n v="460687"/>
    <n v="8554672451"/>
    <n v="11273151109"/>
    <n v="19827823560"/>
    <n v="806445767"/>
    <n v="1134397493"/>
    <n v="1940843260"/>
    <n v="9361118218"/>
    <n v="12407548602"/>
    <n v="21768666820"/>
    <n v="81.873765579999997"/>
    <n v="129.01505570699999"/>
    <n v="1.5757801634387707"/>
    <n v="5428848.9279693896"/>
    <n v="7154012.5777437063"/>
    <n v="12582861.505713096"/>
    <n v="511775.55455459043"/>
    <n v="719895.78198804299"/>
    <n v="1231671.3365426334"/>
    <n v="5940624.4825239806"/>
    <n v="7873908.3597317506"/>
    <n v="13814532.84225573"/>
    <n v="8554672.4509999994"/>
    <n v="11273151.108999999"/>
    <n v="19827823.559999999"/>
    <n v="806445.76699999999"/>
    <n v="1134397.493"/>
    <n v="1940843.26"/>
    <n v="9361118.2180000003"/>
    <n v="12407548.602"/>
    <n v="21768666.82"/>
  </r>
  <r>
    <x v="43"/>
    <n v="187623"/>
    <n v="257841"/>
    <n v="445464"/>
    <n v="11407"/>
    <n v="15866"/>
    <n v="27273"/>
    <n v="199030"/>
    <n v="273707"/>
    <n v="472737"/>
    <n v="9425869013"/>
    <n v="12687628673"/>
    <n v="22113497686"/>
    <n v="1037314769"/>
    <n v="1431536124"/>
    <n v="2468850893"/>
    <n v="10463183782"/>
    <n v="14119164797"/>
    <n v="24582348579"/>
    <n v="82.191759719999993"/>
    <n v="129.01505570699999"/>
    <n v="1.5696835807690626"/>
    <n v="6004948.467627991"/>
    <n v="8082921.1877107918"/>
    <n v="14087869.655338783"/>
    <n v="660843.23089610855"/>
    <n v="911990.25175419275"/>
    <n v="1572833.4826503012"/>
    <n v="6665791.6985240998"/>
    <n v="8994911.4394649845"/>
    <n v="15660703.137989085"/>
    <n v="9425869.0130000003"/>
    <n v="12687628.673"/>
    <n v="22113497.686000001"/>
    <n v="1037314.769"/>
    <n v="1431536.1240000001"/>
    <n v="2468850.8930000002"/>
    <n v="10463183.782"/>
    <n v="14119164.797"/>
    <n v="24582348.579"/>
  </r>
  <r>
    <x v="44"/>
    <n v="193233"/>
    <n v="266227"/>
    <n v="459460"/>
    <n v="11662"/>
    <n v="16203"/>
    <n v="27865"/>
    <n v="204895"/>
    <n v="282430"/>
    <n v="487325"/>
    <n v="9493115514"/>
    <n v="13091164983"/>
    <n v="22584280497"/>
    <n v="962925862"/>
    <n v="1327328452"/>
    <n v="2290254314"/>
    <n v="10456041376"/>
    <n v="14418493435"/>
    <n v="24874534811"/>
    <n v="82.325894520000006"/>
    <n v="129.01505570699999"/>
    <n v="1.5671260720484179"/>
    <n v="6057659.1017922265"/>
    <n v="8353613.1626527719"/>
    <n v="14411272.264444999"/>
    <n v="614453.34818617546"/>
    <n v="846982.55977901362"/>
    <n v="1461435.9079651893"/>
    <n v="6672112.4499784019"/>
    <n v="9200595.7224317864"/>
    <n v="15872708.172410188"/>
    <n v="9493115.5140000004"/>
    <n v="13091164.982999999"/>
    <n v="22584280.497000001"/>
    <n v="962925.86199999996"/>
    <n v="1327328.452"/>
    <n v="2290254.3139999998"/>
    <n v="10456041.376"/>
    <n v="14418493.435000001"/>
    <n v="24874534.811000001"/>
  </r>
  <r>
    <x v="45"/>
    <n v="195360"/>
    <n v="268907"/>
    <n v="464267"/>
    <n v="12056"/>
    <n v="16729"/>
    <n v="28785"/>
    <n v="207416"/>
    <n v="285636"/>
    <n v="493052"/>
    <n v="9138591962"/>
    <n v="12376984071"/>
    <n v="21515576033"/>
    <n v="966805724"/>
    <n v="1353401746"/>
    <n v="2320207470"/>
    <n v="10105397686"/>
    <n v="13730385817"/>
    <n v="23835783503"/>
    <n v="82.367637090000002"/>
    <n v="129.01505570699999"/>
    <n v="1.5663318782112217"/>
    <n v="5834390.5842205239"/>
    <n v="7901891.1912427731"/>
    <n v="13736281.775463296"/>
    <n v="617241.93796279561"/>
    <n v="864058.09958079143"/>
    <n v="1481300.0375435872"/>
    <n v="6451632.5221833196"/>
    <n v="8765949.2908235639"/>
    <n v="15217581.813006883"/>
    <n v="9138591.9619999994"/>
    <n v="12376984.071"/>
    <n v="21515576.033"/>
    <n v="966805.72400000005"/>
    <n v="1353401.746"/>
    <n v="2320207.4700000002"/>
    <n v="10105397.686000001"/>
    <n v="13730385.817"/>
    <n v="23835783.502999999"/>
  </r>
  <r>
    <x v="46"/>
    <n v="198501"/>
    <n v="273881"/>
    <n v="472382"/>
    <n v="12311"/>
    <n v="17101"/>
    <n v="29412"/>
    <n v="210812"/>
    <n v="290982"/>
    <n v="501794"/>
    <n v="9569241176"/>
    <n v="13076498553"/>
    <n v="22645739729"/>
    <n v="994775129"/>
    <n v="1386578179"/>
    <n v="2381353308"/>
    <n v="10564016305"/>
    <n v="14463076732"/>
    <n v="25027093037"/>
    <n v="82.392904430000002"/>
    <n v="129.01505570699999"/>
    <n v="1.5658515329631277"/>
    <n v="6111205.9314408405"/>
    <n v="8351046.2376051601"/>
    <n v="14462252.169046002"/>
    <n v="635293.39024725067"/>
    <n v="885510.63099585113"/>
    <n v="1520804.0212431019"/>
    <n v="6746499.3216880923"/>
    <n v="9236556.8686010111"/>
    <n v="15983056.190289102"/>
    <n v="9569241.1760000009"/>
    <n v="13076498.552999999"/>
    <n v="22645739.728999998"/>
    <n v="994775.12899999996"/>
    <n v="1386578.179"/>
    <n v="2381353.3080000002"/>
    <n v="10564016.305"/>
    <n v="14463076.732000001"/>
    <n v="25027093.037"/>
  </r>
  <r>
    <x v="47"/>
    <n v="201334"/>
    <n v="279232"/>
    <n v="480566"/>
    <n v="12603"/>
    <n v="17619"/>
    <n v="30222"/>
    <n v="213937"/>
    <n v="296851"/>
    <n v="510788"/>
    <n v="9544139413"/>
    <n v="13266851407"/>
    <n v="22810990820"/>
    <n v="1020063631"/>
    <n v="1412549894"/>
    <n v="2432613525"/>
    <n v="10564203044"/>
    <n v="14679401301"/>
    <n v="25243604345"/>
    <n v="82.148900620000006"/>
    <n v="129.01505570699999"/>
    <n v="1.570502523263104"/>
    <n v="6077124.5328340577"/>
    <n v="8447519.9565008432"/>
    <n v="14524644.4893349"/>
    <n v="649514.16243545269"/>
    <n v="899425.42153009807"/>
    <n v="1548939.5839655506"/>
    <n v="6726638.6952695101"/>
    <n v="9346945.3780309409"/>
    <n v="16073584.073300451"/>
    <n v="9544139.4130000006"/>
    <n v="13266851.407"/>
    <n v="22810990.82"/>
    <n v="1020063.6310000001"/>
    <n v="1412549.8940000001"/>
    <n v="2432613.5249999999"/>
    <n v="10564203.044"/>
    <n v="14679401.301000001"/>
    <n v="25243604.344999999"/>
  </r>
  <r>
    <x v="48"/>
    <n v="202381"/>
    <n v="276215"/>
    <n v="478596"/>
    <n v="12634"/>
    <n v="17698"/>
    <n v="30332"/>
    <n v="215015"/>
    <n v="293913"/>
    <n v="508928"/>
    <n v="9885448001"/>
    <n v="13383284857"/>
    <n v="23268732858"/>
    <n v="1036291517"/>
    <n v="1442595267"/>
    <n v="2478886784"/>
    <n v="10921739518"/>
    <n v="14825880124"/>
    <n v="25747619642"/>
    <n v="82.138100140000006"/>
    <n v="129.01505570699999"/>
    <n v="1.5707090313399106"/>
    <n v="6293621.4179446781"/>
    <n v="8520537.2796406727"/>
    <n v="14814158.697585352"/>
    <n v="659760.33518823038"/>
    <n v="918435.71165397728"/>
    <n v="1578196.0468422077"/>
    <n v="6953381.7531329086"/>
    <n v="9438972.9912946504"/>
    <n v="16392354.74442756"/>
    <n v="9885448.0010000002"/>
    <n v="13383284.857000001"/>
    <n v="23268732.857999999"/>
    <n v="1036291.517"/>
    <n v="1442595.267"/>
    <n v="2478886.784"/>
    <n v="10921739.517999999"/>
    <n v="14825880.124"/>
    <n v="25747619.642000001"/>
  </r>
  <r>
    <x v="49"/>
    <n v="207070"/>
    <n v="282810"/>
    <n v="489880"/>
    <n v="19160"/>
    <n v="23663"/>
    <n v="42823"/>
    <n v="226230"/>
    <n v="306473"/>
    <n v="532703"/>
    <n v="10303166095"/>
    <n v="13990675440"/>
    <n v="24293841535"/>
    <n v="1516749480"/>
    <n v="1912333246"/>
    <n v="3429082726"/>
    <n v="11819915575"/>
    <n v="15903008686"/>
    <n v="27722924261"/>
    <n v="82.319750740000003"/>
    <n v="129.01505570699999"/>
    <n v="1.5672430315597428"/>
    <n v="6574070.4456960587"/>
    <n v="8926934.2139465623"/>
    <n v="15501004.659642622"/>
    <n v="967781.9262597129"/>
    <n v="1220189.3436379288"/>
    <n v="2187971.2698976416"/>
    <n v="7541852.371955771"/>
    <n v="10147123.557584492"/>
    <n v="17688975.929540265"/>
    <n v="10303166.095000001"/>
    <n v="13990675.439999999"/>
    <n v="24293841.535"/>
    <n v="1516749.48"/>
    <n v="1912333.246"/>
    <n v="3429082.7259999998"/>
    <n v="11819915.574999999"/>
    <n v="15903008.686000001"/>
    <n v="27722924.261"/>
  </r>
  <r>
    <x v="50"/>
    <n v="211511"/>
    <n v="287696"/>
    <n v="499207"/>
    <n v="19316"/>
    <n v="23918"/>
    <n v="43234"/>
    <n v="230827"/>
    <n v="311614"/>
    <n v="542441"/>
    <n v="10442705949"/>
    <n v="14069211757"/>
    <n v="24511917706"/>
    <n v="1552793889"/>
    <n v="1914024118"/>
    <n v="3466818007"/>
    <n v="11995499838"/>
    <n v="15983235875"/>
    <n v="27978735713"/>
    <n v="82.952428870000006"/>
    <n v="129.01505570699999"/>
    <n v="1.5552896698080731"/>
    <n v="6714315.7649138486"/>
    <n v="9046039.4806944076"/>
    <n v="15760355.245608257"/>
    <n v="998395.29519386496"/>
    <n v="1230654.4273750598"/>
    <n v="2229049.722568925"/>
    <n v="7712711.0601077136"/>
    <n v="10276693.908069467"/>
    <n v="17989404.968177181"/>
    <n v="10442705.948999999"/>
    <n v="14069211.756999999"/>
    <n v="24511917.706"/>
    <n v="1552793.889"/>
    <n v="1914024.118"/>
    <n v="3466818.0070000002"/>
    <n v="11995499.838"/>
    <n v="15983235.875"/>
    <n v="27978735.713"/>
  </r>
  <r>
    <x v="51"/>
    <n v="216179"/>
    <n v="294781"/>
    <n v="510960"/>
    <n v="18437"/>
    <n v="22975"/>
    <n v="41412"/>
    <n v="234616"/>
    <n v="317756"/>
    <n v="552372"/>
    <n v="10722556332"/>
    <n v="14684423467"/>
    <n v="25406979799"/>
    <n v="1473349714"/>
    <n v="1863965471"/>
    <n v="3337315185"/>
    <n v="12195906046"/>
    <n v="16548388938"/>
    <n v="28744294984"/>
    <n v="83.415861460000002"/>
    <n v="129.01505570699999"/>
    <n v="1.5466489639846965"/>
    <n v="6932766.6339846309"/>
    <n v="9494347.9800147433"/>
    <n v="16427114.613999374"/>
    <n v="952607.70110636321"/>
    <n v="1205163.882952333"/>
    <n v="2157771.5840586964"/>
    <n v="7885374.335090993"/>
    <n v="10699511.862967078"/>
    <n v="18584886.198058072"/>
    <n v="10722556.332"/>
    <n v="14684423.467"/>
    <n v="25406979.798999999"/>
    <n v="1473349.7139999999"/>
    <n v="1863965.4709999999"/>
    <n v="3337315.1850000001"/>
    <n v="12195906.046"/>
    <n v="16548388.937999999"/>
    <n v="28744294.984000001"/>
  </r>
  <r>
    <x v="52"/>
    <n v="223185"/>
    <n v="303521"/>
    <n v="526706"/>
    <n v="16946"/>
    <n v="21524"/>
    <n v="38470"/>
    <n v="240131"/>
    <n v="325045"/>
    <n v="565176"/>
    <n v="11120846161"/>
    <n v="15047736121"/>
    <n v="26168582282"/>
    <n v="1317267708"/>
    <n v="1709710864"/>
    <n v="3026978572"/>
    <n v="12438113869"/>
    <n v="16757446985"/>
    <n v="29195560854"/>
    <n v="83.040174840000006"/>
    <n v="129.01505570699999"/>
    <n v="1.5536462435873164"/>
    <n v="7157901.1032281993"/>
    <n v="9685432.6930017788"/>
    <n v="16843333.796229977"/>
    <n v="847855.62571726344"/>
    <n v="1100450.5504755934"/>
    <n v="1948306.1761928569"/>
    <n v="8005756.728945463"/>
    <n v="10785883.243477372"/>
    <n v="18791639.972422834"/>
    <n v="11120846.161"/>
    <n v="15047736.120999999"/>
    <n v="26168582.282000002"/>
    <n v="1317267.7080000001"/>
    <n v="1709710.8640000001"/>
    <n v="3026978.5720000002"/>
    <n v="12438113.869000001"/>
    <n v="16757446.984999999"/>
    <n v="29195560.853999998"/>
  </r>
  <r>
    <x v="53"/>
    <n v="227534"/>
    <n v="312354"/>
    <n v="539888"/>
    <n v="17699"/>
    <n v="22465"/>
    <n v="40164"/>
    <n v="245233"/>
    <n v="334819"/>
    <n v="580052"/>
    <n v="11110423657"/>
    <n v="15379786630"/>
    <n v="26490210287"/>
    <n v="1421339906"/>
    <n v="1849911610"/>
    <n v="3271251516"/>
    <n v="12531763563"/>
    <n v="17229698240"/>
    <n v="29761461803"/>
    <n v="83.01813027"/>
    <n v="129.01505570699999"/>
    <n v="1.5540587976072711"/>
    <n v="7149294.2700149594"/>
    <n v="9896528.1453183815"/>
    <n v="17045822.415333338"/>
    <n v="914598.53912116215"/>
    <n v="1190374.2720984835"/>
    <n v="2104972.8112196457"/>
    <n v="8063892.8091361215"/>
    <n v="11086902.417416865"/>
    <n v="19150795.226552986"/>
    <n v="11110423.657"/>
    <n v="15379786.630000001"/>
    <n v="26490210.287"/>
    <n v="1421339.906"/>
    <n v="1849911.61"/>
    <n v="3271251.5159999998"/>
    <n v="12531763.562999999"/>
    <n v="17229698.239999998"/>
    <n v="29761461.802999999"/>
  </r>
  <r>
    <x v="54"/>
    <n v="230222"/>
    <n v="316102"/>
    <n v="546324"/>
    <n v="18080"/>
    <n v="22998"/>
    <n v="41078"/>
    <n v="248302"/>
    <n v="339100"/>
    <n v="587402"/>
    <n v="11117546098"/>
    <n v="15155009141"/>
    <n v="26272555239"/>
    <n v="1422533870"/>
    <n v="1842425649"/>
    <n v="3264959519"/>
    <n v="12540079968"/>
    <n v="16997434790"/>
    <n v="29537514758"/>
    <n v="83.165705209999999"/>
    <n v="129.01505570699999"/>
    <n v="1.5513011689280665"/>
    <n v="7166594.2891554143"/>
    <n v="9769224.3418290969"/>
    <n v="16935818.630984511"/>
    <n v="916994.00380324386"/>
    <n v="1187664.7074746278"/>
    <n v="2104658.7112778714"/>
    <n v="8083588.2929586582"/>
    <n v="10956889.049303725"/>
    <n v="19040477.342262384"/>
    <n v="11117546.097999999"/>
    <n v="15155009.141000001"/>
    <n v="26272555.239"/>
    <n v="1422533.87"/>
    <n v="1842425.649"/>
    <n v="3264959.5189999999"/>
    <n v="12540079.968"/>
    <n v="16997434.789999999"/>
    <n v="29537514.758000001"/>
  </r>
  <r>
    <x v="55"/>
    <n v="231652"/>
    <n v="318370"/>
    <n v="550022"/>
    <n v="18243"/>
    <n v="23375"/>
    <n v="41618"/>
    <n v="249895"/>
    <n v="341745"/>
    <n v="591640"/>
    <n v="11012384293"/>
    <n v="14937260643"/>
    <n v="25949644936"/>
    <n v="1419562821"/>
    <n v="1863082623"/>
    <n v="3282645444"/>
    <n v="12431947114"/>
    <n v="16800343266"/>
    <n v="29232290380"/>
    <n v="83.263245900000001"/>
    <n v="129.01505570699999"/>
    <n v="1.5494838606454087"/>
    <n v="7107130.685706527"/>
    <n v="9640152.4548814353"/>
    <n v="16747283.140587963"/>
    <n v="916152.0536320447"/>
    <n v="1202389.1763699737"/>
    <n v="2118541.2300020182"/>
    <n v="8023282.7393385712"/>
    <n v="10842541.63125141"/>
    <n v="18865824.370589983"/>
    <n v="11012384.293"/>
    <n v="14937260.642999999"/>
    <n v="25949644.936000001"/>
    <n v="1419562.821"/>
    <n v="1863082.6229999999"/>
    <n v="3282645.4440000001"/>
    <n v="12431947.114"/>
    <n v="16800343.265999999"/>
    <n v="29232290.379999999"/>
  </r>
  <r>
    <x v="56"/>
    <n v="233004"/>
    <n v="320652"/>
    <n v="553656"/>
    <n v="18581"/>
    <n v="23775"/>
    <n v="42356"/>
    <n v="251585"/>
    <n v="344427"/>
    <n v="596012"/>
    <n v="11135083166"/>
    <n v="15129817061"/>
    <n v="26264900227"/>
    <n v="1437877771"/>
    <n v="1887289306"/>
    <n v="3325167077"/>
    <n v="12572960937"/>
    <n v="17017106367"/>
    <n v="29590067304"/>
    <n v="83.582810629999997"/>
    <n v="129.01505570699999"/>
    <n v="1.5435596713553588"/>
    <n v="7213898.7385065453"/>
    <n v="9801899.6879562866"/>
    <n v="17015798.426462833"/>
    <n v="931533.64763503941"/>
    <n v="1222686.3275993867"/>
    <n v="2154219.9752344261"/>
    <n v="8145432.3861415843"/>
    <n v="11024586.015555674"/>
    <n v="19170018.401697259"/>
    <n v="11135083.165999999"/>
    <n v="15129817.061000001"/>
    <n v="26264900.227000002"/>
    <n v="1437877.7709999999"/>
    <n v="1887289.3060000001"/>
    <n v="3325167.077"/>
    <n v="12572960.937000001"/>
    <n v="17017106.366999999"/>
    <n v="29590067.304000001"/>
  </r>
  <r>
    <x v="57"/>
    <n v="234782"/>
    <n v="322878"/>
    <n v="557660"/>
    <n v="18856"/>
    <n v="24167"/>
    <n v="43023"/>
    <n v="253638"/>
    <n v="347045"/>
    <n v="600683"/>
    <n v="11175832334"/>
    <n v="15261790780"/>
    <n v="26437623114"/>
    <n v="1456472347"/>
    <n v="1909986928"/>
    <n v="3366459275"/>
    <n v="12632304681"/>
    <n v="17171777708"/>
    <n v="29804082389"/>
    <n v="83.178496589999995"/>
    <n v="129.01505570699999"/>
    <n v="1.5510626062759425"/>
    <n v="7205274.8153298972"/>
    <n v="9839571.0903269909"/>
    <n v="17044845.905656885"/>
    <n v="939015.83411706961"/>
    <n v="1231405.4379699246"/>
    <n v="2170421.2720869943"/>
    <n v="8144290.6494469661"/>
    <n v="11070976.528296916"/>
    <n v="19215267.177743882"/>
    <n v="11175832.334000001"/>
    <n v="15261790.779999999"/>
    <n v="26437623.114"/>
    <n v="1456472.3470000001"/>
    <n v="1909986.9280000001"/>
    <n v="3366459.2749999999"/>
    <n v="12632304.681"/>
    <n v="17171777.708000001"/>
    <n v="29804082.388999999"/>
  </r>
  <r>
    <x v="58"/>
    <n v="234339"/>
    <n v="323526"/>
    <n v="557865"/>
    <n v="20403"/>
    <n v="25946"/>
    <n v="46349"/>
    <n v="254742"/>
    <n v="349472"/>
    <n v="604214"/>
    <n v="11166313655"/>
    <n v="15231414180"/>
    <n v="26397727835"/>
    <n v="1576561504"/>
    <n v="2045467379"/>
    <n v="3622028883"/>
    <n v="12742875159"/>
    <n v="17276881559"/>
    <n v="30019756718"/>
    <n v="83.171387879999997"/>
    <n v="129.01505570699999"/>
    <n v="1.5511951765569119"/>
    <n v="7198522.6770657888"/>
    <n v="9819147.4613840599"/>
    <n v="17017670.138449848"/>
    <n v="1016352.7632282819"/>
    <n v="1318639.5947544088"/>
    <n v="2334992.3579826909"/>
    <n v="8214875.4402940702"/>
    <n v="11137787.056138469"/>
    <n v="19352662.496432539"/>
    <n v="11166313.654999999"/>
    <n v="15231414.18"/>
    <n v="26397727.835000001"/>
    <n v="1576561.504"/>
    <n v="2045467.379"/>
    <n v="3622028.8829999999"/>
    <n v="12742875.159"/>
    <n v="17276881.559"/>
    <n v="30019756.717999998"/>
  </r>
  <r>
    <x v="59"/>
    <n v="235609"/>
    <n v="325229"/>
    <n v="560838"/>
    <n v="20883"/>
    <n v="26338"/>
    <n v="47221"/>
    <n v="256492"/>
    <n v="351567"/>
    <n v="608059"/>
    <n v="11208011100"/>
    <n v="15283216640"/>
    <n v="26491227740"/>
    <n v="1622885009"/>
    <n v="2081801552"/>
    <n v="3704686561"/>
    <n v="12830896109"/>
    <n v="17365018192"/>
    <n v="30195914301"/>
    <n v="83.703907880000003"/>
    <n v="129.01505570699999"/>
    <n v="1.5413265518255035"/>
    <n v="7271665.4927702043"/>
    <n v="9915625.3565469254"/>
    <n v="17187290.84931713"/>
    <n v="1052914.4567566821"/>
    <n v="1350655.7384185547"/>
    <n v="2403570.1951752366"/>
    <n v="8324579.9495268874"/>
    <n v="11266281.094965478"/>
    <n v="19590861.044492368"/>
    <n v="11208011.1"/>
    <n v="15283216.640000001"/>
    <n v="26491227.739999998"/>
    <n v="1622885.0090000001"/>
    <n v="2081801.5519999999"/>
    <n v="3704686.5610000002"/>
    <n v="12830896.108999999"/>
    <n v="17365018.192000002"/>
    <n v="30195914.300999999"/>
  </r>
  <r>
    <x v="60"/>
    <n v="237441"/>
    <n v="327498"/>
    <n v="564939"/>
    <n v="21252"/>
    <n v="26760"/>
    <n v="48012"/>
    <n v="258693"/>
    <n v="354258"/>
    <n v="612951"/>
    <n v="11493164507"/>
    <n v="15640317400"/>
    <n v="27133481907"/>
    <n v="1649866295"/>
    <n v="2123471783"/>
    <n v="3773338078"/>
    <n v="13143030802"/>
    <n v="17763789183"/>
    <n v="30906819985"/>
    <n v="83.922140080000005"/>
    <n v="129.01505570699999"/>
    <n v="1.5373184666646311"/>
    <n v="7476111.6555996304"/>
    <n v="10173765.383781059"/>
    <n v="17649877.039380688"/>
    <n v="1073210.4835633393"/>
    <n v="1381282.9475776013"/>
    <n v="2454493.4311409406"/>
    <n v="8549322.1391629688"/>
    <n v="11555048.33135866"/>
    <n v="20104370.470521629"/>
    <n v="11493164.506999999"/>
    <n v="15640317.4"/>
    <n v="27133481.907000002"/>
    <n v="1649866.2949999999"/>
    <n v="2123471.7829999998"/>
    <n v="3773338.0780000002"/>
    <n v="13143030.801999999"/>
    <n v="17763789.182999998"/>
    <n v="30906819.984999999"/>
  </r>
  <r>
    <x v="61"/>
    <n v="239444"/>
    <n v="329632"/>
    <n v="569076"/>
    <n v="21757"/>
    <n v="27306"/>
    <n v="49063"/>
    <n v="261201"/>
    <n v="356938"/>
    <n v="618139"/>
    <n v="11811438084"/>
    <n v="16056738143"/>
    <n v="27868176227"/>
    <n v="1704041082"/>
    <n v="2174239917"/>
    <n v="3878280999"/>
    <n v="13515479166"/>
    <n v="18230978060"/>
    <n v="31746457226"/>
    <n v="84.124094580000005"/>
    <n v="129.01505570699999"/>
    <n v="1.5336278666786689"/>
    <n v="7701632.4107227335"/>
    <n v="10469774.638207108"/>
    <n v="18171407.04892984"/>
    <n v="1111117.7092069862"/>
    <n v="1417710.2309106349"/>
    <n v="2528827.9401176209"/>
    <n v="8812750.1199297197"/>
    <n v="11887484.869117742"/>
    <n v="20700234.989047464"/>
    <n v="11811438.084000001"/>
    <n v="16056738.142999999"/>
    <n v="27868176.227000002"/>
    <n v="1704041.0819999999"/>
    <n v="2174239.9169999999"/>
    <n v="3878280.9989999998"/>
    <n v="13515479.165999999"/>
    <n v="18230978.059999999"/>
    <n v="31746457.226"/>
  </r>
  <r>
    <x v="62"/>
    <n v="241073"/>
    <n v="331319"/>
    <n v="572392"/>
    <n v="22887"/>
    <n v="28726"/>
    <n v="51613"/>
    <n v="263960"/>
    <n v="360045"/>
    <n v="624005"/>
    <n v="12125554197"/>
    <n v="16424761711"/>
    <n v="28550315908"/>
    <n v="1848895693"/>
    <n v="2359518320"/>
    <n v="4208414013"/>
    <n v="13974449890"/>
    <n v="18784280031"/>
    <n v="32758729921"/>
    <n v="84.57561853"/>
    <n v="129.01505570699999"/>
    <n v="1.5254402858577591"/>
    <n v="7948888.1403061729"/>
    <n v="10767226.920170337"/>
    <n v="18716115.060476508"/>
    <n v="1212040.6876237448"/>
    <n v="1546778.554280305"/>
    <n v="2758819.2419040496"/>
    <n v="9160928.8279299177"/>
    <n v="12314005.474450644"/>
    <n v="21474934.302380562"/>
    <n v="12125554.197000001"/>
    <n v="16424761.710999999"/>
    <n v="28550315.908"/>
    <n v="1848895.693"/>
    <n v="2359518.3199999998"/>
    <n v="4208414.0130000003"/>
    <n v="13974449.890000001"/>
    <n v="18784280.030999999"/>
    <n v="32758729.921"/>
  </r>
  <r>
    <x v="63"/>
    <n v="242881"/>
    <n v="333585"/>
    <n v="576466"/>
    <n v="23639"/>
    <n v="29640"/>
    <n v="53279"/>
    <n v="266520"/>
    <n v="363225"/>
    <n v="629745"/>
    <n v="12175806493"/>
    <n v="16533519283"/>
    <n v="28709325776"/>
    <n v="1928986719"/>
    <n v="2516117456"/>
    <n v="4445104175"/>
    <n v="14104793212"/>
    <n v="19049636739"/>
    <n v="33154429951"/>
    <n v="84.696262430000004"/>
    <n v="129.01505570699999"/>
    <n v="1.5232674028990205"/>
    <n v="7993216.7325497158"/>
    <n v="10853983.516967593"/>
    <n v="18847200.249517307"/>
    <n v="1266348.059000561"/>
    <n v="1651789.732525903"/>
    <n v="2918137.7915264638"/>
    <n v="9259564.7915502749"/>
    <n v="12505773.249493495"/>
    <n v="21765338.04104377"/>
    <n v="12175806.493000001"/>
    <n v="16533519.283"/>
    <n v="28709325.776000001"/>
    <n v="1928986.719"/>
    <n v="2516117.4559999998"/>
    <n v="4445104.1749999998"/>
    <n v="14104793.211999999"/>
    <n v="19049636.739"/>
    <n v="33154429.951000001"/>
  </r>
  <r>
    <x v="64"/>
    <n v="245366"/>
    <n v="336778"/>
    <n v="582144"/>
    <n v="23904"/>
    <n v="30000"/>
    <n v="53904"/>
    <n v="269270"/>
    <n v="366778"/>
    <n v="636048"/>
    <n v="12291361639"/>
    <n v="16747936438"/>
    <n v="29039298077"/>
    <n v="1904563206"/>
    <n v="2441689977"/>
    <n v="4346253183"/>
    <n v="14195924845"/>
    <n v="19189626415"/>
    <n v="33385551260"/>
    <n v="85.011592280000002"/>
    <n v="129.01505570699999"/>
    <n v="1.5176172125098795"/>
    <n v="8099118.4981832076"/>
    <n v="11035679.023633223"/>
    <n v="19134797.521816429"/>
    <n v="1254969.4285887666"/>
    <n v="1608897.1295745005"/>
    <n v="2863866.5581632671"/>
    <n v="9354087.9267719723"/>
    <n v="12644576.153207723"/>
    <n v="21998664.079979699"/>
    <n v="12291361.639"/>
    <n v="16747936.437999999"/>
    <n v="29039298.077"/>
    <n v="1904563.206"/>
    <n v="2441689.977"/>
    <n v="4346253.1830000002"/>
    <n v="14195924.845000001"/>
    <n v="19189626.414999999"/>
    <n v="33385551.260000002"/>
  </r>
  <r>
    <x v="65"/>
    <n v="247347"/>
    <n v="339536"/>
    <n v="586883"/>
    <n v="24221"/>
    <n v="30254"/>
    <n v="54475"/>
    <n v="271568"/>
    <n v="369790"/>
    <n v="641358"/>
    <n v="12384592756"/>
    <n v="16901835812"/>
    <n v="29286428568"/>
    <n v="1921108466"/>
    <n v="2443637139"/>
    <n v="4364745605"/>
    <n v="14305701222"/>
    <n v="19345472951"/>
    <n v="33651174173"/>
    <n v="85.520646979999995"/>
    <n v="129.01505570699999"/>
    <n v="1.5085837194048786"/>
    <n v="8209416.9496178841"/>
    <n v="11203777.15508398"/>
    <n v="19413194.104701865"/>
    <n v="1273451.6760911741"/>
    <n v="1619822.0274868079"/>
    <n v="2893273.7035779818"/>
    <n v="9482868.6257090587"/>
    <n v="12823599.182570787"/>
    <n v="22306467.808279846"/>
    <n v="12384592.755999999"/>
    <n v="16901835.811999999"/>
    <n v="29286428.568"/>
    <n v="1921108.466"/>
    <n v="2443637.139"/>
    <n v="4364745.6050000004"/>
    <n v="14305701.221999999"/>
    <n v="19345472.951000001"/>
    <n v="33651174.173"/>
  </r>
  <r>
    <x v="66"/>
    <n v="250199"/>
    <n v="343977"/>
    <n v="594176"/>
    <n v="24692"/>
    <n v="30730"/>
    <n v="55422"/>
    <n v="274891"/>
    <n v="374707"/>
    <n v="649598"/>
    <n v="12425191925"/>
    <n v="17017659096"/>
    <n v="29442851021"/>
    <n v="1967140496"/>
    <n v="2491701375"/>
    <n v="4458841871"/>
    <n v="14392332421"/>
    <n v="19509360471"/>
    <n v="33901692892"/>
    <n v="85.673733110000001"/>
    <n v="129.01505570699999"/>
    <n v="1.5058881062338243"/>
    <n v="8251072.4890941521"/>
    <n v="11300746.068418453"/>
    <n v="19551818.557512604"/>
    <n v="1306299.2448487773"/>
    <n v="1654639.1227112229"/>
    <n v="2960938.3675600006"/>
    <n v="9557371.7339429297"/>
    <n v="12955385.191129677"/>
    <n v="22512756.925072607"/>
    <n v="12425191.925000001"/>
    <n v="17017659.096000001"/>
    <n v="29442851.021000002"/>
    <n v="1967140.496"/>
    <n v="2491701.375"/>
    <n v="4458841.8710000003"/>
    <n v="14392332.421"/>
    <n v="19509360.471000001"/>
    <n v="33901692.891999997"/>
  </r>
  <r>
    <x v="67"/>
    <n v="250279"/>
    <n v="345030"/>
    <n v="595309"/>
    <n v="25927"/>
    <n v="31813"/>
    <n v="57740"/>
    <n v="276206"/>
    <n v="376843"/>
    <n v="653049"/>
    <n v="12407675955"/>
    <n v="16889411190"/>
    <n v="29297087145"/>
    <n v="2087722716"/>
    <n v="2646217919"/>
    <n v="4733940635"/>
    <n v="14495398671"/>
    <n v="19535629109"/>
    <n v="34031027780"/>
    <n v="86.090680660000004"/>
    <n v="129.01505570699999"/>
    <n v="1.4985949085072547"/>
    <n v="8279539.6438115779"/>
    <n v="11270164.534873193"/>
    <n v="19549704.178684771"/>
    <n v="1393120.1181509241"/>
    <n v="1765799.3524319984"/>
    <n v="3158919.4705829225"/>
    <n v="9672659.7619625013"/>
    <n v="13035963.887305191"/>
    <n v="22708623.649267692"/>
    <n v="12407675.955"/>
    <n v="16889411.190000001"/>
    <n v="29297087.145"/>
    <n v="2087722.716"/>
    <n v="2646217.9190000002"/>
    <n v="4733940.6349999998"/>
    <n v="14495398.671"/>
    <n v="19535629.109000001"/>
    <n v="34031027.780000001"/>
  </r>
  <r>
    <x v="68"/>
    <n v="251731"/>
    <n v="347209"/>
    <n v="598940"/>
    <n v="26144"/>
    <n v="32148"/>
    <n v="58292"/>
    <n v="277875"/>
    <n v="379357"/>
    <n v="657232"/>
    <n v="12491475307"/>
    <n v="17010565615"/>
    <n v="29502040922"/>
    <n v="2094060488"/>
    <n v="2667664351"/>
    <n v="4761724839"/>
    <n v="14585535795"/>
    <n v="19678229966"/>
    <n v="34263765761"/>
    <n v="86.811527290000001"/>
    <n v="129.01505570699999"/>
    <n v="1.4861512028928616"/>
    <n v="8405251.9573276062"/>
    <n v="11446053.12157212"/>
    <n v="19851305.078899726"/>
    <n v="1409049.4183390054"/>
    <n v="1795015.4370613627"/>
    <n v="3204064.8554003681"/>
    <n v="9814301.3756666109"/>
    <n v="13241068.558633482"/>
    <n v="23055369.934300095"/>
    <n v="12491475.307"/>
    <n v="17010565.614999998"/>
    <n v="29502040.921999998"/>
    <n v="2094060.4879999999"/>
    <n v="2667664.3509999998"/>
    <n v="4761724.8389999997"/>
    <n v="14585535.795"/>
    <n v="19678229.965999998"/>
    <n v="34263765.761"/>
  </r>
  <r>
    <x v="69"/>
    <n v="253310"/>
    <n v="348949"/>
    <n v="602259"/>
    <n v="26100"/>
    <n v="32204"/>
    <n v="58304"/>
    <n v="279410"/>
    <n v="381153"/>
    <n v="660563"/>
    <n v="12560923931"/>
    <n v="17049109342"/>
    <n v="29610033273"/>
    <n v="2062958971"/>
    <n v="2612728784"/>
    <n v="4675687755"/>
    <n v="14623882902"/>
    <n v="19661838126"/>
    <n v="34285721028"/>
    <n v="87.350598349999999"/>
    <n v="129.01505570699999"/>
    <n v="1.476979644604804"/>
    <n v="8504466.5150824953"/>
    <n v="11543225.666161321"/>
    <n v="20047692.181243815"/>
    <n v="1396741.6399648397"/>
    <n v="1768967.3608867431"/>
    <n v="3165709.0008515832"/>
    <n v="9901208.1550473347"/>
    <n v="13312193.027048063"/>
    <n v="23213401.182095397"/>
    <n v="12560923.931"/>
    <n v="17049109.342"/>
    <n v="29610033.272999998"/>
    <n v="2062958.9709999999"/>
    <n v="2612728.784"/>
    <n v="4675687.7549999999"/>
    <n v="14623882.902000001"/>
    <n v="19661838.125999998"/>
    <n v="34285721.027999997"/>
  </r>
  <r>
    <x v="70"/>
    <n v="254716"/>
    <n v="350968"/>
    <n v="605684"/>
    <n v="26240"/>
    <n v="32394"/>
    <n v="58634"/>
    <n v="280956"/>
    <n v="383362"/>
    <n v="664318"/>
    <n v="12637621505"/>
    <n v="17198754387"/>
    <n v="29836375892"/>
    <n v="2074013047"/>
    <n v="2631893554"/>
    <n v="4705906601"/>
    <n v="14711634552"/>
    <n v="19830647941"/>
    <n v="34542282493"/>
    <n v="87.645523609999998"/>
    <n v="129.01505570699999"/>
    <n v="1.4720096405731313"/>
    <n v="8585284.4687073547"/>
    <n v="11683859.883080395"/>
    <n v="20269144.35178775"/>
    <n v="1408967.0270043046"/>
    <n v="1787959.4545150292"/>
    <n v="3196926.481519334"/>
    <n v="9994251.49571166"/>
    <n v="13471819.337595426"/>
    <n v="23466070.833307084"/>
    <n v="12637621.505000001"/>
    <n v="17198754.386999998"/>
    <n v="29836375.892000001"/>
    <n v="2074013.047"/>
    <n v="2631893.554"/>
    <n v="4705906.6009999998"/>
    <n v="14711634.551999999"/>
    <n v="19830647.941"/>
    <n v="34542282.493000001"/>
  </r>
  <r>
    <x v="71"/>
    <n v="256647"/>
    <n v="353222"/>
    <n v="609869"/>
    <n v="26540"/>
    <n v="32788"/>
    <n v="59328"/>
    <n v="283187"/>
    <n v="386010"/>
    <n v="669197"/>
    <n v="12939953055"/>
    <n v="17558967081"/>
    <n v="30498920136"/>
    <n v="2098754357"/>
    <n v="2689859362"/>
    <n v="4788613719"/>
    <n v="15038707412"/>
    <n v="20248826443"/>
    <n v="35287533855"/>
    <n v="87.690897609999993"/>
    <n v="129.01505570699999"/>
    <n v="1.4712479769654851"/>
    <n v="8795222.3266190868"/>
    <n v="11934743.398741085"/>
    <n v="20729965.725360174"/>
    <n v="1426512.9943143744"/>
    <n v="1828284.1533946954"/>
    <n v="3254797.1477090698"/>
    <n v="10221735.320933463"/>
    <n v="13763027.55213578"/>
    <n v="23984762.873069242"/>
    <n v="12939953.055"/>
    <n v="17558967.081"/>
    <n v="30498920.136"/>
    <n v="2098754.3569999998"/>
    <n v="2689859.3620000002"/>
    <n v="4788613.7189999996"/>
    <n v="15038707.412"/>
    <n v="20248826.443"/>
    <n v="35287533.854999997"/>
  </r>
  <r>
    <x v="72"/>
    <n v="259553"/>
    <n v="355536"/>
    <n v="615089"/>
    <n v="27793"/>
    <n v="33848"/>
    <n v="61641"/>
    <n v="287346"/>
    <n v="389384"/>
    <n v="676730"/>
    <n v="13544605573"/>
    <n v="18031541399"/>
    <n v="31576146972"/>
    <n v="2294137835"/>
    <n v="2881665078"/>
    <n v="5175802913"/>
    <n v="15838743408"/>
    <n v="20913206477"/>
    <n v="36751949885"/>
    <n v="87.894560830000003"/>
    <n v="129.01505570699999"/>
    <n v="1.4678389025292771"/>
    <n v="9227583.1834548637"/>
    <n v="12284414.432625618"/>
    <n v="21511997.616080482"/>
    <n v="1562935.7084397359"/>
    <n v="1963202.5510664124"/>
    <n v="3526138.2595061483"/>
    <n v="10790518.891894599"/>
    <n v="14247616.983692031"/>
    <n v="25038135.875586633"/>
    <n v="13544605.573000001"/>
    <n v="18031541.399"/>
    <n v="31576146.971999999"/>
    <n v="2294137.835"/>
    <n v="2881665.0780000002"/>
    <n v="5175802.9129999997"/>
    <n v="15838743.408"/>
    <n v="20913206.477000002"/>
    <n v="36751949.884999998"/>
  </r>
  <r>
    <x v="73"/>
    <n v="261086"/>
    <n v="357619"/>
    <n v="618705"/>
    <n v="28023"/>
    <n v="34057"/>
    <n v="62080"/>
    <n v="289109"/>
    <n v="391676"/>
    <n v="680785"/>
    <n v="13943406603"/>
    <n v="19014907000"/>
    <n v="32958313603"/>
    <n v="2301399338"/>
    <n v="2870428605"/>
    <n v="5171827943"/>
    <n v="16244805941"/>
    <n v="21885335605"/>
    <n v="38130141546"/>
    <n v="88.179932219999998"/>
    <n v="129.01505570699999"/>
    <n v="1.4630886241227823"/>
    <n v="9530117.5698498711"/>
    <n v="12996415.040408563"/>
    <n v="22526532.610258434"/>
    <n v="1572973.2977589378"/>
    <n v="1961896.6053549971"/>
    <n v="3534869.9031139351"/>
    <n v="11103090.867608808"/>
    <n v="14958311.645763561"/>
    <n v="26061402.513372369"/>
    <n v="13943406.603"/>
    <n v="19014907"/>
    <n v="32958313.603"/>
    <n v="2301399.338"/>
    <n v="2870428.605"/>
    <n v="5171827.943"/>
    <n v="16244805.941"/>
    <n v="21885335.605"/>
    <n v="38130141.545999996"/>
  </r>
  <r>
    <x v="74"/>
    <n v="262411"/>
    <n v="360197"/>
    <n v="622608"/>
    <n v="28113"/>
    <n v="34152"/>
    <n v="62265"/>
    <n v="290524"/>
    <n v="394349"/>
    <n v="684873"/>
    <n v="14087387029"/>
    <n v="19280307316"/>
    <n v="33367694345"/>
    <n v="2277711013"/>
    <n v="2849202995"/>
    <n v="5126914008"/>
    <n v="16365098042"/>
    <n v="22129510311"/>
    <n v="38494608353"/>
    <n v="88.917875609999996"/>
    <n v="129.01505570699999"/>
    <n v="1.4509462222519689"/>
    <n v="9709103.4891254622"/>
    <n v="13288092.294747926"/>
    <n v="22997195.78387339"/>
    <n v="1569810.7745611931"/>
    <n v="1963686.1458433932"/>
    <n v="3533496.920404586"/>
    <n v="11278914.263686655"/>
    <n v="15251778.44059132"/>
    <n v="26530692.704277974"/>
    <n v="14087387.028999999"/>
    <n v="19280307.316"/>
    <n v="33367694.344999999"/>
    <n v="2277711.0129999998"/>
    <n v="2849202.9950000001"/>
    <n v="5126914.0080000004"/>
    <n v="16365098.041999999"/>
    <n v="22129510.311000001"/>
    <n v="38494608.353"/>
  </r>
  <r>
    <x v="75"/>
    <n v="264197"/>
    <n v="362823"/>
    <n v="627020"/>
    <n v="27992"/>
    <n v="34073"/>
    <n v="62065"/>
    <n v="292189"/>
    <n v="396896"/>
    <n v="689085"/>
    <n v="14150872445"/>
    <n v="19431069140"/>
    <n v="33581941585"/>
    <n v="2293777481"/>
    <n v="2862864285"/>
    <n v="5156641766"/>
    <n v="16444649926"/>
    <n v="22293933425"/>
    <n v="38738583351"/>
    <n v="89.84344969"/>
    <n v="129.01505570699999"/>
    <n v="1.4359984634623839"/>
    <n v="9854378.5422167908"/>
    <n v="13531399.673749719"/>
    <n v="23385778.215966512"/>
    <n v="1597339.7878639763"/>
    <n v="1993640.2146958099"/>
    <n v="3590980.0025597857"/>
    <n v="11451718.330080768"/>
    <n v="15525039.88844553"/>
    <n v="26976758.2185263"/>
    <n v="14150872.445"/>
    <n v="19431069.140000001"/>
    <n v="33581941.585000001"/>
    <n v="2293777.4810000001"/>
    <n v="2862864.2850000001"/>
    <n v="5156641.7659999998"/>
    <n v="16444649.926000001"/>
    <n v="22293933.425000001"/>
    <n v="38738583.351000004"/>
  </r>
  <r>
    <x v="76"/>
    <n v="265553"/>
    <n v="364650"/>
    <n v="630203"/>
    <n v="28146"/>
    <n v="34283"/>
    <n v="62429"/>
    <n v="293699"/>
    <n v="398933"/>
    <n v="692632"/>
    <n v="14212716136"/>
    <n v="19484811821"/>
    <n v="33697527957"/>
    <n v="2318889234"/>
    <n v="2876259170"/>
    <n v="5195148404"/>
    <n v="16531605370"/>
    <n v="22361070991"/>
    <n v="38892676361"/>
    <n v="89.865715080000001"/>
    <n v="129.01505570699999"/>
    <n v="1.435642676321538"/>
    <n v="9899898.0529168993"/>
    <n v="13572187.66366348"/>
    <n v="23472085.71658038"/>
    <n v="1615227.2931461972"/>
    <n v="2003464.5231985359"/>
    <n v="3618691.8163447333"/>
    <n v="11515125.346063096"/>
    <n v="15575652.186862016"/>
    <n v="27090777.532925114"/>
    <n v="14212716.136"/>
    <n v="19484811.820999999"/>
    <n v="33697527.957000002"/>
    <n v="2318889.2340000002"/>
    <n v="2876259.17"/>
    <n v="5195148.4040000001"/>
    <n v="16531605.369999999"/>
    <n v="22361070.991"/>
    <n v="38892676.361000001"/>
  </r>
  <r>
    <x v="77"/>
    <n v="267943"/>
    <n v="367802"/>
    <n v="635745"/>
    <n v="28268"/>
    <n v="34413"/>
    <n v="62681"/>
    <n v="296211"/>
    <n v="402215"/>
    <n v="698426"/>
    <n v="14442871674"/>
    <n v="19840959571"/>
    <n v="34283831245"/>
    <n v="2295297656"/>
    <n v="2878523933"/>
    <n v="5173821589"/>
    <n v="16738169330"/>
    <n v="22719483504"/>
    <n v="39457652834"/>
    <n v="89.494262109999994"/>
    <n v="129.01505570699999"/>
    <n v="1.4416014241049759"/>
    <n v="10018630.276372621"/>
    <n v="13763138.15957718"/>
    <n v="23781768.435949802"/>
    <n v="1592186.035349573"/>
    <n v="1996754.3627997893"/>
    <n v="3588940.3981493623"/>
    <n v="11610816.311722195"/>
    <n v="15759892.522376968"/>
    <n v="27370708.834099162"/>
    <n v="14442871.674000001"/>
    <n v="19840959.570999999"/>
    <n v="34283831.244999997"/>
    <n v="2295297.656"/>
    <n v="2878523.9330000002"/>
    <n v="5173821.5889999997"/>
    <n v="16738169.33"/>
    <n v="22719483.504000001"/>
    <n v="39457652.833999999"/>
  </r>
  <r>
    <x v="78"/>
    <n v="270420"/>
    <n v="373408"/>
    <n v="643828"/>
    <n v="28687"/>
    <n v="34985"/>
    <n v="63672"/>
    <n v="299107"/>
    <n v="408393"/>
    <n v="707500"/>
    <n v="14781631240"/>
    <n v="19889787521"/>
    <n v="34671418761"/>
    <n v="2337224526"/>
    <n v="2938559506"/>
    <n v="5275784032"/>
    <n v="17118855766"/>
    <n v="22828347027"/>
    <n v="39947202793"/>
    <n v="89.563556840000004"/>
    <n v="129.01505570699999"/>
    <n v="1.4404860666429065"/>
    <n v="10261557.943735624"/>
    <n v="13807691.710169548"/>
    <n v="24069249.653905176"/>
    <n v="1622524.9102526677"/>
    <n v="2039977.736715216"/>
    <n v="3662502.6469678837"/>
    <n v="11884082.853988292"/>
    <n v="15847669.446884766"/>
    <n v="27731752.300873056"/>
    <n v="14781631.24"/>
    <n v="19889787.521000002"/>
    <n v="34671418.761"/>
    <n v="2337224.5260000001"/>
    <n v="2938559.5060000001"/>
    <n v="5275784.0319999997"/>
    <n v="17118855.765999999"/>
    <n v="22828347.026999999"/>
    <n v="39947202.792999998"/>
  </r>
  <r>
    <x v="79"/>
    <n v="271647"/>
    <n v="375153"/>
    <n v="646800"/>
    <n v="28687"/>
    <n v="35009"/>
    <n v="63696"/>
    <n v="300334"/>
    <n v="410162"/>
    <n v="710496"/>
    <n v="14305261460"/>
    <n v="19643531189"/>
    <n v="33948792649"/>
    <n v="2327086137"/>
    <n v="2929395307"/>
    <n v="5256481444"/>
    <n v="16632347597"/>
    <n v="22572926496"/>
    <n v="39205274093"/>
    <n v="89.878604980000006"/>
    <n v="129.01505570699999"/>
    <n v="1.4354367842681661"/>
    <n v="9965789.9370979983"/>
    <n v="13684706.567565728"/>
    <n v="23650496.504663724"/>
    <n v="1621169.3628754446"/>
    <n v="2040769.2899506572"/>
    <n v="3661938.652826102"/>
    <n v="11586959.299973441"/>
    <n v="15725475.857516384"/>
    <n v="27312435.157489825"/>
    <n v="14305261.460000001"/>
    <n v="19643531.188999999"/>
    <n v="33948792.648999996"/>
    <n v="2327086.1370000001"/>
    <n v="2929395.307"/>
    <n v="5256481.4440000001"/>
    <n v="16632347.596999999"/>
    <n v="22572926.495999999"/>
    <n v="39205274.093000002"/>
  </r>
  <r>
    <x v="80"/>
    <n v="273086"/>
    <n v="377612"/>
    <n v="650698"/>
    <n v="28777"/>
    <n v="35086"/>
    <n v="63863"/>
    <n v="301863"/>
    <n v="412698"/>
    <n v="714561"/>
    <n v="14411990753"/>
    <n v="19832220369"/>
    <n v="34244211122"/>
    <n v="2351460132"/>
    <n v="2937425038"/>
    <n v="5288885170"/>
    <n v="16763450885"/>
    <n v="22769645407"/>
    <n v="39533096292"/>
    <n v="90.443760650000002"/>
    <n v="129.01505570699999"/>
    <n v="1.4264671745159236"/>
    <n v="10103275.427905137"/>
    <n v="13903033.117975624"/>
    <n v="24006308.545880761"/>
    <n v="1648450.2230470013"/>
    <n v="2059230.7278271753"/>
    <n v="3707680.9508741768"/>
    <n v="11751725.650952138"/>
    <n v="15962263.845802799"/>
    <n v="27713989.496754937"/>
    <n v="14411990.753"/>
    <n v="19832220.368999999"/>
    <n v="34244211.122000001"/>
    <n v="2351460.1320000002"/>
    <n v="2937425.0380000002"/>
    <n v="5288885.17"/>
    <n v="16763450.885"/>
    <n v="22769645.407000002"/>
    <n v="39533096.292000003"/>
  </r>
  <r>
    <x v="81"/>
    <n v="274911"/>
    <n v="379874"/>
    <n v="654785"/>
    <n v="29023"/>
    <n v="35272"/>
    <n v="64295"/>
    <n v="303934"/>
    <n v="415146"/>
    <n v="719080"/>
    <n v="14553598954"/>
    <n v="19949869049"/>
    <n v="34503468003"/>
    <n v="2346975364"/>
    <n v="2925067985"/>
    <n v="5272043349"/>
    <n v="16900574318"/>
    <n v="22874937034"/>
    <n v="39775511352"/>
    <n v="90.963671410000003"/>
    <n v="129.01505570699999"/>
    <n v="1.418314077556206"/>
    <n v="10261196.151332187"/>
    <n v="14065903.571495371"/>
    <n v="24327099.722827557"/>
    <n v="1654764.2028935531"/>
    <n v="2062355.6032384397"/>
    <n v="3717119.8061319925"/>
    <n v="11915960.354225738"/>
    <n v="16128259.17473381"/>
    <n v="28044219.52895955"/>
    <n v="14553598.954"/>
    <n v="19949869.048999999"/>
    <n v="34503468.002999999"/>
    <n v="2346975.3640000001"/>
    <n v="2925067.9849999999"/>
    <n v="5272043.3490000004"/>
    <n v="16900574.318"/>
    <n v="22874937.034000002"/>
    <n v="39775511.351999998"/>
  </r>
  <r>
    <x v="82"/>
    <n v="275948"/>
    <n v="381450"/>
    <n v="657398"/>
    <n v="29091"/>
    <n v="35349"/>
    <n v="64440"/>
    <n v="305039"/>
    <n v="416799"/>
    <n v="721838"/>
    <n v="14572582986"/>
    <n v="20025843295"/>
    <n v="34598426281"/>
    <n v="2351073283"/>
    <n v="2927213558"/>
    <n v="5278286841"/>
    <n v="16923656269"/>
    <n v="22953056853"/>
    <n v="39876713122"/>
    <n v="91.124380560000006"/>
    <n v="129.01505570699999"/>
    <n v="1.415812704724519"/>
    <n v="10292733.592071738"/>
    <n v="14144415.591253305"/>
    <n v="24437149.183325041"/>
    <n v="1660582.1343137748"/>
    <n v="2067514.6848393064"/>
    <n v="3728096.8191530816"/>
    <n v="11953315.726385511"/>
    <n v="16211930.276092613"/>
    <n v="28165246.002478123"/>
    <n v="14572582.986"/>
    <n v="20025843.295000002"/>
    <n v="34598426.281000003"/>
    <n v="2351073.2829999998"/>
    <n v="2927213.5580000002"/>
    <n v="5278286.841"/>
    <n v="16923656.269000001"/>
    <n v="22953056.853"/>
    <n v="39876713.122000001"/>
  </r>
  <r>
    <x v="83"/>
    <n v="277655"/>
    <n v="383881"/>
    <n v="661536"/>
    <n v="29464"/>
    <n v="35662"/>
    <n v="65126"/>
    <n v="307119"/>
    <n v="419543"/>
    <n v="726662"/>
    <n v="14706054701"/>
    <n v="20224673155"/>
    <n v="34930727856"/>
    <n v="2380563659"/>
    <n v="2959385958"/>
    <n v="5339949617"/>
    <n v="17086618360"/>
    <n v="23184059113"/>
    <n v="40270677473"/>
    <n v="91.565864430000005"/>
    <n v="129.01505570699999"/>
    <n v="1.4089863783858998"/>
    <n v="10437329.222335631"/>
    <n v="14354058.680232869"/>
    <n v="24791387.9025685"/>
    <n v="1689557.6107180789"/>
    <n v="2100365.2011101767"/>
    <n v="3789922.8118282557"/>
    <n v="12126886.83305371"/>
    <n v="16454423.881343046"/>
    <n v="28581310.714396756"/>
    <n v="14706054.700999999"/>
    <n v="20224673.155000001"/>
    <n v="34930727.855999999"/>
    <n v="2380563.659"/>
    <n v="2959385.9580000001"/>
    <n v="5339949.6169999996"/>
    <n v="17086618.359999999"/>
    <n v="23184059.113000002"/>
    <n v="40270677.472999997"/>
  </r>
  <r>
    <x v="84"/>
    <n v="281099"/>
    <n v="387145"/>
    <n v="668244"/>
    <n v="29626"/>
    <n v="35854"/>
    <n v="65480"/>
    <n v="310725"/>
    <n v="422999"/>
    <n v="733724"/>
    <n v="16041225586"/>
    <n v="21906233717"/>
    <n v="37947459303"/>
    <n v="2525715001"/>
    <n v="3119418376"/>
    <n v="5645133377"/>
    <n v="18566940587"/>
    <n v="25025652093"/>
    <n v="43592592680"/>
    <n v="91.952975289999998"/>
    <n v="129.01505570699999"/>
    <n v="1.403054716827967"/>
    <n v="11433071.99185081"/>
    <n v="15613242.629999293"/>
    <n v="27046314.621850103"/>
    <n v="1800154.3138033482"/>
    <n v="2223304.8637279067"/>
    <n v="4023459.1775312549"/>
    <n v="13233226.305654159"/>
    <n v="17836547.4937272"/>
    <n v="31069773.79938136"/>
    <n v="16041225.585999999"/>
    <n v="21906233.717"/>
    <n v="37947459.303000003"/>
    <n v="2525715.0010000002"/>
    <n v="3119418.3760000002"/>
    <n v="5645133.3770000003"/>
    <n v="18566940.587000001"/>
    <n v="25025652.092999998"/>
    <n v="43592592.68"/>
  </r>
  <r>
    <x v="85"/>
    <n v="282181"/>
    <n v="388790"/>
    <n v="670971"/>
    <n v="29711"/>
    <n v="35902"/>
    <n v="65613"/>
    <n v="311892"/>
    <n v="424692"/>
    <n v="736584"/>
    <n v="15892980879"/>
    <n v="21926701459"/>
    <n v="37819682338"/>
    <n v="2491109842"/>
    <n v="3092242871"/>
    <n v="5583352713"/>
    <n v="18384090721"/>
    <n v="25018944330"/>
    <n v="43403035051"/>
    <n v="92.574250430000006"/>
    <n v="129.01505570699999"/>
    <n v="1.3936386749850562"/>
    <n v="11403946.492207114"/>
    <n v="15733419.180000236"/>
    <n v="27137365.672207348"/>
    <n v="1787486.1588687696"/>
    <n v="2218826.8211149909"/>
    <n v="4006312.9799837605"/>
    <n v="13191432.651075883"/>
    <n v="17952246.001115225"/>
    <n v="31143678.65219111"/>
    <n v="15892980.879000001"/>
    <n v="21926701.458999999"/>
    <n v="37819682.338"/>
    <n v="2491109.8420000002"/>
    <n v="3092242.8709999998"/>
    <n v="5583352.7130000005"/>
    <n v="18384090.721000001"/>
    <n v="25018944.329999998"/>
    <n v="43403035.050999999"/>
  </r>
  <r>
    <x v="86"/>
    <n v="283655"/>
    <n v="391060"/>
    <n v="674715"/>
    <n v="29687"/>
    <n v="35845"/>
    <n v="65532"/>
    <n v="313342"/>
    <n v="426905"/>
    <n v="740247"/>
    <n v="16104807119"/>
    <n v="22248031108"/>
    <n v="38352838227"/>
    <n v="2511621644"/>
    <n v="3101324763"/>
    <n v="5612946407"/>
    <n v="18616428763"/>
    <n v="25349355871"/>
    <n v="43965784634"/>
    <n v="93.047945729999995"/>
    <n v="129.01505570699999"/>
    <n v="1.3865438371027214"/>
    <n v="11615072.447079713"/>
    <n v="16045674.51288723"/>
    <n v="27660746.959966943"/>
    <n v="1811426.0629856505"/>
    <n v="2236730.4083803301"/>
    <n v="4048156.4713659808"/>
    <n v="13426498.510065364"/>
    <n v="18282404.921267558"/>
    <n v="31708903.43133292"/>
    <n v="16104807.119000001"/>
    <n v="22248031.107999999"/>
    <n v="38352838.226999998"/>
    <n v="2511621.6439999999"/>
    <n v="3101324.7629999998"/>
    <n v="5612946.4069999997"/>
    <n v="18616428.763"/>
    <n v="25349355.870999999"/>
    <n v="43965784.634000003"/>
  </r>
  <r>
    <x v="87"/>
    <n v="285404"/>
    <n v="393767"/>
    <n v="679171"/>
    <n v="29631"/>
    <n v="35726"/>
    <n v="65357"/>
    <n v="315035"/>
    <n v="429493"/>
    <n v="744528"/>
    <n v="16237880278"/>
    <n v="22458624022"/>
    <n v="38696504300"/>
    <n v="2500792061"/>
    <n v="3086793074"/>
    <n v="5587585135"/>
    <n v="18738672339"/>
    <n v="25545417096"/>
    <n v="44284089435"/>
    <n v="93.427485750000002"/>
    <n v="129.01505570699999"/>
    <n v="1.3809111384226669"/>
    <n v="11758816.209236728"/>
    <n v="16263627.250956319"/>
    <n v="28022443.460193049"/>
    <n v="1810972.4742002639"/>
    <n v="2235330.7089157533"/>
    <n v="4046303.1831160174"/>
    <n v="13569788.683436994"/>
    <n v="18498957.959872074"/>
    <n v="32068746.643309068"/>
    <n v="16237880.278000001"/>
    <n v="22458624.022"/>
    <n v="38696504.299999997"/>
    <n v="2500792.0610000002"/>
    <n v="3086793.074"/>
    <n v="5587585.1349999998"/>
    <n v="18738672.339000002"/>
    <n v="25545417.096000001"/>
    <n v="44284089.435000002"/>
  </r>
  <r>
    <x v="88"/>
    <n v="286695"/>
    <n v="394851"/>
    <n v="681546"/>
    <n v="29591"/>
    <n v="35684"/>
    <n v="65275"/>
    <n v="316286"/>
    <n v="430535"/>
    <n v="746821"/>
    <n v="16295615647"/>
    <n v="22486036004"/>
    <n v="38781651651"/>
    <n v="2498516558"/>
    <n v="3085806031"/>
    <n v="5584322589"/>
    <n v="18794132205"/>
    <n v="25571842035"/>
    <n v="44365974240"/>
    <n v="93.403431920000003"/>
    <n v="129.01505570699999"/>
    <n v="1.3812667592075345"/>
    <n v="11797587.640745936"/>
    <n v="16279285.557339245"/>
    <n v="28076873.198085178"/>
    <n v="1808858.8184323339"/>
    <n v="2234040.60832565"/>
    <n v="4042899.4267579843"/>
    <n v="13606446.459178269"/>
    <n v="18513326.165664893"/>
    <n v="32119772.624843162"/>
    <n v="16295615.647"/>
    <n v="22486036.004000001"/>
    <n v="38781651.651000001"/>
    <n v="2498516.5580000002"/>
    <n v="3085806.031"/>
    <n v="5584322.5889999997"/>
    <n v="18794132.204999998"/>
    <n v="25571842.035"/>
    <n v="44365974.240000002"/>
  </r>
  <r>
    <x v="89"/>
    <n v="288817"/>
    <n v="397672"/>
    <n v="686489"/>
    <n v="29530"/>
    <n v="35597"/>
    <n v="65127"/>
    <n v="318347"/>
    <n v="433269"/>
    <n v="751616"/>
    <n v="16418859100"/>
    <n v="22713656139"/>
    <n v="39132515239"/>
    <n v="2488140257"/>
    <n v="3070197758"/>
    <n v="5558338015"/>
    <n v="18906999357"/>
    <n v="25783853897"/>
    <n v="44690853254"/>
    <n v="93.412779229999998"/>
    <n v="129.01505570699999"/>
    <n v="1.3811285433370999"/>
    <n v="11888002.155345041"/>
    <n v="16445722.049968632"/>
    <n v="28333724.205313671"/>
    <n v="1801526.9244875098"/>
    <n v="2222963.0781373545"/>
    <n v="4024490.0026248642"/>
    <n v="13689529.07983255"/>
    <n v="18668685.128105987"/>
    <n v="32358214.207938537"/>
    <n v="16418859.1"/>
    <n v="22713656.138999999"/>
    <n v="39132515.239"/>
    <n v="2488140.2570000002"/>
    <n v="3070197.7579999999"/>
    <n v="5558338.0149999997"/>
    <n v="18906999.357000001"/>
    <n v="25783853.897"/>
    <n v="44690853.254000001"/>
  </r>
  <r>
    <x v="90"/>
    <n v="290198"/>
    <n v="399583"/>
    <n v="689781"/>
    <n v="29617"/>
    <n v="35653"/>
    <n v="65270"/>
    <n v="319815"/>
    <n v="435236"/>
    <n v="755051"/>
    <n v="16548300026"/>
    <n v="22789592183"/>
    <n v="39337892209"/>
    <n v="2503378238"/>
    <n v="3090894367"/>
    <n v="5594272605"/>
    <n v="19051678264"/>
    <n v="25880486550"/>
    <n v="44932164814"/>
    <n v="93.852448350000003"/>
    <n v="129.01505570699999"/>
    <n v="1.3746583917115252"/>
    <n v="12038118.070480375"/>
    <n v="16578367.629666673"/>
    <n v="28616485.700147048"/>
    <n v="1821091.1547873043"/>
    <n v="2248481.7941944594"/>
    <n v="4069572.9489817638"/>
    <n v="13859209.225267678"/>
    <n v="18826849.423861135"/>
    <n v="32686058.64912881"/>
    <n v="16548300.026000001"/>
    <n v="22789592.182999998"/>
    <n v="39337892.208999999"/>
    <n v="2503378.2379999999"/>
    <n v="3090894.3670000001"/>
    <n v="5594272.6050000004"/>
    <n v="19051678.263999999"/>
    <n v="25880486.550000001"/>
    <n v="44932164.814000003"/>
  </r>
  <r>
    <x v="91"/>
    <n v="291345"/>
    <n v="401765"/>
    <n v="693110"/>
    <n v="29599"/>
    <n v="35604"/>
    <n v="65203"/>
    <n v="320944"/>
    <n v="437369"/>
    <n v="758313"/>
    <n v="16407786059"/>
    <n v="22635180851"/>
    <n v="39042966910"/>
    <n v="2490719319"/>
    <n v="3077814227"/>
    <n v="5568533546"/>
    <n v="18898505378"/>
    <n v="25712995078"/>
    <n v="44611500456"/>
    <n v="94.113330169999998"/>
    <n v="129.01505570699999"/>
    <n v="1.370847843487802"/>
    <n v="11969078.944060067"/>
    <n v="16511811.255004108"/>
    <n v="28480890.199064173"/>
    <n v="1816918.8731135519"/>
    <n v="2245190.2606267529"/>
    <n v="4062109.1337403045"/>
    <n v="13785997.817173619"/>
    <n v="18757001.515630864"/>
    <n v="32542999.332804482"/>
    <n v="16407786.059"/>
    <n v="22635180.851"/>
    <n v="39042966.909999996"/>
    <n v="2490719.3190000001"/>
    <n v="3077814.227"/>
    <n v="5568533.5460000001"/>
    <n v="18898505.377999999"/>
    <n v="25712995.078000002"/>
    <n v="44611500.456"/>
  </r>
  <r>
    <x v="92"/>
    <n v="292122"/>
    <n v="402760"/>
    <n v="694882"/>
    <n v="29505"/>
    <n v="35532"/>
    <n v="65037"/>
    <n v="321627"/>
    <n v="438292"/>
    <n v="759919"/>
    <n v="16352677604"/>
    <n v="22620982057"/>
    <n v="38973659661"/>
    <n v="2476491708"/>
    <n v="3056782234"/>
    <n v="5533273942"/>
    <n v="18829169312"/>
    <n v="25677764291"/>
    <n v="44506933603"/>
    <n v="94.47035631"/>
    <n v="129.01505570699999"/>
    <n v="1.3656670806199056"/>
    <n v="11974131.789555306"/>
    <n v="16564053.112221062"/>
    <n v="28538184.901776366"/>
    <n v="1813393.4273907132"/>
    <n v="2238307.0349857602"/>
    <n v="4051700.4623764735"/>
    <n v="13787525.216946019"/>
    <n v="18802360.147206821"/>
    <n v="32589885.364152841"/>
    <n v="16352677.604"/>
    <n v="22620982.057"/>
    <n v="38973659.660999998"/>
    <n v="2476491.7080000001"/>
    <n v="3056782.2340000002"/>
    <n v="5533273.9419999998"/>
    <n v="18829169.311999999"/>
    <n v="25677764.291000001"/>
    <n v="44506933.603"/>
  </r>
  <r>
    <x v="93"/>
    <n v="293491"/>
    <n v="405007"/>
    <n v="698498"/>
    <n v="29521"/>
    <n v="35542"/>
    <n v="65063"/>
    <n v="323012"/>
    <n v="440549"/>
    <n v="763561"/>
    <n v="16495083677"/>
    <n v="22744876349"/>
    <n v="39239960026"/>
    <n v="2496793482"/>
    <n v="3082608775"/>
    <n v="5579402257"/>
    <n v="18991877159"/>
    <n v="25827485124"/>
    <n v="44819362283"/>
    <n v="94.778282419999996"/>
    <n v="129.01505570699999"/>
    <n v="1.3612301511783398"/>
    <n v="12117777.19052222"/>
    <n v="16709060.058147442"/>
    <n v="28826837.248669662"/>
    <n v="1834218.4676402204"/>
    <n v="2264575.7385931835"/>
    <n v="4098794.2062334041"/>
    <n v="13951995.658162441"/>
    <n v="18973635.796740625"/>
    <n v="32925631.454903066"/>
    <n v="16495083.676999999"/>
    <n v="22744876.348999999"/>
    <n v="39239960.026000001"/>
    <n v="2496793.4819999998"/>
    <n v="3082608.7749999999"/>
    <n v="5579402.2570000002"/>
    <n v="18991877.159000002"/>
    <n v="25827485.124000002"/>
    <n v="44819362.283"/>
  </r>
  <r>
    <x v="94"/>
    <n v="295268"/>
    <n v="407494"/>
    <n v="702762"/>
    <n v="29498"/>
    <n v="35521"/>
    <n v="65019"/>
    <n v="324766"/>
    <n v="443015"/>
    <n v="767781"/>
    <n v="16761793857"/>
    <n v="23151650998"/>
    <n v="39913444855"/>
    <n v="2484643830"/>
    <n v="3071492417"/>
    <n v="5556136247"/>
    <n v="19246437687"/>
    <n v="26223143415"/>
    <n v="45469581102"/>
    <n v="94.991013120000005"/>
    <n v="129.01505570699999"/>
    <n v="1.3581817002416658"/>
    <n v="12341348.623691158"/>
    <n v="17046063.125339229"/>
    <n v="29387411.749030389"/>
    <n v="1829389.85966156"/>
    <n v="2261473.8635143433"/>
    <n v="4090863.7231759033"/>
    <n v="14170738.483352719"/>
    <n v="19307536.988853574"/>
    <n v="33478275.472206291"/>
    <n v="16761793.857000001"/>
    <n v="23151650.998"/>
    <n v="39913444.854999997"/>
    <n v="2484643.83"/>
    <n v="3071492.4169999999"/>
    <n v="5556136.2470000004"/>
    <n v="19246437.686999999"/>
    <n v="26223143.414999999"/>
    <n v="45469581.101999998"/>
  </r>
  <r>
    <x v="95"/>
    <n v="296574"/>
    <n v="409023"/>
    <n v="705597"/>
    <n v="29478"/>
    <n v="35515"/>
    <n v="64993"/>
    <n v="326052"/>
    <n v="444538"/>
    <n v="770590"/>
    <n v="16626167460"/>
    <n v="22891099246"/>
    <n v="39517266706"/>
    <n v="2479221224"/>
    <n v="3064223888"/>
    <n v="5543445112"/>
    <n v="19105388684"/>
    <n v="25955323134"/>
    <n v="45060711818"/>
    <n v="95.418256529999994"/>
    <n v="129.01505570699999"/>
    <n v="1.3521003254386332"/>
    <n v="12296548.671124922"/>
    <n v="16930030.128181446"/>
    <n v="29226578.79930637"/>
    <n v="1833607.4456573471"/>
    <n v="2266269.6179781919"/>
    <n v="4099877.0636355388"/>
    <n v="14130156.116782269"/>
    <n v="19196299.746159639"/>
    <n v="33326455.862941906"/>
    <n v="16626167.460000001"/>
    <n v="22891099.245999999"/>
    <n v="39517266.706"/>
    <n v="2479221.2239999999"/>
    <n v="3064223.8879999998"/>
    <n v="5543445.1119999997"/>
    <n v="19105388.684"/>
    <n v="25955323.134"/>
    <n v="45060711.818000004"/>
  </r>
  <r>
    <x v="96"/>
    <n v="298366"/>
    <n v="409755"/>
    <n v="708121"/>
    <n v="29434"/>
    <n v="35484"/>
    <n v="64918"/>
    <n v="327800"/>
    <n v="445239"/>
    <n v="773039"/>
    <n v="17844580951"/>
    <n v="24588525248"/>
    <n v="42433106199"/>
    <n v="2595310706"/>
    <n v="3195549461"/>
    <n v="5790860167"/>
    <n v="20439891657"/>
    <n v="27784074709"/>
    <n v="48223966366"/>
    <n v="95.649096819999997"/>
    <n v="129.01505570699999"/>
    <n v="1.3488371557735739"/>
    <n v="13229603.643863091"/>
    <n v="18229424.614195324"/>
    <n v="31459028.258058414"/>
    <n v="1924109.7377033322"/>
    <n v="2369114.3495875266"/>
    <n v="4293224.0872908588"/>
    <n v="15153713.381566424"/>
    <n v="20598538.963782851"/>
    <n v="35752252.345349275"/>
    <n v="17844580.951000001"/>
    <n v="24588525.248"/>
    <n v="42433106.199000001"/>
    <n v="2595310.7059999998"/>
    <n v="3195549.4610000001"/>
    <n v="5790860.1670000004"/>
    <n v="20439891.657000002"/>
    <n v="27784074.708999999"/>
    <n v="48223966.365999997"/>
  </r>
  <r>
    <x v="97"/>
    <n v="299699"/>
    <n v="411971"/>
    <n v="711670"/>
    <n v="29404"/>
    <n v="35469"/>
    <n v="64873"/>
    <n v="329103"/>
    <n v="447440"/>
    <n v="776543"/>
    <n v="17975217673"/>
    <n v="24867925235"/>
    <n v="42843142908"/>
    <n v="2586263131"/>
    <n v="3192667899"/>
    <n v="5778931030"/>
    <n v="20561480804"/>
    <n v="28060593134"/>
    <n v="48622073938"/>
    <n v="95.695814540000001"/>
    <n v="129.01505570699999"/>
    <n v="1.3481786672401732"/>
    <n v="13332964.027532546"/>
    <n v="18445570.931563977"/>
    <n v="31778534.959096521"/>
    <n v="1918338.565832882"/>
    <n v="2368134.1179620055"/>
    <n v="4286472.6837948877"/>
    <n v="15251302.593365427"/>
    <n v="20813705.049525984"/>
    <n v="36065007.642891414"/>
    <n v="17975217.673"/>
    <n v="24867925.234999999"/>
    <n v="42843142.908"/>
    <n v="2586263.1310000001"/>
    <n v="3192667.8990000002"/>
    <n v="5778931.0300000003"/>
    <n v="20561480.804000001"/>
    <n v="28060593.134"/>
    <n v="48622073.938000001"/>
  </r>
  <r>
    <x v="98"/>
    <n v="300890"/>
    <n v="413826"/>
    <n v="714716"/>
    <n v="29305"/>
    <n v="35378"/>
    <n v="64683"/>
    <n v="330195"/>
    <n v="449204"/>
    <n v="779399"/>
    <n v="18029193178"/>
    <n v="25033986456"/>
    <n v="43063179634"/>
    <n v="2573433933"/>
    <n v="3175030485"/>
    <n v="5748464418"/>
    <n v="20602627111"/>
    <n v="28209016941"/>
    <n v="48811644052"/>
    <n v="95.928713310000006"/>
    <n v="129.01505570699999"/>
    <n v="1.344905516350243"/>
    <n v="13405546.307020128"/>
    <n v="18613936.928399511"/>
    <n v="32019483.235419638"/>
    <n v="1913468.1966237256"/>
    <n v="2360783.3014294459"/>
    <n v="4274251.4980531707"/>
    <n v="15319014.503643854"/>
    <n v="20974720.229828957"/>
    <n v="36293734.733472809"/>
    <n v="18029193.177999999"/>
    <n v="25033986.456"/>
    <n v="43063179.634000003"/>
    <n v="2573433.9330000002"/>
    <n v="3175030.4849999999"/>
    <n v="5748464.4179999996"/>
    <n v="20602627.111000001"/>
    <n v="28209016.941"/>
    <n v="48811644.052000001"/>
  </r>
  <r>
    <x v="99"/>
    <n v="302315"/>
    <n v="415563"/>
    <n v="717878"/>
    <n v="29264"/>
    <n v="35331"/>
    <n v="64595"/>
    <n v="331579"/>
    <n v="450894"/>
    <n v="782473"/>
    <n v="18068775129"/>
    <n v="25096386040"/>
    <n v="43165161169"/>
    <n v="2567636250"/>
    <n v="3174256344"/>
    <n v="5741892594"/>
    <n v="20636411379"/>
    <n v="28270642384"/>
    <n v="48907053763"/>
    <n v="96.087759489999996"/>
    <n v="129.01505570699999"/>
    <n v="1.3426794046584756"/>
    <n v="13457252.018843604"/>
    <n v="18691272.058636758"/>
    <n v="32148524.077480361"/>
    <n v="1912322.6595205762"/>
    <n v="2364120.8266000068"/>
    <n v="4276443.4861205835"/>
    <n v="15369574.678364182"/>
    <n v="21055392.885236762"/>
    <n v="36424967.563600942"/>
    <n v="18068775.129000001"/>
    <n v="25096386.039999999"/>
    <n v="43165161.169"/>
    <n v="2567636.25"/>
    <n v="3174256.344"/>
    <n v="5741892.5939999996"/>
    <n v="20636411.379000001"/>
    <n v="28270642.384"/>
    <n v="48907053.762999997"/>
  </r>
  <r>
    <x v="100"/>
    <n v="304146"/>
    <n v="418973"/>
    <n v="723119"/>
    <n v="29235"/>
    <n v="35297"/>
    <n v="64532"/>
    <n v="333381"/>
    <n v="454270"/>
    <n v="787651"/>
    <n v="18306691760"/>
    <n v="25579163465"/>
    <n v="43885855225"/>
    <n v="2564748517"/>
    <n v="3174145174"/>
    <n v="5738893691"/>
    <n v="20871440277"/>
    <n v="28753308639"/>
    <n v="49624748916"/>
    <n v="96.139417210000005"/>
    <n v="129.01505570699999"/>
    <n v="1.3419579549269454"/>
    <n v="13641777.443762457"/>
    <n v="19061076.668674394"/>
    <n v="32702854.112436853"/>
    <n v="1911198.8625154966"/>
    <n v="2365308.959454543"/>
    <n v="4276507.82197004"/>
    <n v="15552976.306277955"/>
    <n v="21426385.628128938"/>
    <n v="36979361.934406891"/>
    <n v="18306691.760000002"/>
    <n v="25579163.465"/>
    <n v="43885855.225000001"/>
    <n v="2564748.517"/>
    <n v="3174145.1740000001"/>
    <n v="5738893.6909999996"/>
    <n v="20871440.276999999"/>
    <n v="28753308.638999999"/>
    <n v="49624748.916000001"/>
  </r>
  <r>
    <x v="101"/>
    <n v="305119"/>
    <n v="420635"/>
    <n v="725754"/>
    <n v="29476"/>
    <n v="35407"/>
    <n v="64883"/>
    <n v="334595"/>
    <n v="456042"/>
    <n v="790637"/>
    <n v="18209781609"/>
    <n v="25463423947"/>
    <n v="43673205556"/>
    <n v="2584181940"/>
    <n v="3175970482"/>
    <n v="5760152422"/>
    <n v="20793963549"/>
    <n v="28639394429"/>
    <n v="49433357978"/>
    <n v="95.943074190000004"/>
    <n v="129.01505570699999"/>
    <n v="1.3447042092012413"/>
    <n v="13541849.192110932"/>
    <n v="18936078.114997022"/>
    <n v="32477927.307107951"/>
    <n v="1921747.4908738572"/>
    <n v="2361835.7556019975"/>
    <n v="4283583.246475854"/>
    <n v="15463596.682984788"/>
    <n v="21297913.870599017"/>
    <n v="36761510.553583808"/>
    <n v="18209781.609000001"/>
    <n v="25463423.947000001"/>
    <n v="43673205.556000002"/>
    <n v="2584181.94"/>
    <n v="3175970.4819999998"/>
    <n v="5760152.4220000003"/>
    <n v="20793963.548999999"/>
    <n v="28639394.429000001"/>
    <n v="49433357.978"/>
  </r>
  <r>
    <x v="102"/>
    <n v="306164"/>
    <n v="422492"/>
    <n v="728656"/>
    <n v="29465"/>
    <n v="35386"/>
    <n v="64851"/>
    <n v="335629"/>
    <n v="457878"/>
    <n v="793507"/>
    <n v="20062643259"/>
    <n v="28092849913"/>
    <n v="48155493172"/>
    <n v="2863941809"/>
    <n v="3510119871"/>
    <n v="6374061680"/>
    <n v="22926585068"/>
    <n v="31602969784"/>
    <n v="54529554852"/>
    <n v="96.461260159999995"/>
    <n v="129.01505570699999"/>
    <n v="1.3374805128297425"/>
    <n v="15000325.661981378"/>
    <n v="21004305.964475866"/>
    <n v="36004631.626457244"/>
    <n v="2141296.1022816575"/>
    <n v="2624426.9260967006"/>
    <n v="4765723.028378359"/>
    <n v="17141621.764263038"/>
    <n v="23628732.890572567"/>
    <n v="40770354.654835604"/>
    <n v="20062643.259"/>
    <n v="28092849.912999999"/>
    <n v="48155493.171999998"/>
    <n v="2863941.8089999999"/>
    <n v="3510119.8709999998"/>
    <n v="6374061.6799999997"/>
    <n v="22926585.068"/>
    <n v="31602969.784000002"/>
    <n v="54529554.851999998"/>
  </r>
  <r>
    <x v="103"/>
    <n v="306699"/>
    <n v="424127"/>
    <n v="730826"/>
    <n v="29378"/>
    <n v="35320"/>
    <n v="64698"/>
    <n v="336077"/>
    <n v="459447"/>
    <n v="795524"/>
    <n v="20023786872"/>
    <n v="27978911712"/>
    <n v="48002698584"/>
    <n v="2851866179"/>
    <n v="3504848284"/>
    <n v="6356714463"/>
    <n v="22875653051"/>
    <n v="31483759996"/>
    <n v="54359413047"/>
    <n v="96.692182329999994"/>
    <n v="129.01505570699999"/>
    <n v="1.3342863155853233"/>
    <n v="15007114.019014718"/>
    <n v="20969196.330044232"/>
    <n v="35976310.349058941"/>
    <n v="2137371.976080671"/>
    <n v="2626758.7721324242"/>
    <n v="4764130.7482130947"/>
    <n v="17144485.995095387"/>
    <n v="23595955.102176655"/>
    <n v="40740441.097272038"/>
    <n v="20023786.872000001"/>
    <n v="27978911.712000001"/>
    <n v="48002698.583999999"/>
    <n v="2851866.179"/>
    <n v="3504848.284"/>
    <n v="6356714.4630000005"/>
    <n v="22875653.050999999"/>
    <n v="31483759.995999999"/>
    <n v="54359413.046999998"/>
  </r>
  <r>
    <x v="104"/>
    <n v="308300"/>
    <n v="424388"/>
    <n v="732688"/>
    <n v="29336"/>
    <n v="35219"/>
    <n v="64555"/>
    <n v="337636"/>
    <n v="459607"/>
    <n v="797243"/>
    <n v="20054637783"/>
    <n v="27879944389"/>
    <n v="47934582172"/>
    <n v="2844920296"/>
    <n v="3489106291"/>
    <n v="6334026587"/>
    <n v="22899558079"/>
    <n v="31369050680"/>
    <n v="54268608759"/>
    <n v="97.061786810000001"/>
    <n v="129.01505570699999"/>
    <n v="1.3292054468309864"/>
    <n v="15087688.536646528"/>
    <n v="20974894.78053955"/>
    <n v="36062583.31718608"/>
    <n v="2140316.4595681517"/>
    <n v="2624956.3596948255"/>
    <n v="4765272.8192629777"/>
    <n v="17228004.99621468"/>
    <n v="23599851.140234377"/>
    <n v="40827856.136449061"/>
    <n v="20054637.783"/>
    <n v="27879944.388999999"/>
    <n v="47934582.171999998"/>
    <n v="2844920.2960000001"/>
    <n v="3489106.2910000002"/>
    <n v="6334026.5870000003"/>
    <n v="22899558.079"/>
    <n v="31369050.68"/>
    <n v="54268608.759000003"/>
  </r>
  <r>
    <x v="105"/>
    <n v="310215"/>
    <n v="427169"/>
    <n v="737384"/>
    <n v="29366"/>
    <n v="35233"/>
    <n v="64599"/>
    <n v="339581"/>
    <n v="462402"/>
    <n v="801983"/>
    <n v="20253871109"/>
    <n v="28196861346"/>
    <n v="48450732455"/>
    <n v="2843535737"/>
    <n v="3493294386"/>
    <n v="6336830123"/>
    <n v="23097406846"/>
    <n v="31690155732"/>
    <n v="54787562578"/>
    <n v="97.29417085"/>
    <n v="129.01505570699999"/>
    <n v="1.3260306817959793"/>
    <n v="15274059.180567455"/>
    <n v="21264109.294824235"/>
    <n v="36538168.475391693"/>
    <n v="2144396.6388083179"/>
    <n v="2634399.3649292286"/>
    <n v="4778796.0037375465"/>
    <n v="17418455.819375776"/>
    <n v="23898508.659753464"/>
    <n v="41316964.479129232"/>
    <n v="20253871.109000001"/>
    <n v="28196861.346000001"/>
    <n v="48450732.454999998"/>
    <n v="2843535.7370000002"/>
    <n v="3493294.3859999999"/>
    <n v="6336830.1229999997"/>
    <n v="23097406.846000001"/>
    <n v="31690155.732000001"/>
    <n v="54787562.578000002"/>
  </r>
  <r>
    <x v="106"/>
    <n v="312104"/>
    <n v="429990"/>
    <n v="742094"/>
    <n v="29372"/>
    <n v="35231"/>
    <n v="64603"/>
    <n v="341476"/>
    <n v="465221"/>
    <n v="806697"/>
    <n v="20421904558"/>
    <n v="28398884397"/>
    <n v="48820788955"/>
    <n v="2844504024"/>
    <n v="3489339557"/>
    <n v="6333843581"/>
    <n v="23266408582"/>
    <n v="31888223954"/>
    <n v="55154632536"/>
    <n v="97.417611260000001"/>
    <n v="129.01505570699999"/>
    <n v="1.3243504335439809"/>
    <n v="15420317.79560844"/>
    <n v="21443632.801179502"/>
    <n v="36863950.596787944"/>
    <n v="2147848.4485319084"/>
    <n v="2634755.4760581586"/>
    <n v="4782603.924590067"/>
    <n v="17568166.244140346"/>
    <n v="24078388.277237661"/>
    <n v="41646554.521378003"/>
    <n v="20421904.557999998"/>
    <n v="28398884.397"/>
    <n v="48820788.954999998"/>
    <n v="2844504.0240000002"/>
    <n v="3489339.557"/>
    <n v="6333843.5810000002"/>
    <n v="23266408.581999999"/>
    <n v="31888223.954"/>
    <n v="55154632.535999998"/>
  </r>
  <r>
    <x v="107"/>
    <n v="313616"/>
    <n v="432504"/>
    <n v="746120"/>
    <n v="29496"/>
    <n v="35330"/>
    <n v="64826"/>
    <n v="343112"/>
    <n v="467834"/>
    <n v="810946"/>
    <n v="20410585299"/>
    <n v="28506998823"/>
    <n v="48917584122"/>
    <n v="2850199068"/>
    <n v="3494063541"/>
    <n v="6344262609"/>
    <n v="23260784367"/>
    <n v="32001062364"/>
    <n v="55261846731"/>
    <n v="97.037847170000006"/>
    <n v="129.01505570699999"/>
    <n v="1.3295333673363476"/>
    <n v="15351690.901817355"/>
    <n v="21441356.436290368"/>
    <n v="36793047.33810772"/>
    <n v="2143758.9593634862"/>
    <n v="2628037.4955915385"/>
    <n v="4771796.4549550246"/>
    <n v="17495449.861180842"/>
    <n v="24069393.931881905"/>
    <n v="41564843.793062747"/>
    <n v="20410585.298999999"/>
    <n v="28506998.822999999"/>
    <n v="48917584.122000001"/>
    <n v="2850199.068"/>
    <n v="3494063.5410000002"/>
    <n v="6344262.6090000002"/>
    <n v="23260784.366999999"/>
    <n v="32001062.364"/>
    <n v="55261846.730999999"/>
  </r>
  <r>
    <x v="108"/>
    <n v="316011"/>
    <n v="434836"/>
    <n v="750847"/>
    <n v="29485"/>
    <n v="35288"/>
    <n v="64773"/>
    <n v="345496"/>
    <n v="470124"/>
    <n v="815620"/>
    <n v="21475352472"/>
    <n v="29820947833"/>
    <n v="51296300305"/>
    <n v="2915674809"/>
    <n v="3569695781"/>
    <n v="6485370590"/>
    <n v="24391027281"/>
    <n v="33390643614"/>
    <n v="57781670895"/>
    <n v="97.271810860000002"/>
    <n v="129.01505570699999"/>
    <n v="1.326335498088824"/>
    <n v="16191493.40641549"/>
    <n v="22483713.868753668"/>
    <n v="38675207.275169156"/>
    <n v="2198293.5789634869"/>
    <n v="2691397.3019222771"/>
    <n v="4889690.880885764"/>
    <n v="18389786.985378977"/>
    <n v="25175111.170675948"/>
    <n v="43564898.156054921"/>
    <n v="21475352.471999999"/>
    <n v="29820947.833000001"/>
    <n v="51296300.305"/>
    <n v="2915674.8089999999"/>
    <n v="3569695.781"/>
    <n v="6485370.5899999999"/>
    <n v="24391027.280999999"/>
    <n v="33390643.614"/>
    <n v="57781670.895000003"/>
  </r>
  <r>
    <x v="109"/>
    <n v="317865"/>
    <n v="436895"/>
    <n v="754760"/>
    <n v="29535"/>
    <n v="35290"/>
    <n v="64825"/>
    <n v="347400"/>
    <n v="472185"/>
    <n v="819585"/>
    <n v="21403202716"/>
    <n v="29744478148"/>
    <n v="51147680864"/>
    <n v="2916354606"/>
    <n v="3550245569"/>
    <n v="6466600175"/>
    <n v="24319557322"/>
    <n v="33294723717"/>
    <n v="57614281039"/>
    <n v="97.468426390000005"/>
    <n v="129.01505570699999"/>
    <n v="1.3236599839087644"/>
    <n v="16169713.503611706"/>
    <n v="22471388.807996321"/>
    <n v="38641102.311608024"/>
    <n v="2203250.563931088"/>
    <n v="2682143.1577285691"/>
    <n v="4885393.7216596566"/>
    <n v="18372964.067542795"/>
    <n v="25153531.965724893"/>
    <n v="43526496.033267684"/>
    <n v="21403202.715999998"/>
    <n v="29744478.147999998"/>
    <n v="51147680.864"/>
    <n v="2916354.6060000001"/>
    <n v="3550245.5690000001"/>
    <n v="6466600.1749999998"/>
    <n v="24319557.322000001"/>
    <n v="33294723.717"/>
    <n v="57614281.038999997"/>
  </r>
  <r>
    <x v="110"/>
    <n v="319533"/>
    <n v="439139"/>
    <n v="758672"/>
    <n v="29509"/>
    <n v="35214"/>
    <n v="64723"/>
    <n v="349042"/>
    <n v="474353"/>
    <n v="823395"/>
    <n v="21478966999"/>
    <n v="29976170540"/>
    <n v="51455137539"/>
    <n v="2901995397"/>
    <n v="3535566330"/>
    <n v="6437561727"/>
    <n v="24380962396"/>
    <n v="33511736870"/>
    <n v="57892699266"/>
    <n v="97.321077840000001"/>
    <n v="129.01505570699999"/>
    <n v="1.3256640654875014"/>
    <n v="16202420.777771704"/>
    <n v="22612192.123482298"/>
    <n v="38814612.901253998"/>
    <n v="2189088.0748380371"/>
    <n v="2667015.288447022"/>
    <n v="4856103.3632850591"/>
    <n v="18391508.852609742"/>
    <n v="25279207.411929321"/>
    <n v="43670716.264539063"/>
    <n v="21478966.999000002"/>
    <n v="29976170.539999999"/>
    <n v="51455137.538999997"/>
    <n v="2901995.3969999999"/>
    <n v="3535566.33"/>
    <n v="6437561.727"/>
    <n v="24380962.396000002"/>
    <n v="33511736.870000001"/>
    <n v="57892699.266000003"/>
  </r>
  <r>
    <x v="111"/>
    <n v="321666"/>
    <n v="442652"/>
    <n v="764318"/>
    <n v="29486"/>
    <n v="35178"/>
    <n v="64664"/>
    <n v="351152"/>
    <n v="477830"/>
    <n v="828982"/>
    <n v="21719831153"/>
    <n v="30342106068"/>
    <n v="52061937221"/>
    <n v="2901994196"/>
    <n v="3546912231"/>
    <n v="6448906427"/>
    <n v="24621825349"/>
    <n v="33889018299"/>
    <n v="58510843648"/>
    <n v="97.892102530000003"/>
    <n v="129.01505570699999"/>
    <n v="1.3179311953940518"/>
    <n v="16480246.638752587"/>
    <n v="23022526.649373326"/>
    <n v="39502773.28812591"/>
    <n v="2201931.4863643735"/>
    <n v="2691272.6881311121"/>
    <n v="4893204.1744954865"/>
    <n v="18682178.125116959"/>
    <n v="25713799.337504435"/>
    <n v="44395977.462621398"/>
    <n v="21719831.153000001"/>
    <n v="30342106.068"/>
    <n v="52061937.221000001"/>
    <n v="2901994.196"/>
    <n v="3546912.2310000001"/>
    <n v="6448906.4270000001"/>
    <n v="24621825.348999999"/>
    <n v="33889018.299000002"/>
    <n v="58510843.648000002"/>
  </r>
  <r>
    <x v="112"/>
    <n v="323597"/>
    <n v="445509"/>
    <n v="769106"/>
    <n v="29463"/>
    <n v="35101"/>
    <n v="64564"/>
    <n v="353060"/>
    <n v="480610"/>
    <n v="833670"/>
    <n v="21792278573"/>
    <n v="30540621130"/>
    <n v="52332899703"/>
    <n v="2902061934"/>
    <n v="3535958880"/>
    <n v="6438020814"/>
    <n v="24694340507"/>
    <n v="34076580010"/>
    <n v="58770920517"/>
    <n v="97.97588863"/>
    <n v="129.01505570699999"/>
    <n v="1.3168041393757348"/>
    <n v="16549369.736437185"/>
    <n v="23192986.881464828"/>
    <n v="39742356.617902018"/>
    <n v="2203867.5663457424"/>
    <n v="2685258.0230164775"/>
    <n v="4889125.5893622199"/>
    <n v="18753237.302782927"/>
    <n v="25878244.904481303"/>
    <n v="44631482.207264237"/>
    <n v="21792278.572999999"/>
    <n v="30540621.129999999"/>
    <n v="52332899.703000002"/>
    <n v="2902061.9339999999"/>
    <n v="3535958.88"/>
    <n v="6438020.8140000002"/>
    <n v="24694340.506999999"/>
    <n v="34076580.009999998"/>
    <n v="58770920.516999997"/>
  </r>
  <r>
    <x v="113"/>
    <n v="325611"/>
    <n v="448472"/>
    <n v="774083"/>
    <n v="29394"/>
    <n v="35047"/>
    <n v="64441"/>
    <n v="355005"/>
    <n v="483519"/>
    <n v="838524"/>
    <n v="21952336185"/>
    <n v="30810925061"/>
    <n v="52763261246"/>
    <n v="2890050152"/>
    <n v="3527621344"/>
    <n v="6417671496"/>
    <n v="24842386337"/>
    <n v="34338546405"/>
    <n v="59180932742"/>
    <n v="98.120592090000002"/>
    <n v="129.01505570699999"/>
    <n v="1.3148621809034986"/>
    <n v="16695541.55851954"/>
    <n v="23432817.148812115"/>
    <n v="40128358.707331657"/>
    <n v="2197987.130494636"/>
    <n v="2682882.9631224307"/>
    <n v="4880870.0936170677"/>
    <n v="18893528.689014178"/>
    <n v="26115700.111934546"/>
    <n v="45009228.800948724"/>
    <n v="21952336.184999999"/>
    <n v="30810925.061000001"/>
    <n v="52763261.245999999"/>
    <n v="2890050.1519999998"/>
    <n v="3527621.344"/>
    <n v="6417671.4960000003"/>
    <n v="24842386.337000001"/>
    <n v="34338546.405000001"/>
    <n v="59180932.741999999"/>
  </r>
  <r>
    <x v="114"/>
    <n v="327550"/>
    <n v="451178"/>
    <n v="778728"/>
    <n v="29405"/>
    <n v="35049"/>
    <n v="64454"/>
    <n v="356955"/>
    <n v="486227"/>
    <n v="843182"/>
    <n v="22079706386"/>
    <n v="31016005504"/>
    <n v="53095711890"/>
    <n v="2896976921"/>
    <n v="3527121043"/>
    <n v="6424097964"/>
    <n v="24976683307"/>
    <n v="34543126547"/>
    <n v="59519809854"/>
    <n v="98.572460250000006"/>
    <n v="129.01505570699999"/>
    <n v="1.3088346925682011"/>
    <n v="16869744.140625663"/>
    <n v="23697420.063904528"/>
    <n v="40567164.204530187"/>
    <n v="2213401.6904117502"/>
    <n v="2694856.0143061825"/>
    <n v="4908257.7047179323"/>
    <n v="19083145.831037413"/>
    <n v="26392276.078210708"/>
    <n v="45475421.909248121"/>
    <n v="22079706.386"/>
    <n v="31016005.504000001"/>
    <n v="53095711.890000001"/>
    <n v="2896976.9210000001"/>
    <n v="3527121.0430000001"/>
    <n v="6424097.9639999997"/>
    <n v="24976683.307"/>
    <n v="34543126.546999998"/>
    <n v="59519809.854000002"/>
  </r>
  <r>
    <x v="115"/>
    <n v="329547"/>
    <n v="453700"/>
    <n v="783247"/>
    <n v="29490"/>
    <n v="35033"/>
    <n v="64523"/>
    <n v="359037"/>
    <n v="488733"/>
    <n v="847770"/>
    <n v="22141134330"/>
    <n v="30974827267"/>
    <n v="53115961597"/>
    <n v="2906061927"/>
    <n v="3521235328"/>
    <n v="6427297255"/>
    <n v="25047196257"/>
    <n v="34496062595"/>
    <n v="59543258852"/>
    <n v="98.616791239999998"/>
    <n v="129.01505570699999"/>
    <n v="1.3082463349777917"/>
    <n v="16924285.387259163"/>
    <n v="23676601.599289645"/>
    <n v="40600886.986548811"/>
    <n v="2221341.5389001127"/>
    <n v="2691569.0370038566"/>
    <n v="4912910.5759039698"/>
    <n v="19145626.926159278"/>
    <n v="26368170.636293504"/>
    <n v="45513797.562452778"/>
    <n v="22141134.329999998"/>
    <n v="30974827.267000001"/>
    <n v="53115961.597000003"/>
    <n v="2906061.9270000001"/>
    <n v="3521235.3280000002"/>
    <n v="6427297.2549999999"/>
    <n v="25047196.256999999"/>
    <n v="34496062.594999999"/>
    <n v="59543258.851999998"/>
  </r>
  <r>
    <x v="116"/>
    <n v="332732"/>
    <n v="458631"/>
    <n v="791363"/>
    <n v="29743"/>
    <n v="35283"/>
    <n v="65026"/>
    <n v="362475"/>
    <n v="493914"/>
    <n v="856389"/>
    <n v="22568380043"/>
    <n v="31717601551"/>
    <n v="54285981594"/>
    <n v="2952555039"/>
    <n v="3578391634"/>
    <n v="6530946673"/>
    <n v="25520935082"/>
    <n v="35295993185"/>
    <n v="60816928267"/>
    <n v="98.818593930000006"/>
    <n v="129.01505570699999"/>
    <n v="1.3055746957742609"/>
    <n v="17286165.330905098"/>
    <n v="24293976.93878413"/>
    <n v="41580142.269689232"/>
    <n v="2261498.3643268379"/>
    <n v="2740855.5370919337"/>
    <n v="5002353.9014187716"/>
    <n v="19547663.695231937"/>
    <n v="27034832.475876063"/>
    <n v="46582496.171108"/>
    <n v="22568380.043000001"/>
    <n v="31717601.550999999"/>
    <n v="54285981.593999997"/>
    <n v="2952555.0389999999"/>
    <n v="3578391.6340000001"/>
    <n v="6530946.6730000004"/>
    <n v="25520935.081999999"/>
    <n v="35295993.185000002"/>
    <n v="60816928.266999997"/>
  </r>
  <r>
    <x v="117"/>
    <n v="336427"/>
    <n v="464449"/>
    <n v="800876"/>
    <n v="29988"/>
    <n v="35549"/>
    <n v="65537"/>
    <n v="366415"/>
    <n v="499998"/>
    <n v="866413"/>
    <n v="22802667324"/>
    <n v="32183666956"/>
    <n v="54986334280"/>
    <n v="2955326007"/>
    <n v="3587054371"/>
    <n v="6542380378"/>
    <n v="25757993331"/>
    <n v="35770721327"/>
    <n v="61528714658"/>
    <n v="99.131000330000006"/>
    <n v="129.01505570699999"/>
    <n v="1.3014602422805994"/>
    <n v="17520832.817790881"/>
    <n v="24728889.835008182"/>
    <n v="42249722.652799062"/>
    <n v="2270777.0172227984"/>
    <n v="2756176.68098279"/>
    <n v="5026953.6982055884"/>
    <n v="19791609.83501368"/>
    <n v="27485066.515990969"/>
    <n v="47276676.351004653"/>
    <n v="22802667.324000001"/>
    <n v="32183666.956"/>
    <n v="54986334.280000001"/>
    <n v="2955326.0070000002"/>
    <n v="3587054.3709999998"/>
    <n v="6542380.3779999996"/>
    <n v="25757993.331"/>
    <n v="35770721.327"/>
    <n v="61528714.658"/>
  </r>
  <r>
    <x v="118"/>
    <n v="339383"/>
    <n v="468409"/>
    <n v="807792"/>
    <n v="30386"/>
    <n v="35884"/>
    <n v="66270"/>
    <n v="369769"/>
    <n v="504293"/>
    <n v="874062"/>
    <n v="22971107954"/>
    <n v="32299686549"/>
    <n v="55270794503"/>
    <n v="2998856462"/>
    <n v="3628450113"/>
    <n v="6627306575"/>
    <n v="25969964416"/>
    <n v="35928136662"/>
    <n v="61898101078"/>
    <n v="99.408296890000003"/>
    <n v="129.01505570699999"/>
    <n v="1.2978298566945701"/>
    <n v="17699629.759254333"/>
    <n v="24887458.384771448"/>
    <n v="42587088.14402578"/>
    <n v="2310669.9591869134"/>
    <n v="2795782.586048115"/>
    <n v="5106452.5452350294"/>
    <n v="20010299.718441244"/>
    <n v="27683240.970819563"/>
    <n v="47693540.689260811"/>
    <n v="22971107.954"/>
    <n v="32299686.548999999"/>
    <n v="55270794.502999999"/>
    <n v="2998856.4619999998"/>
    <n v="3628450.1129999999"/>
    <n v="6627306.5750000002"/>
    <n v="25969964.416000001"/>
    <n v="35928136.662"/>
    <n v="61898101.078000002"/>
  </r>
  <r>
    <x v="119"/>
    <n v="342712"/>
    <n v="471975"/>
    <n v="814687"/>
    <n v="30563"/>
    <n v="36044"/>
    <n v="66607"/>
    <n v="373275"/>
    <n v="508019"/>
    <n v="881294"/>
    <n v="23198800916"/>
    <n v="32539504044"/>
    <n v="55738304960"/>
    <n v="2990751458"/>
    <n v="3624529981"/>
    <n v="6615281439"/>
    <n v="26189552374"/>
    <n v="36164034025"/>
    <n v="62353586399"/>
    <n v="99.510759739999997"/>
    <n v="129.01505570699999"/>
    <n v="1.2964935253643757"/>
    <n v="17893495.387476034"/>
    <n v="25098084.492828354"/>
    <n v="42991579.880304389"/>
    <n v="2306800.1493948516"/>
    <n v="2795640.6338252532"/>
    <n v="5102440.7832201049"/>
    <n v="20200295.536870889"/>
    <n v="27893725.126653608"/>
    <n v="48094020.663524494"/>
    <n v="23198800.916000001"/>
    <n v="32539504.044"/>
    <n v="55738304.960000001"/>
    <n v="2990751.4580000001"/>
    <n v="3624529.9810000001"/>
    <n v="6615281.4390000002"/>
    <n v="26189552.374000002"/>
    <n v="36164034.024999999"/>
    <n v="62353586.398999996"/>
  </r>
  <r>
    <x v="120"/>
    <n v="346201"/>
    <n v="475671"/>
    <n v="821872"/>
    <n v="30697"/>
    <n v="36149"/>
    <n v="66846"/>
    <n v="376898"/>
    <n v="511820"/>
    <n v="888718"/>
    <n v="24308135318"/>
    <n v="34093858626"/>
    <n v="58401993944"/>
    <n v="3080056038"/>
    <n v="3714883039"/>
    <n v="6794939077"/>
    <n v="27388191356"/>
    <n v="37808741665"/>
    <n v="65196933021"/>
    <n v="99.863231380000002"/>
    <n v="129.01505570699999"/>
    <n v="1.2919174947991752"/>
    <n v="18815547.754292645"/>
    <n v="26390120.702947669"/>
    <n v="45205668.457240313"/>
    <n v="2384096.5467216512"/>
    <n v="2875480.0937017016"/>
    <n v="5259576.6404233528"/>
    <n v="21199644.301014297"/>
    <n v="29265600.79664937"/>
    <n v="50465245.097663663"/>
    <n v="24308135.318"/>
    <n v="34093858.626000002"/>
    <n v="58401993.943999998"/>
    <n v="3080056.0380000002"/>
    <n v="3714883.0389999999"/>
    <n v="6794939.0769999996"/>
    <n v="27388191.355999999"/>
    <n v="37808741.664999999"/>
    <n v="65196933.020999998"/>
  </r>
  <r>
    <x v="121"/>
    <n v="349112"/>
    <n v="478874"/>
    <n v="827986"/>
    <n v="30737"/>
    <n v="36176"/>
    <n v="66913"/>
    <n v="379849"/>
    <n v="515050"/>
    <n v="894899"/>
    <n v="24476822149"/>
    <n v="34336824353"/>
    <n v="58813646502"/>
    <n v="3072001505"/>
    <n v="3702232916"/>
    <n v="6774234421"/>
    <n v="27548823654"/>
    <n v="38039057269"/>
    <n v="65587880923"/>
    <n v="100.0348635"/>
    <n v="129.01505570699999"/>
    <n v="1.2897009221889926"/>
    <n v="18978680.814972054"/>
    <n v="26623865.86086994"/>
    <n v="45602546.675841995"/>
    <n v="2381948.7542785751"/>
    <n v="2870613.5293105384"/>
    <n v="5252562.2835891135"/>
    <n v="21360629.569250628"/>
    <n v="29494479.39018048"/>
    <n v="50855108.959431104"/>
    <n v="24476822.149"/>
    <n v="34336824.353"/>
    <n v="58813646.501999997"/>
    <n v="3072001.5049999999"/>
    <n v="3702232.9160000002"/>
    <n v="6774234.4210000001"/>
    <n v="27548823.653999999"/>
    <n v="38039057.269000001"/>
    <n v="65587880.923"/>
  </r>
  <r>
    <x v="122"/>
    <n v="351534"/>
    <n v="481641"/>
    <n v="833175"/>
    <n v="30718"/>
    <n v="36125"/>
    <n v="66843"/>
    <n v="382252"/>
    <n v="517766"/>
    <n v="900018"/>
    <n v="24601059805"/>
    <n v="34595251151"/>
    <n v="59196310956"/>
    <n v="3063034327"/>
    <n v="3685154648"/>
    <n v="6748188975"/>
    <n v="27664094132"/>
    <n v="38280405799"/>
    <n v="65944499931"/>
    <n v="100.3748626"/>
    <n v="129.01505570699999"/>
    <n v="1.2853323268907766"/>
    <n v="19139843.67335571"/>
    <n v="26915413.568322856"/>
    <n v="46055257.241678566"/>
    <n v="2383067.9917694833"/>
    <n v="2867083.1433255882"/>
    <n v="5250151.135095072"/>
    <n v="21522911.665125191"/>
    <n v="29782496.711648446"/>
    <n v="51305408.376773633"/>
    <n v="24601059.805"/>
    <n v="34595251.151000001"/>
    <n v="59196310.956"/>
    <n v="3063034.327"/>
    <n v="3685154.648"/>
    <n v="6748188.9749999996"/>
    <n v="27664094.131999999"/>
    <n v="38280405.799000002"/>
    <n v="65944499.931000002"/>
  </r>
  <r>
    <x v="123"/>
    <n v="354434"/>
    <n v="485731"/>
    <n v="840165"/>
    <n v="30790"/>
    <n v="36113"/>
    <n v="66903"/>
    <n v="385224"/>
    <n v="521844"/>
    <n v="907068"/>
    <n v="24857678187"/>
    <n v="35020226123"/>
    <n v="59877904310"/>
    <n v="3078110338"/>
    <n v="3694474642"/>
    <n v="6772584980"/>
    <n v="27935788525"/>
    <n v="38714700765"/>
    <n v="66650489290"/>
    <n v="100.74281120000001"/>
    <n v="129.01505570699999"/>
    <n v="1.2806378357942823"/>
    <n v="19410388.708047714"/>
    <n v="27345924.93222693"/>
    <n v="46756313.640274644"/>
    <n v="2403575.9775056797"/>
    <n v="2884870.756382579"/>
    <n v="5288446.7338882592"/>
    <n v="21813964.685553394"/>
    <n v="30230795.688609507"/>
    <n v="52044760.374162905"/>
    <n v="24857678.186999999"/>
    <n v="35020226.123000003"/>
    <n v="59877904.310000002"/>
    <n v="3078110.338"/>
    <n v="3694474.642"/>
    <n v="6772584.9800000004"/>
    <n v="27935788.524999999"/>
    <n v="38714700.765000001"/>
    <n v="66650489.289999999"/>
  </r>
  <r>
    <x v="124"/>
    <n v="357070"/>
    <n v="489744"/>
    <n v="846814"/>
    <n v="30850"/>
    <n v="36146"/>
    <n v="66996"/>
    <n v="387920"/>
    <n v="525890"/>
    <n v="913810"/>
    <n v="24965162729"/>
    <n v="35365985254"/>
    <n v="60331147983"/>
    <n v="3078719754"/>
    <n v="3702426144"/>
    <n v="6781145898"/>
    <n v="28043882483"/>
    <n v="39068411398"/>
    <n v="67112293881"/>
    <n v="100.73748740000001"/>
    <n v="129.01505570699999"/>
    <n v="1.280705515263824"/>
    <n v="19493288.996930104"/>
    <n v="27614455.339262471"/>
    <n v="47107744.336192571"/>
    <n v="2403924.8034047754"/>
    <n v="2890926.9928749418"/>
    <n v="5294851.7962797172"/>
    <n v="21897213.800334882"/>
    <n v="30505382.332137413"/>
    <n v="52402596.132472292"/>
    <n v="24965162.728999998"/>
    <n v="35365985.254000001"/>
    <n v="60331147.983000003"/>
    <n v="3078719.7540000002"/>
    <n v="3702426.1439999999"/>
    <n v="6781145.898"/>
    <n v="28043882.482999999"/>
    <n v="39068411.398000002"/>
    <n v="67112293.880999997"/>
  </r>
  <r>
    <x v="125"/>
    <n v="360031"/>
    <n v="493400"/>
    <n v="853431"/>
    <n v="30827"/>
    <n v="36075"/>
    <n v="66902"/>
    <n v="390858"/>
    <n v="529475"/>
    <n v="920333"/>
    <n v="25299169172"/>
    <n v="35673355039"/>
    <n v="60972524211"/>
    <n v="3082278029"/>
    <n v="3691981415"/>
    <n v="6774259444"/>
    <n v="28381447201"/>
    <n v="39365336454"/>
    <n v="67746783655"/>
    <n v="100.63564100000001"/>
    <n v="129.01505570699999"/>
    <n v="1.2820016290948053"/>
    <n v="19734116.242787629"/>
    <n v="27826294.623500764"/>
    <n v="47560410.866288394"/>
    <n v="2404269.9783278219"/>
    <n v="2879857.0385646317"/>
    <n v="5284127.0168924546"/>
    <n v="22138386.221115451"/>
    <n v="30706151.662065394"/>
    <n v="52844537.883180849"/>
    <n v="25299169.171999998"/>
    <n v="35673355.038999997"/>
    <n v="60972524.211000003"/>
    <n v="3082278.0290000001"/>
    <n v="3691981.415"/>
    <n v="6774259.4440000001"/>
    <n v="28381447.201000001"/>
    <n v="39365336.454000004"/>
    <n v="67746783.655000001"/>
  </r>
  <r>
    <x v="126"/>
    <n v="362514"/>
    <n v="496897"/>
    <n v="859411"/>
    <n v="30910"/>
    <n v="36096"/>
    <n v="67006"/>
    <n v="393424"/>
    <n v="532993"/>
    <n v="926417"/>
    <n v="25431251421"/>
    <n v="36058491905"/>
    <n v="61489743326"/>
    <n v="3101534964"/>
    <n v="3706589951"/>
    <n v="6808124915"/>
    <n v="28532786385"/>
    <n v="39765081856"/>
    <n v="68297868241"/>
    <n v="100.748087958"/>
    <n v="129.01505570699999"/>
    <n v="1.2805707614102211"/>
    <n v="19859309.760433685"/>
    <n v="28158140.87875222"/>
    <n v="48017450.639185905"/>
    <n v="2421994.2056028615"/>
    <n v="2894482.7280908236"/>
    <n v="5316476.9336936856"/>
    <n v="22281303.966036547"/>
    <n v="31052623.606843039"/>
    <n v="53333927.57287959"/>
    <n v="25431251.421"/>
    <n v="36058491.905000001"/>
    <n v="61489743.325999998"/>
    <n v="3101534.9640000002"/>
    <n v="3706589.9509999999"/>
    <n v="6808124.915"/>
    <n v="28532786.385000002"/>
    <n v="39765081.855999999"/>
    <n v="68297868.240999997"/>
  </r>
  <r>
    <x v="127"/>
    <n v="365127"/>
    <n v="499418"/>
    <n v="864545"/>
    <n v="30991"/>
    <n v="36240"/>
    <n v="67231"/>
    <n v="396118"/>
    <n v="535658"/>
    <n v="931776"/>
    <n v="25518935997"/>
    <n v="35798638282"/>
    <n v="61317574279"/>
    <n v="3104254860"/>
    <n v="3721033081"/>
    <n v="6825287941"/>
    <n v="28623190857"/>
    <n v="39519671363"/>
    <n v="68142862220"/>
    <n v="100.79463698399999"/>
    <n v="129.01505570699999"/>
    <n v="1.2799793676272644"/>
    <n v="19936990.112821277"/>
    <n v="27968136.977364715"/>
    <n v="47905127.090186"/>
    <n v="2425238.2018894954"/>
    <n v="2907103.9542596606"/>
    <n v="5332342.1561491555"/>
    <n v="22362228.314710774"/>
    <n v="30875240.931624379"/>
    <n v="53237469.246335149"/>
    <n v="25518935.997000001"/>
    <n v="35798638.281999998"/>
    <n v="61317574.278999999"/>
    <n v="3104254.86"/>
    <n v="3721033.0809999998"/>
    <n v="6825287.9409999996"/>
    <n v="28623190.857000001"/>
    <n v="39519671.362999998"/>
    <n v="68142862.219999999"/>
  </r>
  <r>
    <x v="128"/>
    <n v="368185"/>
    <n v="503074"/>
    <n v="871259"/>
    <n v="31236"/>
    <n v="36473"/>
    <n v="67709"/>
    <n v="399421"/>
    <n v="539547"/>
    <n v="938968"/>
    <n v="25777105260"/>
    <n v="36244202856"/>
    <n v="62021308116"/>
    <n v="3131110402"/>
    <n v="3743192044"/>
    <n v="6874302446"/>
    <n v="28908215662"/>
    <n v="39987394900"/>
    <n v="68895610562"/>
    <n v="101.272680897"/>
    <n v="129.01505570699999"/>
    <n v="1.273937399151263"/>
    <n v="20234200.893366907"/>
    <n v="28450536.800432287"/>
    <n v="48684737.69379919"/>
    <n v="2457821.2430893732"/>
    <n v="2938285.701082197"/>
    <n v="5396106.9441715712"/>
    <n v="22692022.136456281"/>
    <n v="31388822.50151448"/>
    <n v="54080844.63797076"/>
    <n v="25777105.260000002"/>
    <n v="36244202.855999999"/>
    <n v="62021308.115999997"/>
    <n v="3131110.4019999998"/>
    <n v="3743192.0440000002"/>
    <n v="6874302.4460000005"/>
    <n v="28908215.662"/>
    <n v="39987394.899999999"/>
    <n v="68895610.562000006"/>
  </r>
  <r>
    <x v="129"/>
    <n v="370802"/>
    <n v="506604"/>
    <n v="877406"/>
    <n v="31411"/>
    <n v="36631"/>
    <n v="68042"/>
    <n v="402213"/>
    <n v="543235"/>
    <n v="945448"/>
    <n v="25931350271"/>
    <n v="36495616800"/>
    <n v="62426967071"/>
    <n v="3138435683"/>
    <n v="3744336974"/>
    <n v="6882772657"/>
    <n v="29069785954"/>
    <n v="40239953774"/>
    <n v="69309739728"/>
    <n v="101.536606212"/>
    <n v="129.01505570699999"/>
    <n v="1.2706260384321619"/>
    <n v="20408325.885558706"/>
    <n v="28722547.544383951"/>
    <n v="49130873.42994266"/>
    <n v="2469991.6325282827"/>
    <n v="2946844.2017921926"/>
    <n v="5416835.8343204753"/>
    <n v="22878317.518086985"/>
    <n v="31669391.746176142"/>
    <n v="54547709.264263131"/>
    <n v="25931350.271000002"/>
    <n v="36495616.799999997"/>
    <n v="62426967.071000002"/>
    <n v="3138435.6830000002"/>
    <n v="3744336.9739999999"/>
    <n v="6882772.6569999997"/>
    <n v="29069785.954"/>
    <n v="40239953.773999996"/>
    <n v="69309739.728"/>
  </r>
  <r>
    <x v="130"/>
    <n v="373627"/>
    <n v="510020"/>
    <n v="883647"/>
    <n v="31638"/>
    <n v="36814"/>
    <n v="68452"/>
    <n v="405265"/>
    <n v="546834"/>
    <n v="952099"/>
    <n v="26107342028"/>
    <n v="36743915141"/>
    <n v="62851257169"/>
    <n v="3158996179"/>
    <n v="3763433530"/>
    <n v="6922429709"/>
    <n v="29266338207"/>
    <n v="40507348671"/>
    <n v="69773686878"/>
    <n v="102.150333284"/>
    <n v="129.01505570699999"/>
    <n v="1.2629920193046287"/>
    <n v="20671026.917790059"/>
    <n v="29092753.223595403"/>
    <n v="49763780.141385458"/>
    <n v="2501200.4278057618"/>
    <n v="2979776.1763150734"/>
    <n v="5480976.6041208357"/>
    <n v="23172227.345595822"/>
    <n v="32072529.399910472"/>
    <n v="55244756.745506294"/>
    <n v="26107342.028000001"/>
    <n v="36743915.141000003"/>
    <n v="62851257.169"/>
    <n v="3158996.179"/>
    <n v="3763433.53"/>
    <n v="6922429.7089999998"/>
    <n v="29266338.206999999"/>
    <n v="40507348.670999996"/>
    <n v="69773686.878000006"/>
  </r>
  <r>
    <x v="131"/>
    <n v="375576"/>
    <n v="512725"/>
    <n v="888301"/>
    <n v="31723"/>
    <n v="36850"/>
    <n v="68573"/>
    <n v="407299"/>
    <n v="549575"/>
    <n v="956874"/>
    <n v="26270797719"/>
    <n v="36997395981"/>
    <n v="63268193700"/>
    <n v="3158421835"/>
    <n v="3755130694"/>
    <n v="6913552529"/>
    <n v="29429219554"/>
    <n v="40752526675"/>
    <n v="70181746229"/>
    <n v="102.200162221"/>
    <n v="129.01505570699999"/>
    <n v="1.262376232123926"/>
    <n v="20810592.793560319"/>
    <n v="29307741.257733066"/>
    <n v="50118334.051293381"/>
    <n v="2501965.5429396117"/>
    <n v="2974652.5627166298"/>
    <n v="5476618.1056562411"/>
    <n v="23312558.336499926"/>
    <n v="32282393.820449695"/>
    <n v="55594952.156949624"/>
    <n v="26270797.719000001"/>
    <n v="36997395.980999999"/>
    <n v="63268193.700000003"/>
    <n v="3158421.835"/>
    <n v="3755130.6940000001"/>
    <n v="6913552.5290000001"/>
    <n v="29429219.554000001"/>
    <n v="40752526.674999997"/>
    <n v="70181746.229000002"/>
  </r>
  <r>
    <x v="132"/>
    <n v="379973"/>
    <n v="517325"/>
    <n v="897298"/>
    <n v="32159"/>
    <n v="37208"/>
    <n v="69367"/>
    <n v="412132"/>
    <n v="554533"/>
    <n v="966665"/>
    <n v="27412672030"/>
    <n v="38788561956"/>
    <n v="66201233986"/>
    <n v="3260201037"/>
    <n v="3868175031"/>
    <n v="7128376068"/>
    <n v="30672873067"/>
    <n v="42656736987"/>
    <n v="73329610054"/>
    <n v="102.42867542899999"/>
    <n v="129.01505570699999"/>
    <n v="1.2595599344289945"/>
    <n v="21763690.064043827"/>
    <n v="30795328.507796895"/>
    <n v="52559018.571840718"/>
    <n v="2588365.1487199538"/>
    <n v="3071052.7742799218"/>
    <n v="5659417.9229998756"/>
    <n v="24352055.212763779"/>
    <n v="33866381.282076813"/>
    <n v="58218436.494840592"/>
    <n v="27412672.030000001"/>
    <n v="38788561.956"/>
    <n v="66201233.986000001"/>
    <n v="3260201.037"/>
    <n v="3868175.031"/>
    <n v="7128376.068"/>
    <n v="30672873.067000002"/>
    <n v="42656736.987000003"/>
    <n v="73329610.054000005"/>
  </r>
  <r>
    <x v="133"/>
    <n v="380060"/>
    <n v="518553"/>
    <n v="898613"/>
    <n v="31821"/>
    <n v="36864"/>
    <n v="68685"/>
    <n v="411881"/>
    <n v="555417"/>
    <n v="967298"/>
    <n v="27472775984"/>
    <n v="38944915400"/>
    <n v="66417691384"/>
    <n v="3238617377"/>
    <n v="3843231953"/>
    <n v="7081849330"/>
    <n v="30711393361"/>
    <n v="42788147353"/>
    <n v="73499540714"/>
    <n v="102.620430008"/>
    <n v="129.01505570699999"/>
    <n v="1.2572063447496988"/>
    <n v="21852240.961661424"/>
    <n v="30977345.574686598"/>
    <n v="52829586.536348023"/>
    <n v="2576042.8194822599"/>
    <n v="3056961.9450696944"/>
    <n v="5633004.7645519543"/>
    <n v="24428283.78114368"/>
    <n v="34034307.519756295"/>
    <n v="58462591.300899975"/>
    <n v="27472775.984000001"/>
    <n v="38944915.399999999"/>
    <n v="66417691.384000003"/>
    <n v="3238617.3769999999"/>
    <n v="3843231.9530000002"/>
    <n v="7081849.3300000001"/>
    <n v="30711393.361000001"/>
    <n v="42788147.353"/>
    <n v="73499540.714000002"/>
  </r>
  <r>
    <x v="134"/>
    <n v="383041"/>
    <n v="522483"/>
    <n v="905524"/>
    <n v="32069"/>
    <n v="37036"/>
    <n v="69105"/>
    <n v="415110"/>
    <n v="559519"/>
    <n v="974629"/>
    <n v="27762002280"/>
    <n v="39466839700"/>
    <n v="67228841980"/>
    <n v="3304209767"/>
    <n v="3895468836"/>
    <n v="7199678603"/>
    <n v="31066212047"/>
    <n v="43362308536"/>
    <n v="74428520583"/>
    <n v="102.632852466"/>
    <n v="129.01505570699999"/>
    <n v="1.2570541752187958"/>
    <n v="22084968.832125235"/>
    <n v="31396291.805109054"/>
    <n v="53481260.637234293"/>
    <n v="2628534.1015035314"/>
    <n v="3098886.9953214042"/>
    <n v="5727421.0968249347"/>
    <n v="24713502.933628764"/>
    <n v="34495178.800430462"/>
    <n v="59208681.734059229"/>
    <n v="27762002.280000001"/>
    <n v="39466839.700000003"/>
    <n v="67228841.980000004"/>
    <n v="3304209.767"/>
    <n v="3895468.8360000001"/>
    <n v="7199678.6030000001"/>
    <n v="31066212.046999998"/>
    <n v="43362308.535999998"/>
    <n v="74428520.583000004"/>
  </r>
  <r>
    <x v="135"/>
    <n v="385533"/>
    <n v="525564"/>
    <n v="911097"/>
    <n v="32232"/>
    <n v="37173"/>
    <n v="69405"/>
    <n v="417765"/>
    <n v="562737"/>
    <n v="980502"/>
    <n v="27901112212"/>
    <n v="39684366445"/>
    <n v="67585478657"/>
    <n v="3268601323"/>
    <n v="3877926282"/>
    <n v="7146527605"/>
    <n v="31169713535"/>
    <n v="43562292727"/>
    <n v="74732006262"/>
    <n v="103.465396218"/>
    <n v="129.01505570699999"/>
    <n v="1.2469391740903137"/>
    <n v="22375680.219008956"/>
    <n v="31825422.819000896"/>
    <n v="54201103.038009852"/>
    <n v="2621299.7321096761"/>
    <n v="3109956.2533425773"/>
    <n v="5731255.9854522534"/>
    <n v="24996979.951118633"/>
    <n v="34935379.072343476"/>
    <n v="59932359.023462102"/>
    <n v="27901112.212000001"/>
    <n v="39684366.445"/>
    <n v="67585478.657000005"/>
    <n v="3268601.3229999999"/>
    <n v="3877926.2820000001"/>
    <n v="7146527.6050000004"/>
    <n v="31169713.535"/>
    <n v="43562292.726999998"/>
    <n v="74732006.261999995"/>
  </r>
  <r>
    <x v="136"/>
    <n v="386948"/>
    <n v="528588"/>
    <n v="915536"/>
    <n v="31887"/>
    <n v="36934"/>
    <n v="68821"/>
    <n v="418835"/>
    <n v="565522"/>
    <n v="984357"/>
    <n v="27954551500"/>
    <n v="40008684036"/>
    <n v="67963235536"/>
    <n v="3244535878"/>
    <n v="3850292568"/>
    <n v="7094828446"/>
    <n v="31199087378"/>
    <n v="43858976604"/>
    <n v="75058063982"/>
    <n v="103.553177745"/>
    <n v="129.01505570699999"/>
    <n v="1.2458821497945716"/>
    <n v="22437556.798296943"/>
    <n v="32112735.576632883"/>
    <n v="54550292.374929823"/>
    <n v="2604207.6921440591"/>
    <n v="3090414.7463986534"/>
    <n v="5694622.4385427125"/>
    <n v="25041764.490441002"/>
    <n v="35203150.323031537"/>
    <n v="60244914.813472539"/>
    <n v="27954551.5"/>
    <n v="40008684.035999998"/>
    <n v="67963235.535999998"/>
    <n v="3244535.878"/>
    <n v="3850292.568"/>
    <n v="7094828.4460000005"/>
    <n v="31199087.377999999"/>
    <n v="43858976.604000002"/>
    <n v="75058063.981999993"/>
  </r>
  <r>
    <x v="137"/>
    <n v="388114"/>
    <n v="525915"/>
    <n v="914029"/>
    <n v="31630"/>
    <n v="36702"/>
    <n v="68332"/>
    <n v="419744"/>
    <n v="562617"/>
    <n v="982361"/>
    <n v="41145068046"/>
    <n v="58614815199"/>
    <n v="99759883245"/>
    <n v="4065124243"/>
    <n v="4813761620"/>
    <n v="8878885863"/>
    <n v="45210192289"/>
    <n v="63428576819"/>
    <n v="108638769108"/>
    <n v="103.65598192"/>
    <n v="129.01505570699999"/>
    <n v="1.2446465058482752"/>
    <n v="33057633.514953736"/>
    <n v="47093544.169837773"/>
    <n v="80151177.684791505"/>
    <n v="3266087.3781423257"/>
    <n v="3867573.3209239463"/>
    <n v="7133660.6990662729"/>
    <n v="36323720.89309606"/>
    <n v="50961117.490761727"/>
    <n v="87284838.383857787"/>
    <n v="41145068.045999996"/>
    <n v="58614815.199000001"/>
    <n v="99759883.245000005"/>
    <n v="4065124.2429999998"/>
    <n v="4813761.62"/>
    <n v="8878885.8629999999"/>
    <n v="45210192.288999997"/>
    <n v="63428576.818999998"/>
    <n v="108638769.108"/>
  </r>
  <r>
    <x v="138"/>
    <n v="392610"/>
    <n v="540610"/>
    <n v="933220"/>
    <n v="32309"/>
    <n v="37278"/>
    <n v="69587"/>
    <n v="424919"/>
    <n v="577888"/>
    <n v="1002807"/>
    <n v="41855011823"/>
    <n v="60801972767"/>
    <n v="102656984590"/>
    <n v="4172720449"/>
    <n v="4925404287"/>
    <n v="9098124736"/>
    <n v="46027732272"/>
    <n v="65727377054"/>
    <n v="111755109326"/>
    <n v="104.242876376"/>
    <n v="129.01505570699999"/>
    <n v="1.2376390617009425"/>
    <n v="33818431.49445913"/>
    <n v="49127386.690136574"/>
    <n v="82945818.184595704"/>
    <n v="3371516.4445967344"/>
    <n v="3979677.4677027385"/>
    <n v="7351193.9122994728"/>
    <n v="37189947.93905586"/>
    <n v="53107064.157839313"/>
    <n v="90297012.096895173"/>
    <n v="41855011.822999999"/>
    <n v="60801972.766999997"/>
    <n v="102656984.59"/>
    <n v="4172720.449"/>
    <n v="4925404.2869999995"/>
    <n v="9098124.7359999996"/>
    <n v="46027732.272"/>
    <n v="65727377.053999998"/>
    <n v="111755109.32600001"/>
  </r>
  <r>
    <x v="139"/>
    <n v="398903"/>
    <n v="546952"/>
    <n v="945855"/>
    <n v="32349"/>
    <n v="37310"/>
    <n v="69659"/>
    <n v="431252"/>
    <n v="584262"/>
    <n v="1015514"/>
    <n v="41691861558"/>
    <n v="60218816060"/>
    <n v="101910677618"/>
    <n v="4127753277"/>
    <n v="4865028026"/>
    <n v="8992781303"/>
    <n v="45819614835"/>
    <n v="65083844086"/>
    <n v="110903458921"/>
    <n v="104.710269657"/>
    <n v="129.01505570699999"/>
    <n v="1.2321146352656269"/>
    <n v="33837648.190106764"/>
    <n v="48874361.47288166"/>
    <n v="82712009.662988439"/>
    <n v="3350137.36454004"/>
    <n v="3948518.9825305231"/>
    <n v="7298656.3470705636"/>
    <n v="37187785.554646805"/>
    <n v="52822880.455412187"/>
    <n v="90010666.010058984"/>
    <n v="41691861.557999998"/>
    <n v="60218816.060000002"/>
    <n v="101910677.618"/>
    <n v="4127753.2769999998"/>
    <n v="4865028.0259999996"/>
    <n v="8992781.3029999994"/>
    <n v="45819614.835000001"/>
    <n v="65083844.086000003"/>
    <n v="110903458.921"/>
  </r>
  <r>
    <x v="140"/>
    <n v="408322"/>
    <n v="555640"/>
    <n v="963962"/>
    <n v="32685"/>
    <n v="37607"/>
    <n v="70292"/>
    <n v="441007"/>
    <n v="593247"/>
    <n v="1034254"/>
    <n v="42411382586"/>
    <n v="61074740948"/>
    <n v="103486123534"/>
    <n v="4146596031"/>
    <n v="4888172823"/>
    <n v="9034768854"/>
    <n v="46557978617"/>
    <n v="65962913771"/>
    <n v="112520892388"/>
    <n v="105.056432253"/>
    <n v="129.01505570699999"/>
    <n v="1.2280547981707786"/>
    <n v="34535415.397727303"/>
    <n v="49732911.787790336"/>
    <n v="84268327.185517639"/>
    <n v="3376556.190470058"/>
    <n v="3980419.1395050678"/>
    <n v="7356975.3299751254"/>
    <n v="37911971.588197358"/>
    <n v="53713330.927295409"/>
    <n v="91625302.515492767"/>
    <n v="42411382.586000003"/>
    <n v="61074740.947999999"/>
    <n v="103486123.53399999"/>
    <n v="4146596.031"/>
    <n v="4888172.8229999999"/>
    <n v="9034768.8540000003"/>
    <n v="46557978.616999999"/>
    <n v="65962913.770999998"/>
    <n v="112520892.388"/>
  </r>
  <r>
    <x v="141"/>
    <n v="415744"/>
    <n v="565082"/>
    <n v="980826"/>
    <n v="32913"/>
    <n v="37780"/>
    <n v="70693"/>
    <n v="448657"/>
    <n v="602862"/>
    <n v="1051519"/>
    <n v="42936057123"/>
    <n v="61839544070"/>
    <n v="104775601193"/>
    <n v="4153356022"/>
    <n v="4894366209"/>
    <n v="9047722231"/>
    <n v="47089413145"/>
    <n v="66733910279"/>
    <n v="113823323424"/>
    <n v="105.013698925"/>
    <n v="129.01505570699999"/>
    <n v="1.2285545317201099"/>
    <n v="34948434.126798466"/>
    <n v="50335204.887826927"/>
    <n v="85283639.0146254"/>
    <n v="3380685.1179693672"/>
    <n v="3983841.2399548558"/>
    <n v="7364526.3579242229"/>
    <n v="38329119.244767837"/>
    <n v="54319046.127781786"/>
    <n v="92648165.372549623"/>
    <n v="42936057.123000003"/>
    <n v="61839544.07"/>
    <n v="104775601.193"/>
    <n v="4153356.0219999999"/>
    <n v="4894366.2089999998"/>
    <n v="9047722.2310000006"/>
    <n v="47089413.145000003"/>
    <n v="66733910.278999999"/>
    <n v="113823323.42399999"/>
  </r>
  <r>
    <x v="142"/>
    <n v="417174"/>
    <n v="566670"/>
    <n v="983844"/>
    <n v="33101"/>
    <n v="37953"/>
    <n v="71054"/>
    <n v="450275"/>
    <n v="604623"/>
    <n v="1054898"/>
    <n v="43068075157"/>
    <n v="62074697443"/>
    <n v="105142772600"/>
    <n v="4172313768"/>
    <n v="4910685710"/>
    <n v="9082999478"/>
    <n v="47240388925"/>
    <n v="66985383153"/>
    <n v="114225772078"/>
    <n v="104.961473516"/>
    <n v="129.01505570699999"/>
    <n v="1.2291658204220364"/>
    <n v="35038458.148968458"/>
    <n v="50501483.535953298"/>
    <n v="85539941.684921756"/>
    <n v="3394427.0973687088"/>
    <n v="3995136.8874818753"/>
    <n v="7389563.9848505836"/>
    <n v="38432885.246337168"/>
    <n v="54496620.423435174"/>
    <n v="92929505.669772342"/>
    <n v="43068075.156999998"/>
    <n v="62074697.443000004"/>
    <n v="105142772.59999999"/>
    <n v="4172313.7680000002"/>
    <n v="4910685.71"/>
    <n v="9082999.4780000001"/>
    <n v="47240388.924999997"/>
    <n v="66985383.152999997"/>
    <n v="114225772.07799999"/>
  </r>
  <r>
    <x v="143"/>
    <n v="421409"/>
    <n v="570289"/>
    <n v="991698"/>
    <n v="33326"/>
    <n v="38176"/>
    <n v="71502"/>
    <n v="454735"/>
    <n v="608465"/>
    <n v="1063200"/>
    <n v="43498026591"/>
    <n v="62544771733"/>
    <n v="106042798324"/>
    <n v="4189203947"/>
    <n v="4932858628"/>
    <n v="9122062575"/>
    <n v="47687230538"/>
    <n v="67477630361"/>
    <n v="115164860899"/>
    <n v="104.88601455600001"/>
    <n v="129.01505570699999"/>
    <n v="1.2300501287339618"/>
    <n v="35362808.047319718"/>
    <n v="50847335.626373753"/>
    <n v="86210143.673693478"/>
    <n v="3405718.0672073658"/>
    <n v="4010290.7294332641"/>
    <n v="7416008.7966406299"/>
    <n v="38768526.114527084"/>
    <n v="54857626.355807021"/>
    <n v="93626152.470334113"/>
    <n v="43498026.590999998"/>
    <n v="62544771.733000003"/>
    <n v="106042798.324"/>
    <n v="4189203.9470000002"/>
    <n v="4932858.6279999996"/>
    <n v="9122062.5749999993"/>
    <n v="47687230.538000003"/>
    <n v="67477630.361000001"/>
    <n v="115164860.899"/>
  </r>
  <r>
    <x v="144"/>
    <n v="422356"/>
    <n v="572080"/>
    <n v="994436"/>
    <n v="33396"/>
    <n v="38270"/>
    <n v="71666"/>
    <n v="455752"/>
    <n v="610350"/>
    <n v="1066102"/>
    <n v="45060808461"/>
    <n v="64938763323"/>
    <n v="109999571784"/>
    <n v="4309623730"/>
    <n v="5072761186"/>
    <n v="9382384916"/>
    <n v="49370432191"/>
    <n v="70011524509"/>
    <n v="119381956700"/>
    <n v="104.991247675"/>
    <n v="129.01505570699999"/>
    <n v="1.2288172449037429"/>
    <n v="36670065.176803209"/>
    <n v="52846559.235980488"/>
    <n v="89516624.412783712"/>
    <n v="3507131.5509879473"/>
    <n v="4128165.6869955184"/>
    <n v="7635297.2379834661"/>
    <n v="40177196.727791153"/>
    <n v="56974724.92297601"/>
    <n v="97151921.650767162"/>
    <n v="45060808.461000003"/>
    <n v="64938763.322999999"/>
    <n v="109999571.78399999"/>
    <n v="4309623.7300000004"/>
    <n v="5072761.1859999998"/>
    <n v="9382384.9159999993"/>
    <n v="49370432.191"/>
    <n v="70011524.509000003"/>
    <n v="119381956.7"/>
  </r>
  <r>
    <x v="145"/>
    <n v="424814"/>
    <n v="574464"/>
    <n v="999278"/>
    <n v="33472"/>
    <n v="38301"/>
    <n v="71773"/>
    <n v="458286"/>
    <n v="612765"/>
    <n v="1071051"/>
    <n v="45301512495"/>
    <n v="65312368182"/>
    <n v="110613880677"/>
    <n v="4314028947"/>
    <n v="5071808879"/>
    <n v="9385837826"/>
    <n v="49615541442"/>
    <n v="70384177061"/>
    <n v="119999718503"/>
    <n v="105.129937336"/>
    <n v="129.01505570699999"/>
    <n v="1.2271961629222901"/>
    <n v="36914646.462978415"/>
    <n v="53220805.406100176"/>
    <n v="90135451.869078577"/>
    <n v="3515354.0056115529"/>
    <n v="4132842.8430892695"/>
    <n v="7648196.8487008233"/>
    <n v="40430000.468589976"/>
    <n v="57353648.249189436"/>
    <n v="97783648.717779398"/>
    <n v="45301512.494999997"/>
    <n v="65312368.181999996"/>
    <n v="110613880.677"/>
    <n v="4314028.9469999997"/>
    <n v="5071808.8789999997"/>
    <n v="9385837.8259999994"/>
    <n v="49615541.442000002"/>
    <n v="70384177.061000004"/>
    <n v="119999718.50300001"/>
  </r>
  <r>
    <x v="146"/>
    <n v="428184"/>
    <n v="578357"/>
    <n v="1006541"/>
    <n v="33532"/>
    <n v="38339"/>
    <n v="71871"/>
    <n v="461716"/>
    <n v="616696"/>
    <n v="1078412"/>
    <n v="45549264078"/>
    <n v="65768817581"/>
    <n v="111318081659"/>
    <n v="4314469495"/>
    <n v="5069716406"/>
    <n v="9384185901"/>
    <n v="49863733573"/>
    <n v="70838533987"/>
    <n v="120702267560"/>
    <n v="105.797754142"/>
    <n v="129.01505570699999"/>
    <n v="1.2194498527240767"/>
    <n v="37352306.022465341"/>
    <n v="53933187.52229283"/>
    <n v="91285493.544758171"/>
    <n v="3538045.8535150844"/>
    <n v="4157379.9813702698"/>
    <n v="7695425.8348853542"/>
    <n v="40890351.875980422"/>
    <n v="58090567.5036631"/>
    <n v="98980919.37964353"/>
    <n v="45549264.078000002"/>
    <n v="65768817.581"/>
    <n v="111318081.65899999"/>
    <n v="4314469.4950000001"/>
    <n v="5069716.4060000004"/>
    <n v="9384185.9010000005"/>
    <n v="49863733.572999999"/>
    <n v="70838533.987000003"/>
    <n v="120702267.56"/>
  </r>
  <r>
    <x v="147"/>
    <n v="432062"/>
    <n v="583043"/>
    <n v="1015105"/>
    <n v="33724"/>
    <n v="38500"/>
    <n v="72224"/>
    <n v="465786"/>
    <n v="621543"/>
    <n v="1087329"/>
    <n v="45789821788"/>
    <n v="66275487600"/>
    <n v="112065309388"/>
    <n v="4318991399"/>
    <n v="5075460232"/>
    <n v="9394451631"/>
    <n v="50108813187"/>
    <n v="71350947832"/>
    <n v="121459761019"/>
    <n v="106.52430936899999"/>
    <n v="129.01505570699999"/>
    <n v="1.2111325243151034"/>
    <n v="37807441.273938365"/>
    <n v="54721912.151999101"/>
    <n v="92529353.425937459"/>
    <n v="3566076.6367763048"/>
    <n v="4190672.8868256407"/>
    <n v="7756749.5236019446"/>
    <n v="41373517.910714671"/>
    <n v="58912585.038824737"/>
    <n v="100286102.94953939"/>
    <n v="45789821.788000003"/>
    <n v="66275487.600000001"/>
    <n v="112065309.388"/>
    <n v="4318991.3990000002"/>
    <n v="5075460.2319999998"/>
    <n v="9394451.6309999991"/>
    <n v="50108813.186999999"/>
    <n v="71350947.832000002"/>
    <n v="121459761.01899999"/>
  </r>
  <r>
    <x v="148"/>
    <n v="436187"/>
    <n v="589403"/>
    <n v="1025590"/>
    <n v="34000"/>
    <n v="38626"/>
    <n v="72626"/>
    <n v="470187"/>
    <n v="628029"/>
    <n v="1098216"/>
    <n v="46130794787"/>
    <n v="67057614181"/>
    <n v="113188408968"/>
    <n v="4331358300"/>
    <n v="5074666615"/>
    <n v="9406024915"/>
    <n v="50462153087"/>
    <n v="72132280796"/>
    <n v="122594433883"/>
    <n v="106.37812172300001"/>
    <n v="129.01505570699999"/>
    <n v="1.2127968948628809"/>
    <n v="38036702.585897997"/>
    <n v="55291709.984614983"/>
    <n v="93328412.57051298"/>
    <n v="3571379.7737664101"/>
    <n v="4184267.4865800533"/>
    <n v="7755647.260346463"/>
    <n v="41608082.359664403"/>
    <n v="59475977.471195035"/>
    <n v="101084059.83085944"/>
    <n v="46130794.787"/>
    <n v="67057614.181000002"/>
    <n v="113188408.96799999"/>
    <n v="4331358.3"/>
    <n v="5074666.6150000002"/>
    <n v="9406024.9149999991"/>
    <n v="50462153.086999997"/>
    <n v="72132280.796000004"/>
    <n v="122594433.883"/>
  </r>
  <r>
    <x v="149"/>
    <n v="439776"/>
    <n v="595180"/>
    <n v="1034956"/>
    <n v="34075"/>
    <n v="38619"/>
    <n v="72694"/>
    <n v="473851"/>
    <n v="633799"/>
    <n v="1107650"/>
    <n v="46418317055"/>
    <n v="67767224565"/>
    <n v="114185541620"/>
    <n v="4326919665"/>
    <n v="5063951739"/>
    <n v="9390871404"/>
    <n v="50745236720"/>
    <n v="72831176304"/>
    <n v="123576413024"/>
    <n v="106.737540442"/>
    <n v="129.01505570699999"/>
    <n v="1.2087130279819904"/>
    <n v="38403091.536539331"/>
    <n v="56065602.832246229"/>
    <n v="94468694.36878556"/>
    <n v="3579774.1604754757"/>
    <n v="4189540.1321639861"/>
    <n v="7769314.2926394613"/>
    <n v="41982865.697014801"/>
    <n v="60255142.964410216"/>
    <n v="102238008.66142502"/>
    <n v="46418317.055"/>
    <n v="67767224.564999998"/>
    <n v="114185541.62"/>
    <n v="4326919.665"/>
    <n v="5063951.7390000001"/>
    <n v="9390871.4039999992"/>
    <n v="50745236.719999999"/>
    <n v="72831176.304000005"/>
    <n v="123576413.024"/>
  </r>
  <r>
    <x v="150"/>
    <n v="443662"/>
    <n v="600842"/>
    <n v="1044504"/>
    <n v="34228"/>
    <n v="38683"/>
    <n v="72911"/>
    <n v="477890"/>
    <n v="639525"/>
    <n v="1117415"/>
    <n v="53183399122"/>
    <n v="76453709691"/>
    <n v="129637108813"/>
    <n v="4910795030"/>
    <n v="5716924601"/>
    <n v="10627719631"/>
    <n v="58094194152"/>
    <n v="82170634292"/>
    <n v="140264828444"/>
    <n v="107.487129776"/>
    <n v="129.01505570699999"/>
    <n v="1.2002837546770813"/>
    <n v="44309021.858175702"/>
    <n v="63696362.958414577"/>
    <n v="108005384.81659026"/>
    <n v="4091361.7391424058"/>
    <n v="4762977.5698647648"/>
    <n v="8854339.3090071697"/>
    <n v="48400383.597318113"/>
    <n v="68459340.528279334"/>
    <n v="116859724.12559745"/>
    <n v="53183399.122000001"/>
    <n v="76453709.691"/>
    <n v="129637108.81299999"/>
    <n v="4910795.03"/>
    <n v="5716924.6009999998"/>
    <n v="10627719.630999999"/>
    <n v="58094194.152000003"/>
    <n v="82170634.291999996"/>
    <n v="140264828.44400001"/>
  </r>
  <r>
    <x v="151"/>
    <n v="447257"/>
    <n v="605436"/>
    <n v="1052693"/>
    <n v="34279"/>
    <n v="38750"/>
    <n v="73029"/>
    <n v="481536"/>
    <n v="644186"/>
    <n v="1125722"/>
    <n v="53338413878"/>
    <n v="76669977293"/>
    <n v="130008391171"/>
    <n v="4911050689"/>
    <n v="5715147101"/>
    <n v="10626197790"/>
    <n v="58249464567"/>
    <n v="82385124394"/>
    <n v="140634588961"/>
    <n v="107.68630519200001"/>
    <n v="129.01505570699999"/>
    <n v="1.1980637229308939"/>
    <n v="44520514.941822201"/>
    <n v="63994907.637665316"/>
    <n v="108515422.57948752"/>
    <n v="4099156.4931002227"/>
    <n v="4770319.8015366821"/>
    <n v="8869476.2946369033"/>
    <n v="48619671.434922427"/>
    <n v="68765227.439201996"/>
    <n v="117384898.87412442"/>
    <n v="53338413.877999999"/>
    <n v="76669977.292999998"/>
    <n v="130008391.171"/>
    <n v="4911050.6890000002"/>
    <n v="5715147.1009999998"/>
    <n v="10626197.789999999"/>
    <n v="58249464.567000002"/>
    <n v="82385124.393999994"/>
    <n v="140634588.961"/>
  </r>
  <r>
    <x v="152"/>
    <n v="450099"/>
    <n v="610095"/>
    <n v="1060194"/>
    <n v="34317"/>
    <n v="38777"/>
    <n v="73094"/>
    <n v="484416"/>
    <n v="648872"/>
    <n v="1133288"/>
    <n v="53676118048"/>
    <n v="77415895508"/>
    <n v="131092013556"/>
    <n v="4918656116"/>
    <n v="5717786488"/>
    <n v="10636442604"/>
    <n v="58594774164"/>
    <n v="83133681996"/>
    <n v="141728456160"/>
    <n v="108.090507335"/>
    <n v="129.01505570699999"/>
    <n v="1.1935835892336919"/>
    <n v="44970556.341564067"/>
    <n v="64860053.544890635"/>
    <n v="109830609.8864547"/>
    <n v="4120914.664349474"/>
    <n v="4790436.5807098188"/>
    <n v="8911351.2450592946"/>
    <n v="49091471.005913533"/>
    <n v="69650490.125600442"/>
    <n v="118741961.131514"/>
    <n v="53676118.048"/>
    <n v="77415895.508000001"/>
    <n v="131092013.55599999"/>
    <n v="4918656.1160000004"/>
    <n v="5717786.4879999999"/>
    <n v="10636442.604"/>
    <n v="58594774.163999997"/>
    <n v="83133681.996000007"/>
    <n v="141728456.16"/>
  </r>
  <r>
    <x v="153"/>
    <n v="453554"/>
    <n v="615165"/>
    <n v="1068719"/>
    <n v="35231"/>
    <n v="39434"/>
    <n v="74665"/>
    <n v="488785"/>
    <n v="654599"/>
    <n v="1143384"/>
    <n v="54028183062"/>
    <n v="78157630571"/>
    <n v="132185813633"/>
    <n v="5000832295"/>
    <n v="5771753030"/>
    <n v="10772585325"/>
    <n v="59029015357"/>
    <n v="83929383601"/>
    <n v="142958398958"/>
    <n v="108.497976482"/>
    <n v="129.01505570699999"/>
    <n v="1.1891010310999099"/>
    <n v="45436158.618098512"/>
    <n v="65728334.705676571"/>
    <n v="111164493.32377507"/>
    <n v="4205557.1092847055"/>
    <n v="4853879.4257550761"/>
    <n v="9059436.5350397807"/>
    <n v="49641715.727383219"/>
    <n v="70582214.131431639"/>
    <n v="120223929.85881487"/>
    <n v="54028183.061999999"/>
    <n v="78157630.570999995"/>
    <n v="132185813.633"/>
    <n v="5000832.2949999999"/>
    <n v="5771753.0300000003"/>
    <n v="10772585.324999999"/>
    <n v="59029015.357000001"/>
    <n v="83929383.600999996"/>
    <n v="142958398.958"/>
  </r>
  <r>
    <x v="154"/>
    <n v="456843"/>
    <n v="619925"/>
    <n v="1076768"/>
    <n v="36858"/>
    <n v="40665"/>
    <n v="77523"/>
    <n v="493701"/>
    <n v="660590"/>
    <n v="1154291"/>
    <n v="54396869187"/>
    <n v="78848211272"/>
    <n v="133245080459"/>
    <n v="5119981115"/>
    <n v="5860919907"/>
    <n v="10980901022"/>
    <n v="59516850302"/>
    <n v="84709131179"/>
    <n v="144225981481"/>
    <n v="108.789464045"/>
    <n v="129.01505570699999"/>
    <n v="1.1859149857897435"/>
    <n v="45869113.586396888"/>
    <n v="66487237.463731125"/>
    <n v="112356351.05012803"/>
    <n v="4317325.5893974723"/>
    <n v="4942107.9733611783"/>
    <n v="9259433.5627586525"/>
    <n v="50186439.175794363"/>
    <n v="71429345.437092304"/>
    <n v="121615784.61288667"/>
    <n v="54396869.186999999"/>
    <n v="78848211.272"/>
    <n v="133245080.45900001"/>
    <n v="5119981.1150000002"/>
    <n v="5860919.9069999997"/>
    <n v="10980901.022"/>
    <n v="59516850.302000001"/>
    <n v="84709131.179000005"/>
    <n v="144225981.48100001"/>
  </r>
  <r>
    <x v="155"/>
    <n v="459648"/>
    <n v="624280"/>
    <n v="1083928"/>
    <n v="37901"/>
    <n v="41406"/>
    <n v="79307"/>
    <n v="497549"/>
    <n v="665686"/>
    <n v="1163235"/>
    <n v="54796786969"/>
    <n v="79580831512"/>
    <n v="134377618481"/>
    <n v="5212561692"/>
    <n v="5920938257"/>
    <n v="11133499949"/>
    <n v="60009348661"/>
    <n v="85501769769"/>
    <n v="145511118430"/>
    <n v="108.876200532"/>
    <n v="129.01505570699999"/>
    <n v="1.1849702237642004"/>
    <n v="46243176.301030934"/>
    <n v="67158507.375148997"/>
    <n v="113401683.67617993"/>
    <n v="4398896.771803827"/>
    <n v="4996697.9239287786"/>
    <n v="9395594.6957326047"/>
    <n v="50642073.072834767"/>
    <n v="72155205.299077779"/>
    <n v="122797278.37191254"/>
    <n v="54796786.968999997"/>
    <n v="79580831.511999995"/>
    <n v="134377618.48100001"/>
    <n v="5212561.6919999998"/>
    <n v="5920938.2570000002"/>
    <n v="11133499.948999999"/>
    <n v="60009348.660999998"/>
    <n v="85501769.768999994"/>
    <n v="145511118.43000001"/>
  </r>
  <r>
    <x v="156"/>
    <n v="462542"/>
    <n v="628233"/>
    <n v="1090775"/>
    <n v="38877"/>
    <n v="41969"/>
    <n v="80846"/>
    <n v="501419"/>
    <n v="670202"/>
    <n v="1171621"/>
    <n v="57942903496"/>
    <n v="84039924520"/>
    <n v="141982828016"/>
    <n v="5529047882"/>
    <n v="6212730902"/>
    <n v="11741778784"/>
    <n v="63471951378"/>
    <n v="90252655422"/>
    <n v="153724606800"/>
    <n v="109.757009083"/>
    <n v="129.01505570699999"/>
    <n v="1.175460745376514"/>
    <n v="49293780.097641803"/>
    <n v="71495305.011722028"/>
    <n v="120789085.10936382"/>
    <n v="4703728.2221015217"/>
    <n v="5285358.0406123968"/>
    <n v="9989086.2627139185"/>
    <n v="53997508.31974332"/>
    <n v="76780663.052334428"/>
    <n v="130778171.37207775"/>
    <n v="57942903.495999999"/>
    <n v="84039924.519999996"/>
    <n v="141982828.016"/>
    <n v="5529047.8820000002"/>
    <n v="6212730.9019999998"/>
    <n v="11741778.784"/>
    <n v="63471951.377999999"/>
    <n v="90252655.422000006"/>
    <n v="153724606.80000001"/>
  </r>
  <r>
    <x v="157"/>
    <n v="464709"/>
    <n v="632311"/>
    <n v="1097020"/>
    <n v="39447"/>
    <n v="42296"/>
    <n v="81743"/>
    <n v="504156"/>
    <n v="674607"/>
    <n v="1178763"/>
    <n v="58620563781"/>
    <n v="84989369709"/>
    <n v="143609933490"/>
    <n v="5611771380"/>
    <n v="6258263341"/>
    <n v="11870034721"/>
    <n v="64232335161"/>
    <n v="91247633050"/>
    <n v="155479968211"/>
    <n v="110.15137928"/>
    <n v="129.01505570699999"/>
    <n v="1.1712522943453059"/>
    <n v="50049476.158138156"/>
    <n v="72562820.255994841"/>
    <n v="122612296.41413301"/>
    <n v="4791257.5344296834"/>
    <n v="5343223.9759224355"/>
    <n v="10134481.51035212"/>
    <n v="54840733.69256784"/>
    <n v="77906044.231917277"/>
    <n v="132746777.92448512"/>
    <n v="58620563.781000003"/>
    <n v="84989369.709000006"/>
    <n v="143609933.49000001"/>
    <n v="5611771.3799999999"/>
    <n v="6258263.341"/>
    <n v="11870034.721000001"/>
    <n v="64232335.160999998"/>
    <n v="91247633.049999997"/>
    <n v="155479968.211"/>
  </r>
  <r>
    <x v="158"/>
    <n v="469874"/>
    <n v="638396"/>
    <n v="1108270"/>
    <n v="39831"/>
    <n v="42481"/>
    <n v="82312"/>
    <n v="509705"/>
    <n v="680877"/>
    <n v="1190582"/>
    <n v="59428030621"/>
    <n v="86059222452"/>
    <n v="145487253073"/>
    <n v="5658189626"/>
    <n v="6273838030"/>
    <n v="11932027656"/>
    <n v="65086220247"/>
    <n v="92333060482"/>
    <n v="157419280729"/>
    <n v="111.448827579"/>
    <n v="129.01505570699999"/>
    <n v="1.1576169844904671"/>
    <n v="51336522.716239899"/>
    <n v="74341706.803722784"/>
    <n v="125678229.51996268"/>
    <n v="4887790.7821044028"/>
    <n v="5419614.7033567168"/>
    <n v="10307405.48546112"/>
    <n v="56224313.49834431"/>
    <n v="79761321.507079482"/>
    <n v="135985635.00542378"/>
    <n v="59428030.620999999"/>
    <n v="86059222.452000007"/>
    <n v="145487253.07300001"/>
    <n v="5658189.6260000002"/>
    <n v="6273838.0300000003"/>
    <n v="11932027.655999999"/>
    <n v="65086220.247000001"/>
    <n v="92333060.481999993"/>
    <n v="157419280.729"/>
  </r>
  <r>
    <x v="159"/>
    <n v="475311"/>
    <n v="645913"/>
    <n v="1121224"/>
    <n v="40062"/>
    <n v="42530"/>
    <n v="82592"/>
    <n v="515373"/>
    <n v="688443"/>
    <n v="1203816"/>
    <n v="60287600632"/>
    <n v="87252480542"/>
    <n v="147540081174"/>
    <n v="5694873202"/>
    <n v="6276108108"/>
    <n v="11970981310"/>
    <n v="65982473834"/>
    <n v="93528588650"/>
    <n v="159511062484"/>
    <n v="112.943374746"/>
    <n v="129.01505570699999"/>
    <n v="1.1422985721574535"/>
    <n v="52777445.495826118"/>
    <n v="76383252.740311757"/>
    <n v="129160698.23613787"/>
    <n v="4985450.6875939816"/>
    <n v="5494279.9203069536"/>
    <n v="10479730.607900936"/>
    <n v="57762896.183420107"/>
    <n v="81877532.660618693"/>
    <n v="139640428.84403878"/>
    <n v="60287600.631999999"/>
    <n v="87252480.541999996"/>
    <n v="147540081.17399999"/>
    <n v="5694873.2019999996"/>
    <n v="6276108.108"/>
    <n v="11970981.310000001"/>
    <n v="65982473.833999999"/>
    <n v="93528588.650000006"/>
    <n v="159511062.484"/>
  </r>
  <r>
    <x v="160"/>
    <n v="481364"/>
    <n v="654021"/>
    <n v="1135385"/>
    <n v="41024"/>
    <n v="43059"/>
    <n v="84083"/>
    <n v="522388"/>
    <n v="697080"/>
    <n v="1219468"/>
    <n v="61139789746"/>
    <n v="88455012146"/>
    <n v="149594801892"/>
    <n v="5779401810"/>
    <n v="6311845349"/>
    <n v="12091247159"/>
    <n v="66919191556"/>
    <n v="94766857495"/>
    <n v="161686049051"/>
    <n v="113.506710539"/>
    <n v="129.01505570699999"/>
    <n v="1.136629324331194"/>
    <n v="53790438.48087886"/>
    <n v="77822215.433380589"/>
    <n v="131612653.91425946"/>
    <n v="5084684.765986192"/>
    <n v="5553125.5563144684"/>
    <n v="10637810.322300659"/>
    <n v="58875123.246865049"/>
    <n v="83375340.989695057"/>
    <n v="142250464.23656011"/>
    <n v="61139789.745999999"/>
    <n v="88455012.145999998"/>
    <n v="149594801.89199999"/>
    <n v="5779401.8099999996"/>
    <n v="6311845.3490000004"/>
    <n v="12091247.159"/>
    <n v="66919191.556000002"/>
    <n v="94766857.495000005"/>
    <n v="161686049.051"/>
  </r>
  <r>
    <x v="161"/>
    <n v="486375"/>
    <n v="661228"/>
    <n v="1147603"/>
    <n v="41477"/>
    <n v="43273"/>
    <n v="84750"/>
    <n v="527852"/>
    <n v="704501"/>
    <n v="1232353"/>
    <n v="61876380093"/>
    <n v="89519543391"/>
    <n v="151395923484"/>
    <n v="5805943338"/>
    <n v="6315167453"/>
    <n v="12121110791"/>
    <n v="67682323431"/>
    <n v="95834710844"/>
    <n v="163517034275"/>
    <n v="114.393654431"/>
    <n v="129.01505570699999"/>
    <n v="1.1278165414745041"/>
    <n v="54863869.980221249"/>
    <n v="79374206.796047181"/>
    <n v="134238076.77626842"/>
    <n v="5147950.1536742188"/>
    <n v="5599463.4062944036"/>
    <n v="10747413.559968624"/>
    <n v="60011820.133895472"/>
    <n v="84973670.202341586"/>
    <n v="144985490.33623707"/>
    <n v="61876380.093000002"/>
    <n v="89519543.391000003"/>
    <n v="151395923.484"/>
    <n v="5805943.3380000005"/>
    <n v="6315167.4529999997"/>
    <n v="12121110.790999999"/>
    <n v="67682323.430999994"/>
    <n v="95834710.843999997"/>
    <n v="163517034.27500001"/>
  </r>
  <r>
    <x v="162"/>
    <n v="492231"/>
    <n v="669074"/>
    <n v="1161305"/>
    <n v="41983"/>
    <n v="43561"/>
    <n v="85544"/>
    <n v="534214"/>
    <n v="712635"/>
    <n v="1246849"/>
    <n v="66064824284"/>
    <n v="95093530766"/>
    <n v="161158355050"/>
    <n v="6329470447"/>
    <n v="6834470991"/>
    <n v="13163941438"/>
    <n v="72394294731"/>
    <n v="101928001757"/>
    <n v="174322296488"/>
    <n v="115.767651409"/>
    <n v="129.01505570699999"/>
    <n v="1.1144309669995613"/>
    <n v="59281217.267202884"/>
    <n v="85329225.032237858"/>
    <n v="144610442.29944074"/>
    <n v="5679553.632685883"/>
    <n v="6132700.1791782491"/>
    <n v="11812253.811864132"/>
    <n v="64960770.899888761"/>
    <n v="91461925.211416095"/>
    <n v="156422696.11130488"/>
    <n v="66064824.284000002"/>
    <n v="95093530.766000003"/>
    <n v="161158355.05000001"/>
    <n v="6329470.4469999997"/>
    <n v="6834470.9910000004"/>
    <n v="13163941.437999999"/>
    <n v="72394294.731000006"/>
    <n v="101928001.757"/>
    <n v="174322296.48800001"/>
  </r>
  <r>
    <x v="163"/>
    <n v="156303"/>
    <n v="157011"/>
    <n v="313314"/>
    <n v="42423"/>
    <n v="43796"/>
    <n v="86219"/>
    <n v="198726"/>
    <n v="200807"/>
    <n v="399533"/>
    <n v="25632398160"/>
    <n v="28447360479"/>
    <n v="54079758639"/>
    <n v="6730735134"/>
    <n v="7221515819"/>
    <n v="13952250953"/>
    <n v="32363133294"/>
    <n v="35668876298"/>
    <n v="68032009592"/>
    <n v="116.102606374"/>
    <n v="129.01505570699999"/>
    <n v="1.1112158437805026"/>
    <n v="23066984.063865762"/>
    <n v="25600211.370473564"/>
    <n v="48667195.434339322"/>
    <n v="6057090.6828516349"/>
    <n v="6498751.6686510267"/>
    <n v="12555842.351502661"/>
    <n v="29124074.746717397"/>
    <n v="32098963.039124593"/>
    <n v="61223037.785841987"/>
    <n v="25632398.16"/>
    <n v="28447360.478999998"/>
    <n v="54079758.638999999"/>
    <n v="6730735.1339999996"/>
    <n v="7221515.8190000001"/>
    <n v="13952250.953"/>
    <n v="32363133.294"/>
    <n v="35668876.298"/>
    <n v="68032009.591999993"/>
  </r>
  <r>
    <x v="164"/>
    <n v="158291"/>
    <n v="158373"/>
    <n v="316664"/>
    <n v="43297"/>
    <n v="44375"/>
    <n v="87672"/>
    <n v="201588"/>
    <n v="202748"/>
    <n v="404336"/>
    <n v="26035716618"/>
    <n v="28739803393"/>
    <n v="54775520011"/>
    <n v="6799291956"/>
    <n v="7264389204"/>
    <n v="14063681160"/>
    <n v="32835008574"/>
    <n v="36004192597"/>
    <n v="68839201171"/>
    <n v="118.25573740900001"/>
    <n v="129.01505570699999"/>
    <n v="1.0909834781274734"/>
    <n v="23864446.290870335"/>
    <n v="26343023.491362132"/>
    <n v="50207469.782232471"/>
    <n v="6232259.3259341298"/>
    <n v="6658569.4005818935"/>
    <n v="12890828.726516023"/>
    <n v="30096705.616804466"/>
    <n v="33001592.891944028"/>
    <n v="63098298.508748487"/>
    <n v="26035716.618000001"/>
    <n v="28739803.392999999"/>
    <n v="54775520.011"/>
    <n v="6799291.9560000002"/>
    <n v="7264389.2039999999"/>
    <n v="14063681.16"/>
    <n v="32835008.574000001"/>
    <n v="36004192.597000003"/>
    <n v="68839201.171000004"/>
  </r>
  <r>
    <x v="165"/>
    <n v="157061"/>
    <n v="154818"/>
    <n v="311879"/>
    <n v="43805"/>
    <n v="44630"/>
    <n v="88435"/>
    <n v="200866"/>
    <n v="199448"/>
    <n v="400314"/>
    <n v="26023323938"/>
    <n v="28305473328"/>
    <n v="54328797266"/>
    <n v="6834119920"/>
    <n v="7269276353"/>
    <n v="14103396273"/>
    <n v="32857443858"/>
    <n v="35574749681"/>
    <n v="68432193539"/>
    <n v="119.909282101"/>
    <n v="129.01505570699999"/>
    <n v="1.075938855161606"/>
    <n v="24186619.725794081"/>
    <n v="26307696.940407004"/>
    <n v="50494316.666201085"/>
    <n v="6351773.5113056358"/>
    <n v="6756216.970998928"/>
    <n v="13107990.482304564"/>
    <n v="30538393.237099715"/>
    <n v="33063913.911405932"/>
    <n v="63602307.148505643"/>
    <n v="26023323.938000001"/>
    <n v="28305473.328000002"/>
    <n v="54328797.266000003"/>
    <n v="6834119.9199999999"/>
    <n v="7269276.3530000001"/>
    <n v="14103396.273"/>
    <n v="32857443.857999999"/>
    <n v="35574749.681000002"/>
    <n v="68432193.539000005"/>
  </r>
  <r>
    <x v="166"/>
    <n v="65720"/>
    <n v="111871"/>
    <n v="177591"/>
    <n v="44391"/>
    <n v="44880"/>
    <n v="89271"/>
    <n v="110111"/>
    <n v="156751"/>
    <n v="266862"/>
    <n v="12551762326"/>
    <n v="21479681939"/>
    <n v="34031444265"/>
    <n v="6858435153"/>
    <n v="7266208306"/>
    <n v="14124643459"/>
    <n v="19410197479"/>
    <n v="28745890245"/>
    <n v="48156087724"/>
    <n v="121.346820029"/>
    <n v="129.01505570699999"/>
    <n v="1.0631927204698681"/>
    <n v="11805726.360177547"/>
    <n v="20202999.442572609"/>
    <n v="32008725.802750152"/>
    <n v="6450792.0539269475"/>
    <n v="6834328.4957676977"/>
    <n v="13285120.549694644"/>
    <n v="18256518.414104495"/>
    <n v="27037327.938340306"/>
    <n v="45293846.352444798"/>
    <n v="12551762.325999999"/>
    <n v="21479681.938999999"/>
    <n v="34031444.265000001"/>
    <n v="6858435.1529999999"/>
    <n v="7266208.3059999999"/>
    <n v="14124643.459000001"/>
    <n v="19410197.478999998"/>
    <n v="28745890.245000001"/>
    <n v="48156087.723999999"/>
  </r>
  <r>
    <x v="167"/>
    <n v="64976"/>
    <n v="109948"/>
    <n v="174924"/>
    <n v="45010"/>
    <n v="45192"/>
    <n v="90202"/>
    <n v="109986"/>
    <n v="155140"/>
    <n v="265126"/>
    <n v="12422435187"/>
    <n v="21123233439"/>
    <n v="33545668626"/>
    <n v="6900257163"/>
    <n v="7276424374"/>
    <n v="14176681537"/>
    <n v="19322692350"/>
    <n v="28399657813"/>
    <n v="47722350163"/>
    <n v="122.478537359"/>
    <n v="129.01505570699999"/>
    <n v="1.0533686839257448"/>
    <n v="11793055.343836"/>
    <n v="20053029.638470855"/>
    <n v="31846084.982306857"/>
    <n v="6550657.2089116909"/>
    <n v="6907765.9940315234"/>
    <n v="13458423.202943215"/>
    <n v="18343712.552747693"/>
    <n v="26960795.632502381"/>
    <n v="45304508.185250066"/>
    <n v="12422435.187000001"/>
    <n v="21123233.438999999"/>
    <n v="33545668.625999998"/>
    <n v="6900257.1629999997"/>
    <n v="7276424.3739999998"/>
    <n v="14176681.537"/>
    <n v="19322692.350000001"/>
    <n v="28399657.813000001"/>
    <n v="47722350.163000003"/>
  </r>
  <r>
    <x v="168"/>
    <n v="64729"/>
    <n v="109799"/>
    <n v="174528"/>
    <n v="45364"/>
    <n v="45366"/>
    <n v="90730"/>
    <n v="110093"/>
    <n v="155165"/>
    <n v="265258"/>
    <n v="13740966473"/>
    <n v="23251915916"/>
    <n v="36992882389"/>
    <n v="7298276683"/>
    <n v="7665209235"/>
    <n v="14963485918"/>
    <n v="21039243156"/>
    <n v="30917125151"/>
    <n v="51956368307"/>
    <n v="124.162318965"/>
    <n v="129.01505570699999"/>
    <n v="1.0390838120812476"/>
    <n v="13224117.54782065"/>
    <n v="22377324.760191623"/>
    <n v="35601442.308012277"/>
    <n v="7023761.3156361412"/>
    <n v="7376892.1677712034"/>
    <n v="14400653.483407345"/>
    <n v="20247878.863456789"/>
    <n v="29754216.927962825"/>
    <n v="50002095.791419618"/>
    <n v="13740966.472999999"/>
    <n v="23251915.916000001"/>
    <n v="36992882.388999999"/>
    <n v="7298276.6830000002"/>
    <n v="7665209.2350000003"/>
    <n v="14963485.918"/>
    <n v="21039243.155999999"/>
    <n v="30917125.151000001"/>
    <n v="51956368.306999996"/>
  </r>
  <r>
    <x v="169"/>
    <n v="64644"/>
    <n v="109904"/>
    <n v="174548"/>
    <n v="45817"/>
    <n v="45575"/>
    <n v="91392"/>
    <n v="110461"/>
    <n v="155479"/>
    <n v="265940"/>
    <n v="13736279612"/>
    <n v="23289298222"/>
    <n v="37025577834"/>
    <n v="7338660540"/>
    <n v="7678209975"/>
    <n v="15016870515"/>
    <n v="21074940152"/>
    <n v="30967508197"/>
    <n v="52042448349"/>
    <n v="125.665828594"/>
    <n v="129.01505570699999"/>
    <n v="1.0266518523808141"/>
    <n v="13379686.190742709"/>
    <n v="22684708.714051336"/>
    <n v="36064394.904794045"/>
    <n v="7148149.1247316077"/>
    <n v="7478883.8662241418"/>
    <n v="14627032.99095575"/>
    <n v="20527835.315474316"/>
    <n v="30163592.58027548"/>
    <n v="50691427.895749792"/>
    <n v="13736279.612"/>
    <n v="23289298.221999999"/>
    <n v="37025577.833999999"/>
    <n v="7338660.54"/>
    <n v="7678209.9749999996"/>
    <n v="15016870.515000001"/>
    <n v="21074940.151999999"/>
    <n v="30967508.197000001"/>
    <n v="52042448.348999999"/>
  </r>
  <r>
    <x v="170"/>
    <n v="64275"/>
    <n v="109666"/>
    <n v="173941"/>
    <n v="46202"/>
    <n v="45697"/>
    <n v="91899"/>
    <n v="110477"/>
    <n v="155363"/>
    <n v="265840"/>
    <n v="13672577481"/>
    <n v="23246434523"/>
    <n v="36919012004"/>
    <n v="7364573708"/>
    <n v="7668875451"/>
    <n v="15033449159"/>
    <n v="21037151189"/>
    <n v="30915309974"/>
    <n v="51952461163"/>
    <n v="126.752235783"/>
    <n v="129.01505570699999"/>
    <n v="1.0178523077721007"/>
    <n v="13432771.509775188"/>
    <n v="22838710.828177366"/>
    <n v="36271482.337952562"/>
    <n v="7235405.0305390116"/>
    <n v="7534369.5666278116"/>
    <n v="14769774.597166825"/>
    <n v="20668176.540314201"/>
    <n v="30373080.394805178"/>
    <n v="51041256.935119376"/>
    <n v="13672577.481000001"/>
    <n v="23246434.522999998"/>
    <n v="36919012.004000001"/>
    <n v="7364573.7079999996"/>
    <n v="7668875.4510000004"/>
    <n v="15033449.159"/>
    <n v="21037151.188999999"/>
    <n v="30915309.973999999"/>
    <n v="51952461.163000003"/>
  </r>
  <r>
    <x v="171"/>
    <n v="63815"/>
    <n v="109393"/>
    <n v="173208"/>
    <n v="46381"/>
    <n v="45739"/>
    <n v="92120"/>
    <n v="110196"/>
    <n v="155132"/>
    <n v="265328"/>
    <n v="13590242086"/>
    <n v="23196045529"/>
    <n v="36786287615"/>
    <n v="7378442349"/>
    <n v="7659976499"/>
    <n v="15038418848"/>
    <n v="20968684435"/>
    <n v="30856022028"/>
    <n v="51824706463"/>
    <n v="127.40762281400001"/>
    <n v="129.01505570699999"/>
    <n v="1.0126164577714996"/>
    <n v="13420917.645273631"/>
    <n v="22907039.828335743"/>
    <n v="36327957.473609373"/>
    <n v="7286512.3733402435"/>
    <n v="7564538.8144861665"/>
    <n v="14851051.18782641"/>
    <n v="20707430.018613875"/>
    <n v="30471578.642821912"/>
    <n v="51179008.661435783"/>
    <n v="13590242.085999999"/>
    <n v="23196045.528999999"/>
    <n v="36786287.615000002"/>
    <n v="7378442.3490000004"/>
    <n v="7659976.4989999998"/>
    <n v="15038418.847999999"/>
    <n v="20968684.434999999"/>
    <n v="30856022.028000001"/>
    <n v="51824706.463"/>
  </r>
  <r>
    <x v="172"/>
    <n v="63526"/>
    <n v="109031"/>
    <n v="172557"/>
    <n v="46666"/>
    <n v="45910"/>
    <n v="92576"/>
    <n v="110192"/>
    <n v="154941"/>
    <n v="265133"/>
    <n v="13546987070"/>
    <n v="23133193734"/>
    <n v="36680180804"/>
    <n v="7413824526"/>
    <n v="7675227170"/>
    <n v="15089051696"/>
    <n v="20960811596"/>
    <n v="30808420904"/>
    <n v="51769232500"/>
    <n v="128.65015935900001"/>
    <n v="129.01505570699999"/>
    <n v="1.0028363458686571"/>
    <n v="13508671.80453616"/>
    <n v="23067765.572419517"/>
    <n v="36576437.376955673"/>
    <n v="7392855.8299092585"/>
    <n v="7653519.1425991999"/>
    <n v="15046374.972508458"/>
    <n v="20901527.634445418"/>
    <n v="30721284.715018719"/>
    <n v="51622812.349464133"/>
    <n v="13546987.07"/>
    <n v="23133193.734000001"/>
    <n v="36680180.803999998"/>
    <n v="7413824.5259999996"/>
    <n v="7675227.1699999999"/>
    <n v="15089051.696"/>
    <n v="20960811.596000001"/>
    <n v="30808420.903999999"/>
    <n v="51769232.5"/>
  </r>
  <r>
    <x v="173"/>
    <n v="63190"/>
    <n v="108989"/>
    <n v="172179"/>
    <n v="46817"/>
    <n v="45881"/>
    <n v="92698"/>
    <n v="110007"/>
    <n v="154870"/>
    <n v="264877"/>
    <n v="13498986732"/>
    <n v="23140037882"/>
    <n v="36639024614"/>
    <n v="7421805869"/>
    <n v="7649953291"/>
    <n v="15071759160"/>
    <n v="20920792601"/>
    <n v="30789991173"/>
    <n v="51710783774"/>
    <n v="129.01505570699999"/>
    <n v="129.01505570699999"/>
    <n v="1"/>
    <n v="13498986.732000001"/>
    <n v="23140037.881999999"/>
    <n v="36639024.614"/>
    <n v="7421805.8689999999"/>
    <n v="7649953.2910000002"/>
    <n v="15071759.16"/>
    <n v="20920792.601"/>
    <n v="30789991.173"/>
    <n v="51710783.773999996"/>
    <n v="13498986.732000001"/>
    <n v="23140037.881999999"/>
    <n v="36639024.614"/>
    <n v="7421805.8689999999"/>
    <n v="7649953.2910000002"/>
    <n v="15071759.16"/>
    <n v="20920792.601"/>
    <n v="30789991.173"/>
    <n v="51710783.77399999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x v="0"/>
    <n v="309683"/>
    <n v="57205360.538000003"/>
    <n v="106066"/>
    <n v="19617326.636999998"/>
    <n v="517361"/>
    <n v="85078213.942000002"/>
    <n v="340110"/>
    <n v="58304127.729999997"/>
    <n v="827044"/>
    <n v="142283574.48000002"/>
    <n v="446176"/>
    <n v="77921454.366999999"/>
    <n v="116.102606374"/>
    <n v="129.01505570699999"/>
    <n v="1.1112158437805026"/>
    <n v="51479972.012799807"/>
    <n v="17653929.924414385"/>
    <n v="76563175.748604089"/>
    <n v="52468769.282160051"/>
    <n v="128043147.7614039"/>
    <n v="70122699.20657444"/>
  </r>
  <r>
    <x v="1"/>
    <n v="312946"/>
    <n v="57713942.276000001"/>
    <n v="107255"/>
    <n v="19836831.274999999"/>
    <n v="536699"/>
    <n v="99076766.957000002"/>
    <n v="361057"/>
    <n v="66720836.890000001"/>
    <n v="849645"/>
    <n v="156790709.23300001"/>
    <n v="468312"/>
    <n v="86557668.164999992"/>
    <n v="118.25573740900001"/>
    <n v="129.01505570699999"/>
    <n v="1.0909834781274734"/>
    <n v="52900839.868866049"/>
    <n v="18182522.16710674"/>
    <n v="90814177.247717783"/>
    <n v="61156596.985792443"/>
    <n v="143715017.11658382"/>
    <n v="79339119.152899176"/>
  </r>
  <r>
    <x v="2"/>
    <n v="314601"/>
    <n v="57957137.288000003"/>
    <n v="107763"/>
    <n v="19929902.063000001"/>
    <n v="552501"/>
    <n v="101925332.483"/>
    <n v="374925"/>
    <n v="69306036.442000002"/>
    <n v="867102"/>
    <n v="159882469.771"/>
    <n v="482688"/>
    <n v="89235938.504999995"/>
    <n v="119.909282101"/>
    <n v="129.01505570699999"/>
    <n v="1.075938855161606"/>
    <n v="53866571.515622824"/>
    <n v="18523266.417408571"/>
    <n v="94731528.649637625"/>
    <n v="64414474.957863875"/>
    <n v="148598100.16526046"/>
    <n v="82937741.375272438"/>
  </r>
  <r>
    <x v="3"/>
    <n v="316872"/>
    <n v="58325653.706"/>
    <n v="108938"/>
    <n v="20145362.846999999"/>
    <n v="605836"/>
    <n v="111718942.76800001"/>
    <n v="477591"/>
    <n v="88296009.621000007"/>
    <n v="922708"/>
    <n v="170044596.47400001"/>
    <n v="586529"/>
    <n v="108441372.46800001"/>
    <n v="121.346820029"/>
    <n v="129.01505570699999"/>
    <n v="1.0631927204698681"/>
    <n v="54858966.378384836"/>
    <n v="18947987.941543601"/>
    <n v="105078731.83953598"/>
    <n v="83047981.72619015"/>
    <n v="159937698.21792081"/>
    <n v="101995969.66773376"/>
  </r>
  <r>
    <x v="4"/>
    <n v="317138"/>
    <n v="58354483.068000004"/>
    <n v="109221"/>
    <n v="20197021.059"/>
    <n v="615086"/>
    <n v="113378153.36399999"/>
    <n v="487043"/>
    <n v="90043543.216000006"/>
    <n v="932224"/>
    <n v="171732636.43199998"/>
    <n v="596264"/>
    <n v="110240564.27500001"/>
    <n v="122.478537359"/>
    <n v="129.01505570699999"/>
    <n v="1.0533686839257448"/>
    <n v="55397966.503543399"/>
    <n v="19173743.597283315"/>
    <n v="107633875.10387804"/>
    <n v="85481507.652592659"/>
    <n v="163031841.60742143"/>
    <n v="104655251.24987596"/>
  </r>
  <r>
    <x v="5"/>
    <n v="317824"/>
    <n v="61298891.538999997"/>
    <n v="109691"/>
    <n v="21261541.044"/>
    <n v="621791"/>
    <n v="120150120.03200001"/>
    <n v="498271"/>
    <n v="96566128.877000004"/>
    <n v="939615"/>
    <n v="181449011.57100001"/>
    <n v="607962"/>
    <n v="117827669.921"/>
    <n v="124.162318965"/>
    <n v="129.01505570699999"/>
    <n v="1.0390838120812476"/>
    <n v="58993211.929863982"/>
    <n v="20461815.299974598"/>
    <n v="115630826.53683501"/>
    <n v="92933917.124145657"/>
    <n v="174624038.466699"/>
    <n v="113395732.42412026"/>
  </r>
  <r>
    <x v="6"/>
    <n v="322017"/>
    <n v="62094244.614"/>
    <n v="110018"/>
    <n v="21324099.886"/>
    <n v="660104"/>
    <n v="127163714.83499999"/>
    <n v="538150"/>
    <n v="103585250.447"/>
    <n v="982121"/>
    <n v="189257959.449"/>
    <n v="648168"/>
    <n v="124909350.333"/>
    <n v="125.665828594"/>
    <n v="129.01505570699999"/>
    <n v="1.0266518523808141"/>
    <n v="60482279.820567153"/>
    <n v="20770526.869989313"/>
    <n v="123862548.4774671"/>
    <n v="100896180.34271789"/>
    <n v="184344828.29803425"/>
    <n v="121666707.21270719"/>
  </r>
  <r>
    <x v="7"/>
    <n v="321661"/>
    <n v="62013553.252999999"/>
    <n v="109838"/>
    <n v="21288334.772999998"/>
    <n v="679141"/>
    <n v="130693091.744"/>
    <n v="553055"/>
    <n v="106114124.926"/>
    <n v="1000802"/>
    <n v="192706644.99700001"/>
    <n v="662893"/>
    <n v="127402459.699"/>
    <n v="126.752235783"/>
    <n v="129.01505570699999"/>
    <n v="1.0178523077721007"/>
    <n v="60925885.592121646"/>
    <n v="20914954.567029878"/>
    <n v="128400840.42257972"/>
    <n v="104252968.84011112"/>
    <n v="189326726.01470137"/>
    <n v="125167923.407141"/>
  </r>
  <r>
    <x v="8"/>
    <n v="322141"/>
    <n v="62098939.511"/>
    <n v="109963"/>
    <n v="21312758.105999999"/>
    <n v="686334"/>
    <n v="131986560.543"/>
    <n v="563950"/>
    <n v="108014882.678"/>
    <n v="1008475"/>
    <n v="194085500.05399999"/>
    <n v="673913"/>
    <n v="129327640.78400001"/>
    <n v="127.40762281400001"/>
    <n v="129.01505570699999"/>
    <n v="1.0126164577714996"/>
    <n v="61325232.307267956"/>
    <n v="21047216.784234114"/>
    <n v="130342104.88092148"/>
    <n v="106669096.52615377"/>
    <n v="191667337.18818942"/>
    <n v="127716313.31038789"/>
  </r>
  <r>
    <x v="9"/>
    <n v="327443"/>
    <n v="63080932.634000003"/>
    <n v="121585"/>
    <n v="23564397.059999999"/>
    <n v="704099"/>
    <n v="135236238.01499999"/>
    <n v="584193"/>
    <n v="111537201.04000001"/>
    <n v="1031542"/>
    <n v="198317170.64899999"/>
    <n v="705778"/>
    <n v="135101598.09999999"/>
    <n v="128.65015935900001"/>
    <n v="129.01505570699999"/>
    <n v="1.0028363458686571"/>
    <n v="62902519.333161265"/>
    <n v="23497749.315805372"/>
    <n v="134853746.14923665"/>
    <n v="111221737.72370252"/>
    <n v="197756265.48239794"/>
    <n v="134719487.0395079"/>
  </r>
  <r>
    <x v="10"/>
    <n v="329180"/>
    <n v="63417031.792999998"/>
    <n v="125728"/>
    <n v="24368202.673"/>
    <n v="717919"/>
    <n v="137636217.15900001"/>
    <n v="594890"/>
    <n v="113286938.10600001"/>
    <n v="1047099"/>
    <n v="201053248.95200002"/>
    <n v="720618"/>
    <n v="137655140.77900001"/>
    <n v="129.01505570699999"/>
    <n v="129.01505570699999"/>
    <n v="1"/>
    <n v="63417031.792999998"/>
    <n v="24368202.673"/>
    <n v="137636217.15900001"/>
    <n v="113286938.10600001"/>
    <n v="201053248.95200002"/>
    <n v="137655140.779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D9DECA-913E-46E8-8527-F232A1F33601}" name="TablaDinámica15"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B18"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n" fld="1" baseField="0" baseItem="0"/>
    <dataField name="Suma de PGU_NC_hombre_N" fld="3" baseField="0" baseItem="0"/>
    <dataField name="Suma de PGU_C_Mujer_N" fld="5" baseField="0" baseItem="0"/>
    <dataField name="Suma de PGU_C_hombre_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FE9BEB-3B8D-4BB9-A087-D7AC05D0FF8A}" name="TablaDinámica23"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84:E88"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dataField="1" numFmtId="41" showAll="0"/>
    <pivotField dataField="1"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REAL" fld="18" subtotal="average" baseField="0" baseItem="0"/>
    <dataField name="Suma de PGU_C_Mujer_REAL2" fld="18" baseField="0" baseItem="0"/>
    <dataField name="Promedio de PGU_C_hombre_REAL" fld="19" subtotal="average" baseField="0" baseItem="0"/>
    <dataField name="Suma de PGU_C_hombre_REAL2" fld="19" baseField="0" baseItem="0"/>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F492B69-5F69-4402-A36E-0089ED9F867C}" name="TablaDinámica24" cacheId="3"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93:E104" firstHeaderRow="0" firstDataRow="1" firstDataCol="1"/>
  <pivotFields count="24">
    <pivotField axis="axisRow" numFmtId="17" multipleItemSelectionAllowed="1" showAll="0">
      <items count="12">
        <item x="0"/>
        <item x="1"/>
        <item x="2"/>
        <item x="3"/>
        <item x="4"/>
        <item x="5"/>
        <item x="6"/>
        <item x="7"/>
        <item x="8"/>
        <item x="9"/>
        <item x="10"/>
        <item t="default"/>
      </items>
    </pivotField>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0"/>
  </rowFields>
  <rowItems count="11">
    <i>
      <x v="2"/>
    </i>
    <i>
      <x v="3"/>
    </i>
    <i>
      <x v="4"/>
    </i>
    <i>
      <x v="5"/>
    </i>
    <i>
      <x v="6"/>
    </i>
    <i>
      <x v="7"/>
    </i>
    <i>
      <x v="8"/>
    </i>
    <i>
      <x v="9"/>
    </i>
    <i>
      <x v="10"/>
    </i>
    <i>
      <x v="11"/>
    </i>
    <i>
      <x v="12"/>
    </i>
  </rowItems>
  <colFields count="1">
    <field x="-2"/>
  </colFields>
  <colItems count="4">
    <i>
      <x/>
    </i>
    <i i="1">
      <x v="1"/>
    </i>
    <i i="2">
      <x v="2"/>
    </i>
    <i i="3">
      <x v="3"/>
    </i>
  </colItems>
  <dataFields count="4">
    <dataField name="Suma de PGU_NC_Mujer_n" fld="1" baseField="0" baseItem="0"/>
    <dataField name="Suma de PGU_NC_hombre_N" fld="3" baseField="0" baseItem="0"/>
    <dataField name="Suma de PGU_C_Mujer_N" fld="5" baseField="0" baseItem="0"/>
    <dataField name="Suma de PGU_C_hombre_N" fld="7" baseField="0" baseItem="0"/>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7180786-7F46-4C39-90AF-78481605A195}" name="TablaDinámica17"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45:B60"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dataField="1" numFmtId="41" showAll="0"/>
    <pivotField dataField="1"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REAL" fld="16" baseField="0" baseItem="0"/>
    <dataField name="Suma de PGU_NC_hombre_REAL" fld="17" baseField="0" baseItem="0"/>
    <dataField name="Suma de PGU_C_Mujer_REAL" fld="18" baseField="0" baseItem="0"/>
    <dataField name="Suma de PGU_C_hombre_REAL" fld="19" baseField="0" baseItem="0"/>
  </dataFields>
  <formats count="5">
    <format dxfId="44">
      <pivotArea collapsedLevelsAreSubtotals="1" fieldPosition="0">
        <references count="3">
          <reference field="4294967294" count="4">
            <x v="0"/>
            <x v="1"/>
            <x v="2"/>
            <x v="3"/>
          </reference>
          <reference field="22" count="1" selected="0">
            <x v="1048832"/>
          </reference>
          <reference field="23" count="1" selected="0">
            <x v="10"/>
          </reference>
        </references>
      </pivotArea>
    </format>
    <format dxfId="43">
      <pivotArea collapsedLevelsAreSubtotals="1" fieldPosition="0">
        <references count="1">
          <reference field="23" count="1">
            <x v="11"/>
          </reference>
        </references>
      </pivotArea>
    </format>
    <format dxfId="42">
      <pivotArea collapsedLevelsAreSubtotals="1" fieldPosition="0">
        <references count="3">
          <reference field="4294967294" count="4">
            <x v="0"/>
            <x v="1"/>
            <x v="2"/>
            <x v="3"/>
          </reference>
          <reference field="22" count="1" selected="0">
            <x v="1048832"/>
          </reference>
          <reference field="23" count="1" selected="0">
            <x v="11"/>
          </reference>
        </references>
      </pivotArea>
    </format>
    <format dxfId="41">
      <pivotArea collapsedLevelsAreSubtotals="1" fieldPosition="0">
        <references count="1">
          <reference field="23" count="1">
            <x v="12"/>
          </reference>
        </references>
      </pivotArea>
    </format>
    <format dxfId="40">
      <pivotArea collapsedLevelsAreSubtotals="1" fieldPosition="0">
        <references count="3">
          <reference field="4294967294" count="4">
            <x v="0"/>
            <x v="1"/>
            <x v="2"/>
            <x v="3"/>
          </reference>
          <reference field="22" count="1" selected="0">
            <x v="1048832"/>
          </reference>
          <reference field="23" count="1" selected="0">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5D46723-40D3-4971-9703-F75AF6DEF45D}" name="TablaDinámica20"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76:B80"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Nom" fld="2" subtotal="average" baseField="0" baseItem="0"/>
    <dataField name="Suma de PGU_NC_Mujer_Nom2" fld="2" baseField="0" baseItem="0"/>
    <dataField name="Promedio de PGU_NC_hombre_Nom" fld="4" subtotal="average" baseField="0" baseItem="0"/>
    <dataField name="Suma de PGU_NC_hombre_Nom2" fld="4" baseField="0" baseItem="0"/>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B76F4A-03CE-4695-8C4F-06B05557A261}" name="TablaDinámica22"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84:B88"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REAL" fld="16" subtotal="average" baseField="0" baseItem="0"/>
    <dataField name="Suma de PGU_NC_Mujer_REAL2" fld="16" baseField="0" baseItem="0"/>
    <dataField name="Promedio de PGU_NC_hombre_REAL" fld="17" subtotal="average" baseField="0" baseItem="0"/>
    <dataField name="Suma de PGU_NC_hombre_REAL2" fld="17" baseField="0" baseItem="0"/>
  </dataFields>
  <formats count="1">
    <format dxfId="4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073AAAC-05B8-4361-9573-E9240479CC5B}" name="TablaDinámica25" cacheId="3"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08:E119" firstHeaderRow="0" firstDataRow="1" firstDataCol="1"/>
  <pivotFields count="24">
    <pivotField axis="axisRow"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dataField="1" numFmtId="41" showAll="0"/>
    <pivotField dataField="1" numFmtId="41" showAll="0"/>
    <pivotField dataField="1" numFmtId="41" showAll="0"/>
    <pivotField dataField="1"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0"/>
  </rowFields>
  <rowItems count="11">
    <i>
      <x v="2"/>
    </i>
    <i>
      <x v="3"/>
    </i>
    <i>
      <x v="4"/>
    </i>
    <i>
      <x v="5"/>
    </i>
    <i>
      <x v="6"/>
    </i>
    <i>
      <x v="7"/>
    </i>
    <i>
      <x v="8"/>
    </i>
    <i>
      <x v="9"/>
    </i>
    <i>
      <x v="10"/>
    </i>
    <i>
      <x v="11"/>
    </i>
    <i>
      <x v="12"/>
    </i>
  </rowItems>
  <colFields count="1">
    <field x="-2"/>
  </colFields>
  <colItems count="4">
    <i>
      <x/>
    </i>
    <i i="1">
      <x v="1"/>
    </i>
    <i i="2">
      <x v="2"/>
    </i>
    <i i="3">
      <x v="3"/>
    </i>
  </colItems>
  <dataFields count="4">
    <dataField name="Promedio de PGU_NC_Mujer_REAL" fld="16" subtotal="average" baseField="23" baseItem="7"/>
    <dataField name="Promedio de PGU_NC_hombre_REAL" fld="17" subtotal="average" baseField="23" baseItem="7"/>
    <dataField name="Promedio de PGU_C_Mujer_REAL" fld="18" subtotal="average" baseField="23" baseItem="8"/>
    <dataField name="Promedio de PGU_C_hombre_REAL" fld="19" subtotal="average" baseField="23" baseItem="9"/>
  </dataFields>
  <formats count="1">
    <format dxfId="4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AEA3567-8B8D-46FC-A352-598228461A5E}" name="TablaDinámica21"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76:E80"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Nom" fld="6" subtotal="average" baseField="0" baseItem="0"/>
    <dataField name="Suma de PGU_C_Mujer_Nom2" fld="6" baseField="0" baseItem="0"/>
    <dataField name="Promedio de PGU_C_hombre_Nom" fld="8" subtotal="average" baseField="0" baseItem="0"/>
    <dataField name="Suma de PGU_C_hombre_Nom2" fld="8" baseField="0" baseItem="0"/>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048D88-E4EA-44BD-AC09-B8F5C5968971}" name="TablaDinámica19"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D67:E71" firstHeaderRow="1" firstDataRow="1" firstDataCol="1"/>
  <pivotFields count="24">
    <pivotField numFmtId="17" multipleItemSelectionAllowed="1" showAll="0">
      <items count="12">
        <item x="0"/>
        <item x="1"/>
        <item x="2"/>
        <item x="3"/>
        <item x="4"/>
        <item x="5"/>
        <item x="6"/>
        <item x="7"/>
        <item x="8"/>
        <item x="9"/>
        <item x="10"/>
        <item t="default"/>
      </items>
    </pivotField>
    <pivotField numFmtId="41" showAll="0"/>
    <pivotField numFmtId="41" showAll="0"/>
    <pivotField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C_Mujer_N" fld="5" subtotal="average" baseField="0" baseItem="0"/>
    <dataField name="Suma de PGU_C_Mujer_N2" fld="5" baseField="0" baseItem="0"/>
    <dataField name="Promedio de PGU_C_hombre_N" fld="7" subtotal="average" baseField="0" baseItem="0"/>
    <dataField name="Suma de PGU_C_hombre_N2" fld="7" baseField="0" baseItem="0"/>
  </dataFields>
  <formats count="1">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9F8A8F-048E-401B-973C-71619CC8D102}" name="TablaDinámica16"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24:B39" firstHeaderRow="1" firstDataRow="1" firstDataCol="1" rowPageCount="1" colPageCount="1"/>
  <pivotFields count="24">
    <pivotField axis="axisPage" numFmtId="17" multipleItemSelectionAllowed="1" showAll="0">
      <items count="12">
        <item h="1" x="0"/>
        <item h="1" x="1"/>
        <item h="1" x="2"/>
        <item h="1" x="3"/>
        <item h="1" x="4"/>
        <item h="1" x="5"/>
        <item h="1" x="6"/>
        <item h="1" x="7"/>
        <item x="8"/>
        <item x="9"/>
        <item x="10"/>
        <item t="default"/>
      </items>
    </pivotField>
    <pivotField numFmtId="41" showAll="0"/>
    <pivotField dataField="1" numFmtId="41" showAll="0"/>
    <pivotField numFmtId="41" showAll="0"/>
    <pivotField dataField="1" numFmtId="41" showAll="0"/>
    <pivotField numFmtId="41" showAll="0"/>
    <pivotField dataField="1" numFmtId="41" showAll="0"/>
    <pivotField numFmtId="41" showAll="0"/>
    <pivotField dataField="1"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23"/>
    <field x="22"/>
    <field x="-2"/>
  </rowFields>
  <rowItems count="15">
    <i>
      <x v="10"/>
    </i>
    <i r="2">
      <x/>
    </i>
    <i r="2" i="1">
      <x v="1"/>
    </i>
    <i r="2" i="2">
      <x v="2"/>
    </i>
    <i r="2" i="3">
      <x v="3"/>
    </i>
    <i>
      <x v="11"/>
    </i>
    <i r="2">
      <x/>
    </i>
    <i r="2" i="1">
      <x v="1"/>
    </i>
    <i r="2" i="2">
      <x v="2"/>
    </i>
    <i r="2" i="3">
      <x v="3"/>
    </i>
    <i>
      <x v="12"/>
    </i>
    <i r="2">
      <x/>
    </i>
    <i r="2" i="1">
      <x v="1"/>
    </i>
    <i r="2" i="2">
      <x v="2"/>
    </i>
    <i r="2" i="3">
      <x v="3"/>
    </i>
  </rowItems>
  <colItems count="1">
    <i/>
  </colItems>
  <pageFields count="1">
    <pageField fld="0" hier="-1"/>
  </pageFields>
  <dataFields count="4">
    <dataField name="Suma de PGU_NC_Mujer_Nom" fld="2" baseField="0" baseItem="0"/>
    <dataField name="Suma de PGU_NC_hombre_Nom" fld="4" baseField="0" baseItem="0"/>
    <dataField name="Suma de PGU_C_Mujer_Nom" fld="6" baseField="0" baseItem="0"/>
    <dataField name="Suma de PGU_C_hombre_Nom" fld="8" baseField="0" baseItem="0"/>
  </dataFields>
  <formats count="5">
    <format dxfId="54">
      <pivotArea collapsedLevelsAreSubtotals="1" fieldPosition="0">
        <references count="3">
          <reference field="4294967294" count="4">
            <x v="0"/>
            <x v="1"/>
            <x v="2"/>
            <x v="3"/>
          </reference>
          <reference field="22" count="1" selected="0">
            <x v="1048832"/>
          </reference>
          <reference field="23" count="1" selected="0">
            <x v="10"/>
          </reference>
        </references>
      </pivotArea>
    </format>
    <format dxfId="53">
      <pivotArea collapsedLevelsAreSubtotals="1" fieldPosition="0">
        <references count="1">
          <reference field="23" count="1">
            <x v="11"/>
          </reference>
        </references>
      </pivotArea>
    </format>
    <format dxfId="52">
      <pivotArea collapsedLevelsAreSubtotals="1" fieldPosition="0">
        <references count="3">
          <reference field="4294967294" count="4">
            <x v="0"/>
            <x v="1"/>
            <x v="2"/>
            <x v="3"/>
          </reference>
          <reference field="22" count="1" selected="0">
            <x v="1048832"/>
          </reference>
          <reference field="23" count="1" selected="0">
            <x v="11"/>
          </reference>
        </references>
      </pivotArea>
    </format>
    <format dxfId="51">
      <pivotArea collapsedLevelsAreSubtotals="1" fieldPosition="0">
        <references count="1">
          <reference field="23" count="1">
            <x v="12"/>
          </reference>
        </references>
      </pivotArea>
    </format>
    <format dxfId="50">
      <pivotArea collapsedLevelsAreSubtotals="1" fieldPosition="0">
        <references count="3">
          <reference field="4294967294" count="4">
            <x v="0"/>
            <x v="1"/>
            <x v="2"/>
            <x v="3"/>
          </reference>
          <reference field="22" count="1" selected="0">
            <x v="1048832"/>
          </reference>
          <reference field="23" count="1" selected="0">
            <x v="1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C98112B-C892-491A-923A-FA674AFB5AB7}" name="TablaDinámica18" cacheId="3" dataOnRows="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67:B71" firstHeaderRow="1" firstDataRow="1" firstDataCol="1"/>
  <pivotFields count="24">
    <pivotField numFmtId="17" multipleItemSelectionAllowed="1" showAll="0">
      <items count="12">
        <item x="0"/>
        <item x="1"/>
        <item x="2"/>
        <item x="3"/>
        <item x="4"/>
        <item x="5"/>
        <item x="6"/>
        <item x="7"/>
        <item x="8"/>
        <item x="9"/>
        <item x="10"/>
        <item t="default"/>
      </items>
    </pivotField>
    <pivotField dataField="1" numFmtId="41" showAll="0"/>
    <pivotField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167" showAll="0"/>
    <pivotField numFmtId="167" showAll="0"/>
    <pivotField numFmtId="43" showAll="0"/>
    <pivotField numFmtId="41" showAll="0"/>
    <pivotField numFmtId="41" showAll="0"/>
    <pivotField numFmtId="41" showAll="0"/>
    <pivotField numFmtId="41" showAll="0"/>
    <pivotField numFmtId="41" showAll="0"/>
    <pivotField numFmtId="4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i="1">
      <x v="1"/>
    </i>
    <i i="2">
      <x v="2"/>
    </i>
    <i i="3">
      <x v="3"/>
    </i>
  </rowItems>
  <colItems count="1">
    <i/>
  </colItems>
  <dataFields count="4">
    <dataField name="Promedio de PGU_NC_Mujer_n2" fld="1" subtotal="average" baseField="0" baseItem="0"/>
    <dataField name="Suma de PGU_NC_Mujer_n" fld="1" baseField="0" baseItem="0"/>
    <dataField name="Promedio de PGU_NC_hombre_N" fld="3" subtotal="average" baseField="0" baseItem="0"/>
    <dataField name="Suma de PGU_NC_hombre_N2" fld="3" baseField="0" baseItem="0"/>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2B32B1-5CC3-44EE-A051-3B9C26C297E0}" name="TablaDinámica1" cacheId="1"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G42" firstHeaderRow="0" firstDataRow="1" firstDataCol="1"/>
  <pivotFields count="13">
    <pivotField axis="axisRow" numFmtId="17"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dataField="1" numFmtId="165" showAll="0"/>
    <pivotField dataField="1" numFmtId="165" showAll="0">
      <items count="163">
        <item x="161"/>
        <item x="0"/>
        <item x="1"/>
        <item x="2"/>
        <item x="3"/>
        <item x="4"/>
        <item x="5"/>
        <item x="6"/>
        <item x="7"/>
        <item x="8"/>
        <item x="9"/>
        <item x="10"/>
        <item x="11"/>
        <item x="12"/>
        <item x="13"/>
        <item x="14"/>
        <item x="15"/>
        <item x="16"/>
        <item x="17"/>
        <item x="19"/>
        <item x="18"/>
        <item x="20"/>
        <item x="21"/>
        <item x="22"/>
        <item x="40"/>
        <item x="23"/>
        <item x="33"/>
        <item x="24"/>
        <item x="39"/>
        <item x="67"/>
        <item x="26"/>
        <item x="61"/>
        <item x="27"/>
        <item x="68"/>
        <item x="25"/>
        <item x="36"/>
        <item x="60"/>
        <item x="28"/>
        <item x="34"/>
        <item x="37"/>
        <item x="41"/>
        <item x="38"/>
        <item x="69"/>
        <item x="62"/>
        <item x="63"/>
        <item x="42"/>
        <item x="66"/>
        <item x="50"/>
        <item x="35"/>
        <item x="29"/>
        <item x="59"/>
        <item x="70"/>
        <item x="49"/>
        <item x="58"/>
        <item x="64"/>
        <item x="44"/>
        <item x="52"/>
        <item x="46"/>
        <item x="31"/>
        <item x="78"/>
        <item x="45"/>
        <item x="43"/>
        <item x="51"/>
        <item x="79"/>
        <item x="47"/>
        <item x="30"/>
        <item x="65"/>
        <item x="32"/>
        <item x="80"/>
        <item x="48"/>
        <item x="71"/>
        <item x="82"/>
        <item x="84"/>
        <item x="81"/>
        <item x="85"/>
        <item x="74"/>
        <item x="86"/>
        <item x="83"/>
        <item x="91"/>
        <item x="75"/>
        <item x="72"/>
        <item x="87"/>
        <item x="76"/>
        <item x="73"/>
        <item x="89"/>
        <item x="88"/>
        <item x="92"/>
        <item x="90"/>
        <item x="53"/>
        <item x="93"/>
        <item x="98"/>
        <item x="97"/>
        <item x="77"/>
        <item x="100"/>
        <item x="94"/>
        <item x="96"/>
        <item x="95"/>
        <item x="99"/>
        <item x="56"/>
        <item x="101"/>
        <item x="57"/>
        <item x="54"/>
        <item x="55"/>
        <item x="103"/>
        <item x="102"/>
        <item x="109"/>
        <item x="108"/>
        <item x="104"/>
        <item x="106"/>
        <item x="107"/>
        <item x="110"/>
        <item x="105"/>
        <item x="111"/>
        <item x="112"/>
        <item x="113"/>
        <item x="114"/>
        <item x="115"/>
        <item x="116"/>
        <item x="117"/>
        <item x="118"/>
        <item x="119"/>
        <item x="120"/>
        <item x="121"/>
        <item x="122"/>
        <item x="123"/>
        <item x="124"/>
        <item x="125"/>
        <item x="126"/>
        <item x="127"/>
        <item x="129"/>
        <item x="128"/>
        <item x="131"/>
        <item x="130"/>
        <item x="132"/>
        <item x="133"/>
        <item x="134"/>
        <item x="135"/>
        <item x="136"/>
        <item x="146"/>
        <item x="145"/>
        <item x="137"/>
        <item x="147"/>
        <item x="143"/>
        <item x="144"/>
        <item x="138"/>
        <item x="141"/>
        <item x="140"/>
        <item x="142"/>
        <item x="139"/>
        <item x="149"/>
        <item x="148"/>
        <item x="150"/>
        <item x="151"/>
        <item x="153"/>
        <item x="154"/>
        <item x="152"/>
        <item x="155"/>
        <item x="156"/>
        <item x="157"/>
        <item x="158"/>
        <item x="159"/>
        <item x="160"/>
        <item t="default"/>
      </items>
    </pivotField>
    <pivotField numFmtId="165" showAll="0"/>
    <pivotField dataField="1" numFmtId="165" showAll="0"/>
    <pivotField dataField="1" numFmtId="165" showAll="0"/>
    <pivotField numFmtId="165" showAll="0"/>
    <pivotField dataField="1" numFmtId="165" showAll="0"/>
    <pivotField dataField="1" numFmtId="165"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3">
    <field x="12"/>
    <field x="10"/>
    <field x="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6">
    <i>
      <x/>
    </i>
    <i i="1">
      <x v="1"/>
    </i>
    <i i="2">
      <x v="2"/>
    </i>
    <i i="3">
      <x v="3"/>
    </i>
    <i i="4">
      <x v="4"/>
    </i>
    <i i="5">
      <x v="5"/>
    </i>
  </colItems>
  <dataFields count="6">
    <dataField name="Promedio de PBS VEJEZ MUJER" fld="2" subtotal="average" baseField="12" baseItem="1"/>
    <dataField name="Promedio de PBS VEJEZ HOMBRE" fld="1" subtotal="average" baseField="12" baseItem="1"/>
    <dataField name="Promedio de PBS INVALIDEZ MUJER" fld="5" subtotal="average" baseField="12" baseItem="6"/>
    <dataField name="Promedio de PBS INVALIDEZ HOMBRE" fld="4" subtotal="average" baseField="12" baseItem="13"/>
    <dataField name="Promedio de PBS TOTAL MUJER" fld="8" subtotal="average" baseField="12" baseItem="12"/>
    <dataField name="Promedio de PBS TOTAL HOMBRE" fld="7" subtotal="average" baseField="12" baseItem="9"/>
  </dataFields>
  <formats count="5">
    <format dxfId="37">
      <pivotArea outline="0" collapsedLevelsAreSubtotals="1" fieldPosition="0"/>
    </format>
    <format dxfId="36">
      <pivotArea collapsedLevelsAreSubtotals="1" fieldPosition="0">
        <references count="1">
          <reference field="12" count="1">
            <x v="14"/>
          </reference>
        </references>
      </pivotArea>
    </format>
    <format dxfId="35">
      <pivotArea dataOnly="0" labelOnly="1" fieldPosition="0">
        <references count="1">
          <reference field="12" count="1">
            <x v="14"/>
          </reference>
        </references>
      </pivotArea>
    </format>
    <format dxfId="34">
      <pivotArea collapsedLevelsAreSubtotals="1" fieldPosition="0">
        <references count="1">
          <reference field="12" count="1">
            <x v="15"/>
          </reference>
        </references>
      </pivotArea>
    </format>
    <format dxfId="33">
      <pivotArea dataOnly="0" labelOnly="1" fieldPosition="0">
        <references count="1">
          <reference field="1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7F6E331-DCC5-406D-A1CE-B3013C0EB132}" name="TablaDinámica2" cacheId="0"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3:R7" firstHeaderRow="0" firstDataRow="1" firstDataCol="1" rowPageCount="1" colPageCount="1"/>
  <pivotFields count="25">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7" showAll="0"/>
    <pivotField numFmtId="167" showAll="0"/>
    <pivotField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dataField="1"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24"/>
    <field x="22"/>
  </rowFields>
  <rowItems count="4">
    <i>
      <x v="15"/>
    </i>
    <i r="1">
      <x v="10"/>
    </i>
    <i r="1">
      <x v="11"/>
    </i>
    <i r="1">
      <x v="12"/>
    </i>
  </rowItems>
  <colFields count="1">
    <field x="-2"/>
  </colFields>
  <colItems count="9">
    <i>
      <x/>
    </i>
    <i i="1">
      <x v="1"/>
    </i>
    <i i="2">
      <x v="2"/>
    </i>
    <i i="3">
      <x v="3"/>
    </i>
    <i i="4">
      <x v="4"/>
    </i>
    <i i="5">
      <x v="5"/>
    </i>
    <i i="6">
      <x v="6"/>
    </i>
    <i i="7">
      <x v="7"/>
    </i>
    <i i="8">
      <x v="8"/>
    </i>
  </colItems>
  <pageFields count="1">
    <pageField fld="0" hier="-1"/>
  </pageFields>
  <dataFields count="9">
    <dataField name="Suma de PBSV_MUJER" fld="14" baseField="22" baseItem="12"/>
    <dataField name="Suma de PBSV_HOMBRE" fld="13" baseField="22" baseItem="12"/>
    <dataField name="Suma de PBSV_TOTAL" fld="15" baseField="0" baseItem="0"/>
    <dataField name="Suma de PBSI_MUJER" fld="17" baseField="22" baseItem="11"/>
    <dataField name="Suma de PBSI_HOMBRE" fld="16" baseField="22" baseItem="12"/>
    <dataField name="Suma de PBSI_TOTAL" fld="18" baseField="0" baseItem="0"/>
    <dataField name="Suma de PBS_MUJER" fld="20" baseField="22" baseItem="12"/>
    <dataField name="Suma de PBS_HOMBRE" fld="19" baseField="22" baseItem="12"/>
    <dataField name="Suma de PBS_TOTAL" fld="21" baseField="0" baseItem="0"/>
  </dataFields>
  <formats count="5">
    <format dxfId="22">
      <pivotArea outline="0" collapsedLevelsAreSubtotals="1" fieldPosition="0"/>
    </format>
    <format dxfId="21">
      <pivotArea collapsedLevelsAreSubtotals="1" fieldPosition="0">
        <references count="1">
          <reference field="24" count="1">
            <x v="15"/>
          </reference>
        </references>
      </pivotArea>
    </format>
    <format dxfId="20">
      <pivotArea dataOnly="0" labelOnly="1" fieldPosition="0">
        <references count="1">
          <reference field="24" count="1">
            <x v="15"/>
          </reference>
        </references>
      </pivotArea>
    </format>
    <format dxfId="19">
      <pivotArea collapsedLevelsAreSubtotals="1" fieldPosition="0">
        <references count="1">
          <reference field="24" count="1">
            <x v="14"/>
          </reference>
        </references>
      </pivotArea>
    </format>
    <format dxfId="18">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1EE0845-B296-4BA2-89F8-4B47D4D3796F}" name="TablaDiná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G43" firstHeaderRow="0" firstDataRow="1" firstDataCol="1"/>
  <pivotFields count="25">
    <pivotField axis="axisRow" numFmtId="17"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numFmtId="165" showAll="0"/>
    <pivotField numFmtId="165" showAll="0"/>
    <pivotField numFmtId="165" showAll="0"/>
    <pivotField numFmtId="165" showAll="0"/>
    <pivotField numFmtId="165" showAll="0"/>
    <pivotField numFmtId="165" showAll="0"/>
    <pivotField numFmtId="165" showAll="0"/>
    <pivotField numFmtId="165" showAll="0"/>
    <pivotField numFmtId="165" showAll="0"/>
    <pivotField numFmtId="167" showAll="0"/>
    <pivotField numFmtId="167" showAll="0"/>
    <pivotField numFmtId="43" showAll="0"/>
    <pivotField dataField="1" numFmtId="43" showAll="0"/>
    <pivotField dataField="1" numFmtId="43" showAll="0"/>
    <pivotField numFmtId="43" showAll="0"/>
    <pivotField dataField="1" numFmtId="43" showAll="0"/>
    <pivotField dataField="1" numFmtId="43" showAll="0"/>
    <pivotField numFmtId="43" showAll="0"/>
    <pivotField dataField="1" numFmtId="43" showAll="0"/>
    <pivotField dataField="1" numFmtId="43" showAll="0"/>
    <pivotField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3">
    <field x="24"/>
    <field x="22"/>
    <field x="0"/>
  </rowFields>
  <rowItems count="40">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i t="grand">
      <x/>
    </i>
  </rowItems>
  <colFields count="1">
    <field x="-2"/>
  </colFields>
  <colItems count="6">
    <i>
      <x/>
    </i>
    <i i="1">
      <x v="1"/>
    </i>
    <i i="2">
      <x v="2"/>
    </i>
    <i i="3">
      <x v="3"/>
    </i>
    <i i="4">
      <x v="4"/>
    </i>
    <i i="5">
      <x v="5"/>
    </i>
  </colItems>
  <dataFields count="6">
    <dataField name="Promedio de PBSV_MUJER" fld="14" subtotal="average" baseField="24" baseItem="7"/>
    <dataField name="Promedio de PBSV_HOMBRE" fld="13" subtotal="average" baseField="24" baseItem="5"/>
    <dataField name="Promedio de PBSI_MUJER" fld="17" subtotal="average" baseField="24" baseItem="12"/>
    <dataField name="Promedio de PBSI_HOMBRE" fld="16" subtotal="average" baseField="24" baseItem="9"/>
    <dataField name="Promedio de PBS_MUJER" fld="20" subtotal="average" baseField="24" baseItem="11"/>
    <dataField name="Promedio de PBS_HOMBRE" fld="19" subtotal="average" baseField="24" baseItem="11"/>
  </dataFields>
  <formats count="5">
    <format dxfId="27">
      <pivotArea outline="0" collapsedLevelsAreSubtotals="1" fieldPosition="0"/>
    </format>
    <format dxfId="26">
      <pivotArea collapsedLevelsAreSubtotals="1" fieldPosition="0">
        <references count="1">
          <reference field="24" count="1">
            <x v="15"/>
          </reference>
        </references>
      </pivotArea>
    </format>
    <format dxfId="25">
      <pivotArea dataOnly="0" labelOnly="1" fieldPosition="0">
        <references count="1">
          <reference field="24" count="1">
            <x v="15"/>
          </reference>
        </references>
      </pivotArea>
    </format>
    <format dxfId="24">
      <pivotArea collapsedLevelsAreSubtotals="1" fieldPosition="0">
        <references count="1">
          <reference field="24" count="1">
            <x v="14"/>
          </reference>
        </references>
      </pivotArea>
    </format>
    <format dxfId="23">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A17C66F-0276-4CDE-A5A3-94B8C241993D}" name="TablaDinámica3" cacheId="0"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14:R18" firstHeaderRow="0" firstDataRow="1" firstDataCol="1" rowPageCount="1" colPageCount="1"/>
  <pivotFields count="25">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dataField="1" numFmtId="165" showAll="0"/>
    <pivotField numFmtId="167" showAll="0"/>
    <pivotField numFmtId="167"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numFmtId="43"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24"/>
    <field x="22"/>
  </rowFields>
  <rowItems count="4">
    <i>
      <x v="15"/>
    </i>
    <i r="1">
      <x v="10"/>
    </i>
    <i r="1">
      <x v="11"/>
    </i>
    <i r="1">
      <x v="12"/>
    </i>
  </rowItems>
  <colFields count="1">
    <field x="-2"/>
  </colFields>
  <colItems count="9">
    <i>
      <x/>
    </i>
    <i i="1">
      <x v="1"/>
    </i>
    <i i="2">
      <x v="2"/>
    </i>
    <i i="3">
      <x v="3"/>
    </i>
    <i i="4">
      <x v="4"/>
    </i>
    <i i="5">
      <x v="5"/>
    </i>
    <i i="6">
      <x v="6"/>
    </i>
    <i i="7">
      <x v="7"/>
    </i>
    <i i="8">
      <x v="8"/>
    </i>
  </colItems>
  <pageFields count="1">
    <pageField fld="0" hier="-1"/>
  </pageFields>
  <dataFields count="9">
    <dataField name="Suma de MUJER" fld="2" baseField="22" baseItem="11"/>
    <dataField name="Suma de HOMBRE" fld="1" baseField="22" baseItem="12"/>
    <dataField name="Suma de TOTAL" fld="3" baseField="22" baseItem="12"/>
    <dataField name="Suma de MUJER2" fld="5" baseField="22" baseItem="12"/>
    <dataField name="Suma de HOMBRE2" fld="4" baseField="22" baseItem="11"/>
    <dataField name="Suma de TOTAL2" fld="6" baseField="22" baseItem="10"/>
    <dataField name="Suma de MUJER3" fld="8" baseField="22" baseItem="11"/>
    <dataField name="Suma de HOMBRE3" fld="7" baseField="22" baseItem="11"/>
    <dataField name="Suma de TOTAL3" fld="9" baseField="22" baseItem="11"/>
  </dataFields>
  <formats count="5">
    <format dxfId="32">
      <pivotArea outline="0" collapsedLevelsAreSubtotals="1" fieldPosition="0"/>
    </format>
    <format dxfId="31">
      <pivotArea collapsedLevelsAreSubtotals="1" fieldPosition="0">
        <references count="1">
          <reference field="24" count="1">
            <x v="15"/>
          </reference>
        </references>
      </pivotArea>
    </format>
    <format dxfId="30">
      <pivotArea dataOnly="0" labelOnly="1" fieldPosition="0">
        <references count="1">
          <reference field="24" count="1">
            <x v="15"/>
          </reference>
        </references>
      </pivotArea>
    </format>
    <format dxfId="29">
      <pivotArea collapsedLevelsAreSubtotals="1" fieldPosition="0">
        <references count="1">
          <reference field="24" count="1">
            <x v="14"/>
          </reference>
        </references>
      </pivotArea>
    </format>
    <format dxfId="28">
      <pivotArea dataOnly="0" labelOnly="1" fieldPosition="0">
        <references count="1">
          <reference field="24" count="1">
            <x v="1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C0998F5-73AB-4CE4-B3D7-6D388A68F71C}" name="TablaDinámica6"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9:G20"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Promedio de APS VEJEZ MUJER n" fld="2" subtotal="average" baseField="42" baseItem="15"/>
    <dataField name="Promedio de APS VEJEZ HOMBRE n" fld="1" subtotal="average" baseField="42" baseItem="15"/>
    <dataField name="Promedio de APS INVALIDEZ MUJER N" fld="5" subtotal="average" baseField="42" baseItem="15"/>
    <dataField name="Promedio de APS INVALIDEZ HOMBRE N" fld="4" subtotal="average" baseField="42" baseItem="15"/>
    <dataField name="Promedio de APS TOTAL MUJER N" fld="8" subtotal="average" baseField="42" baseItem="15"/>
    <dataField name="Promedio de APS TOTAL HOMBRE N" fld="7" subtotal="average" baseField="42" baseItem="1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F2521AE-3197-44A0-93AC-AABBF01C5D3D}" name="TablaDinámica13"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51:E90" firstHeaderRow="0" firstDataRow="1" firstDataCol="1"/>
  <pivotFields count="43">
    <pivotField numFmtId="17" multipleItemSelectionAllowed="1"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42"/>
    <field x="4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4">
    <i>
      <x/>
    </i>
    <i i="1">
      <x v="1"/>
    </i>
    <i i="2">
      <x v="2"/>
    </i>
    <i i="3">
      <x v="3"/>
    </i>
  </colItems>
  <dataFields count="4">
    <dataField name="Promedio de APS VEJEZ MUJER n" fld="2" subtotal="average" baseField="42" baseItem="4"/>
    <dataField name="Promedio de APS VEJEZ HOMBRE n" fld="1" subtotal="average" baseField="42" baseItem="8"/>
    <dataField name="Promedio de APS INVALIDEZ MUJER N" fld="5" subtotal="average" baseField="42" baseItem="10"/>
    <dataField name="Promedio de APS INVALIDEZ HOMBRE N" fld="4" subtotal="average" baseField="42" baseItem="14"/>
  </dataFields>
  <formats count="5">
    <format dxfId="5">
      <pivotArea outline="0" collapsedLevelsAreSubtotals="1" fieldPosition="0"/>
    </format>
    <format dxfId="4">
      <pivotArea collapsedLevelsAreSubtotals="1" fieldPosition="0">
        <references count="1">
          <reference field="42" count="1">
            <x v="14"/>
          </reference>
        </references>
      </pivotArea>
    </format>
    <format dxfId="3">
      <pivotArea dataOnly="0" labelOnly="1" fieldPosition="0">
        <references count="1">
          <reference field="42" count="1">
            <x v="14"/>
          </reference>
        </references>
      </pivotArea>
    </format>
    <format dxfId="2">
      <pivotArea collapsedLevelsAreSubtotals="1" fieldPosition="0">
        <references count="1">
          <reference field="42" count="1">
            <x v="15"/>
          </reference>
        </references>
      </pivotArea>
    </format>
    <format dxfId="1">
      <pivotArea dataOnly="0" labelOnly="1" fieldPosition="0">
        <references count="1">
          <reference field="4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198F3A3-C6B3-472D-9DA4-3FDB375A38E8}" name="TablaDinámica7"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25:G26"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Suma de APS VEJEZ MUJER nom" fld="32" baseField="0" baseItem="0"/>
    <dataField name="Suma de APS VEJEZ HOMBRE nom" fld="31" baseField="0" baseItem="0"/>
    <dataField name="Suma de APS INVALIDEZ MUJER nom" fld="35" baseField="0" baseItem="0"/>
    <dataField name="Suma de APS INVALIDEZ HOMBRE nom" fld="34" baseField="0" baseItem="0"/>
    <dataField name="Suma de APS TOTAL MUJER nom" fld="38" baseField="0" baseItem="0"/>
    <dataField name="Suma de APS TOTAL HOMBRE nom" fld="37"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122D35A-F4D9-4F71-83E4-3C8E9D5043D5}" name="TablaDinámica14"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94:E133" firstHeaderRow="0" firstDataRow="1" firstDataCol="1"/>
  <pivotFields count="43">
    <pivotField numFmtId="17" multipleItemSelectionAllowed="1" showAll="0">
      <items count="17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x="14"/>
        <item x="15"/>
        <item sd="0" x="16"/>
        <item t="default"/>
      </items>
    </pivotField>
  </pivotFields>
  <rowFields count="2">
    <field x="42"/>
    <field x="40"/>
  </rowFields>
  <rowItems count="39">
    <i>
      <x v="1"/>
    </i>
    <i>
      <x v="2"/>
    </i>
    <i>
      <x v="3"/>
    </i>
    <i>
      <x v="4"/>
    </i>
    <i>
      <x v="5"/>
    </i>
    <i>
      <x v="6"/>
    </i>
    <i>
      <x v="7"/>
    </i>
    <i>
      <x v="8"/>
    </i>
    <i>
      <x v="9"/>
    </i>
    <i>
      <x v="10"/>
    </i>
    <i>
      <x v="11"/>
    </i>
    <i>
      <x v="12"/>
    </i>
    <i>
      <x v="13"/>
    </i>
    <i>
      <x v="14"/>
    </i>
    <i r="1">
      <x v="1"/>
    </i>
    <i r="1">
      <x v="2"/>
    </i>
    <i r="1">
      <x v="3"/>
    </i>
    <i r="1">
      <x v="4"/>
    </i>
    <i r="1">
      <x v="5"/>
    </i>
    <i r="1">
      <x v="6"/>
    </i>
    <i r="1">
      <x v="7"/>
    </i>
    <i r="1">
      <x v="8"/>
    </i>
    <i r="1">
      <x v="9"/>
    </i>
    <i r="1">
      <x v="10"/>
    </i>
    <i r="1">
      <x v="11"/>
    </i>
    <i r="1">
      <x v="12"/>
    </i>
    <i>
      <x v="15"/>
    </i>
    <i r="1">
      <x v="1"/>
    </i>
    <i r="1">
      <x v="2"/>
    </i>
    <i r="1">
      <x v="3"/>
    </i>
    <i r="1">
      <x v="4"/>
    </i>
    <i r="1">
      <x v="5"/>
    </i>
    <i r="1">
      <x v="6"/>
    </i>
    <i r="1">
      <x v="7"/>
    </i>
    <i r="1">
      <x v="8"/>
    </i>
    <i r="1">
      <x v="9"/>
    </i>
    <i r="1">
      <x v="10"/>
    </i>
    <i r="1">
      <x v="11"/>
    </i>
    <i r="1">
      <x v="12"/>
    </i>
  </rowItems>
  <colFields count="1">
    <field x="-2"/>
  </colFields>
  <colItems count="4">
    <i>
      <x/>
    </i>
    <i i="1">
      <x v="1"/>
    </i>
    <i i="2">
      <x v="2"/>
    </i>
    <i i="3">
      <x v="3"/>
    </i>
  </colItems>
  <dataFields count="4">
    <dataField name="Promedio de PBSV_MUJER REAL" fld="23" subtotal="average" baseField="42" baseItem="11"/>
    <dataField name="Promedio de PBSV_HOMBRE REAL" fld="22" subtotal="average" baseField="42" baseItem="9"/>
    <dataField name="Promedio de PBSI_MUJER REAL" fld="26" subtotal="average" baseField="42" baseItem="9"/>
    <dataField name="Promedio de PBSI_HOMBRE REAL" fld="25" subtotal="average" baseField="42" baseItem="9"/>
  </dataFields>
  <formats count="5">
    <format dxfId="11">
      <pivotArea outline="0" collapsedLevelsAreSubtotals="1" fieldPosition="0"/>
    </format>
    <format dxfId="10">
      <pivotArea collapsedLevelsAreSubtotals="1" fieldPosition="0">
        <references count="1">
          <reference field="42" count="1">
            <x v="14"/>
          </reference>
        </references>
      </pivotArea>
    </format>
    <format dxfId="9">
      <pivotArea dataOnly="0" labelOnly="1" fieldPosition="0">
        <references count="1">
          <reference field="42" count="1">
            <x v="14"/>
          </reference>
        </references>
      </pivotArea>
    </format>
    <format dxfId="8">
      <pivotArea collapsedLevelsAreSubtotals="1" fieldPosition="0">
        <references count="1">
          <reference field="42" count="1">
            <x v="15"/>
          </reference>
        </references>
      </pivotArea>
    </format>
    <format dxfId="7">
      <pivotArea dataOnly="0" labelOnly="1" fieldPosition="0">
        <references count="1">
          <reference field="42" count="1">
            <x v="1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DA28548-45BB-44AE-BE99-FAD857820FB2}" name="TablaDinámica12"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O3:S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4">
    <i>
      <x/>
    </i>
    <i i="1">
      <x v="1"/>
    </i>
    <i i="2">
      <x v="2"/>
    </i>
    <i i="3">
      <x v="3"/>
    </i>
  </colItems>
  <pageFields count="1">
    <pageField fld="0" hier="-1"/>
  </pageFields>
  <dataFields count="4">
    <dataField name="Suma de PBSV_MUJER REAL" fld="23" baseField="0" baseItem="0"/>
    <dataField name="Suma de PBSV_HOMBRE REAL" fld="22" baseField="0" baseItem="0"/>
    <dataField name="Suma de PBSI_MUJER REAL" fld="26" baseField="0" baseItem="0"/>
    <dataField name="Suma de PBSI_HOMBRE REAL" fld="25"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156A420B-67FC-4B26-BF73-7FD4FFA37FD9}" name="TablaDinámica10"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44:E45"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4">
    <i>
      <x/>
    </i>
    <i i="1">
      <x v="1"/>
    </i>
    <i i="2">
      <x v="2"/>
    </i>
    <i i="3">
      <x v="3"/>
    </i>
  </colItems>
  <pageFields count="1">
    <pageField fld="0" hier="-1"/>
  </pageFields>
  <dataFields count="4">
    <dataField name="Promedio de PBSV_MUJER REAL" fld="23" subtotal="average" baseField="42" baseItem="15"/>
    <dataField name="Promedio de PBSV_HOMBRE REAL" fld="22" subtotal="average" baseField="42" baseItem="15"/>
    <dataField name="Promedio de PBSI_MUJER REAL" fld="26" subtotal="average" baseField="42" baseItem="15"/>
    <dataField name="Promedio de PBSI_HOMBRE REAL" fld="25" subtotal="average" baseField="42" baseItem="15"/>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8F89514-05E8-404C-AA67-9D8D6CCDF6DC}" name="TablaDinámica9"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7:E38"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4">
    <i>
      <x/>
    </i>
    <i i="1">
      <x v="1"/>
    </i>
    <i i="2">
      <x v="2"/>
    </i>
    <i i="3">
      <x v="3"/>
    </i>
  </colItems>
  <pageFields count="1">
    <pageField fld="0" hier="-1"/>
  </pageFields>
  <dataFields count="4">
    <dataField name="Suma de PBSV_MUJER REAL" fld="23" baseField="0" baseItem="0"/>
    <dataField name="Suma de PBSV_HOMBRE REAL" fld="22" baseField="0" baseItem="0"/>
    <dataField name="Suma de PBSI_MUJER REAL" fld="26" baseField="0" baseItem="0"/>
    <dataField name="Suma de PBSI_HOMBRE REAL" fld="25" baseField="0" baseItem="0"/>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EA86542-0396-405E-BCB4-484F5303916B}" name="TablaDinámica11"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I3:M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4">
    <i>
      <x/>
    </i>
    <i i="1">
      <x v="1"/>
    </i>
    <i i="2">
      <x v="2"/>
    </i>
    <i i="3">
      <x v="3"/>
    </i>
  </colItems>
  <pageFields count="1">
    <pageField fld="0" hier="-1"/>
  </pageFields>
  <dataFields count="4">
    <dataField name="Suma de APS VEJEZ MUJER nom" fld="32" baseField="0" baseItem="0"/>
    <dataField name="Suma de APS VEJEZ HOMBRE nom" fld="31" baseField="0" baseItem="0"/>
    <dataField name="Suma de APS INVALIDEZ MUJER nom" fld="35" baseField="0" baseItem="0"/>
    <dataField name="Suma de APS INVALIDEZ HOMBRE nom" fld="34" baseField="0" baseItem="0"/>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A18DFB1-E842-4566-8E07-0E6F7A028AC3}" name="TablaDinámica5"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13:G14"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Suma de APS VEJEZ MUJER n" fld="2" baseField="0" baseItem="0"/>
    <dataField name="Suma de APS VEJEZ HOMBRE n" fld="1" baseField="0" baseItem="0"/>
    <dataField name="Suma de APS INVALIDEZ MUJER N" fld="5" baseField="0" baseItem="0"/>
    <dataField name="Suma de APS INVALIDEZ HOMBRE N" fld="4" baseField="0" baseItem="0"/>
    <dataField name="Suma de APS TOTAL MUJER N" fld="8" baseField="0" baseItem="0"/>
    <dataField name="Suma de APS TOTAL HOMBRE N" fld="7" baseField="0" baseItem="0"/>
  </dataFields>
  <formats count="1">
    <format dxfId="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88EFFEA-5A2B-45BD-A133-B8BF6D52E2C2}" name="TablaDinámica8"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1:G32"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x="162"/>
        <item x="163"/>
        <item x="164"/>
        <item x="165"/>
        <item x="166"/>
        <item x="167"/>
        <item x="168"/>
        <item x="169"/>
        <item x="170"/>
        <item x="171"/>
        <item x="172"/>
        <item x="17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dataField="1" numFmtId="41" showAll="0"/>
    <pivotField dataField="1" numFmtId="41" showAll="0"/>
    <pivotField numFmtId="4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1">
    <field x="42"/>
  </rowFields>
  <rowItems count="1">
    <i>
      <x v="15"/>
    </i>
  </rowItems>
  <colFields count="1">
    <field x="-2"/>
  </colFields>
  <colItems count="6">
    <i>
      <x/>
    </i>
    <i i="1">
      <x v="1"/>
    </i>
    <i i="2">
      <x v="2"/>
    </i>
    <i i="3">
      <x v="3"/>
    </i>
    <i i="4">
      <x v="4"/>
    </i>
    <i i="5">
      <x v="5"/>
    </i>
  </colItems>
  <pageFields count="1">
    <pageField fld="0" hier="-1"/>
  </pageFields>
  <dataFields count="6">
    <dataField name="Promedio de APS VEJEZ MUJER nom" fld="32" subtotal="average" baseField="42" baseItem="15"/>
    <dataField name="Promedio de APS VEJEZ HOMBRE nom" fld="31" subtotal="average" baseField="42" baseItem="15"/>
    <dataField name="Promedio de APS INVALIDEZ MUJER nom" fld="35" subtotal="average" baseField="42" baseItem="15"/>
    <dataField name="Promedio de APS INVALIDEZ HOMBRE nom" fld="34" subtotal="average" baseField="42" baseItem="15"/>
    <dataField name="Promedio de APS TOTAL MUJER nom" fld="38" subtotal="average" baseField="42" baseItem="15"/>
    <dataField name="Promedio de APS TOTAL HOMBRE nom" fld="37" subtotal="average" baseField="42" baseItem="15"/>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AC6800A-B8EE-489E-9273-309F39920F99}" name="TablaDinámica4" cacheId="2" applyNumberFormats="0" applyBorderFormats="0" applyFontFormats="0" applyPatternFormats="0" applyAlignmentFormats="0" applyWidthHeightFormats="1" dataCaption="Valores" updatedVersion="8" minRefreshableVersion="3" useAutoFormatting="1" rowGrandTotals="0" itemPrintTitles="1" createdVersion="8" indent="0" outline="1" outlineData="1" multipleFieldFilters="0">
  <location ref="A3:G7" firstHeaderRow="0" firstDataRow="1" firstDataCol="1" rowPageCount="1" colPageCount="1"/>
  <pivotFields count="43">
    <pivotField axis="axisPage" numFmtId="17" multipleItemSelectionAllowed="1" showAll="0">
      <items count="175">
        <item h="1" x="0"/>
        <item h="1" x="1"/>
        <item h="1" x="2"/>
        <item h="1" x="3"/>
        <item h="1" x="4"/>
        <item h="1" x="5"/>
        <item h="1"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h="1"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x="171"/>
        <item x="172"/>
        <item x="173"/>
        <item t="default"/>
      </items>
    </pivotField>
    <pivotField dataField="1" showAll="0"/>
    <pivotField dataField="1" showAll="0"/>
    <pivotField showAll="0"/>
    <pivotField dataField="1" showAll="0"/>
    <pivotField dataField="1"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numFmtId="43"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8">
        <item sd="0" x="0"/>
        <item sd="0" x="1"/>
        <item sd="0" x="2"/>
        <item sd="0" x="3"/>
        <item sd="0" x="4"/>
        <item sd="0" x="5"/>
        <item sd="0" x="6"/>
        <item sd="0" x="7"/>
        <item sd="0" x="8"/>
        <item sd="0" x="9"/>
        <item sd="0" x="10"/>
        <item sd="0" x="11"/>
        <item sd="0" x="12"/>
        <item sd="0" x="13"/>
        <item sd="0" x="14"/>
        <item x="15"/>
        <item sd="0" x="16"/>
        <item t="default"/>
      </items>
    </pivotField>
  </pivotFields>
  <rowFields count="2">
    <field x="42"/>
    <field x="40"/>
  </rowFields>
  <rowItems count="4">
    <i>
      <x v="15"/>
    </i>
    <i r="1">
      <x v="10"/>
    </i>
    <i r="1">
      <x v="11"/>
    </i>
    <i r="1">
      <x v="12"/>
    </i>
  </rowItems>
  <colFields count="1">
    <field x="-2"/>
  </colFields>
  <colItems count="6">
    <i>
      <x/>
    </i>
    <i i="1">
      <x v="1"/>
    </i>
    <i i="2">
      <x v="2"/>
    </i>
    <i i="3">
      <x v="3"/>
    </i>
    <i i="4">
      <x v="4"/>
    </i>
    <i i="5">
      <x v="5"/>
    </i>
  </colItems>
  <pageFields count="1">
    <pageField fld="0" hier="-1"/>
  </pageFields>
  <dataFields count="6">
    <dataField name="Suma de APS VEJEZ MUJER n" fld="2" baseField="0" baseItem="0"/>
    <dataField name="Suma de APS VEJEZ HOMBRE n" fld="1" baseField="0" baseItem="0"/>
    <dataField name="Suma de APS INVALIDEZ MUJER N" fld="5" baseField="0" baseItem="0"/>
    <dataField name="Suma de APS INVALIDEZ HOMBRE N" fld="4" baseField="0" baseItem="0"/>
    <dataField name="Suma de APS TOTAL MUJER N" fld="8" baseField="0" baseItem="0"/>
    <dataField name="Suma de APS TOTAL HOMBRE 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23.xml"/><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11" Type="http://schemas.openxmlformats.org/officeDocument/2006/relationships/pivotTable" Target="../pivotTables/pivotTable26.xml"/><Relationship Id="rId5" Type="http://schemas.openxmlformats.org/officeDocument/2006/relationships/pivotTable" Target="../pivotTables/pivotTable20.xml"/><Relationship Id="rId10" Type="http://schemas.openxmlformats.org/officeDocument/2006/relationships/pivotTable" Target="../pivotTables/pivotTable25.xml"/><Relationship Id="rId4" Type="http://schemas.openxmlformats.org/officeDocument/2006/relationships/pivotTable" Target="../pivotTables/pivotTable19.xml"/><Relationship Id="rId9" Type="http://schemas.openxmlformats.org/officeDocument/2006/relationships/pivotTable" Target="../pivotTables/pivotTable2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6.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7.bin"/></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05FE4-6789-4257-B0F5-F33E8FA98108}">
  <sheetPr>
    <tabColor rgb="FFC00000"/>
  </sheetPr>
  <dimension ref="A1:M34"/>
  <sheetViews>
    <sheetView showGridLines="0" tabSelected="1" workbookViewId="0"/>
  </sheetViews>
  <sheetFormatPr baseColWidth="10" defaultRowHeight="15" x14ac:dyDescent="0.25"/>
  <cols>
    <col min="1" max="1" width="14.42578125" customWidth="1"/>
  </cols>
  <sheetData>
    <row r="1" spans="1:13" x14ac:dyDescent="0.25">
      <c r="B1" s="387" t="s">
        <v>706</v>
      </c>
      <c r="C1" s="388"/>
      <c r="D1" s="388"/>
      <c r="E1" s="388"/>
      <c r="F1" s="388"/>
      <c r="G1" s="388"/>
      <c r="H1" s="388"/>
      <c r="I1" s="388"/>
      <c r="J1" s="388"/>
      <c r="K1" s="388"/>
      <c r="L1" s="388"/>
      <c r="M1" s="388"/>
    </row>
    <row r="2" spans="1:13" x14ac:dyDescent="0.25">
      <c r="B2" s="388"/>
      <c r="C2" s="388"/>
      <c r="D2" s="388"/>
      <c r="E2" s="388"/>
      <c r="F2" s="388"/>
      <c r="G2" s="388"/>
      <c r="H2" s="388"/>
      <c r="I2" s="388"/>
      <c r="J2" s="388"/>
      <c r="K2" s="388"/>
      <c r="L2" s="388"/>
      <c r="M2" s="388"/>
    </row>
    <row r="3" spans="1:13" x14ac:dyDescent="0.25">
      <c r="B3" s="388"/>
      <c r="C3" s="388"/>
      <c r="D3" s="388"/>
      <c r="E3" s="388"/>
      <c r="F3" s="388"/>
      <c r="G3" s="388"/>
      <c r="H3" s="388"/>
      <c r="I3" s="388"/>
      <c r="J3" s="388"/>
      <c r="K3" s="388"/>
      <c r="L3" s="388"/>
      <c r="M3" s="388"/>
    </row>
    <row r="4" spans="1:13" x14ac:dyDescent="0.25">
      <c r="B4" s="388"/>
      <c r="C4" s="388"/>
      <c r="D4" s="388"/>
      <c r="E4" s="388"/>
      <c r="F4" s="388"/>
      <c r="G4" s="388"/>
      <c r="H4" s="388"/>
      <c r="I4" s="388"/>
      <c r="J4" s="388"/>
      <c r="K4" s="388"/>
      <c r="L4" s="388"/>
      <c r="M4" s="388"/>
    </row>
    <row r="5" spans="1:13" x14ac:dyDescent="0.25">
      <c r="B5" s="388"/>
      <c r="C5" s="388"/>
      <c r="D5" s="388"/>
      <c r="E5" s="388"/>
      <c r="F5" s="388"/>
      <c r="G5" s="388"/>
      <c r="H5" s="388"/>
      <c r="I5" s="388"/>
      <c r="J5" s="388"/>
      <c r="K5" s="388"/>
      <c r="L5" s="388"/>
      <c r="M5" s="388"/>
    </row>
    <row r="6" spans="1:13" ht="15.75" x14ac:dyDescent="0.25">
      <c r="B6" s="232"/>
      <c r="C6" s="232"/>
      <c r="D6" s="232"/>
      <c r="E6" s="232"/>
      <c r="F6" s="232"/>
      <c r="G6" s="232"/>
      <c r="H6" s="232"/>
      <c r="I6" s="232"/>
      <c r="J6" s="232"/>
      <c r="K6" s="232"/>
      <c r="L6" s="232"/>
      <c r="M6" s="232"/>
    </row>
    <row r="8" spans="1:13" ht="15.75" thickBot="1" x14ac:dyDescent="0.3"/>
    <row r="9" spans="1:13" ht="24.75" thickTop="1" thickBot="1" x14ac:dyDescent="0.4">
      <c r="A9" s="233"/>
      <c r="B9" s="390" t="s">
        <v>714</v>
      </c>
      <c r="C9" s="391"/>
      <c r="D9" s="391"/>
      <c r="E9" s="391"/>
      <c r="F9" s="391"/>
      <c r="G9" s="391"/>
      <c r="H9" s="391"/>
      <c r="I9" s="391"/>
      <c r="J9" s="391"/>
      <c r="K9" s="391"/>
      <c r="L9" s="391"/>
      <c r="M9" s="392"/>
    </row>
    <row r="10" spans="1:13" ht="16.5" thickTop="1" x14ac:dyDescent="0.25">
      <c r="B10" s="393" t="s">
        <v>831</v>
      </c>
      <c r="C10" s="393"/>
      <c r="D10" s="393"/>
      <c r="E10" s="393"/>
      <c r="F10" s="393"/>
      <c r="G10" s="393"/>
      <c r="H10" s="393"/>
      <c r="I10" s="393"/>
      <c r="J10" s="393"/>
      <c r="K10" s="393"/>
      <c r="L10" s="393"/>
      <c r="M10" s="393"/>
    </row>
    <row r="11" spans="1:13" x14ac:dyDescent="0.25">
      <c r="B11" s="389"/>
      <c r="C11" s="389"/>
      <c r="D11" s="389"/>
      <c r="E11" s="389"/>
      <c r="F11" s="389"/>
      <c r="G11" s="389"/>
      <c r="H11" s="389"/>
      <c r="I11" s="389"/>
      <c r="J11" s="389"/>
      <c r="K11" s="389"/>
      <c r="L11" s="389"/>
      <c r="M11" s="389"/>
    </row>
    <row r="12" spans="1:13" x14ac:dyDescent="0.25">
      <c r="B12" s="528" t="s">
        <v>710</v>
      </c>
      <c r="C12" s="528"/>
      <c r="D12" s="528"/>
      <c r="E12" s="528"/>
      <c r="F12" s="528"/>
      <c r="G12" s="528"/>
      <c r="H12" s="528"/>
      <c r="I12" s="528"/>
      <c r="J12" s="528"/>
      <c r="K12" s="528"/>
      <c r="L12" s="528"/>
      <c r="M12" s="528"/>
    </row>
    <row r="13" spans="1:13" x14ac:dyDescent="0.25">
      <c r="B13" s="527" t="s">
        <v>902</v>
      </c>
      <c r="C13" s="527"/>
      <c r="D13" s="527"/>
      <c r="E13" s="527"/>
      <c r="F13" s="527"/>
      <c r="G13" s="527"/>
      <c r="H13" s="527"/>
      <c r="I13" s="527"/>
      <c r="J13" s="527"/>
      <c r="K13" s="527"/>
      <c r="L13" s="527"/>
      <c r="M13" s="527"/>
    </row>
    <row r="14" spans="1:13" x14ac:dyDescent="0.25">
      <c r="B14" s="529" t="s">
        <v>903</v>
      </c>
    </row>
    <row r="15" spans="1:13" x14ac:dyDescent="0.25">
      <c r="B15" s="527" t="s">
        <v>904</v>
      </c>
      <c r="C15" s="527"/>
      <c r="D15" s="527"/>
      <c r="E15" s="527"/>
      <c r="F15" s="527"/>
      <c r="G15" s="527"/>
      <c r="H15" s="527"/>
      <c r="I15" s="527"/>
      <c r="J15" s="527"/>
      <c r="K15" s="527"/>
      <c r="L15" s="527"/>
      <c r="M15" s="527"/>
    </row>
    <row r="16" spans="1:13" x14ac:dyDescent="0.25">
      <c r="B16" s="527" t="s">
        <v>905</v>
      </c>
      <c r="C16" s="527"/>
      <c r="D16" s="527"/>
      <c r="E16" s="527"/>
      <c r="F16" s="527"/>
      <c r="G16" s="527"/>
      <c r="H16" s="527"/>
      <c r="I16" s="527"/>
      <c r="J16" s="527"/>
      <c r="K16" s="527"/>
      <c r="L16" s="527"/>
      <c r="M16" s="527"/>
    </row>
    <row r="17" spans="2:13" x14ac:dyDescent="0.25">
      <c r="B17" s="527" t="s">
        <v>906</v>
      </c>
      <c r="C17" s="527"/>
      <c r="D17" s="527"/>
      <c r="E17" s="527"/>
      <c r="F17" s="527"/>
      <c r="G17" s="527"/>
      <c r="H17" s="527"/>
      <c r="I17" s="527"/>
      <c r="J17" s="527"/>
      <c r="K17" s="527"/>
      <c r="L17" s="527"/>
      <c r="M17" s="527"/>
    </row>
    <row r="18" spans="2:13" x14ac:dyDescent="0.25">
      <c r="B18" s="529" t="s">
        <v>952</v>
      </c>
    </row>
    <row r="19" spans="2:13" x14ac:dyDescent="0.25">
      <c r="B19" s="529"/>
    </row>
    <row r="20" spans="2:13" x14ac:dyDescent="0.25">
      <c r="B20" s="528" t="s">
        <v>705</v>
      </c>
      <c r="C20" s="528"/>
      <c r="D20" s="528"/>
      <c r="E20" s="528"/>
      <c r="F20" s="528"/>
      <c r="G20" s="528"/>
      <c r="H20" s="528"/>
      <c r="I20" s="528"/>
      <c r="J20" s="528"/>
      <c r="K20" s="528"/>
      <c r="L20" s="528"/>
      <c r="M20" s="528"/>
    </row>
    <row r="21" spans="2:13" x14ac:dyDescent="0.25">
      <c r="B21" s="527" t="s">
        <v>955</v>
      </c>
      <c r="C21" s="527"/>
      <c r="D21" s="527"/>
      <c r="E21" s="527"/>
      <c r="F21" s="527"/>
      <c r="G21" s="527"/>
      <c r="H21" s="527"/>
      <c r="I21" s="527"/>
      <c r="J21" s="527"/>
      <c r="K21" s="527"/>
      <c r="L21" s="527"/>
      <c r="M21" s="527"/>
    </row>
    <row r="22" spans="2:13" x14ac:dyDescent="0.25">
      <c r="B22" s="527" t="s">
        <v>956</v>
      </c>
      <c r="C22" s="527"/>
      <c r="D22" s="527"/>
      <c r="E22" s="527"/>
      <c r="F22" s="527"/>
      <c r="G22" s="527"/>
      <c r="H22" s="527"/>
      <c r="I22" s="527"/>
      <c r="J22" s="527"/>
      <c r="K22" s="527"/>
      <c r="L22" s="527"/>
      <c r="M22" s="527"/>
    </row>
    <row r="23" spans="2:13" x14ac:dyDescent="0.25">
      <c r="B23" s="527" t="s">
        <v>957</v>
      </c>
      <c r="C23" s="527"/>
      <c r="D23" s="527"/>
      <c r="E23" s="527"/>
      <c r="F23" s="527"/>
      <c r="G23" s="527"/>
      <c r="H23" s="527"/>
      <c r="I23" s="527"/>
      <c r="J23" s="527"/>
      <c r="K23" s="527"/>
      <c r="L23" s="527"/>
      <c r="M23" s="527"/>
    </row>
    <row r="24" spans="2:13" x14ac:dyDescent="0.25">
      <c r="B24" s="527" t="s">
        <v>958</v>
      </c>
      <c r="C24" s="527"/>
      <c r="D24" s="527"/>
      <c r="E24" s="527"/>
      <c r="F24" s="527"/>
      <c r="G24" s="527"/>
      <c r="H24" s="527"/>
      <c r="I24" s="527"/>
      <c r="J24" s="527"/>
      <c r="K24" s="527"/>
      <c r="L24" s="527"/>
      <c r="M24" s="527"/>
    </row>
    <row r="25" spans="2:13" x14ac:dyDescent="0.25">
      <c r="B25" s="527" t="s">
        <v>959</v>
      </c>
      <c r="C25" s="527"/>
      <c r="D25" s="527"/>
      <c r="E25" s="527"/>
      <c r="F25" s="527"/>
      <c r="G25" s="527"/>
      <c r="H25" s="527"/>
      <c r="I25" s="527"/>
      <c r="J25" s="527"/>
      <c r="K25" s="527"/>
      <c r="L25" s="527"/>
      <c r="M25" s="527"/>
    </row>
    <row r="26" spans="2:13" x14ac:dyDescent="0.25">
      <c r="B26" s="527" t="s">
        <v>960</v>
      </c>
      <c r="C26" s="527"/>
      <c r="D26" s="527"/>
      <c r="E26" s="527"/>
      <c r="F26" s="527"/>
      <c r="G26" s="527"/>
      <c r="H26" s="527"/>
      <c r="I26" s="527"/>
      <c r="J26" s="527"/>
      <c r="K26" s="527"/>
      <c r="L26" s="527"/>
      <c r="M26" s="527"/>
    </row>
    <row r="27" spans="2:13" x14ac:dyDescent="0.25">
      <c r="B27" s="529"/>
      <c r="C27" s="529"/>
      <c r="D27" s="529"/>
      <c r="E27" s="529"/>
      <c r="F27" s="529"/>
      <c r="G27" s="529"/>
      <c r="H27" s="529"/>
      <c r="I27" s="529"/>
      <c r="J27" s="529"/>
      <c r="K27" s="529"/>
      <c r="L27" s="529"/>
      <c r="M27" s="529"/>
    </row>
    <row r="28" spans="2:13" x14ac:dyDescent="0.25">
      <c r="B28" s="528" t="s">
        <v>727</v>
      </c>
      <c r="C28" s="528"/>
      <c r="D28" s="528"/>
      <c r="E28" s="528"/>
      <c r="F28" s="528"/>
      <c r="G28" s="528"/>
      <c r="H28" s="528"/>
      <c r="I28" s="528"/>
      <c r="J28" s="528"/>
      <c r="K28" s="528"/>
      <c r="L28" s="528"/>
      <c r="M28" s="528"/>
    </row>
    <row r="29" spans="2:13" x14ac:dyDescent="0.25">
      <c r="B29" s="529" t="s">
        <v>728</v>
      </c>
    </row>
    <row r="30" spans="2:13" x14ac:dyDescent="0.25">
      <c r="B30" s="529"/>
    </row>
    <row r="31" spans="2:13" x14ac:dyDescent="0.25">
      <c r="B31" s="528" t="s">
        <v>749</v>
      </c>
      <c r="C31" s="528"/>
      <c r="D31" s="528"/>
      <c r="E31" s="528"/>
      <c r="F31" s="528"/>
      <c r="G31" s="528"/>
      <c r="H31" s="528"/>
      <c r="I31" s="528"/>
      <c r="J31" s="528"/>
      <c r="K31" s="528"/>
      <c r="L31" s="528"/>
      <c r="M31" s="528"/>
    </row>
    <row r="32" spans="2:13" x14ac:dyDescent="0.25">
      <c r="B32" s="529" t="s">
        <v>750</v>
      </c>
    </row>
    <row r="33" spans="2:2" x14ac:dyDescent="0.25">
      <c r="B33" s="529" t="s">
        <v>752</v>
      </c>
    </row>
    <row r="34" spans="2:2" x14ac:dyDescent="0.25">
      <c r="B34" s="529" t="s">
        <v>755</v>
      </c>
    </row>
  </sheetData>
  <mergeCells count="18">
    <mergeCell ref="B1:M5"/>
    <mergeCell ref="B11:M11"/>
    <mergeCell ref="B21:M21"/>
    <mergeCell ref="B9:M9"/>
    <mergeCell ref="B10:M10"/>
    <mergeCell ref="B12:M12"/>
    <mergeCell ref="B20:M20"/>
    <mergeCell ref="B13:M13"/>
    <mergeCell ref="B15:M15"/>
    <mergeCell ref="B16:M16"/>
    <mergeCell ref="B17:M17"/>
    <mergeCell ref="B28:M28"/>
    <mergeCell ref="B31:M31"/>
    <mergeCell ref="B25:M25"/>
    <mergeCell ref="B26:M26"/>
    <mergeCell ref="B22:M22"/>
    <mergeCell ref="B23:M23"/>
    <mergeCell ref="B24:M24"/>
  </mergeCells>
  <hyperlinks>
    <hyperlink ref="B12:M12" location="'I. Beneficios pagados'!A1" display="I. Pago de Beneficios del Pilar No Contributivo" xr:uid="{605FDE60-B373-4043-9868-3EECA7A88D88}"/>
    <hyperlink ref="B20:M20" location="'II. Estado de Solicitudes'!A1" display="II. Estado de solicitudes" xr:uid="{48D19F30-6057-428F-8975-6D59F94AAB9B}"/>
    <hyperlink ref="B28:M28" location="'III. Bono por hijo'!A1" display="III. Bono por Hijo" xr:uid="{AC2B9B92-108A-4D8F-8FC9-74CC31FEF058}"/>
    <hyperlink ref="B31:M31" location="'IV. Subsidio STJ'!A1" display="IV. Subsidio al Trabajador Joven" xr:uid="{ED0CAB65-35CF-405E-8DE8-03314DD80D79}"/>
    <hyperlink ref="B13:M13" location="'1.1'!A1" display="1. Total de beneficios pagados del Pilar No Contributivo a nivel nacional" xr:uid="{AE9278B5-0A67-4A62-A8F6-884855C5E9B6}"/>
    <hyperlink ref="B14" location="'1.2'!A1" display="2. Total de beneficios pagados del Pilar No Contributivo a nivel regional" xr:uid="{E9409162-5B7A-4EE0-B1DD-ED8EDD71282E}"/>
    <hyperlink ref="B15:M15" location="'1.3'!A1" display="3. Pagos Pensión Garantizada Universal (PGU)" xr:uid="{398B99F1-DBDE-41E1-9538-FAA39275C922}"/>
    <hyperlink ref="B16:M16" location="'1.4'!A1" display="4. Pagos Pensión Básica Solidaria (PBS)" xr:uid="{9AEA0AC4-E6BC-42F9-90A8-D9C2A853804E}"/>
    <hyperlink ref="B17:M17" location="'1.5'!A1" display="5. Pagos Aporte Previsional Solidario (APS)" xr:uid="{44C90B77-E1DD-499E-A512-17C450AD0D40}"/>
    <hyperlink ref="B18" location="'1.6'!A1" display="6. Beneficios suspendidos y extintos del Pilar No Contributivo" xr:uid="{14BE4ADF-737A-49F0-A81B-13BD6268036F}"/>
    <hyperlink ref="B21:M21" location="'2.1'!A1" display="1. Solicitudes del Pilar No Contributivo a nivel nacional" xr:uid="{C943EF91-CACB-4B11-A292-E2E840F84059}"/>
    <hyperlink ref="B22:M22" location="'2.2'!A1" display="2. Solicitudes del Pilar No Contributivo a nivel regional y comunal" xr:uid="{5163D634-98B9-488D-93E6-AE466321A4BC}"/>
    <hyperlink ref="B23:M23" location="'2.3'!A1" display="3. Solicitudes concedidas del Pilar No Contributivo a nivel nacional" xr:uid="{D91F273A-E2A5-47D5-BEA4-45AF72868BD6}"/>
    <hyperlink ref="B24:M24" location="'2.4'!A1" display="4. Solicitudes concedidas del Pilar No Contributivo a nivel regional y comunal" xr:uid="{74340DF3-0189-456A-8449-FBA7B9685E42}"/>
    <hyperlink ref="B25:M25" location="'2.5'!A1" display="5. Solicitudes Rechazadas del Pilar No Contributivo" xr:uid="{F5657C08-A1D0-4ABF-B4D0-B546B2B6AA85}"/>
    <hyperlink ref="B26:M26" location="'2.6'!A1" display="6. Tasas de concesión de solicitudes" xr:uid="{11B8E8D5-69D8-4D42-B37A-4780BC1B2DDE}"/>
    <hyperlink ref="B29" location="'3.1'!A1" display="1. Bono por Hijo" xr:uid="{0F252D41-149B-445A-A80D-25DD8C943E30}"/>
    <hyperlink ref="B32" location="'4.1'!A1" display="1. Pagos del Subsidio al Trabajador Joven (STJ)" xr:uid="{D01DC8A7-07E1-4050-A440-F9ACE3716D37}"/>
    <hyperlink ref="B33" location="'4.2'!A1" display="2. Subsidio a la Contratación de Trabajadores Jóvenes" xr:uid="{DF049A44-BED1-4D6F-ABD9-29472894796B}"/>
    <hyperlink ref="B34" location="'4.3'!A1" display="3. Subsidio a la Cotización de Trabajadores Jóvenes" xr:uid="{3988A9B2-82BA-4BF1-BDC5-B711B7DE670D}"/>
  </hyperlinks>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A1209-40B6-43C7-9D92-55FEE8CDC0B2}">
  <sheetPr>
    <tabColor theme="9" tint="0.79998168889431442"/>
  </sheetPr>
  <dimension ref="B1:M37"/>
  <sheetViews>
    <sheetView showGridLines="0" zoomScaleNormal="100" workbookViewId="0"/>
  </sheetViews>
  <sheetFormatPr baseColWidth="10" defaultRowHeight="15" x14ac:dyDescent="0.25"/>
  <cols>
    <col min="1" max="1" width="14.42578125" customWidth="1"/>
  </cols>
  <sheetData>
    <row r="1" spans="2:13" x14ac:dyDescent="0.25">
      <c r="B1" s="387" t="s">
        <v>706</v>
      </c>
      <c r="C1" s="388"/>
      <c r="D1" s="388"/>
      <c r="E1" s="388"/>
      <c r="F1" s="388"/>
      <c r="G1" s="388"/>
      <c r="H1" s="388"/>
      <c r="I1" s="388"/>
      <c r="J1" s="388"/>
      <c r="K1" s="388"/>
      <c r="L1" s="388"/>
      <c r="M1" s="388"/>
    </row>
    <row r="2" spans="2:13" x14ac:dyDescent="0.25">
      <c r="B2" s="388"/>
      <c r="C2" s="388"/>
      <c r="D2" s="388"/>
      <c r="E2" s="388"/>
      <c r="F2" s="388"/>
      <c r="G2" s="388"/>
      <c r="H2" s="388"/>
      <c r="I2" s="388"/>
      <c r="J2" s="388"/>
      <c r="K2" s="388"/>
      <c r="L2" s="388"/>
      <c r="M2" s="388"/>
    </row>
    <row r="3" spans="2:13" x14ac:dyDescent="0.25">
      <c r="B3" s="388"/>
      <c r="C3" s="388"/>
      <c r="D3" s="388"/>
      <c r="E3" s="388"/>
      <c r="F3" s="388"/>
      <c r="G3" s="388"/>
      <c r="H3" s="388"/>
      <c r="I3" s="388"/>
      <c r="J3" s="388"/>
      <c r="K3" s="388"/>
      <c r="L3" s="388"/>
      <c r="M3" s="388"/>
    </row>
    <row r="4" spans="2:13" x14ac:dyDescent="0.25">
      <c r="B4" s="388"/>
      <c r="C4" s="388"/>
      <c r="D4" s="388"/>
      <c r="E4" s="388"/>
      <c r="F4" s="388"/>
      <c r="G4" s="388"/>
      <c r="H4" s="388"/>
      <c r="I4" s="388"/>
      <c r="J4" s="388"/>
      <c r="K4" s="388"/>
      <c r="L4" s="388"/>
      <c r="M4" s="388"/>
    </row>
    <row r="5" spans="2:13" x14ac:dyDescent="0.25">
      <c r="B5" s="388"/>
      <c r="C5" s="388"/>
      <c r="D5" s="388"/>
      <c r="E5" s="388"/>
      <c r="F5" s="388"/>
      <c r="G5" s="388"/>
      <c r="H5" s="388"/>
      <c r="I5" s="388"/>
      <c r="J5" s="388"/>
      <c r="K5" s="388"/>
      <c r="L5" s="388"/>
      <c r="M5" s="388"/>
    </row>
    <row r="6" spans="2:13" ht="15.75" x14ac:dyDescent="0.25">
      <c r="B6" s="232"/>
      <c r="C6" s="232"/>
      <c r="D6" s="232"/>
      <c r="E6" s="232"/>
      <c r="F6" s="232"/>
      <c r="G6" s="232"/>
      <c r="H6" s="232"/>
      <c r="I6" s="232"/>
      <c r="J6" s="232"/>
      <c r="K6" s="232"/>
      <c r="L6" s="232"/>
      <c r="M6" s="232"/>
    </row>
    <row r="8" spans="2:13" ht="15.75" thickBot="1" x14ac:dyDescent="0.3"/>
    <row r="9" spans="2:13" ht="21.75" thickBot="1" x14ac:dyDescent="0.4">
      <c r="B9" s="394" t="s">
        <v>710</v>
      </c>
      <c r="C9" s="395"/>
      <c r="D9" s="395"/>
      <c r="E9" s="395"/>
      <c r="F9" s="395"/>
      <c r="G9" s="395"/>
      <c r="H9" s="395"/>
      <c r="I9" s="395"/>
      <c r="J9" s="395"/>
      <c r="K9" s="395"/>
      <c r="L9" s="395"/>
      <c r="M9" s="396"/>
    </row>
    <row r="10" spans="2:13" ht="15.75" x14ac:dyDescent="0.25">
      <c r="B10" s="393" t="s">
        <v>831</v>
      </c>
      <c r="C10" s="393"/>
      <c r="D10" s="393"/>
      <c r="E10" s="393"/>
      <c r="F10" s="393"/>
      <c r="G10" s="393"/>
      <c r="H10" s="393"/>
      <c r="I10" s="393"/>
      <c r="J10" s="393"/>
      <c r="K10" s="393"/>
      <c r="L10" s="393"/>
      <c r="M10" s="393"/>
    </row>
    <row r="11" spans="2:13" x14ac:dyDescent="0.25">
      <c r="B11" s="389"/>
      <c r="C11" s="389"/>
      <c r="D11" s="389"/>
      <c r="E11" s="389"/>
      <c r="F11" s="389"/>
      <c r="G11" s="389"/>
      <c r="H11" s="389"/>
      <c r="I11" s="389"/>
      <c r="J11" s="389"/>
      <c r="K11" s="389"/>
      <c r="L11" s="389"/>
      <c r="M11" s="389"/>
    </row>
    <row r="12" spans="2:13" x14ac:dyDescent="0.25">
      <c r="B12" s="528" t="s">
        <v>902</v>
      </c>
      <c r="C12" s="528"/>
      <c r="D12" s="528"/>
      <c r="E12" s="528"/>
      <c r="F12" s="528"/>
      <c r="G12" s="528"/>
      <c r="H12" s="528"/>
      <c r="I12" s="528"/>
      <c r="J12" s="528"/>
      <c r="K12" s="528"/>
      <c r="L12" s="528"/>
      <c r="M12" s="528"/>
    </row>
    <row r="13" spans="2:13" x14ac:dyDescent="0.25">
      <c r="B13" s="527" t="s">
        <v>791</v>
      </c>
      <c r="C13" s="527"/>
      <c r="D13" s="527"/>
      <c r="E13" s="527"/>
      <c r="F13" s="527"/>
      <c r="G13" s="527"/>
      <c r="H13" s="527"/>
      <c r="I13" s="527"/>
      <c r="J13" s="527"/>
      <c r="K13" s="527"/>
      <c r="L13" s="527"/>
      <c r="M13" s="527"/>
    </row>
    <row r="14" spans="2:13" x14ac:dyDescent="0.25">
      <c r="B14" s="530" t="s">
        <v>853</v>
      </c>
      <c r="C14" s="530"/>
      <c r="D14" s="530"/>
      <c r="E14" s="530"/>
      <c r="F14" s="530"/>
      <c r="G14" s="530"/>
      <c r="H14" s="530"/>
      <c r="I14" s="530"/>
      <c r="J14" s="530"/>
      <c r="K14" s="530"/>
      <c r="L14" s="530"/>
      <c r="M14" s="530"/>
    </row>
    <row r="15" spans="2:13" x14ac:dyDescent="0.25">
      <c r="B15" s="527" t="s">
        <v>832</v>
      </c>
      <c r="C15" s="527"/>
      <c r="D15" s="527"/>
      <c r="E15" s="527"/>
      <c r="F15" s="527"/>
      <c r="G15" s="527"/>
      <c r="H15" s="527"/>
      <c r="I15" s="527"/>
      <c r="J15" s="527"/>
      <c r="K15" s="527"/>
      <c r="L15" s="527"/>
      <c r="M15" s="527"/>
    </row>
    <row r="16" spans="2:13" x14ac:dyDescent="0.25">
      <c r="B16" s="529"/>
      <c r="C16" s="529"/>
      <c r="D16" s="529"/>
      <c r="E16" s="529"/>
      <c r="F16" s="529"/>
      <c r="G16" s="529"/>
      <c r="H16" s="529"/>
      <c r="I16" s="529"/>
      <c r="J16" s="529"/>
      <c r="K16" s="529"/>
      <c r="L16" s="529"/>
      <c r="M16" s="529"/>
    </row>
    <row r="17" spans="2:13" x14ac:dyDescent="0.25">
      <c r="B17" s="528" t="s">
        <v>903</v>
      </c>
      <c r="C17" s="528"/>
      <c r="D17" s="528"/>
      <c r="E17" s="528"/>
      <c r="F17" s="528"/>
      <c r="G17" s="528"/>
      <c r="H17" s="528"/>
      <c r="I17" s="528"/>
      <c r="J17" s="528"/>
      <c r="K17" s="528"/>
      <c r="L17" s="528"/>
      <c r="M17" s="528"/>
    </row>
    <row r="18" spans="2:13" x14ac:dyDescent="0.25">
      <c r="B18" s="527" t="s">
        <v>953</v>
      </c>
      <c r="C18" s="527"/>
      <c r="D18" s="527"/>
      <c r="E18" s="527"/>
      <c r="F18" s="527"/>
      <c r="G18" s="527"/>
      <c r="H18" s="527"/>
      <c r="I18" s="527"/>
      <c r="J18" s="527"/>
      <c r="K18" s="527"/>
      <c r="L18" s="527"/>
      <c r="M18" s="527"/>
    </row>
    <row r="19" spans="2:13" x14ac:dyDescent="0.25">
      <c r="B19" s="529"/>
      <c r="C19" s="529"/>
      <c r="D19" s="529"/>
      <c r="E19" s="529"/>
      <c r="F19" s="529"/>
      <c r="G19" s="529"/>
      <c r="H19" s="529"/>
      <c r="I19" s="529"/>
      <c r="J19" s="529"/>
      <c r="K19" s="529"/>
      <c r="L19" s="529"/>
      <c r="M19" s="529"/>
    </row>
    <row r="20" spans="2:13" x14ac:dyDescent="0.25">
      <c r="B20" s="528" t="s">
        <v>904</v>
      </c>
      <c r="C20" s="528"/>
      <c r="D20" s="528"/>
      <c r="E20" s="528"/>
      <c r="F20" s="528"/>
      <c r="G20" s="528"/>
      <c r="H20" s="528"/>
      <c r="I20" s="528"/>
      <c r="J20" s="528"/>
      <c r="K20" s="528"/>
      <c r="L20" s="528"/>
      <c r="M20" s="528"/>
    </row>
    <row r="21" spans="2:13" x14ac:dyDescent="0.25">
      <c r="B21" s="527" t="s">
        <v>791</v>
      </c>
      <c r="C21" s="527"/>
      <c r="D21" s="527"/>
      <c r="E21" s="527"/>
      <c r="F21" s="527"/>
      <c r="G21" s="527"/>
      <c r="H21" s="527"/>
      <c r="I21" s="527"/>
      <c r="J21" s="527"/>
      <c r="K21" s="527"/>
      <c r="L21" s="527"/>
      <c r="M21" s="527"/>
    </row>
    <row r="22" spans="2:13" x14ac:dyDescent="0.25">
      <c r="B22" s="530" t="s">
        <v>853</v>
      </c>
      <c r="C22" s="530"/>
      <c r="D22" s="530"/>
      <c r="E22" s="530"/>
      <c r="F22" s="530"/>
      <c r="G22" s="530"/>
      <c r="H22" s="530"/>
      <c r="I22" s="530"/>
      <c r="J22" s="530"/>
      <c r="K22" s="530"/>
      <c r="L22" s="530"/>
      <c r="M22" s="530"/>
    </row>
    <row r="23" spans="2:13" x14ac:dyDescent="0.25">
      <c r="B23" s="527" t="s">
        <v>832</v>
      </c>
      <c r="C23" s="527"/>
      <c r="D23" s="527"/>
      <c r="E23" s="527"/>
      <c r="F23" s="527"/>
      <c r="G23" s="527"/>
      <c r="H23" s="527"/>
      <c r="I23" s="527"/>
      <c r="J23" s="527"/>
      <c r="K23" s="527"/>
      <c r="L23" s="527"/>
      <c r="M23" s="527"/>
    </row>
    <row r="24" spans="2:13" x14ac:dyDescent="0.25">
      <c r="B24" s="529"/>
      <c r="C24" s="529"/>
      <c r="D24" s="529"/>
      <c r="E24" s="529"/>
      <c r="F24" s="529"/>
      <c r="G24" s="529"/>
      <c r="H24" s="529"/>
      <c r="I24" s="529"/>
      <c r="J24" s="529"/>
      <c r="K24" s="529"/>
      <c r="L24" s="529"/>
      <c r="M24" s="529"/>
    </row>
    <row r="25" spans="2:13" x14ac:dyDescent="0.25">
      <c r="B25" s="528" t="s">
        <v>905</v>
      </c>
      <c r="C25" s="528"/>
      <c r="D25" s="528"/>
      <c r="E25" s="528"/>
      <c r="F25" s="528"/>
      <c r="G25" s="528"/>
      <c r="H25" s="528"/>
      <c r="I25" s="528"/>
      <c r="J25" s="528"/>
      <c r="K25" s="528"/>
      <c r="L25" s="528"/>
      <c r="M25" s="528"/>
    </row>
    <row r="26" spans="2:13" x14ac:dyDescent="0.25">
      <c r="B26" s="527" t="s">
        <v>791</v>
      </c>
      <c r="C26" s="527"/>
      <c r="D26" s="527"/>
      <c r="E26" s="527"/>
      <c r="F26" s="527"/>
      <c r="G26" s="527"/>
      <c r="H26" s="527"/>
      <c r="I26" s="527"/>
      <c r="J26" s="527"/>
      <c r="K26" s="527"/>
      <c r="L26" s="527"/>
      <c r="M26" s="527"/>
    </row>
    <row r="27" spans="2:13" x14ac:dyDescent="0.25">
      <c r="B27" s="530" t="s">
        <v>853</v>
      </c>
      <c r="C27" s="530"/>
      <c r="D27" s="530"/>
      <c r="E27" s="530"/>
      <c r="F27" s="530"/>
      <c r="G27" s="530"/>
      <c r="H27" s="530"/>
      <c r="I27" s="530"/>
      <c r="J27" s="530"/>
      <c r="K27" s="530"/>
      <c r="L27" s="530"/>
      <c r="M27" s="530"/>
    </row>
    <row r="28" spans="2:13" x14ac:dyDescent="0.25">
      <c r="B28" s="527" t="s">
        <v>832</v>
      </c>
      <c r="C28" s="527"/>
      <c r="D28" s="527"/>
      <c r="E28" s="527"/>
      <c r="F28" s="527"/>
      <c r="G28" s="527"/>
      <c r="H28" s="527"/>
      <c r="I28" s="527"/>
      <c r="J28" s="527"/>
      <c r="K28" s="527"/>
      <c r="L28" s="527"/>
      <c r="M28" s="527"/>
    </row>
    <row r="29" spans="2:13" x14ac:dyDescent="0.25">
      <c r="B29" s="529"/>
      <c r="C29" s="529"/>
      <c r="D29" s="529"/>
      <c r="E29" s="529"/>
      <c r="F29" s="529"/>
      <c r="G29" s="529"/>
      <c r="H29" s="529"/>
      <c r="I29" s="529"/>
      <c r="J29" s="529"/>
      <c r="K29" s="529"/>
      <c r="L29" s="529"/>
      <c r="M29" s="529"/>
    </row>
    <row r="30" spans="2:13" x14ac:dyDescent="0.25">
      <c r="B30" s="528" t="s">
        <v>906</v>
      </c>
      <c r="C30" s="528"/>
      <c r="D30" s="528"/>
      <c r="E30" s="528"/>
      <c r="F30" s="528"/>
      <c r="G30" s="528"/>
      <c r="H30" s="528"/>
      <c r="I30" s="528"/>
      <c r="J30" s="528"/>
      <c r="K30" s="528"/>
      <c r="L30" s="528"/>
      <c r="M30" s="528"/>
    </row>
    <row r="31" spans="2:13" x14ac:dyDescent="0.25">
      <c r="B31" s="527" t="s">
        <v>791</v>
      </c>
      <c r="C31" s="527"/>
      <c r="D31" s="527"/>
      <c r="E31" s="527"/>
      <c r="F31" s="527"/>
      <c r="G31" s="527"/>
      <c r="H31" s="527"/>
      <c r="I31" s="527"/>
      <c r="J31" s="527"/>
      <c r="K31" s="527"/>
      <c r="L31" s="527"/>
      <c r="M31" s="527"/>
    </row>
    <row r="32" spans="2:13" x14ac:dyDescent="0.25">
      <c r="B32" s="530" t="s">
        <v>853</v>
      </c>
      <c r="C32" s="530"/>
      <c r="D32" s="530"/>
      <c r="E32" s="530"/>
      <c r="F32" s="530"/>
      <c r="G32" s="530"/>
      <c r="H32" s="530"/>
      <c r="I32" s="530"/>
      <c r="J32" s="530"/>
      <c r="K32" s="530"/>
      <c r="L32" s="530"/>
      <c r="M32" s="530"/>
    </row>
    <row r="33" spans="2:13" x14ac:dyDescent="0.25">
      <c r="B33" s="527" t="s">
        <v>832</v>
      </c>
      <c r="C33" s="527"/>
      <c r="D33" s="527"/>
      <c r="E33" s="527"/>
      <c r="F33" s="527"/>
      <c r="G33" s="527"/>
      <c r="H33" s="527"/>
      <c r="I33" s="527"/>
      <c r="J33" s="527"/>
      <c r="K33" s="527"/>
      <c r="L33" s="527"/>
      <c r="M33" s="527"/>
    </row>
    <row r="34" spans="2:13" x14ac:dyDescent="0.25">
      <c r="B34" s="529"/>
      <c r="C34" s="529"/>
      <c r="D34" s="529"/>
      <c r="E34" s="529"/>
      <c r="F34" s="529"/>
      <c r="G34" s="529"/>
      <c r="H34" s="529"/>
      <c r="I34" s="529"/>
      <c r="J34" s="529"/>
      <c r="K34" s="529"/>
      <c r="L34" s="529"/>
      <c r="M34" s="529"/>
    </row>
    <row r="35" spans="2:13" x14ac:dyDescent="0.25">
      <c r="B35" s="528" t="s">
        <v>952</v>
      </c>
      <c r="C35" s="528"/>
      <c r="D35" s="528"/>
      <c r="E35" s="528"/>
      <c r="F35" s="528"/>
      <c r="G35" s="528"/>
      <c r="H35" s="528"/>
      <c r="I35" s="528"/>
      <c r="J35" s="528"/>
      <c r="K35" s="528"/>
      <c r="L35" s="528"/>
      <c r="M35" s="528"/>
    </row>
    <row r="36" spans="2:13" x14ac:dyDescent="0.25">
      <c r="B36" s="527" t="s">
        <v>834</v>
      </c>
      <c r="C36" s="527"/>
      <c r="D36" s="527"/>
      <c r="E36" s="527"/>
      <c r="F36" s="527"/>
      <c r="G36" s="527"/>
      <c r="H36" s="527"/>
      <c r="I36" s="527"/>
      <c r="J36" s="527"/>
      <c r="K36" s="527"/>
      <c r="L36" s="527"/>
      <c r="M36" s="527"/>
    </row>
    <row r="37" spans="2:13" x14ac:dyDescent="0.25">
      <c r="B37" s="527" t="s">
        <v>835</v>
      </c>
      <c r="C37" s="527"/>
      <c r="D37" s="527"/>
      <c r="E37" s="527"/>
      <c r="F37" s="527"/>
      <c r="G37" s="527"/>
      <c r="H37" s="527"/>
      <c r="I37" s="527"/>
      <c r="J37" s="527"/>
      <c r="K37" s="527"/>
      <c r="L37" s="527"/>
      <c r="M37" s="527"/>
    </row>
  </sheetData>
  <mergeCells count="25">
    <mergeCell ref="B22:M22"/>
    <mergeCell ref="B27:M27"/>
    <mergeCell ref="B32:M32"/>
    <mergeCell ref="B35:M35"/>
    <mergeCell ref="B36:M36"/>
    <mergeCell ref="B37:M37"/>
    <mergeCell ref="B1:M5"/>
    <mergeCell ref="B9:M9"/>
    <mergeCell ref="B10:M10"/>
    <mergeCell ref="B11:M11"/>
    <mergeCell ref="B12:M12"/>
    <mergeCell ref="B30:M30"/>
    <mergeCell ref="B23:M23"/>
    <mergeCell ref="B31:M31"/>
    <mergeCell ref="B33:M33"/>
    <mergeCell ref="B28:M28"/>
    <mergeCell ref="B26:M26"/>
    <mergeCell ref="B21:M21"/>
    <mergeCell ref="B25:M25"/>
    <mergeCell ref="B20:M20"/>
    <mergeCell ref="B13:M13"/>
    <mergeCell ref="B15:M15"/>
    <mergeCell ref="B17:M17"/>
    <mergeCell ref="B18:M18"/>
    <mergeCell ref="B14:M14"/>
  </mergeCells>
  <hyperlinks>
    <hyperlink ref="B12:M12" location="'1.1'!A1" display="1. Total de beneficios pagados del Pilar No Contributivo a nivel nacional" xr:uid="{99368DBD-7B65-4CD6-BA9F-0692939BDB13}"/>
    <hyperlink ref="B17:M17" location="'1.2'!A1" display="2. Total de beneficios pagados del Pilar No Contributivo a nivel regional" xr:uid="{689678DD-2305-4BD3-A9BF-D73605C89FE7}"/>
    <hyperlink ref="B20:M20" location="'1.3'!A1" display="3. Pagos Pensión Garantizada Universal (PGU)" xr:uid="{F965228C-9D2F-4F66-9215-B8115D43BFBF}"/>
    <hyperlink ref="B25:M25" location="'1.4'!A1" display="4. Pagos Pensión Básica Solidaria (PBS)" xr:uid="{BC453BC0-87DB-41D9-8FD5-46E4980BF5BB}"/>
    <hyperlink ref="B30:M30" location="'1.5'!A1" display="5. Pagos Aporte Previsional Solidario (APS)" xr:uid="{EE26E15D-001E-4116-870D-9E96E7C29214}"/>
    <hyperlink ref="B35:M35" location="'1.6'!A1" display="6. Beneficios suspendidos y extintos del Pilar No Contributivo" xr:uid="{9F695FED-BC4B-490A-922F-231D51E01726}"/>
    <hyperlink ref="B13:M13" location="'1.1'!B4" display="i. Resumen trimestral de beneficios pagados, por tipo de beneficio y sexo" xr:uid="{B9DF8F70-AF7E-4268-A4D0-4F4738217DBD}"/>
    <hyperlink ref="B14:M14" location="'1.1'!B31" display="ii. Resumen anual de beneficios pagados, por tipo de beneficio y sexo" xr:uid="{7C6989CA-5EEB-451E-ACA2-B07DF8C52972}"/>
    <hyperlink ref="B15:M15" location="'1.1'!B46" display="iii. Serie resumen de pagos de beneficios acumulados, por tipo de beneficio" xr:uid="{BE3D76C1-05DF-424E-B72B-3188CD0FB9B2}"/>
    <hyperlink ref="B18:M18" location="'1.2'!B4" display="i. Resumen trimestral de beneficios pagados, por región, tipo de beneficio y sexo" xr:uid="{4ED1A726-28D5-4DCC-803E-9F6F79765285}"/>
    <hyperlink ref="B21:M21" location="'1.3'!B4" display="i. Resumen trimestral de beneficios pagados, por tipo de beneficio y sexo" xr:uid="{E73F9520-2135-4C2E-BFC4-0754B0DFE447}"/>
    <hyperlink ref="B22:M22" location="'1.3'!B23" display="ii. Resumen anual de beneficios pagados, por tipo de beneficio y sexo" xr:uid="{380B0D8F-E64A-4D7F-BACB-E8AF316F95B0}"/>
    <hyperlink ref="B23:M23" location="'1.3'!B37" display="iii. Serie resumen de pagos de beneficios acumulados, por tipo de beneficio" xr:uid="{94711866-3D81-4E28-9A5C-CFFD7286448C}"/>
    <hyperlink ref="B26:M26" location="'1.4'!B4" display="i. Resumen trimestral de beneficios pagados, por tipo de beneficio y sexo" xr:uid="{9706B682-E03A-4BBC-8AB5-21320876DA5A}"/>
    <hyperlink ref="B27:M27" location="'1.4'!B22" display="ii. Resumen anual de beneficios pagados, por tipo de beneficio y sexo" xr:uid="{A0287F32-0F8D-4770-8ADB-95B4C3A9B894}"/>
    <hyperlink ref="B28:M28" location="'1.4'!B35" display="iii. Serie resumen de pagos de beneficios acumulados, por tipo de beneficio" xr:uid="{7C0AEA4A-8C80-4BE3-A133-206F140FCAED}"/>
    <hyperlink ref="B31:M31" location="'1.5'!B4" display="i. Resumen trimestral de beneficios pagados, por tipo de beneficio y sexo" xr:uid="{F7A5F59D-3B93-41C0-A209-33FFEA38C4BF}"/>
    <hyperlink ref="B32:M32" location="'1.5'!B23" display="ii. Resumen anual de beneficios pagados, por tipo de beneficio y sexo" xr:uid="{2FAB3F6C-493E-44A8-8734-85E9B80D0210}"/>
    <hyperlink ref="B33:M33" location="'1.5'!B35" display="iii. Serie resumen de pagos de beneficios acumulados, por tipo de beneficio" xr:uid="{1F0F37E5-9204-4078-B5A0-9F91770938C3}"/>
    <hyperlink ref="B36:M36" location="'1.6'!B4" display="i. Beneficios suspendidos por año, por tipo de beneficio" xr:uid="{38CF4FF4-8F23-4DED-BA76-E3BF67DA16E7}"/>
    <hyperlink ref="B37:M37" location="'1.6'!B19" display="ii. Beneficios extinguidos por año, por tipo de beneficio" xr:uid="{EBB2582C-8B24-42D1-9FBC-D367B2E5516D}"/>
  </hyperlinks>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82B76-0C07-43C8-BB79-F88403A93CA1}">
  <sheetPr>
    <tabColor theme="9"/>
  </sheetPr>
  <dimension ref="A1:E119"/>
  <sheetViews>
    <sheetView workbookViewId="0"/>
  </sheetViews>
  <sheetFormatPr baseColWidth="10" defaultRowHeight="15" x14ac:dyDescent="0.25"/>
  <cols>
    <col min="1" max="1" width="17.5703125" bestFit="1" customWidth="1"/>
    <col min="2" max="2" width="32.7109375" bestFit="1" customWidth="1"/>
    <col min="3" max="3" width="34.28515625" bestFit="1" customWidth="1"/>
    <col min="4" max="4" width="31.140625" bestFit="1" customWidth="1"/>
    <col min="5" max="5" width="32.85546875" bestFit="1" customWidth="1"/>
  </cols>
  <sheetData>
    <row r="1" spans="1:2" x14ac:dyDescent="0.25">
      <c r="A1" s="206" t="s">
        <v>7</v>
      </c>
      <c r="B1" t="s">
        <v>596</v>
      </c>
    </row>
    <row r="3" spans="1:2" x14ac:dyDescent="0.25">
      <c r="A3" s="206" t="s">
        <v>543</v>
      </c>
    </row>
    <row r="4" spans="1:2" x14ac:dyDescent="0.25">
      <c r="A4" s="207" t="s">
        <v>584</v>
      </c>
    </row>
    <row r="5" spans="1:2" x14ac:dyDescent="0.25">
      <c r="A5" s="211" t="s">
        <v>652</v>
      </c>
      <c r="B5">
        <v>322141</v>
      </c>
    </row>
    <row r="6" spans="1:2" x14ac:dyDescent="0.25">
      <c r="A6" s="211" t="s">
        <v>653</v>
      </c>
      <c r="B6">
        <v>109963</v>
      </c>
    </row>
    <row r="7" spans="1:2" x14ac:dyDescent="0.25">
      <c r="A7" s="211" t="s">
        <v>654</v>
      </c>
      <c r="B7">
        <v>686334</v>
      </c>
    </row>
    <row r="8" spans="1:2" x14ac:dyDescent="0.25">
      <c r="A8" s="211" t="s">
        <v>655</v>
      </c>
      <c r="B8">
        <v>563950</v>
      </c>
    </row>
    <row r="9" spans="1:2" x14ac:dyDescent="0.25">
      <c r="A9" s="207" t="s">
        <v>585</v>
      </c>
    </row>
    <row r="10" spans="1:2" x14ac:dyDescent="0.25">
      <c r="A10" s="211" t="s">
        <v>652</v>
      </c>
      <c r="B10">
        <v>327443</v>
      </c>
    </row>
    <row r="11" spans="1:2" x14ac:dyDescent="0.25">
      <c r="A11" s="211" t="s">
        <v>653</v>
      </c>
      <c r="B11">
        <v>121585</v>
      </c>
    </row>
    <row r="12" spans="1:2" x14ac:dyDescent="0.25">
      <c r="A12" s="211" t="s">
        <v>654</v>
      </c>
      <c r="B12">
        <v>704099</v>
      </c>
    </row>
    <row r="13" spans="1:2" x14ac:dyDescent="0.25">
      <c r="A13" s="211" t="s">
        <v>655</v>
      </c>
      <c r="B13">
        <v>584193</v>
      </c>
    </row>
    <row r="14" spans="1:2" x14ac:dyDescent="0.25">
      <c r="A14" s="207" t="s">
        <v>586</v>
      </c>
    </row>
    <row r="15" spans="1:2" x14ac:dyDescent="0.25">
      <c r="A15" s="211" t="s">
        <v>652</v>
      </c>
      <c r="B15">
        <v>329180</v>
      </c>
    </row>
    <row r="16" spans="1:2" x14ac:dyDescent="0.25">
      <c r="A16" s="211" t="s">
        <v>653</v>
      </c>
      <c r="B16">
        <v>125728</v>
      </c>
    </row>
    <row r="17" spans="1:2" x14ac:dyDescent="0.25">
      <c r="A17" s="211" t="s">
        <v>654</v>
      </c>
      <c r="B17">
        <v>717919</v>
      </c>
    </row>
    <row r="18" spans="1:2" x14ac:dyDescent="0.25">
      <c r="A18" s="211" t="s">
        <v>655</v>
      </c>
      <c r="B18">
        <v>594890</v>
      </c>
    </row>
    <row r="22" spans="1:2" x14ac:dyDescent="0.25">
      <c r="A22" s="206" t="s">
        <v>7</v>
      </c>
      <c r="B22" t="s">
        <v>596</v>
      </c>
    </row>
    <row r="24" spans="1:2" x14ac:dyDescent="0.25">
      <c r="A24" s="206" t="s">
        <v>543</v>
      </c>
    </row>
    <row r="25" spans="1:2" x14ac:dyDescent="0.25">
      <c r="A25" s="207" t="s">
        <v>584</v>
      </c>
    </row>
    <row r="26" spans="1:2" x14ac:dyDescent="0.25">
      <c r="A26" s="211" t="s">
        <v>656</v>
      </c>
      <c r="B26" s="208">
        <v>62098939.511</v>
      </c>
    </row>
    <row r="27" spans="1:2" x14ac:dyDescent="0.25">
      <c r="A27" s="211" t="s">
        <v>657</v>
      </c>
      <c r="B27" s="208">
        <v>21312758.105999999</v>
      </c>
    </row>
    <row r="28" spans="1:2" x14ac:dyDescent="0.25">
      <c r="A28" s="211" t="s">
        <v>658</v>
      </c>
      <c r="B28" s="208">
        <v>131986560.543</v>
      </c>
    </row>
    <row r="29" spans="1:2" x14ac:dyDescent="0.25">
      <c r="A29" s="211" t="s">
        <v>659</v>
      </c>
      <c r="B29" s="208">
        <v>108014882.678</v>
      </c>
    </row>
    <row r="30" spans="1:2" x14ac:dyDescent="0.25">
      <c r="A30" s="207" t="s">
        <v>585</v>
      </c>
      <c r="B30" s="208"/>
    </row>
    <row r="31" spans="1:2" x14ac:dyDescent="0.25">
      <c r="A31" s="211" t="s">
        <v>656</v>
      </c>
      <c r="B31" s="208">
        <v>63080932.634000003</v>
      </c>
    </row>
    <row r="32" spans="1:2" x14ac:dyDescent="0.25">
      <c r="A32" s="211" t="s">
        <v>657</v>
      </c>
      <c r="B32" s="208">
        <v>23564397.059999999</v>
      </c>
    </row>
    <row r="33" spans="1:2" x14ac:dyDescent="0.25">
      <c r="A33" s="211" t="s">
        <v>658</v>
      </c>
      <c r="B33" s="208">
        <v>135236238.01499999</v>
      </c>
    </row>
    <row r="34" spans="1:2" x14ac:dyDescent="0.25">
      <c r="A34" s="211" t="s">
        <v>659</v>
      </c>
      <c r="B34" s="208">
        <v>111537201.04000001</v>
      </c>
    </row>
    <row r="35" spans="1:2" x14ac:dyDescent="0.25">
      <c r="A35" s="207" t="s">
        <v>586</v>
      </c>
      <c r="B35" s="208"/>
    </row>
    <row r="36" spans="1:2" x14ac:dyDescent="0.25">
      <c r="A36" s="211" t="s">
        <v>656</v>
      </c>
      <c r="B36" s="208">
        <v>63417031.792999998</v>
      </c>
    </row>
    <row r="37" spans="1:2" x14ac:dyDescent="0.25">
      <c r="A37" s="211" t="s">
        <v>657</v>
      </c>
      <c r="B37" s="208">
        <v>24368202.673</v>
      </c>
    </row>
    <row r="38" spans="1:2" x14ac:dyDescent="0.25">
      <c r="A38" s="211" t="s">
        <v>658</v>
      </c>
      <c r="B38" s="208">
        <v>137636217.15900001</v>
      </c>
    </row>
    <row r="39" spans="1:2" x14ac:dyDescent="0.25">
      <c r="A39" s="211" t="s">
        <v>659</v>
      </c>
      <c r="B39" s="208">
        <v>113286938.10600001</v>
      </c>
    </row>
    <row r="43" spans="1:2" x14ac:dyDescent="0.25">
      <c r="A43" s="206" t="s">
        <v>7</v>
      </c>
      <c r="B43" t="s">
        <v>596</v>
      </c>
    </row>
    <row r="45" spans="1:2" x14ac:dyDescent="0.25">
      <c r="A45" s="206" t="s">
        <v>543</v>
      </c>
    </row>
    <row r="46" spans="1:2" x14ac:dyDescent="0.25">
      <c r="A46" s="207" t="s">
        <v>584</v>
      </c>
    </row>
    <row r="47" spans="1:2" x14ac:dyDescent="0.25">
      <c r="A47" s="211" t="s">
        <v>660</v>
      </c>
      <c r="B47" s="208">
        <v>61325232.307267956</v>
      </c>
    </row>
    <row r="48" spans="1:2" x14ac:dyDescent="0.25">
      <c r="A48" s="211" t="s">
        <v>661</v>
      </c>
      <c r="B48" s="208">
        <v>21047216.784234114</v>
      </c>
    </row>
    <row r="49" spans="1:2" x14ac:dyDescent="0.25">
      <c r="A49" s="211" t="s">
        <v>662</v>
      </c>
      <c r="B49" s="208">
        <v>130342104.88092148</v>
      </c>
    </row>
    <row r="50" spans="1:2" x14ac:dyDescent="0.25">
      <c r="A50" s="211" t="s">
        <v>663</v>
      </c>
      <c r="B50" s="208">
        <v>106669096.52615377</v>
      </c>
    </row>
    <row r="51" spans="1:2" x14ac:dyDescent="0.25">
      <c r="A51" s="207" t="s">
        <v>585</v>
      </c>
      <c r="B51" s="208"/>
    </row>
    <row r="52" spans="1:2" x14ac:dyDescent="0.25">
      <c r="A52" s="211" t="s">
        <v>660</v>
      </c>
      <c r="B52" s="208">
        <v>62902519.333161265</v>
      </c>
    </row>
    <row r="53" spans="1:2" x14ac:dyDescent="0.25">
      <c r="A53" s="211" t="s">
        <v>661</v>
      </c>
      <c r="B53" s="208">
        <v>23497749.315805372</v>
      </c>
    </row>
    <row r="54" spans="1:2" x14ac:dyDescent="0.25">
      <c r="A54" s="211" t="s">
        <v>662</v>
      </c>
      <c r="B54" s="208">
        <v>134853746.14923665</v>
      </c>
    </row>
    <row r="55" spans="1:2" x14ac:dyDescent="0.25">
      <c r="A55" s="211" t="s">
        <v>663</v>
      </c>
      <c r="B55" s="208">
        <v>111221737.72370252</v>
      </c>
    </row>
    <row r="56" spans="1:2" x14ac:dyDescent="0.25">
      <c r="A56" s="207" t="s">
        <v>586</v>
      </c>
      <c r="B56" s="208"/>
    </row>
    <row r="57" spans="1:2" x14ac:dyDescent="0.25">
      <c r="A57" s="211" t="s">
        <v>660</v>
      </c>
      <c r="B57" s="208">
        <v>63417031.792999998</v>
      </c>
    </row>
    <row r="58" spans="1:2" x14ac:dyDescent="0.25">
      <c r="A58" s="211" t="s">
        <v>661</v>
      </c>
      <c r="B58" s="208">
        <v>24368202.673</v>
      </c>
    </row>
    <row r="59" spans="1:2" x14ac:dyDescent="0.25">
      <c r="A59" s="211" t="s">
        <v>662</v>
      </c>
      <c r="B59" s="208">
        <v>137636217.15900001</v>
      </c>
    </row>
    <row r="60" spans="1:2" x14ac:dyDescent="0.25">
      <c r="A60" s="211" t="s">
        <v>663</v>
      </c>
      <c r="B60" s="208">
        <v>113286938.10600001</v>
      </c>
    </row>
    <row r="67" spans="1:5" x14ac:dyDescent="0.25">
      <c r="A67" s="206" t="s">
        <v>664</v>
      </c>
      <c r="D67" s="206" t="s">
        <v>664</v>
      </c>
    </row>
    <row r="68" spans="1:5" x14ac:dyDescent="0.25">
      <c r="A68" s="207" t="s">
        <v>666</v>
      </c>
      <c r="B68" s="208">
        <v>319227.81818181818</v>
      </c>
      <c r="D68" s="207" t="s">
        <v>670</v>
      </c>
      <c r="E68" s="208">
        <v>626988.27272727271</v>
      </c>
    </row>
    <row r="69" spans="1:5" x14ac:dyDescent="0.25">
      <c r="A69" s="207" t="s">
        <v>652</v>
      </c>
      <c r="B69" s="208">
        <v>3511506</v>
      </c>
      <c r="D69" s="207" t="s">
        <v>668</v>
      </c>
      <c r="E69" s="208">
        <v>6896871</v>
      </c>
    </row>
    <row r="70" spans="1:5" x14ac:dyDescent="0.25">
      <c r="A70" s="207" t="s">
        <v>667</v>
      </c>
      <c r="B70" s="208">
        <v>111460.54545454546</v>
      </c>
      <c r="D70" s="207" t="s">
        <v>671</v>
      </c>
      <c r="E70" s="208">
        <v>488475.90909090912</v>
      </c>
    </row>
    <row r="71" spans="1:5" x14ac:dyDescent="0.25">
      <c r="A71" s="207" t="s">
        <v>665</v>
      </c>
      <c r="B71" s="208">
        <v>1226066</v>
      </c>
      <c r="D71" s="207" t="s">
        <v>669</v>
      </c>
      <c r="E71" s="208">
        <v>5373235</v>
      </c>
    </row>
    <row r="76" spans="1:5" x14ac:dyDescent="0.25">
      <c r="A76" s="206" t="s">
        <v>664</v>
      </c>
      <c r="D76" s="206" t="s">
        <v>664</v>
      </c>
    </row>
    <row r="77" spans="1:5" x14ac:dyDescent="0.25">
      <c r="A77" s="207" t="s">
        <v>674</v>
      </c>
      <c r="B77" s="208">
        <v>60323651.838181823</v>
      </c>
      <c r="D77" s="207" t="s">
        <v>678</v>
      </c>
      <c r="E77" s="208">
        <v>117640304.71290909</v>
      </c>
    </row>
    <row r="78" spans="1:5" x14ac:dyDescent="0.25">
      <c r="A78" s="207" t="s">
        <v>672</v>
      </c>
      <c r="B78" s="208">
        <v>663560170.22000003</v>
      </c>
      <c r="D78" s="207" t="s">
        <v>676</v>
      </c>
      <c r="E78" s="208">
        <v>1294043351.842</v>
      </c>
    </row>
    <row r="79" spans="1:5" x14ac:dyDescent="0.25">
      <c r="A79" s="207" t="s">
        <v>675</v>
      </c>
      <c r="B79" s="208">
        <v>21167797.947545454</v>
      </c>
      <c r="D79" s="207" t="s">
        <v>679</v>
      </c>
      <c r="E79" s="208">
        <v>91979552.724818185</v>
      </c>
    </row>
    <row r="80" spans="1:5" x14ac:dyDescent="0.25">
      <c r="A80" s="207" t="s">
        <v>673</v>
      </c>
      <c r="B80" s="208">
        <v>232845777.42300001</v>
      </c>
      <c r="D80" s="207" t="s">
        <v>677</v>
      </c>
      <c r="E80" s="208">
        <v>1011775079.973</v>
      </c>
    </row>
    <row r="84" spans="1:5" x14ac:dyDescent="0.25">
      <c r="A84" s="206" t="s">
        <v>664</v>
      </c>
      <c r="D84" s="206" t="s">
        <v>664</v>
      </c>
    </row>
    <row r="85" spans="1:5" x14ac:dyDescent="0.25">
      <c r="A85" s="207" t="s">
        <v>682</v>
      </c>
      <c r="B85" s="208">
        <v>57868225.186836265</v>
      </c>
      <c r="D85" s="207" t="s">
        <v>686</v>
      </c>
      <c r="E85" s="208">
        <v>113231615.65594667</v>
      </c>
    </row>
    <row r="86" spans="1:5" x14ac:dyDescent="0.25">
      <c r="A86" s="207" t="s">
        <v>680</v>
      </c>
      <c r="B86" s="208">
        <v>636550477.05519891</v>
      </c>
      <c r="D86" s="207" t="s">
        <v>684</v>
      </c>
      <c r="E86" s="208">
        <v>1245547772.2154133</v>
      </c>
    </row>
    <row r="87" spans="1:5" x14ac:dyDescent="0.25">
      <c r="A87" s="207" t="s">
        <v>683</v>
      </c>
      <c r="B87" s="208">
        <v>20321992.323435444</v>
      </c>
      <c r="D87" s="207" t="s">
        <v>687</v>
      </c>
      <c r="E87" s="208">
        <v>88711833.569766387</v>
      </c>
    </row>
    <row r="88" spans="1:5" x14ac:dyDescent="0.25">
      <c r="A88" s="207" t="s">
        <v>681</v>
      </c>
      <c r="B88" s="208">
        <v>223541915.55778989</v>
      </c>
      <c r="D88" s="207" t="s">
        <v>685</v>
      </c>
      <c r="E88" s="208">
        <v>975830169.26743031</v>
      </c>
    </row>
    <row r="93" spans="1:5" x14ac:dyDescent="0.25">
      <c r="A93" s="206" t="s">
        <v>543</v>
      </c>
      <c r="B93" t="s">
        <v>652</v>
      </c>
      <c r="C93" t="s">
        <v>653</v>
      </c>
      <c r="D93" t="s">
        <v>654</v>
      </c>
      <c r="E93" t="s">
        <v>655</v>
      </c>
    </row>
    <row r="94" spans="1:5" x14ac:dyDescent="0.25">
      <c r="A94" s="207" t="s">
        <v>576</v>
      </c>
      <c r="B94" s="208">
        <v>309683</v>
      </c>
      <c r="C94" s="208">
        <v>106066</v>
      </c>
      <c r="D94" s="208">
        <v>517361</v>
      </c>
      <c r="E94" s="208">
        <v>340110</v>
      </c>
    </row>
    <row r="95" spans="1:5" x14ac:dyDescent="0.25">
      <c r="A95" s="207" t="s">
        <v>577</v>
      </c>
      <c r="B95" s="208">
        <v>312946</v>
      </c>
      <c r="C95" s="208">
        <v>107255</v>
      </c>
      <c r="D95" s="208">
        <v>536699</v>
      </c>
      <c r="E95" s="208">
        <v>361057</v>
      </c>
    </row>
    <row r="96" spans="1:5" x14ac:dyDescent="0.25">
      <c r="A96" s="207" t="s">
        <v>578</v>
      </c>
      <c r="B96" s="208">
        <v>314601</v>
      </c>
      <c r="C96" s="208">
        <v>107763</v>
      </c>
      <c r="D96" s="208">
        <v>552501</v>
      </c>
      <c r="E96" s="208">
        <v>374925</v>
      </c>
    </row>
    <row r="97" spans="1:5" x14ac:dyDescent="0.25">
      <c r="A97" s="207" t="s">
        <v>579</v>
      </c>
      <c r="B97" s="208">
        <v>316872</v>
      </c>
      <c r="C97" s="208">
        <v>108938</v>
      </c>
      <c r="D97" s="208">
        <v>605836</v>
      </c>
      <c r="E97" s="208">
        <v>477591</v>
      </c>
    </row>
    <row r="98" spans="1:5" x14ac:dyDescent="0.25">
      <c r="A98" s="207" t="s">
        <v>580</v>
      </c>
      <c r="B98" s="208">
        <v>317138</v>
      </c>
      <c r="C98" s="208">
        <v>109221</v>
      </c>
      <c r="D98" s="208">
        <v>615086</v>
      </c>
      <c r="E98" s="208">
        <v>487043</v>
      </c>
    </row>
    <row r="99" spans="1:5" x14ac:dyDescent="0.25">
      <c r="A99" s="207" t="s">
        <v>581</v>
      </c>
      <c r="B99" s="208">
        <v>317824</v>
      </c>
      <c r="C99" s="208">
        <v>109691</v>
      </c>
      <c r="D99" s="208">
        <v>621791</v>
      </c>
      <c r="E99" s="208">
        <v>498271</v>
      </c>
    </row>
    <row r="100" spans="1:5" x14ac:dyDescent="0.25">
      <c r="A100" s="207" t="s">
        <v>582</v>
      </c>
      <c r="B100" s="208">
        <v>322017</v>
      </c>
      <c r="C100" s="208">
        <v>110018</v>
      </c>
      <c r="D100" s="208">
        <v>660104</v>
      </c>
      <c r="E100" s="208">
        <v>538150</v>
      </c>
    </row>
    <row r="101" spans="1:5" x14ac:dyDescent="0.25">
      <c r="A101" s="207" t="s">
        <v>583</v>
      </c>
      <c r="B101" s="208">
        <v>321661</v>
      </c>
      <c r="C101" s="208">
        <v>109838</v>
      </c>
      <c r="D101" s="208">
        <v>679141</v>
      </c>
      <c r="E101" s="208">
        <v>553055</v>
      </c>
    </row>
    <row r="102" spans="1:5" x14ac:dyDescent="0.25">
      <c r="A102" s="207" t="s">
        <v>584</v>
      </c>
      <c r="B102" s="208">
        <v>322141</v>
      </c>
      <c r="C102" s="208">
        <v>109963</v>
      </c>
      <c r="D102" s="208">
        <v>686334</v>
      </c>
      <c r="E102" s="208">
        <v>563950</v>
      </c>
    </row>
    <row r="103" spans="1:5" x14ac:dyDescent="0.25">
      <c r="A103" s="207" t="s">
        <v>585</v>
      </c>
      <c r="B103" s="208">
        <v>327443</v>
      </c>
      <c r="C103" s="208">
        <v>121585</v>
      </c>
      <c r="D103" s="208">
        <v>704099</v>
      </c>
      <c r="E103" s="208">
        <v>584193</v>
      </c>
    </row>
    <row r="104" spans="1:5" x14ac:dyDescent="0.25">
      <c r="A104" s="207" t="s">
        <v>586</v>
      </c>
      <c r="B104" s="208">
        <v>329180</v>
      </c>
      <c r="C104" s="208">
        <v>125728</v>
      </c>
      <c r="D104" s="208">
        <v>717919</v>
      </c>
      <c r="E104" s="208">
        <v>594890</v>
      </c>
    </row>
    <row r="108" spans="1:5" x14ac:dyDescent="0.25">
      <c r="A108" s="206" t="s">
        <v>543</v>
      </c>
      <c r="B108" t="s">
        <v>682</v>
      </c>
      <c r="C108" t="s">
        <v>683</v>
      </c>
      <c r="D108" t="s">
        <v>686</v>
      </c>
      <c r="E108" t="s">
        <v>687</v>
      </c>
    </row>
    <row r="109" spans="1:5" x14ac:dyDescent="0.25">
      <c r="A109" s="207" t="s">
        <v>576</v>
      </c>
      <c r="B109" s="208">
        <v>51479972.012799807</v>
      </c>
      <c r="C109" s="208">
        <v>17653929.924414385</v>
      </c>
      <c r="D109" s="208">
        <v>76563175.748604089</v>
      </c>
      <c r="E109" s="208">
        <v>52468769.282160051</v>
      </c>
    </row>
    <row r="110" spans="1:5" x14ac:dyDescent="0.25">
      <c r="A110" s="207" t="s">
        <v>577</v>
      </c>
      <c r="B110" s="208">
        <v>52900839.868866049</v>
      </c>
      <c r="C110" s="208">
        <v>18182522.16710674</v>
      </c>
      <c r="D110" s="208">
        <v>90814177.247717783</v>
      </c>
      <c r="E110" s="208">
        <v>61156596.985792443</v>
      </c>
    </row>
    <row r="111" spans="1:5" x14ac:dyDescent="0.25">
      <c r="A111" s="207" t="s">
        <v>578</v>
      </c>
      <c r="B111" s="208">
        <v>53866571.515622824</v>
      </c>
      <c r="C111" s="208">
        <v>18523266.417408571</v>
      </c>
      <c r="D111" s="208">
        <v>94731528.649637625</v>
      </c>
      <c r="E111" s="208">
        <v>64414474.957863875</v>
      </c>
    </row>
    <row r="112" spans="1:5" x14ac:dyDescent="0.25">
      <c r="A112" s="207" t="s">
        <v>579</v>
      </c>
      <c r="B112" s="208">
        <v>54858966.378384836</v>
      </c>
      <c r="C112" s="208">
        <v>18947987.941543601</v>
      </c>
      <c r="D112" s="208">
        <v>105078731.83953598</v>
      </c>
      <c r="E112" s="208">
        <v>83047981.72619015</v>
      </c>
    </row>
    <row r="113" spans="1:5" x14ac:dyDescent="0.25">
      <c r="A113" s="207" t="s">
        <v>580</v>
      </c>
      <c r="B113" s="208">
        <v>55397966.503543399</v>
      </c>
      <c r="C113" s="208">
        <v>19173743.597283315</v>
      </c>
      <c r="D113" s="208">
        <v>107633875.10387804</v>
      </c>
      <c r="E113" s="208">
        <v>85481507.652592659</v>
      </c>
    </row>
    <row r="114" spans="1:5" x14ac:dyDescent="0.25">
      <c r="A114" s="207" t="s">
        <v>581</v>
      </c>
      <c r="B114" s="208">
        <v>58993211.929863982</v>
      </c>
      <c r="C114" s="208">
        <v>20461815.299974598</v>
      </c>
      <c r="D114" s="208">
        <v>115630826.53683501</v>
      </c>
      <c r="E114" s="208">
        <v>92933917.124145657</v>
      </c>
    </row>
    <row r="115" spans="1:5" x14ac:dyDescent="0.25">
      <c r="A115" s="207" t="s">
        <v>582</v>
      </c>
      <c r="B115" s="208">
        <v>60482279.820567153</v>
      </c>
      <c r="C115" s="208">
        <v>20770526.869989313</v>
      </c>
      <c r="D115" s="208">
        <v>123862548.4774671</v>
      </c>
      <c r="E115" s="208">
        <v>100896180.34271789</v>
      </c>
    </row>
    <row r="116" spans="1:5" x14ac:dyDescent="0.25">
      <c r="A116" s="207" t="s">
        <v>583</v>
      </c>
      <c r="B116" s="208">
        <v>60925885.592121646</v>
      </c>
      <c r="C116" s="208">
        <v>20914954.567029878</v>
      </c>
      <c r="D116" s="208">
        <v>128400840.42257972</v>
      </c>
      <c r="E116" s="208">
        <v>104252968.84011112</v>
      </c>
    </row>
    <row r="117" spans="1:5" x14ac:dyDescent="0.25">
      <c r="A117" s="207" t="s">
        <v>584</v>
      </c>
      <c r="B117" s="208">
        <v>61325232.307267956</v>
      </c>
      <c r="C117" s="208">
        <v>21047216.784234114</v>
      </c>
      <c r="D117" s="208">
        <v>130342104.88092148</v>
      </c>
      <c r="E117" s="208">
        <v>106669096.52615377</v>
      </c>
    </row>
    <row r="118" spans="1:5" x14ac:dyDescent="0.25">
      <c r="A118" s="207" t="s">
        <v>585</v>
      </c>
      <c r="B118" s="208">
        <v>62902519.333161265</v>
      </c>
      <c r="C118" s="208">
        <v>23497749.315805372</v>
      </c>
      <c r="D118" s="208">
        <v>134853746.14923665</v>
      </c>
      <c r="E118" s="208">
        <v>111221737.72370252</v>
      </c>
    </row>
    <row r="119" spans="1:5" x14ac:dyDescent="0.25">
      <c r="A119" s="207" t="s">
        <v>586</v>
      </c>
      <c r="B119" s="208">
        <v>63417031.792999998</v>
      </c>
      <c r="C119" s="208">
        <v>24368202.673</v>
      </c>
      <c r="D119" s="208">
        <v>137636217.15900001</v>
      </c>
      <c r="E119" s="208">
        <v>113286938.10600001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2857A-1E5A-4E38-98B5-AC8056980429}">
  <sheetPr>
    <tabColor theme="9"/>
  </sheetPr>
  <dimension ref="A3:G42"/>
  <sheetViews>
    <sheetView workbookViewId="0"/>
  </sheetViews>
  <sheetFormatPr baseColWidth="10" defaultRowHeight="15" x14ac:dyDescent="0.25"/>
  <cols>
    <col min="1" max="1" width="17.5703125" bestFit="1" customWidth="1"/>
    <col min="2" max="2" width="28.5703125" bestFit="1" customWidth="1"/>
    <col min="3" max="3" width="30.28515625" bestFit="1" customWidth="1"/>
    <col min="4" max="4" width="33" bestFit="1" customWidth="1"/>
    <col min="5" max="5" width="34.7109375" bestFit="1" customWidth="1"/>
    <col min="6" max="6" width="29.140625" bestFit="1" customWidth="1"/>
    <col min="7" max="7" width="30.85546875" bestFit="1" customWidth="1"/>
    <col min="8" max="163" width="9" bestFit="1" customWidth="1"/>
    <col min="164" max="164" width="14" bestFit="1" customWidth="1"/>
  </cols>
  <sheetData>
    <row r="3" spans="1:7" x14ac:dyDescent="0.25">
      <c r="A3" s="206" t="s">
        <v>543</v>
      </c>
      <c r="B3" t="s">
        <v>590</v>
      </c>
      <c r="C3" t="s">
        <v>591</v>
      </c>
      <c r="D3" t="s">
        <v>592</v>
      </c>
      <c r="E3" t="s">
        <v>593</v>
      </c>
      <c r="F3" t="s">
        <v>594</v>
      </c>
      <c r="G3" t="s">
        <v>595</v>
      </c>
    </row>
    <row r="4" spans="1:7" x14ac:dyDescent="0.25">
      <c r="A4" s="207" t="s">
        <v>545</v>
      </c>
      <c r="B4" s="208">
        <v>218799.83333333334</v>
      </c>
      <c r="C4" s="208">
        <v>107682.66666666667</v>
      </c>
      <c r="D4" s="208">
        <v>108916.5</v>
      </c>
      <c r="E4" s="208">
        <v>84536</v>
      </c>
      <c r="F4" s="208">
        <v>327716.33333333331</v>
      </c>
      <c r="G4" s="208">
        <v>192218.66666666666</v>
      </c>
    </row>
    <row r="5" spans="1:7" x14ac:dyDescent="0.25">
      <c r="A5" s="207" t="s">
        <v>546</v>
      </c>
      <c r="B5" s="208">
        <v>262267.25</v>
      </c>
      <c r="C5" s="208">
        <v>117026.58333333333</v>
      </c>
      <c r="D5" s="208">
        <v>116205.08333333333</v>
      </c>
      <c r="E5" s="208">
        <v>86817.666666666672</v>
      </c>
      <c r="F5" s="208">
        <v>378472.33333333331</v>
      </c>
      <c r="G5" s="208">
        <v>203844.25</v>
      </c>
    </row>
    <row r="6" spans="1:7" x14ac:dyDescent="0.25">
      <c r="A6" s="207" t="s">
        <v>547</v>
      </c>
      <c r="B6" s="208">
        <v>284569.66666666669</v>
      </c>
      <c r="C6" s="208">
        <v>119969.58333333333</v>
      </c>
      <c r="D6" s="208">
        <v>125529.75</v>
      </c>
      <c r="E6" s="208">
        <v>89731.416666666672</v>
      </c>
      <c r="F6" s="208">
        <v>410099.41666666669</v>
      </c>
      <c r="G6" s="208">
        <v>209701</v>
      </c>
    </row>
    <row r="7" spans="1:7" x14ac:dyDescent="0.25">
      <c r="A7" s="207" t="s">
        <v>548</v>
      </c>
      <c r="B7" s="208">
        <v>286982.91666666669</v>
      </c>
      <c r="C7" s="208">
        <v>118668.91666666667</v>
      </c>
      <c r="D7" s="208">
        <v>125674.58333333333</v>
      </c>
      <c r="E7" s="208">
        <v>89317.916666666672</v>
      </c>
      <c r="F7" s="208">
        <v>412657.5</v>
      </c>
      <c r="G7" s="208">
        <v>207986.83333333334</v>
      </c>
    </row>
    <row r="8" spans="1:7" x14ac:dyDescent="0.25">
      <c r="A8" s="207" t="s">
        <v>549</v>
      </c>
      <c r="B8" s="208">
        <v>288232.25</v>
      </c>
      <c r="C8" s="208">
        <v>116683.83333333333</v>
      </c>
      <c r="D8" s="208">
        <v>120025.91666666667</v>
      </c>
      <c r="E8" s="208">
        <v>85446.25</v>
      </c>
      <c r="F8" s="208">
        <v>408258.16666666669</v>
      </c>
      <c r="G8" s="208">
        <v>202130.08333333334</v>
      </c>
    </row>
    <row r="9" spans="1:7" x14ac:dyDescent="0.25">
      <c r="A9" s="207" t="s">
        <v>550</v>
      </c>
      <c r="B9" s="208">
        <v>288720.25</v>
      </c>
      <c r="C9" s="208">
        <v>114312</v>
      </c>
      <c r="D9" s="208">
        <v>112605.08333333333</v>
      </c>
      <c r="E9" s="208">
        <v>79812.916666666672</v>
      </c>
      <c r="F9" s="208">
        <v>401325.33333333331</v>
      </c>
      <c r="G9" s="208">
        <v>194124.91666666666</v>
      </c>
    </row>
    <row r="10" spans="1:7" x14ac:dyDescent="0.25">
      <c r="A10" s="207" t="s">
        <v>551</v>
      </c>
      <c r="B10" s="208">
        <v>288530.41666666669</v>
      </c>
      <c r="C10" s="208">
        <v>111136.16666666667</v>
      </c>
      <c r="D10" s="208">
        <v>107377.16666666667</v>
      </c>
      <c r="E10" s="208">
        <v>75527.833333333328</v>
      </c>
      <c r="F10" s="208">
        <v>395907.58333333331</v>
      </c>
      <c r="G10" s="208">
        <v>186664</v>
      </c>
    </row>
    <row r="11" spans="1:7" x14ac:dyDescent="0.25">
      <c r="A11" s="207" t="s">
        <v>552</v>
      </c>
      <c r="B11" s="208">
        <v>289070.58333333331</v>
      </c>
      <c r="C11" s="208">
        <v>110162</v>
      </c>
      <c r="D11" s="208">
        <v>105105.41666666667</v>
      </c>
      <c r="E11" s="208">
        <v>74655.333333333328</v>
      </c>
      <c r="F11" s="208">
        <v>394176</v>
      </c>
      <c r="G11" s="208">
        <v>184817.33333333334</v>
      </c>
    </row>
    <row r="12" spans="1:7" x14ac:dyDescent="0.25">
      <c r="A12" s="207" t="s">
        <v>553</v>
      </c>
      <c r="B12" s="208">
        <v>290373</v>
      </c>
      <c r="C12" s="208">
        <v>108843.41666666667</v>
      </c>
      <c r="D12" s="208">
        <v>105459.83333333333</v>
      </c>
      <c r="E12" s="208">
        <v>75532.583333333328</v>
      </c>
      <c r="F12" s="208">
        <v>395832.83333333331</v>
      </c>
      <c r="G12" s="208">
        <v>184376</v>
      </c>
    </row>
    <row r="13" spans="1:7" x14ac:dyDescent="0.25">
      <c r="A13" s="207" t="s">
        <v>554</v>
      </c>
      <c r="B13" s="208">
        <v>291754</v>
      </c>
      <c r="C13" s="208">
        <v>107694.83333333333</v>
      </c>
      <c r="D13" s="208">
        <v>105581.83333333333</v>
      </c>
      <c r="E13" s="208">
        <v>76434.166666666672</v>
      </c>
      <c r="F13" s="208">
        <v>397335.83333333331</v>
      </c>
      <c r="G13" s="208">
        <v>184129</v>
      </c>
    </row>
    <row r="14" spans="1:7" x14ac:dyDescent="0.25">
      <c r="A14" s="207" t="s">
        <v>555</v>
      </c>
      <c r="B14" s="208">
        <v>295171.83333333331</v>
      </c>
      <c r="C14" s="208">
        <v>107077.41666666667</v>
      </c>
      <c r="D14" s="208">
        <v>105559.41666666667</v>
      </c>
      <c r="E14" s="208">
        <v>77417</v>
      </c>
      <c r="F14" s="208">
        <v>400731.25</v>
      </c>
      <c r="G14" s="208">
        <v>184494.41666666666</v>
      </c>
    </row>
    <row r="15" spans="1:7" x14ac:dyDescent="0.25">
      <c r="A15" s="207" t="s">
        <v>556</v>
      </c>
      <c r="B15" s="208">
        <v>299821.5</v>
      </c>
      <c r="C15" s="208">
        <v>106705.25</v>
      </c>
      <c r="D15" s="208">
        <v>104899.16666666667</v>
      </c>
      <c r="E15" s="208">
        <v>77850.416666666672</v>
      </c>
      <c r="F15" s="208">
        <v>404720.66666666669</v>
      </c>
      <c r="G15" s="208">
        <v>184555.66666666666</v>
      </c>
    </row>
    <row r="16" spans="1:7" x14ac:dyDescent="0.25">
      <c r="A16" s="207" t="s">
        <v>557</v>
      </c>
      <c r="B16" s="208">
        <v>302635</v>
      </c>
      <c r="C16" s="208">
        <v>105719.41666666667</v>
      </c>
      <c r="D16" s="208">
        <v>104028.33333333333</v>
      </c>
      <c r="E16" s="208">
        <v>77987.166666666672</v>
      </c>
      <c r="F16" s="208">
        <v>406663.33333333331</v>
      </c>
      <c r="G16" s="208">
        <v>183706.58333333334</v>
      </c>
    </row>
    <row r="17" spans="1:7" s="218" customFormat="1" x14ac:dyDescent="0.25">
      <c r="A17" s="216" t="s">
        <v>558</v>
      </c>
      <c r="B17" s="217">
        <v>305054.41666666669</v>
      </c>
      <c r="C17" s="217">
        <v>104587.16666666667</v>
      </c>
      <c r="D17" s="217">
        <v>102460.83333333333</v>
      </c>
      <c r="E17" s="217">
        <v>78655.75</v>
      </c>
      <c r="F17" s="217">
        <v>407515.25</v>
      </c>
      <c r="G17" s="217">
        <v>183242.91666666666</v>
      </c>
    </row>
    <row r="18" spans="1:7" x14ac:dyDescent="0.25">
      <c r="A18" s="210" t="s">
        <v>575</v>
      </c>
      <c r="B18" s="208">
        <v>303535</v>
      </c>
      <c r="C18" s="208">
        <v>104773</v>
      </c>
      <c r="D18" s="208">
        <v>102915</v>
      </c>
      <c r="E18" s="208">
        <v>78093</v>
      </c>
      <c r="F18" s="208">
        <v>406450</v>
      </c>
      <c r="G18" s="208">
        <v>182866</v>
      </c>
    </row>
    <row r="19" spans="1:7" x14ac:dyDescent="0.25">
      <c r="A19" s="210" t="s">
        <v>576</v>
      </c>
      <c r="B19" s="208">
        <v>303509</v>
      </c>
      <c r="C19" s="208">
        <v>104543</v>
      </c>
      <c r="D19" s="208">
        <v>102585</v>
      </c>
      <c r="E19" s="208">
        <v>78054</v>
      </c>
      <c r="F19" s="208">
        <v>406094</v>
      </c>
      <c r="G19" s="208">
        <v>182597</v>
      </c>
    </row>
    <row r="20" spans="1:7" x14ac:dyDescent="0.25">
      <c r="A20" s="210" t="s">
        <v>577</v>
      </c>
      <c r="B20" s="208">
        <v>303836</v>
      </c>
      <c r="C20" s="208">
        <v>104524</v>
      </c>
      <c r="D20" s="208">
        <v>102435</v>
      </c>
      <c r="E20" s="208">
        <v>78131</v>
      </c>
      <c r="F20" s="208">
        <v>406271</v>
      </c>
      <c r="G20" s="208">
        <v>182655</v>
      </c>
    </row>
    <row r="21" spans="1:7" x14ac:dyDescent="0.25">
      <c r="A21" s="210" t="s">
        <v>578</v>
      </c>
      <c r="B21" s="208">
        <v>304229</v>
      </c>
      <c r="C21" s="208">
        <v>104568</v>
      </c>
      <c r="D21" s="208">
        <v>102581</v>
      </c>
      <c r="E21" s="208">
        <v>78384</v>
      </c>
      <c r="F21" s="208">
        <v>406810</v>
      </c>
      <c r="G21" s="208">
        <v>182952</v>
      </c>
    </row>
    <row r="22" spans="1:7" x14ac:dyDescent="0.25">
      <c r="A22" s="210" t="s">
        <v>579</v>
      </c>
      <c r="B22" s="208">
        <v>304427</v>
      </c>
      <c r="C22" s="208">
        <v>104477</v>
      </c>
      <c r="D22" s="208">
        <v>102248</v>
      </c>
      <c r="E22" s="208">
        <v>78324</v>
      </c>
      <c r="F22" s="208">
        <v>406675</v>
      </c>
      <c r="G22" s="208">
        <v>182801</v>
      </c>
    </row>
    <row r="23" spans="1:7" x14ac:dyDescent="0.25">
      <c r="A23" s="210" t="s">
        <v>580</v>
      </c>
      <c r="B23" s="208">
        <v>304385</v>
      </c>
      <c r="C23" s="208">
        <v>104256</v>
      </c>
      <c r="D23" s="208">
        <v>102342</v>
      </c>
      <c r="E23" s="208">
        <v>78508</v>
      </c>
      <c r="F23" s="208">
        <v>406727</v>
      </c>
      <c r="G23" s="208">
        <v>182764</v>
      </c>
    </row>
    <row r="24" spans="1:7" x14ac:dyDescent="0.25">
      <c r="A24" s="210" t="s">
        <v>581</v>
      </c>
      <c r="B24" s="208">
        <v>304412</v>
      </c>
      <c r="C24" s="208">
        <v>104136</v>
      </c>
      <c r="D24" s="208">
        <v>102344</v>
      </c>
      <c r="E24" s="208">
        <v>78636</v>
      </c>
      <c r="F24" s="208">
        <v>406756</v>
      </c>
      <c r="G24" s="208">
        <v>182772</v>
      </c>
    </row>
    <row r="25" spans="1:7" x14ac:dyDescent="0.25">
      <c r="A25" s="210" t="s">
        <v>582</v>
      </c>
      <c r="B25" s="208">
        <v>304998</v>
      </c>
      <c r="C25" s="208">
        <v>104304</v>
      </c>
      <c r="D25" s="208">
        <v>102353</v>
      </c>
      <c r="E25" s="208">
        <v>78808</v>
      </c>
      <c r="F25" s="208">
        <v>407351</v>
      </c>
      <c r="G25" s="208">
        <v>183112</v>
      </c>
    </row>
    <row r="26" spans="1:7" x14ac:dyDescent="0.25">
      <c r="A26" s="210" t="s">
        <v>583</v>
      </c>
      <c r="B26" s="208">
        <v>305471</v>
      </c>
      <c r="C26" s="208">
        <v>104316</v>
      </c>
      <c r="D26" s="208">
        <v>102289</v>
      </c>
      <c r="E26" s="208">
        <v>78880</v>
      </c>
      <c r="F26" s="208">
        <v>407760</v>
      </c>
      <c r="G26" s="208">
        <v>183196</v>
      </c>
    </row>
    <row r="27" spans="1:7" x14ac:dyDescent="0.25">
      <c r="A27" s="210" t="s">
        <v>584</v>
      </c>
      <c r="B27" s="208">
        <v>306429</v>
      </c>
      <c r="C27" s="208">
        <v>104673</v>
      </c>
      <c r="D27" s="208">
        <v>102399</v>
      </c>
      <c r="E27" s="208">
        <v>79105</v>
      </c>
      <c r="F27" s="208">
        <v>408828</v>
      </c>
      <c r="G27" s="208">
        <v>183778</v>
      </c>
    </row>
    <row r="28" spans="1:7" x14ac:dyDescent="0.25">
      <c r="A28" s="210" t="s">
        <v>585</v>
      </c>
      <c r="B28" s="208">
        <v>307296</v>
      </c>
      <c r="C28" s="208">
        <v>105079</v>
      </c>
      <c r="D28" s="208">
        <v>102500</v>
      </c>
      <c r="E28" s="208">
        <v>79398</v>
      </c>
      <c r="F28" s="208">
        <v>409796</v>
      </c>
      <c r="G28" s="208">
        <v>184477</v>
      </c>
    </row>
    <row r="29" spans="1:7" x14ac:dyDescent="0.25">
      <c r="A29" s="210" t="s">
        <v>586</v>
      </c>
      <c r="B29" s="208">
        <v>308126</v>
      </c>
      <c r="C29" s="208">
        <v>105397</v>
      </c>
      <c r="D29" s="208">
        <v>102539</v>
      </c>
      <c r="E29" s="208">
        <v>79548</v>
      </c>
      <c r="F29" s="208">
        <v>410665</v>
      </c>
      <c r="G29" s="208">
        <v>184945</v>
      </c>
    </row>
    <row r="30" spans="1:7" s="218" customFormat="1" x14ac:dyDescent="0.25">
      <c r="A30" s="216" t="s">
        <v>559</v>
      </c>
      <c r="B30" s="217">
        <v>25752.666666666668</v>
      </c>
      <c r="C30" s="217">
        <v>8825.75</v>
      </c>
      <c r="D30" s="217">
        <v>103357.58333333333</v>
      </c>
      <c r="E30" s="217">
        <v>80758.083333333328</v>
      </c>
      <c r="F30" s="217">
        <v>129110.25</v>
      </c>
      <c r="G30" s="217">
        <v>89583.833333333328</v>
      </c>
    </row>
    <row r="31" spans="1:7" x14ac:dyDescent="0.25">
      <c r="A31" s="210" t="s">
        <v>575</v>
      </c>
      <c r="B31" s="208">
        <v>309032</v>
      </c>
      <c r="C31" s="208">
        <v>105909</v>
      </c>
      <c r="D31" s="208">
        <v>102612</v>
      </c>
      <c r="E31" s="208">
        <v>79732</v>
      </c>
      <c r="F31" s="208">
        <v>411644</v>
      </c>
      <c r="G31" s="208">
        <v>185641</v>
      </c>
    </row>
    <row r="32" spans="1:7" x14ac:dyDescent="0.25">
      <c r="A32" s="210" t="s">
        <v>576</v>
      </c>
      <c r="B32" s="208">
        <v>0</v>
      </c>
      <c r="C32" s="208">
        <v>0</v>
      </c>
      <c r="D32" s="208">
        <v>102691</v>
      </c>
      <c r="E32" s="208">
        <v>79908</v>
      </c>
      <c r="F32" s="208">
        <v>102691</v>
      </c>
      <c r="G32" s="208">
        <v>79908</v>
      </c>
    </row>
    <row r="33" spans="1:7" x14ac:dyDescent="0.25">
      <c r="A33" s="210" t="s">
        <v>577</v>
      </c>
      <c r="B33" s="208">
        <v>0</v>
      </c>
      <c r="C33" s="208">
        <v>0</v>
      </c>
      <c r="D33" s="208">
        <v>102784</v>
      </c>
      <c r="E33" s="208">
        <v>80074</v>
      </c>
      <c r="F33" s="208">
        <v>102784</v>
      </c>
      <c r="G33" s="208">
        <v>80074</v>
      </c>
    </row>
    <row r="34" spans="1:7" x14ac:dyDescent="0.25">
      <c r="A34" s="210" t="s">
        <v>578</v>
      </c>
      <c r="B34" s="208">
        <v>0</v>
      </c>
      <c r="C34" s="208">
        <v>0</v>
      </c>
      <c r="D34" s="208">
        <v>102632</v>
      </c>
      <c r="E34" s="208">
        <v>80110</v>
      </c>
      <c r="F34" s="208">
        <v>102632</v>
      </c>
      <c r="G34" s="208">
        <v>80110</v>
      </c>
    </row>
    <row r="35" spans="1:7" x14ac:dyDescent="0.25">
      <c r="A35" s="210" t="s">
        <v>579</v>
      </c>
      <c r="B35" s="208">
        <v>0</v>
      </c>
      <c r="C35" s="208">
        <v>0</v>
      </c>
      <c r="D35" s="208">
        <v>102856</v>
      </c>
      <c r="E35" s="208">
        <v>80398</v>
      </c>
      <c r="F35" s="208">
        <v>102856</v>
      </c>
      <c r="G35" s="208">
        <v>80398</v>
      </c>
    </row>
    <row r="36" spans="1:7" x14ac:dyDescent="0.25">
      <c r="A36" s="210" t="s">
        <v>580</v>
      </c>
      <c r="B36" s="208">
        <v>0</v>
      </c>
      <c r="C36" s="208">
        <v>0</v>
      </c>
      <c r="D36" s="208">
        <v>103404</v>
      </c>
      <c r="E36" s="208">
        <v>80766</v>
      </c>
      <c r="F36" s="208">
        <v>103404</v>
      </c>
      <c r="G36" s="208">
        <v>80766</v>
      </c>
    </row>
    <row r="37" spans="1:7" x14ac:dyDescent="0.25">
      <c r="A37" s="210" t="s">
        <v>581</v>
      </c>
      <c r="B37" s="208">
        <v>0</v>
      </c>
      <c r="C37" s="208">
        <v>0</v>
      </c>
      <c r="D37" s="208">
        <v>103650</v>
      </c>
      <c r="E37" s="208">
        <v>81031</v>
      </c>
      <c r="F37" s="208">
        <v>103650</v>
      </c>
      <c r="G37" s="208">
        <v>81031</v>
      </c>
    </row>
    <row r="38" spans="1:7" x14ac:dyDescent="0.25">
      <c r="A38" s="210" t="s">
        <v>582</v>
      </c>
      <c r="B38" s="208">
        <v>0</v>
      </c>
      <c r="C38" s="208">
        <v>0</v>
      </c>
      <c r="D38" s="208">
        <v>103890</v>
      </c>
      <c r="E38" s="208">
        <v>81219</v>
      </c>
      <c r="F38" s="208">
        <v>103890</v>
      </c>
      <c r="G38" s="208">
        <v>81219</v>
      </c>
    </row>
    <row r="39" spans="1:7" x14ac:dyDescent="0.25">
      <c r="A39" s="210" t="s">
        <v>583</v>
      </c>
      <c r="B39" s="208">
        <v>0</v>
      </c>
      <c r="C39" s="208">
        <v>0</v>
      </c>
      <c r="D39" s="208">
        <v>103948</v>
      </c>
      <c r="E39" s="208">
        <v>81350</v>
      </c>
      <c r="F39" s="208">
        <v>103948</v>
      </c>
      <c r="G39" s="208">
        <v>81350</v>
      </c>
    </row>
    <row r="40" spans="1:7" x14ac:dyDescent="0.25">
      <c r="A40" s="210" t="s">
        <v>584</v>
      </c>
      <c r="B40" s="208">
        <v>0</v>
      </c>
      <c r="C40" s="208">
        <v>0</v>
      </c>
      <c r="D40" s="208">
        <v>103979</v>
      </c>
      <c r="E40" s="208">
        <v>81414</v>
      </c>
      <c r="F40" s="208">
        <v>103979</v>
      </c>
      <c r="G40" s="208">
        <v>81414</v>
      </c>
    </row>
    <row r="41" spans="1:7" x14ac:dyDescent="0.25">
      <c r="A41" s="210" t="s">
        <v>585</v>
      </c>
      <c r="B41" s="208">
        <v>0</v>
      </c>
      <c r="C41" s="208">
        <v>0</v>
      </c>
      <c r="D41" s="208">
        <v>103866</v>
      </c>
      <c r="E41" s="208">
        <v>81490</v>
      </c>
      <c r="F41" s="208">
        <v>103866</v>
      </c>
      <c r="G41" s="208">
        <v>81490</v>
      </c>
    </row>
    <row r="42" spans="1:7" x14ac:dyDescent="0.25">
      <c r="A42" s="210" t="s">
        <v>586</v>
      </c>
      <c r="B42" s="208">
        <v>0</v>
      </c>
      <c r="C42" s="208">
        <v>0</v>
      </c>
      <c r="D42" s="208">
        <v>103979</v>
      </c>
      <c r="E42" s="208">
        <v>81605</v>
      </c>
      <c r="F42" s="208">
        <v>103979</v>
      </c>
      <c r="G42" s="208">
        <v>81605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47A34-E3DF-4644-8DD7-B525BCF442EA}">
  <sheetPr>
    <tabColor theme="9"/>
  </sheetPr>
  <dimension ref="A1:AN92"/>
  <sheetViews>
    <sheetView workbookViewId="0"/>
  </sheetViews>
  <sheetFormatPr baseColWidth="10" defaultRowHeight="15" x14ac:dyDescent="0.25"/>
  <cols>
    <col min="1" max="1" width="17.5703125" bestFit="1" customWidth="1"/>
    <col min="2" max="2" width="24.85546875" bestFit="1" customWidth="1"/>
    <col min="3" max="3" width="26.7109375" bestFit="1" customWidth="1"/>
    <col min="4" max="4" width="24.140625" bestFit="1" customWidth="1"/>
    <col min="5" max="5" width="25.85546875" bestFit="1" customWidth="1"/>
    <col min="6" max="6" width="23.5703125" bestFit="1" customWidth="1"/>
    <col min="7" max="7" width="25.28515625" bestFit="1" customWidth="1"/>
    <col min="8" max="8" width="23" bestFit="1" customWidth="1"/>
    <col min="9" max="9" width="17.5703125" bestFit="1" customWidth="1"/>
    <col min="10" max="10" width="20.42578125" bestFit="1" customWidth="1"/>
    <col min="11" max="11" width="17" bestFit="1" customWidth="1"/>
    <col min="12" max="12" width="14.5703125" bestFit="1" customWidth="1"/>
    <col min="13" max="13" width="16.28515625" bestFit="1" customWidth="1"/>
    <col min="14" max="14" width="18" bestFit="1" customWidth="1"/>
    <col min="15" max="15" width="15.5703125" bestFit="1" customWidth="1"/>
    <col min="16" max="16" width="16.28515625" bestFit="1" customWidth="1"/>
    <col min="17" max="17" width="18" bestFit="1" customWidth="1"/>
    <col min="18" max="18" width="15.5703125" bestFit="1" customWidth="1"/>
    <col min="21" max="23" width="11.5703125" bestFit="1" customWidth="1"/>
    <col min="24" max="29" width="14.5703125" bestFit="1" customWidth="1"/>
  </cols>
  <sheetData>
    <row r="1" spans="1:40" x14ac:dyDescent="0.25">
      <c r="I1" s="206" t="s">
        <v>7</v>
      </c>
      <c r="J1" t="s">
        <v>596</v>
      </c>
    </row>
    <row r="3" spans="1:40" x14ac:dyDescent="0.25">
      <c r="A3" s="206" t="s">
        <v>543</v>
      </c>
      <c r="B3" t="s">
        <v>571</v>
      </c>
      <c r="C3" t="s">
        <v>570</v>
      </c>
      <c r="D3" t="s">
        <v>572</v>
      </c>
      <c r="E3" t="s">
        <v>569</v>
      </c>
      <c r="F3" t="s">
        <v>574</v>
      </c>
      <c r="G3" t="s">
        <v>573</v>
      </c>
      <c r="I3" s="206" t="s">
        <v>543</v>
      </c>
      <c r="J3" t="s">
        <v>561</v>
      </c>
      <c r="K3" t="s">
        <v>560</v>
      </c>
      <c r="L3" t="s">
        <v>562</v>
      </c>
      <c r="M3" t="s">
        <v>568</v>
      </c>
      <c r="N3" t="s">
        <v>567</v>
      </c>
      <c r="O3" t="s">
        <v>563</v>
      </c>
      <c r="P3" t="s">
        <v>565</v>
      </c>
      <c r="Q3" t="s">
        <v>564</v>
      </c>
      <c r="R3" t="s">
        <v>566</v>
      </c>
      <c r="T3" t="s">
        <v>543</v>
      </c>
      <c r="U3" t="s">
        <v>561</v>
      </c>
      <c r="V3" t="s">
        <v>560</v>
      </c>
      <c r="W3" t="s">
        <v>562</v>
      </c>
      <c r="X3" t="s">
        <v>568</v>
      </c>
      <c r="Y3" t="s">
        <v>567</v>
      </c>
      <c r="Z3" t="s">
        <v>563</v>
      </c>
      <c r="AA3" t="s">
        <v>565</v>
      </c>
      <c r="AB3" t="s">
        <v>564</v>
      </c>
      <c r="AC3" t="s">
        <v>566</v>
      </c>
      <c r="AE3" t="s">
        <v>543</v>
      </c>
      <c r="AF3" t="s">
        <v>561</v>
      </c>
      <c r="AG3" t="s">
        <v>560</v>
      </c>
      <c r="AH3" t="s">
        <v>562</v>
      </c>
      <c r="AI3" s="221" t="s">
        <v>568</v>
      </c>
      <c r="AJ3" s="221" t="s">
        <v>567</v>
      </c>
      <c r="AK3" t="s">
        <v>563</v>
      </c>
      <c r="AL3" s="222" t="s">
        <v>565</v>
      </c>
      <c r="AM3" s="222" t="s">
        <v>564</v>
      </c>
      <c r="AN3" t="s">
        <v>566</v>
      </c>
    </row>
    <row r="4" spans="1:40" x14ac:dyDescent="0.25">
      <c r="A4" s="207" t="s">
        <v>545</v>
      </c>
      <c r="B4" s="208">
        <v>8246926869.2877502</v>
      </c>
      <c r="C4" s="208">
        <v>3973207724.5979996</v>
      </c>
      <c r="D4" s="208">
        <v>3969656243.1597457</v>
      </c>
      <c r="E4" s="208">
        <v>3064613569.4954667</v>
      </c>
      <c r="F4" s="208">
        <v>12216583112.447495</v>
      </c>
      <c r="G4" s="208">
        <v>7037821294.0934668</v>
      </c>
      <c r="I4" s="216" t="s">
        <v>559</v>
      </c>
      <c r="J4" s="217">
        <v>0</v>
      </c>
      <c r="K4" s="217">
        <v>0</v>
      </c>
      <c r="L4" s="217">
        <v>0</v>
      </c>
      <c r="M4" s="217">
        <v>60133312971.379852</v>
      </c>
      <c r="N4" s="217">
        <v>47149435903.915161</v>
      </c>
      <c r="O4" s="217">
        <v>107282748875.29501</v>
      </c>
      <c r="P4" s="217">
        <v>60133312971.379852</v>
      </c>
      <c r="Q4" s="217">
        <v>47149435903.915161</v>
      </c>
      <c r="R4" s="217">
        <v>107282748875.29501</v>
      </c>
      <c r="T4" t="s">
        <v>584</v>
      </c>
      <c r="U4">
        <v>0</v>
      </c>
      <c r="V4">
        <v>0</v>
      </c>
      <c r="W4">
        <v>0</v>
      </c>
      <c r="X4">
        <v>19903687043.913326</v>
      </c>
      <c r="Y4">
        <v>15583475340.434208</v>
      </c>
      <c r="Z4">
        <v>35487162384.347534</v>
      </c>
      <c r="AA4">
        <v>19903687043.913326</v>
      </c>
      <c r="AB4">
        <v>15583475340.434208</v>
      </c>
      <c r="AC4">
        <v>35487162384.347534</v>
      </c>
      <c r="AE4" t="s">
        <v>584</v>
      </c>
      <c r="AF4" s="219">
        <f>+U4/1000</f>
        <v>0</v>
      </c>
      <c r="AG4" s="219">
        <f t="shared" ref="AG4:AN4" si="0">+V4/1000</f>
        <v>0</v>
      </c>
      <c r="AH4" s="219">
        <f t="shared" si="0"/>
        <v>0</v>
      </c>
      <c r="AI4" s="219">
        <f t="shared" si="0"/>
        <v>19903687.043913327</v>
      </c>
      <c r="AJ4" s="219">
        <f t="shared" si="0"/>
        <v>15583475.340434209</v>
      </c>
      <c r="AK4" s="219">
        <f t="shared" si="0"/>
        <v>35487162.384347536</v>
      </c>
      <c r="AL4" s="219">
        <f t="shared" si="0"/>
        <v>19903687.043913327</v>
      </c>
      <c r="AM4" s="219">
        <f t="shared" si="0"/>
        <v>15583475.340434209</v>
      </c>
      <c r="AN4" s="219">
        <f t="shared" si="0"/>
        <v>35487162.384347536</v>
      </c>
    </row>
    <row r="5" spans="1:40" x14ac:dyDescent="0.25">
      <c r="A5" s="207" t="s">
        <v>546</v>
      </c>
      <c r="B5" s="208">
        <v>10831943415.048538</v>
      </c>
      <c r="C5" s="208">
        <v>4778493385.1598539</v>
      </c>
      <c r="D5" s="208">
        <v>5149103046.8522663</v>
      </c>
      <c r="E5" s="208">
        <v>3655592972.6395154</v>
      </c>
      <c r="F5" s="208">
        <v>15981046461.900803</v>
      </c>
      <c r="G5" s="208">
        <v>8434086357.799367</v>
      </c>
      <c r="I5" s="210" t="s">
        <v>584</v>
      </c>
      <c r="J5" s="208">
        <v>0</v>
      </c>
      <c r="K5" s="208">
        <v>0</v>
      </c>
      <c r="L5" s="208">
        <v>0</v>
      </c>
      <c r="M5" s="208">
        <v>19903687043.913326</v>
      </c>
      <c r="N5" s="208">
        <v>15583475340.434208</v>
      </c>
      <c r="O5" s="208">
        <v>35487162384.347534</v>
      </c>
      <c r="P5" s="208">
        <v>19903687043.913326</v>
      </c>
      <c r="Q5" s="208">
        <v>15583475340.434208</v>
      </c>
      <c r="R5" s="208">
        <v>35487162384.347534</v>
      </c>
      <c r="T5" t="s">
        <v>585</v>
      </c>
      <c r="U5">
        <v>0</v>
      </c>
      <c r="V5">
        <v>0</v>
      </c>
      <c r="W5">
        <v>0</v>
      </c>
      <c r="X5">
        <v>20075788768.466526</v>
      </c>
      <c r="Y5">
        <v>15749774388.480951</v>
      </c>
      <c r="Z5">
        <v>35825563156.947479</v>
      </c>
      <c r="AA5">
        <v>20075788768.466526</v>
      </c>
      <c r="AB5">
        <v>15749774388.480951</v>
      </c>
      <c r="AC5">
        <v>35825563156.947479</v>
      </c>
      <c r="AE5" t="s">
        <v>585</v>
      </c>
      <c r="AF5" s="219">
        <f t="shared" ref="AF5:AF6" si="1">+U5/1000</f>
        <v>0</v>
      </c>
      <c r="AG5" s="219">
        <f t="shared" ref="AG5:AG6" si="2">+V5/1000</f>
        <v>0</v>
      </c>
      <c r="AH5" s="219">
        <f t="shared" ref="AH5:AH6" si="3">+W5/1000</f>
        <v>0</v>
      </c>
      <c r="AI5" s="219">
        <f t="shared" ref="AI5:AI6" si="4">+X5/1000</f>
        <v>20075788.768466525</v>
      </c>
      <c r="AJ5" s="219">
        <f t="shared" ref="AJ5:AJ6" si="5">+Y5/1000</f>
        <v>15749774.388480952</v>
      </c>
      <c r="AK5" s="219">
        <f t="shared" ref="AK5:AK6" si="6">+Z5/1000</f>
        <v>35825563.156947479</v>
      </c>
      <c r="AL5" s="219">
        <f t="shared" ref="AL5:AL6" si="7">+AA5/1000</f>
        <v>20075788.768466525</v>
      </c>
      <c r="AM5" s="219">
        <f t="shared" ref="AM5:AM6" si="8">+AB5/1000</f>
        <v>15749774.388480952</v>
      </c>
      <c r="AN5" s="219">
        <f t="shared" ref="AN5:AN6" si="9">+AC5/1000</f>
        <v>35825563.156947479</v>
      </c>
    </row>
    <row r="6" spans="1:40" x14ac:dyDescent="0.25">
      <c r="A6" s="207" t="s">
        <v>547</v>
      </c>
      <c r="B6" s="208">
        <v>13095567640.080732</v>
      </c>
      <c r="C6" s="208">
        <v>5502966223.7595825</v>
      </c>
      <c r="D6" s="208">
        <v>5973329799.6957197</v>
      </c>
      <c r="E6" s="208">
        <v>4181931763.7496819</v>
      </c>
      <c r="F6" s="208">
        <v>19068897439.776447</v>
      </c>
      <c r="G6" s="208">
        <v>9684897987.5092659</v>
      </c>
      <c r="I6" s="210" t="s">
        <v>585</v>
      </c>
      <c r="J6" s="208">
        <v>0</v>
      </c>
      <c r="K6" s="208">
        <v>0</v>
      </c>
      <c r="L6" s="208">
        <v>0</v>
      </c>
      <c r="M6" s="208">
        <v>20075788768.466526</v>
      </c>
      <c r="N6" s="208">
        <v>15749774388.480951</v>
      </c>
      <c r="O6" s="208">
        <v>35825563156.947479</v>
      </c>
      <c r="P6" s="208">
        <v>20075788768.466526</v>
      </c>
      <c r="Q6" s="208">
        <v>15749774388.480951</v>
      </c>
      <c r="R6" s="208">
        <v>35825563156.947479</v>
      </c>
      <c r="T6" t="s">
        <v>586</v>
      </c>
      <c r="U6">
        <v>0</v>
      </c>
      <c r="V6">
        <v>0</v>
      </c>
      <c r="W6">
        <v>0</v>
      </c>
      <c r="X6">
        <v>20153837159</v>
      </c>
      <c r="Y6">
        <v>15816186175</v>
      </c>
      <c r="Z6">
        <v>35970023334</v>
      </c>
      <c r="AA6">
        <v>20153837159</v>
      </c>
      <c r="AB6">
        <v>15816186175</v>
      </c>
      <c r="AC6">
        <v>35970023334</v>
      </c>
      <c r="AE6" t="s">
        <v>586</v>
      </c>
      <c r="AF6" s="219">
        <f t="shared" si="1"/>
        <v>0</v>
      </c>
      <c r="AG6" s="219">
        <f t="shared" si="2"/>
        <v>0</v>
      </c>
      <c r="AH6" s="219">
        <f t="shared" si="3"/>
        <v>0</v>
      </c>
      <c r="AI6" s="219">
        <f t="shared" si="4"/>
        <v>20153837.159000002</v>
      </c>
      <c r="AJ6" s="219">
        <f t="shared" si="5"/>
        <v>15816186.175000001</v>
      </c>
      <c r="AK6" s="219">
        <f t="shared" si="6"/>
        <v>35970023.333999999</v>
      </c>
      <c r="AL6" s="219">
        <f t="shared" si="7"/>
        <v>20153837.159000002</v>
      </c>
      <c r="AM6" s="219">
        <f t="shared" si="8"/>
        <v>15816186.175000001</v>
      </c>
      <c r="AN6" s="219">
        <f t="shared" si="9"/>
        <v>35970023.333999999</v>
      </c>
    </row>
    <row r="7" spans="1:40" x14ac:dyDescent="0.25">
      <c r="A7" s="207" t="s">
        <v>548</v>
      </c>
      <c r="B7" s="208">
        <v>13994994329.511679</v>
      </c>
      <c r="C7" s="208">
        <v>5780107940.9241409</v>
      </c>
      <c r="D7" s="208">
        <v>6221600908.5936813</v>
      </c>
      <c r="E7" s="208">
        <v>4373494706.5970135</v>
      </c>
      <c r="F7" s="208">
        <v>20216595238.105358</v>
      </c>
      <c r="G7" s="208">
        <v>10153602647.521154</v>
      </c>
      <c r="I7" s="210" t="s">
        <v>586</v>
      </c>
      <c r="J7" s="208">
        <v>0</v>
      </c>
      <c r="K7" s="208">
        <v>0</v>
      </c>
      <c r="L7" s="208">
        <v>0</v>
      </c>
      <c r="M7" s="208">
        <v>20153837159</v>
      </c>
      <c r="N7" s="208">
        <v>15816186175</v>
      </c>
      <c r="O7" s="208">
        <v>35970023334</v>
      </c>
      <c r="P7" s="208">
        <v>20153837159</v>
      </c>
      <c r="Q7" s="208">
        <v>15816186175</v>
      </c>
      <c r="R7" s="208">
        <v>35970023334</v>
      </c>
    </row>
    <row r="8" spans="1:40" x14ac:dyDescent="0.25">
      <c r="A8" s="207" t="s">
        <v>549</v>
      </c>
      <c r="B8" s="208">
        <v>14900591934.083181</v>
      </c>
      <c r="C8" s="208">
        <v>6027641672.6388502</v>
      </c>
      <c r="D8" s="208">
        <v>6305334741.0595312</v>
      </c>
      <c r="E8" s="208">
        <v>4448180899.6762056</v>
      </c>
      <c r="F8" s="208">
        <v>21205926675.142715</v>
      </c>
      <c r="G8" s="208">
        <v>10475822572.315058</v>
      </c>
    </row>
    <row r="9" spans="1:40" x14ac:dyDescent="0.25">
      <c r="A9" s="207" t="s">
        <v>550</v>
      </c>
      <c r="B9" s="208">
        <v>15464510652.205984</v>
      </c>
      <c r="C9" s="208">
        <v>6127638130.4877253</v>
      </c>
      <c r="D9" s="208">
        <v>6133300571.7438841</v>
      </c>
      <c r="E9" s="208">
        <v>4291617400.8795981</v>
      </c>
      <c r="F9" s="208">
        <v>21597811223.949871</v>
      </c>
      <c r="G9" s="208">
        <v>10419255531.367325</v>
      </c>
    </row>
    <row r="10" spans="1:40" x14ac:dyDescent="0.25">
      <c r="A10" s="207" t="s">
        <v>551</v>
      </c>
      <c r="B10" s="208">
        <v>16719242118.712105</v>
      </c>
      <c r="C10" s="208">
        <v>6443033859.5210752</v>
      </c>
      <c r="D10" s="208">
        <v>6332875385.4161987</v>
      </c>
      <c r="E10" s="208">
        <v>4376817385.0717344</v>
      </c>
      <c r="F10" s="208">
        <v>23052117504.128307</v>
      </c>
      <c r="G10" s="208">
        <v>10819851244.592808</v>
      </c>
    </row>
    <row r="11" spans="1:40" x14ac:dyDescent="0.25">
      <c r="A11" s="207" t="s">
        <v>552</v>
      </c>
      <c r="B11" s="208">
        <v>18210702843.160507</v>
      </c>
      <c r="C11" s="208">
        <v>6946083183.5916548</v>
      </c>
      <c r="D11" s="208">
        <v>6761441395.714366</v>
      </c>
      <c r="E11" s="208">
        <v>4771430769.2962599</v>
      </c>
      <c r="F11" s="208">
        <v>24972144238.874874</v>
      </c>
      <c r="G11" s="208">
        <v>11717513952.887915</v>
      </c>
    </row>
    <row r="12" spans="1:40" x14ac:dyDescent="0.25">
      <c r="A12" s="207" t="s">
        <v>553</v>
      </c>
      <c r="B12" s="208">
        <v>19783296657.483814</v>
      </c>
      <c r="C12" s="208">
        <v>7425619705.3861189</v>
      </c>
      <c r="D12" s="208">
        <v>7362010767.830924</v>
      </c>
      <c r="E12" s="208">
        <v>5231600971.8967381</v>
      </c>
      <c r="F12" s="208">
        <v>27145307425.314739</v>
      </c>
      <c r="G12" s="208">
        <v>12657220677.28286</v>
      </c>
      <c r="I12" s="206" t="s">
        <v>7</v>
      </c>
      <c r="J12" t="s">
        <v>596</v>
      </c>
      <c r="AE12" t="s">
        <v>616</v>
      </c>
    </row>
    <row r="13" spans="1:40" x14ac:dyDescent="0.25">
      <c r="A13" s="207" t="s">
        <v>554</v>
      </c>
      <c r="B13" s="208">
        <v>23013211595.87286</v>
      </c>
      <c r="C13" s="208">
        <v>8501264270.2728071</v>
      </c>
      <c r="D13" s="208">
        <v>8483630715.9830093</v>
      </c>
      <c r="E13" s="208">
        <v>6104356781.0873613</v>
      </c>
      <c r="F13" s="208">
        <v>31496842311.855865</v>
      </c>
      <c r="G13" s="208">
        <v>14605621051.360168</v>
      </c>
      <c r="AF13" t="s">
        <v>617</v>
      </c>
      <c r="AI13" t="s">
        <v>615</v>
      </c>
      <c r="AL13" t="s">
        <v>75</v>
      </c>
    </row>
    <row r="14" spans="1:40" x14ac:dyDescent="0.25">
      <c r="A14" s="207" t="s">
        <v>555</v>
      </c>
      <c r="B14" s="208">
        <v>24370427621.370571</v>
      </c>
      <c r="C14" s="208">
        <v>8842345357.059454</v>
      </c>
      <c r="D14" s="208">
        <v>8863104958.5664921</v>
      </c>
      <c r="E14" s="208">
        <v>6451885180.39046</v>
      </c>
      <c r="F14" s="208">
        <v>33233532579.937061</v>
      </c>
      <c r="G14" s="208">
        <v>15294230537.449913</v>
      </c>
      <c r="I14" s="206" t="s">
        <v>543</v>
      </c>
      <c r="J14" t="s">
        <v>597</v>
      </c>
      <c r="K14" t="s">
        <v>598</v>
      </c>
      <c r="L14" t="s">
        <v>599</v>
      </c>
      <c r="M14" t="s">
        <v>600</v>
      </c>
      <c r="N14" t="s">
        <v>601</v>
      </c>
      <c r="O14" t="s">
        <v>602</v>
      </c>
      <c r="P14" t="s">
        <v>603</v>
      </c>
      <c r="Q14" t="s">
        <v>604</v>
      </c>
      <c r="R14" t="s">
        <v>605</v>
      </c>
      <c r="T14" t="s">
        <v>543</v>
      </c>
      <c r="U14" s="209" t="s">
        <v>597</v>
      </c>
      <c r="V14" s="209" t="s">
        <v>598</v>
      </c>
      <c r="W14" s="209" t="s">
        <v>599</v>
      </c>
      <c r="X14" s="209" t="s">
        <v>600</v>
      </c>
      <c r="Y14" s="209" t="s">
        <v>601</v>
      </c>
      <c r="Z14" s="209" t="s">
        <v>602</v>
      </c>
      <c r="AA14" s="209" t="s">
        <v>603</v>
      </c>
      <c r="AB14" s="209" t="s">
        <v>604</v>
      </c>
      <c r="AC14" s="209" t="s">
        <v>605</v>
      </c>
      <c r="AE14" t="s">
        <v>543</v>
      </c>
      <c r="AF14" t="s">
        <v>606</v>
      </c>
      <c r="AG14" t="s">
        <v>607</v>
      </c>
      <c r="AH14" t="s">
        <v>608</v>
      </c>
      <c r="AI14" t="s">
        <v>609</v>
      </c>
      <c r="AJ14" t="s">
        <v>610</v>
      </c>
      <c r="AK14" t="s">
        <v>611</v>
      </c>
      <c r="AL14" t="s">
        <v>612</v>
      </c>
      <c r="AM14" t="s">
        <v>613</v>
      </c>
      <c r="AN14" t="s">
        <v>614</v>
      </c>
    </row>
    <row r="15" spans="1:40" x14ac:dyDescent="0.25">
      <c r="A15" s="207" t="s">
        <v>556</v>
      </c>
      <c r="B15" s="208">
        <v>26689511249.196259</v>
      </c>
      <c r="C15" s="208">
        <v>9492244005.0758266</v>
      </c>
      <c r="D15" s="208">
        <v>9429656004.8587437</v>
      </c>
      <c r="E15" s="208">
        <v>6956454754.7894373</v>
      </c>
      <c r="F15" s="208">
        <v>36119167254.055008</v>
      </c>
      <c r="G15" s="208">
        <v>16448698759.865265</v>
      </c>
      <c r="I15" s="216" t="s">
        <v>559</v>
      </c>
      <c r="J15" s="217">
        <v>0</v>
      </c>
      <c r="K15" s="217">
        <v>0</v>
      </c>
      <c r="L15" s="217">
        <v>0</v>
      </c>
      <c r="M15" s="217">
        <v>60441368879</v>
      </c>
      <c r="N15" s="217">
        <v>47390715970</v>
      </c>
      <c r="O15" s="217">
        <v>107832084849</v>
      </c>
      <c r="P15" s="217">
        <v>60441368879</v>
      </c>
      <c r="Q15" s="217">
        <v>47390715970</v>
      </c>
      <c r="R15" s="217">
        <v>107832084849</v>
      </c>
      <c r="T15" t="s">
        <v>584</v>
      </c>
      <c r="U15" s="219">
        <v>0</v>
      </c>
      <c r="V15" s="219">
        <v>0</v>
      </c>
      <c r="W15" s="219">
        <v>0</v>
      </c>
      <c r="X15" s="219">
        <v>20154801071</v>
      </c>
      <c r="Y15" s="219">
        <v>15780083599</v>
      </c>
      <c r="Z15" s="219">
        <v>35934884670</v>
      </c>
      <c r="AA15" s="219">
        <v>20154801071</v>
      </c>
      <c r="AB15" s="219">
        <v>15780083599</v>
      </c>
      <c r="AC15" s="219">
        <v>35934884670</v>
      </c>
      <c r="AE15" t="s">
        <v>584</v>
      </c>
      <c r="AF15" s="219">
        <f>+U15/1000</f>
        <v>0</v>
      </c>
      <c r="AG15" s="219">
        <f t="shared" ref="AG15:AN15" si="10">+V15/1000</f>
        <v>0</v>
      </c>
      <c r="AH15" s="219">
        <f t="shared" si="10"/>
        <v>0</v>
      </c>
      <c r="AI15" s="219">
        <f>+X15/1000</f>
        <v>20154801.070999999</v>
      </c>
      <c r="AJ15" s="219">
        <f t="shared" si="10"/>
        <v>15780083.598999999</v>
      </c>
      <c r="AK15" s="219">
        <f t="shared" si="10"/>
        <v>35934884.670000002</v>
      </c>
      <c r="AL15" s="219">
        <f t="shared" si="10"/>
        <v>20154801.070999999</v>
      </c>
      <c r="AM15" s="219">
        <f t="shared" si="10"/>
        <v>15780083.598999999</v>
      </c>
      <c r="AN15" s="219">
        <f t="shared" si="10"/>
        <v>35934884.670000002</v>
      </c>
    </row>
    <row r="16" spans="1:40" x14ac:dyDescent="0.25">
      <c r="A16" s="207" t="s">
        <v>557</v>
      </c>
      <c r="B16" s="208">
        <v>36592890448.634682</v>
      </c>
      <c r="C16" s="208">
        <v>12913294405.351358</v>
      </c>
      <c r="D16" s="208">
        <v>11894673713.107821</v>
      </c>
      <c r="E16" s="208">
        <v>8911422908.9337215</v>
      </c>
      <c r="F16" s="208">
        <v>48487564161.742493</v>
      </c>
      <c r="G16" s="208">
        <v>21824717314.285076</v>
      </c>
      <c r="I16" s="210" t="s">
        <v>584</v>
      </c>
      <c r="J16" s="208">
        <v>0</v>
      </c>
      <c r="K16" s="208">
        <v>0</v>
      </c>
      <c r="L16" s="208">
        <v>0</v>
      </c>
      <c r="M16" s="208">
        <v>20154801071</v>
      </c>
      <c r="N16" s="208">
        <v>15780083599</v>
      </c>
      <c r="O16" s="208">
        <v>35934884670</v>
      </c>
      <c r="P16" s="208">
        <v>20154801071</v>
      </c>
      <c r="Q16" s="208">
        <v>15780083599</v>
      </c>
      <c r="R16" s="208">
        <v>35934884670</v>
      </c>
      <c r="T16" s="218" t="s">
        <v>585</v>
      </c>
      <c r="U16" s="220">
        <v>0</v>
      </c>
      <c r="V16" s="220">
        <v>0</v>
      </c>
      <c r="W16" s="220">
        <v>0</v>
      </c>
      <c r="X16" s="220">
        <v>20132730649</v>
      </c>
      <c r="Y16" s="220">
        <v>15794446196</v>
      </c>
      <c r="Z16" s="220">
        <v>35927176845</v>
      </c>
      <c r="AA16" s="220">
        <v>20132730649</v>
      </c>
      <c r="AB16" s="220">
        <v>15794446196</v>
      </c>
      <c r="AC16" s="220">
        <v>35927176845</v>
      </c>
      <c r="AE16" s="218" t="s">
        <v>585</v>
      </c>
      <c r="AF16" s="219">
        <f t="shared" ref="AF16:AF17" si="11">+U16/1000</f>
        <v>0</v>
      </c>
      <c r="AG16" s="219">
        <f t="shared" ref="AG16:AG17" si="12">+V16/1000</f>
        <v>0</v>
      </c>
      <c r="AH16" s="219">
        <f t="shared" ref="AH16:AH17" si="13">+W16/1000</f>
        <v>0</v>
      </c>
      <c r="AI16" s="219">
        <f t="shared" ref="AI16:AI17" si="14">+X16/1000</f>
        <v>20132730.649</v>
      </c>
      <c r="AJ16" s="219">
        <f t="shared" ref="AJ16:AJ17" si="15">+Y16/1000</f>
        <v>15794446.196</v>
      </c>
      <c r="AK16" s="219">
        <f t="shared" ref="AK16:AK17" si="16">+Z16/1000</f>
        <v>35927176.844999999</v>
      </c>
      <c r="AL16" s="219">
        <f t="shared" ref="AL16:AL17" si="17">+AA16/1000</f>
        <v>20132730.649</v>
      </c>
      <c r="AM16" s="219">
        <f t="shared" ref="AM16:AM17" si="18">+AB16/1000</f>
        <v>15794446.196</v>
      </c>
      <c r="AN16" s="219">
        <f t="shared" ref="AN16:AN17" si="19">+AC16/1000</f>
        <v>35927176.844999999</v>
      </c>
    </row>
    <row r="17" spans="1:40" x14ac:dyDescent="0.25">
      <c r="A17" s="216" t="s">
        <v>558</v>
      </c>
      <c r="B17" s="217">
        <v>43453866484.039848</v>
      </c>
      <c r="C17" s="217">
        <v>14949329618.898636</v>
      </c>
      <c r="D17" s="217">
        <v>14114095435.076376</v>
      </c>
      <c r="E17" s="217">
        <v>10837332885.31241</v>
      </c>
      <c r="F17" s="217">
        <v>57567961919.116219</v>
      </c>
      <c r="G17" s="217">
        <v>25786662504.21104</v>
      </c>
      <c r="I17" s="210" t="s">
        <v>585</v>
      </c>
      <c r="J17" s="208">
        <v>0</v>
      </c>
      <c r="K17" s="208">
        <v>0</v>
      </c>
      <c r="L17" s="208">
        <v>0</v>
      </c>
      <c r="M17" s="208">
        <v>20132730649</v>
      </c>
      <c r="N17" s="208">
        <v>15794446196</v>
      </c>
      <c r="O17" s="208">
        <v>35927176845</v>
      </c>
      <c r="P17" s="208">
        <v>20132730649</v>
      </c>
      <c r="Q17" s="208">
        <v>15794446196</v>
      </c>
      <c r="R17" s="208">
        <v>35927176845</v>
      </c>
      <c r="S17" s="218"/>
      <c r="T17" t="s">
        <v>586</v>
      </c>
      <c r="U17" s="219">
        <v>0</v>
      </c>
      <c r="V17" s="219">
        <v>0</v>
      </c>
      <c r="W17" s="219">
        <v>0</v>
      </c>
      <c r="X17" s="219">
        <v>20153837159</v>
      </c>
      <c r="Y17" s="219">
        <v>15816186175</v>
      </c>
      <c r="Z17" s="219">
        <v>35970023334</v>
      </c>
      <c r="AA17" s="219">
        <v>20153837159</v>
      </c>
      <c r="AB17" s="219">
        <v>15816186175</v>
      </c>
      <c r="AC17" s="219">
        <v>35970023334</v>
      </c>
      <c r="AE17" t="s">
        <v>586</v>
      </c>
      <c r="AF17" s="219">
        <f t="shared" si="11"/>
        <v>0</v>
      </c>
      <c r="AG17" s="219">
        <f t="shared" si="12"/>
        <v>0</v>
      </c>
      <c r="AH17" s="219">
        <f t="shared" si="13"/>
        <v>0</v>
      </c>
      <c r="AI17" s="219">
        <f t="shared" si="14"/>
        <v>20153837.159000002</v>
      </c>
      <c r="AJ17" s="219">
        <f t="shared" si="15"/>
        <v>15816186.175000001</v>
      </c>
      <c r="AK17" s="219">
        <f t="shared" si="16"/>
        <v>35970023.333999999</v>
      </c>
      <c r="AL17" s="219">
        <f t="shared" si="17"/>
        <v>20153837.159000002</v>
      </c>
      <c r="AM17" s="219">
        <f t="shared" si="18"/>
        <v>15816186.175000001</v>
      </c>
      <c r="AN17" s="219">
        <f t="shared" si="19"/>
        <v>35970023.333999999</v>
      </c>
    </row>
    <row r="18" spans="1:40" x14ac:dyDescent="0.25">
      <c r="A18" s="210" t="s">
        <v>575</v>
      </c>
      <c r="B18" s="208">
        <v>41412764928.550545</v>
      </c>
      <c r="C18" s="208">
        <v>14344174607.805138</v>
      </c>
      <c r="D18" s="208">
        <v>13575450041.297749</v>
      </c>
      <c r="E18" s="208">
        <v>10301136754.388906</v>
      </c>
      <c r="F18" s="208">
        <v>54988214969.848297</v>
      </c>
      <c r="G18" s="208">
        <v>24645311362.194046</v>
      </c>
      <c r="I18" s="210" t="s">
        <v>586</v>
      </c>
      <c r="J18" s="208">
        <v>0</v>
      </c>
      <c r="K18" s="208">
        <v>0</v>
      </c>
      <c r="L18" s="208">
        <v>0</v>
      </c>
      <c r="M18" s="208">
        <v>20153837159</v>
      </c>
      <c r="N18" s="208">
        <v>15816186175</v>
      </c>
      <c r="O18" s="208">
        <v>35970023334</v>
      </c>
      <c r="P18" s="208">
        <v>20153837159</v>
      </c>
      <c r="Q18" s="208">
        <v>15816186175</v>
      </c>
      <c r="R18" s="208">
        <v>35970023334</v>
      </c>
      <c r="T18" t="s">
        <v>544</v>
      </c>
      <c r="U18" s="219">
        <v>0</v>
      </c>
      <c r="V18" s="219">
        <v>0</v>
      </c>
      <c r="W18" s="219">
        <v>0</v>
      </c>
      <c r="X18" s="219">
        <v>20147122959.666668</v>
      </c>
      <c r="Y18" s="219">
        <v>15796905323.333334</v>
      </c>
      <c r="Z18" s="219">
        <v>35944028283</v>
      </c>
      <c r="AA18" s="219">
        <v>20147122959.666668</v>
      </c>
      <c r="AB18" s="219">
        <v>15796905323.333334</v>
      </c>
      <c r="AC18" s="219">
        <v>35944028283</v>
      </c>
      <c r="AF18" s="219"/>
      <c r="AG18" s="219"/>
      <c r="AH18" s="219"/>
      <c r="AI18" s="219"/>
      <c r="AJ18" s="219"/>
      <c r="AK18" s="219"/>
      <c r="AL18" s="219"/>
      <c r="AM18" s="219"/>
      <c r="AN18" s="219"/>
    </row>
    <row r="19" spans="1:40" x14ac:dyDescent="0.25">
      <c r="A19" s="210" t="s">
        <v>576</v>
      </c>
      <c r="B19" s="208">
        <v>41492133144.129395</v>
      </c>
      <c r="C19" s="208">
        <v>14338671951.417471</v>
      </c>
      <c r="D19" s="208">
        <v>13556899957.095909</v>
      </c>
      <c r="E19" s="208">
        <v>10317360873.560974</v>
      </c>
      <c r="F19" s="208">
        <v>55049033101.225304</v>
      </c>
      <c r="G19" s="208">
        <v>24656032824.978443</v>
      </c>
    </row>
    <row r="20" spans="1:40" x14ac:dyDescent="0.25">
      <c r="A20" s="210" t="s">
        <v>577</v>
      </c>
      <c r="B20" s="208">
        <v>41689377531.52832</v>
      </c>
      <c r="C20" s="208">
        <v>14389107537.936651</v>
      </c>
      <c r="D20" s="208">
        <v>13587482423.759024</v>
      </c>
      <c r="E20" s="208">
        <v>10363693683.943645</v>
      </c>
      <c r="F20" s="208">
        <v>55276859955.287346</v>
      </c>
      <c r="G20" s="208">
        <v>24752801221.880299</v>
      </c>
    </row>
    <row r="21" spans="1:40" x14ac:dyDescent="0.25">
      <c r="A21" s="210" t="s">
        <v>578</v>
      </c>
      <c r="B21" s="208">
        <v>41893693794.81633</v>
      </c>
      <c r="C21" s="208">
        <v>14448119364.683731</v>
      </c>
      <c r="D21" s="208">
        <v>13658161040.342596</v>
      </c>
      <c r="E21" s="208">
        <v>10436146134.295401</v>
      </c>
      <c r="F21" s="208">
        <v>55551854835.158928</v>
      </c>
      <c r="G21" s="208">
        <v>24884265498.97913</v>
      </c>
    </row>
    <row r="22" spans="1:40" x14ac:dyDescent="0.25">
      <c r="A22" s="210" t="s">
        <v>579</v>
      </c>
      <c r="B22" s="208">
        <v>42028716433.503952</v>
      </c>
      <c r="C22" s="208">
        <v>14474202460.279303</v>
      </c>
      <c r="D22" s="208">
        <v>13650260559.967369</v>
      </c>
      <c r="E22" s="208">
        <v>10455981672.870468</v>
      </c>
      <c r="F22" s="208">
        <v>55678976993.471321</v>
      </c>
      <c r="G22" s="208">
        <v>24930184133.149773</v>
      </c>
    </row>
    <row r="23" spans="1:40" x14ac:dyDescent="0.25">
      <c r="A23" s="210" t="s">
        <v>580</v>
      </c>
      <c r="B23" s="208">
        <v>42051494056.711189</v>
      </c>
      <c r="C23" s="208">
        <v>14454401135.575151</v>
      </c>
      <c r="D23" s="208">
        <v>13673344879.106573</v>
      </c>
      <c r="E23" s="208">
        <v>10488651757.441307</v>
      </c>
      <c r="F23" s="208">
        <v>55724838935.817764</v>
      </c>
      <c r="G23" s="208">
        <v>24943052893.01646</v>
      </c>
    </row>
    <row r="24" spans="1:40" x14ac:dyDescent="0.25">
      <c r="A24" s="210" t="s">
        <v>581</v>
      </c>
      <c r="B24" s="208">
        <v>43968064599.592735</v>
      </c>
      <c r="C24" s="208">
        <v>15094747143.016346</v>
      </c>
      <c r="D24" s="208">
        <v>14296200721.375242</v>
      </c>
      <c r="E24" s="208">
        <v>10984398268.326876</v>
      </c>
      <c r="F24" s="208">
        <v>58264265320.967979</v>
      </c>
      <c r="G24" s="208">
        <v>26079145411.343224</v>
      </c>
    </row>
    <row r="25" spans="1:40" x14ac:dyDescent="0.25">
      <c r="A25" s="210" t="s">
        <v>582</v>
      </c>
      <c r="B25" s="208">
        <v>44239652802.527435</v>
      </c>
      <c r="C25" s="208">
        <v>15183281289.48546</v>
      </c>
      <c r="D25" s="208">
        <v>14359653915.897924</v>
      </c>
      <c r="E25" s="208">
        <v>11056169211.807955</v>
      </c>
      <c r="F25" s="208">
        <v>58599306718.425362</v>
      </c>
      <c r="G25" s="208">
        <v>26239450501.293415</v>
      </c>
    </row>
    <row r="26" spans="1:40" x14ac:dyDescent="0.25">
      <c r="A26" s="210" t="s">
        <v>583</v>
      </c>
      <c r="B26" s="208">
        <v>44825753490.339638</v>
      </c>
      <c r="C26" s="208">
        <v>15361682293.239056</v>
      </c>
      <c r="D26" s="208">
        <v>14520121666.492722</v>
      </c>
      <c r="E26" s="208">
        <v>11196683921.068314</v>
      </c>
      <c r="F26" s="208">
        <v>59345875156.832359</v>
      </c>
      <c r="G26" s="208">
        <v>26558366214.307369</v>
      </c>
    </row>
    <row r="27" spans="1:40" x14ac:dyDescent="0.25">
      <c r="A27" s="210" t="s">
        <v>584</v>
      </c>
      <c r="B27" s="208">
        <v>45558468926.131744</v>
      </c>
      <c r="C27" s="208">
        <v>15619780966.110331</v>
      </c>
      <c r="D27" s="208">
        <v>14731002156.65905</v>
      </c>
      <c r="E27" s="208">
        <v>11378658505.587618</v>
      </c>
      <c r="F27" s="208">
        <v>60289471082.790794</v>
      </c>
      <c r="G27" s="208">
        <v>26998439471.697948</v>
      </c>
    </row>
    <row r="28" spans="1:40" x14ac:dyDescent="0.25">
      <c r="A28" s="210" t="s">
        <v>585</v>
      </c>
      <c r="B28" s="208">
        <v>45907806144.015701</v>
      </c>
      <c r="C28" s="208">
        <v>15757842457.160728</v>
      </c>
      <c r="D28" s="208">
        <v>14819941119.248938</v>
      </c>
      <c r="E28" s="208">
        <v>11477733789.488827</v>
      </c>
      <c r="F28" s="208">
        <v>60727747263.264633</v>
      </c>
      <c r="G28" s="208">
        <v>27235576246.649555</v>
      </c>
    </row>
    <row r="29" spans="1:40" x14ac:dyDescent="0.25">
      <c r="A29" s="210" t="s">
        <v>586</v>
      </c>
      <c r="B29" s="208">
        <v>46378471956.631134</v>
      </c>
      <c r="C29" s="208">
        <v>15925944220.074242</v>
      </c>
      <c r="D29" s="208">
        <v>14940626739.673445</v>
      </c>
      <c r="E29" s="208">
        <v>11591380050.96863</v>
      </c>
      <c r="F29" s="208">
        <v>61319098696.304581</v>
      </c>
      <c r="G29" s="208">
        <v>27517324271.042873</v>
      </c>
    </row>
    <row r="30" spans="1:40" s="218" customFormat="1" x14ac:dyDescent="0.25">
      <c r="A30" s="216" t="s">
        <v>559</v>
      </c>
      <c r="B30" s="217">
        <v>4061495668.9687133</v>
      </c>
      <c r="C30" s="217">
        <v>1394304840.9271979</v>
      </c>
      <c r="D30" s="217">
        <v>18608107348.715408</v>
      </c>
      <c r="E30" s="217">
        <v>14541108885.050779</v>
      </c>
      <c r="F30" s="217">
        <v>22669603017.684124</v>
      </c>
      <c r="G30" s="217">
        <v>15935413725.977976</v>
      </c>
      <c r="H30"/>
      <c r="I30"/>
      <c r="J30"/>
      <c r="K30"/>
      <c r="L30"/>
      <c r="M30"/>
      <c r="N30"/>
      <c r="O30"/>
    </row>
    <row r="31" spans="1:40" x14ac:dyDescent="0.25">
      <c r="A31" s="210" t="s">
        <v>575</v>
      </c>
      <c r="B31" s="208">
        <v>48737948027.624557</v>
      </c>
      <c r="C31" s="208">
        <v>16731658091.126375</v>
      </c>
      <c r="D31" s="208">
        <v>16210542125.044081</v>
      </c>
      <c r="E31" s="208">
        <v>12595583261.466858</v>
      </c>
      <c r="F31" s="208">
        <v>64948490152.66864</v>
      </c>
      <c r="G31" s="208">
        <v>29327241352.593231</v>
      </c>
    </row>
    <row r="32" spans="1:40" x14ac:dyDescent="0.25">
      <c r="A32" s="210" t="s">
        <v>576</v>
      </c>
      <c r="B32" s="208">
        <v>0</v>
      </c>
      <c r="C32" s="208">
        <v>0</v>
      </c>
      <c r="D32" s="208">
        <v>17091973483.192741</v>
      </c>
      <c r="E32" s="208">
        <v>13299723403.619192</v>
      </c>
      <c r="F32" s="208">
        <v>17091973483.192741</v>
      </c>
      <c r="G32" s="208">
        <v>13299723403.619192</v>
      </c>
    </row>
    <row r="33" spans="1:7" x14ac:dyDescent="0.25">
      <c r="A33" s="210" t="s">
        <v>577</v>
      </c>
      <c r="B33" s="208">
        <v>0</v>
      </c>
      <c r="C33" s="208">
        <v>0</v>
      </c>
      <c r="D33" s="208">
        <v>17424606452.911678</v>
      </c>
      <c r="E33" s="208">
        <v>13573744962.130131</v>
      </c>
      <c r="F33" s="208">
        <v>17424606452.911678</v>
      </c>
      <c r="G33" s="208">
        <v>13573744962.130131</v>
      </c>
    </row>
    <row r="34" spans="1:7" x14ac:dyDescent="0.25">
      <c r="A34" s="210" t="s">
        <v>578</v>
      </c>
      <c r="B34" s="208">
        <v>0</v>
      </c>
      <c r="C34" s="208">
        <v>0</v>
      </c>
      <c r="D34" s="208">
        <v>17641980698.009972</v>
      </c>
      <c r="E34" s="208">
        <v>13769718696.30522</v>
      </c>
      <c r="F34" s="208">
        <v>17641980698.009972</v>
      </c>
      <c r="G34" s="208">
        <v>13769718696.30522</v>
      </c>
    </row>
    <row r="35" spans="1:7" x14ac:dyDescent="0.25">
      <c r="A35" s="210" t="s">
        <v>579</v>
      </c>
      <c r="B35" s="208">
        <v>0</v>
      </c>
      <c r="C35" s="208">
        <v>0</v>
      </c>
      <c r="D35" s="208">
        <v>17891632863.695015</v>
      </c>
      <c r="E35" s="208">
        <v>13984257091.629864</v>
      </c>
      <c r="F35" s="208">
        <v>17891632863.695015</v>
      </c>
      <c r="G35" s="208">
        <v>13984257091.629864</v>
      </c>
    </row>
    <row r="36" spans="1:7" x14ac:dyDescent="0.25">
      <c r="A36" s="210" t="s">
        <v>580</v>
      </c>
      <c r="B36" s="208">
        <v>0</v>
      </c>
      <c r="C36" s="208">
        <v>0</v>
      </c>
      <c r="D36" s="208">
        <v>18154510583.825241</v>
      </c>
      <c r="E36" s="208">
        <v>14178908328.029295</v>
      </c>
      <c r="F36" s="208">
        <v>18154510583.825241</v>
      </c>
      <c r="G36" s="208">
        <v>14178908328.029295</v>
      </c>
    </row>
    <row r="37" spans="1:7" x14ac:dyDescent="0.25">
      <c r="A37" s="210" t="s">
        <v>581</v>
      </c>
      <c r="B37" s="208">
        <v>0</v>
      </c>
      <c r="C37" s="208">
        <v>0</v>
      </c>
      <c r="D37" s="208">
        <v>19337226013.322685</v>
      </c>
      <c r="E37" s="208">
        <v>15116052668.109373</v>
      </c>
      <c r="F37" s="208">
        <v>19337226013.322685</v>
      </c>
      <c r="G37" s="208">
        <v>15116052668.109373</v>
      </c>
    </row>
    <row r="38" spans="1:7" x14ac:dyDescent="0.25">
      <c r="A38" s="210" t="s">
        <v>582</v>
      </c>
      <c r="B38" s="208">
        <v>0</v>
      </c>
      <c r="C38" s="208">
        <v>0</v>
      </c>
      <c r="D38" s="208">
        <v>19615995290.222252</v>
      </c>
      <c r="E38" s="208">
        <v>15334641090.347298</v>
      </c>
      <c r="F38" s="208">
        <v>19615995290.222252</v>
      </c>
      <c r="G38" s="208">
        <v>15334641090.347298</v>
      </c>
    </row>
    <row r="39" spans="1:7" x14ac:dyDescent="0.25">
      <c r="A39" s="210" t="s">
        <v>583</v>
      </c>
      <c r="B39" s="208">
        <v>0</v>
      </c>
      <c r="C39" s="208">
        <v>0</v>
      </c>
      <c r="D39" s="208">
        <v>19795507702.981388</v>
      </c>
      <c r="E39" s="208">
        <v>15491241215.056953</v>
      </c>
      <c r="F39" s="208">
        <v>19795507702.981388</v>
      </c>
      <c r="G39" s="208">
        <v>15491241215.056953</v>
      </c>
    </row>
    <row r="40" spans="1:7" x14ac:dyDescent="0.25">
      <c r="A40" s="210" t="s">
        <v>584</v>
      </c>
      <c r="B40" s="208">
        <v>0</v>
      </c>
      <c r="C40" s="208">
        <v>0</v>
      </c>
      <c r="D40" s="208">
        <v>19903687043.913326</v>
      </c>
      <c r="E40" s="208">
        <v>15583475340.434208</v>
      </c>
      <c r="F40" s="208">
        <v>19903687043.913326</v>
      </c>
      <c r="G40" s="208">
        <v>15583475340.434208</v>
      </c>
    </row>
    <row r="41" spans="1:7" x14ac:dyDescent="0.25">
      <c r="A41" s="210" t="s">
        <v>585</v>
      </c>
      <c r="B41" s="208">
        <v>0</v>
      </c>
      <c r="C41" s="208">
        <v>0</v>
      </c>
      <c r="D41" s="208">
        <v>20075788768.466526</v>
      </c>
      <c r="E41" s="208">
        <v>15749774388.480951</v>
      </c>
      <c r="F41" s="208">
        <v>20075788768.466526</v>
      </c>
      <c r="G41" s="208">
        <v>15749774388.480951</v>
      </c>
    </row>
    <row r="42" spans="1:7" x14ac:dyDescent="0.25">
      <c r="A42" s="210" t="s">
        <v>586</v>
      </c>
      <c r="B42" s="208">
        <v>0</v>
      </c>
      <c r="C42" s="208">
        <v>0</v>
      </c>
      <c r="D42" s="208">
        <v>20153837159</v>
      </c>
      <c r="E42" s="208">
        <v>15816186175</v>
      </c>
      <c r="F42" s="208">
        <v>20153837159</v>
      </c>
      <c r="G42" s="208">
        <v>15816186175</v>
      </c>
    </row>
    <row r="43" spans="1:7" x14ac:dyDescent="0.25">
      <c r="A43" s="207" t="s">
        <v>544</v>
      </c>
      <c r="B43" s="208">
        <v>19676256282.276787</v>
      </c>
      <c r="C43" s="208">
        <v>7386963480.0933323</v>
      </c>
      <c r="D43" s="208">
        <v>8525316752.7444334</v>
      </c>
      <c r="E43" s="208">
        <v>6252795520.6978397</v>
      </c>
      <c r="F43" s="208">
        <v>28201573035.02121</v>
      </c>
      <c r="G43" s="208">
        <v>13639759000.791176</v>
      </c>
    </row>
    <row r="52" spans="1:15" x14ac:dyDescent="0.25">
      <c r="A52" t="s">
        <v>543</v>
      </c>
      <c r="B52" t="s">
        <v>571</v>
      </c>
      <c r="C52" t="s">
        <v>570</v>
      </c>
      <c r="D52" t="s">
        <v>572</v>
      </c>
      <c r="E52" t="s">
        <v>569</v>
      </c>
      <c r="F52" t="s">
        <v>574</v>
      </c>
      <c r="G52" t="s">
        <v>573</v>
      </c>
      <c r="I52" t="s">
        <v>543</v>
      </c>
      <c r="J52" t="s">
        <v>571</v>
      </c>
      <c r="K52" t="s">
        <v>570</v>
      </c>
      <c r="L52" t="s">
        <v>572</v>
      </c>
      <c r="M52" t="s">
        <v>569</v>
      </c>
      <c r="N52" t="s">
        <v>574</v>
      </c>
      <c r="O52" t="s">
        <v>573</v>
      </c>
    </row>
    <row r="53" spans="1:15" x14ac:dyDescent="0.25">
      <c r="A53" t="s">
        <v>545</v>
      </c>
      <c r="B53">
        <v>8246926869.2877502</v>
      </c>
      <c r="C53" s="219">
        <v>3973207724.5979996</v>
      </c>
      <c r="D53">
        <v>3969656243.1597457</v>
      </c>
      <c r="E53">
        <v>3064613569.4954667</v>
      </c>
      <c r="F53">
        <v>12216583112.447495</v>
      </c>
      <c r="G53">
        <v>7037821294.0934668</v>
      </c>
      <c r="I53" t="s">
        <v>545</v>
      </c>
      <c r="J53" s="219">
        <v>8246926.8692877507</v>
      </c>
      <c r="K53" s="219">
        <v>3973207.7245979994</v>
      </c>
      <c r="L53" s="219">
        <v>3969656.2431597458</v>
      </c>
      <c r="M53" s="219">
        <v>3064613.5694954665</v>
      </c>
      <c r="N53" s="219">
        <v>12216583.112447495</v>
      </c>
      <c r="O53" s="219">
        <v>7037821.2940934664</v>
      </c>
    </row>
    <row r="54" spans="1:15" x14ac:dyDescent="0.25">
      <c r="A54" t="s">
        <v>546</v>
      </c>
      <c r="B54">
        <v>10831943415.048538</v>
      </c>
      <c r="C54">
        <v>4778493385.1598539</v>
      </c>
      <c r="D54">
        <v>5149103046.8522663</v>
      </c>
      <c r="E54">
        <v>3655592972.6395154</v>
      </c>
      <c r="F54">
        <v>15981046461.900803</v>
      </c>
      <c r="G54">
        <v>8434086357.799367</v>
      </c>
      <c r="I54" t="s">
        <v>546</v>
      </c>
      <c r="J54" s="219">
        <v>10831943.415048538</v>
      </c>
      <c r="K54" s="219">
        <v>4778493.3851598538</v>
      </c>
      <c r="L54" s="219">
        <v>5149103.0468522664</v>
      </c>
      <c r="M54" s="219">
        <v>3655592.9726395155</v>
      </c>
      <c r="N54" s="219">
        <v>15981046.461900802</v>
      </c>
      <c r="O54" s="219">
        <v>8434086.3577993661</v>
      </c>
    </row>
    <row r="55" spans="1:15" x14ac:dyDescent="0.25">
      <c r="A55" t="s">
        <v>547</v>
      </c>
      <c r="B55">
        <v>13095567640.080732</v>
      </c>
      <c r="C55">
        <v>5502966223.7595825</v>
      </c>
      <c r="D55">
        <v>5973329799.6957197</v>
      </c>
      <c r="E55">
        <v>4181931763.7496819</v>
      </c>
      <c r="F55">
        <v>19068897439.776447</v>
      </c>
      <c r="G55">
        <v>9684897987.5092659</v>
      </c>
      <c r="I55" t="s">
        <v>547</v>
      </c>
      <c r="J55" s="219">
        <v>13095567.640080733</v>
      </c>
      <c r="K55" s="219">
        <v>5502966.2237595823</v>
      </c>
      <c r="L55" s="219">
        <v>5973329.79969572</v>
      </c>
      <c r="M55" s="219">
        <v>4181931.7637496819</v>
      </c>
      <c r="N55" s="219">
        <v>19068897.439776447</v>
      </c>
      <c r="O55" s="219">
        <v>9684897.9875092655</v>
      </c>
    </row>
    <row r="56" spans="1:15" x14ac:dyDescent="0.25">
      <c r="A56" t="s">
        <v>548</v>
      </c>
      <c r="B56">
        <v>13994994329.511679</v>
      </c>
      <c r="C56">
        <v>5780107940.9241409</v>
      </c>
      <c r="D56">
        <v>6221600908.5936813</v>
      </c>
      <c r="E56">
        <v>4373494706.5970135</v>
      </c>
      <c r="F56">
        <v>20216595238.105358</v>
      </c>
      <c r="G56">
        <v>10153602647.521154</v>
      </c>
      <c r="I56" t="s">
        <v>548</v>
      </c>
      <c r="J56" s="219">
        <v>13994994.329511678</v>
      </c>
      <c r="K56" s="219">
        <v>5780107.9409241406</v>
      </c>
      <c r="L56" s="219">
        <v>6221600.9085936816</v>
      </c>
      <c r="M56" s="219">
        <v>4373494.7065970134</v>
      </c>
      <c r="N56" s="219">
        <v>20216595.238105357</v>
      </c>
      <c r="O56" s="219">
        <v>10153602.647521155</v>
      </c>
    </row>
    <row r="57" spans="1:15" x14ac:dyDescent="0.25">
      <c r="A57" t="s">
        <v>549</v>
      </c>
      <c r="B57">
        <v>14900591934.083181</v>
      </c>
      <c r="C57">
        <v>6027641672.6388502</v>
      </c>
      <c r="D57">
        <v>6305334741.0595312</v>
      </c>
      <c r="E57">
        <v>4448180899.6762056</v>
      </c>
      <c r="F57">
        <v>21205926675.142715</v>
      </c>
      <c r="G57">
        <v>10475822572.315058</v>
      </c>
      <c r="I57" t="s">
        <v>549</v>
      </c>
      <c r="J57" s="219">
        <v>14900591.934083181</v>
      </c>
      <c r="K57" s="219">
        <v>6027641.6726388503</v>
      </c>
      <c r="L57" s="219">
        <v>6305334.7410595315</v>
      </c>
      <c r="M57" s="219">
        <v>4448180.8996762056</v>
      </c>
      <c r="N57" s="219">
        <v>21205926.675142717</v>
      </c>
      <c r="O57" s="219">
        <v>10475822.572315058</v>
      </c>
    </row>
    <row r="58" spans="1:15" x14ac:dyDescent="0.25">
      <c r="A58" t="s">
        <v>550</v>
      </c>
      <c r="B58">
        <v>15464510652.205984</v>
      </c>
      <c r="C58">
        <v>6127638130.4877253</v>
      </c>
      <c r="D58">
        <v>6133300571.7438841</v>
      </c>
      <c r="E58">
        <v>4291617400.8795981</v>
      </c>
      <c r="F58">
        <v>21597811223.949871</v>
      </c>
      <c r="G58">
        <v>10419255531.367325</v>
      </c>
      <c r="I58" t="s">
        <v>550</v>
      </c>
      <c r="J58" s="219">
        <v>15464510.652205985</v>
      </c>
      <c r="K58" s="219">
        <v>6127638.1304877251</v>
      </c>
      <c r="L58" s="219">
        <v>6133300.5717438841</v>
      </c>
      <c r="M58" s="219">
        <v>4291617.4008795982</v>
      </c>
      <c r="N58" s="219">
        <v>21597811.223949872</v>
      </c>
      <c r="O58" s="219">
        <v>10419255.531367324</v>
      </c>
    </row>
    <row r="59" spans="1:15" x14ac:dyDescent="0.25">
      <c r="A59" t="s">
        <v>551</v>
      </c>
      <c r="B59">
        <v>16719242118.712105</v>
      </c>
      <c r="C59">
        <v>6443033859.5210752</v>
      </c>
      <c r="D59">
        <v>6332875385.4161987</v>
      </c>
      <c r="E59">
        <v>4376817385.0717344</v>
      </c>
      <c r="F59">
        <v>23052117504.128307</v>
      </c>
      <c r="G59">
        <v>10819851244.592808</v>
      </c>
      <c r="I59" t="s">
        <v>551</v>
      </c>
      <c r="J59" s="219">
        <v>16719242.118712105</v>
      </c>
      <c r="K59" s="219">
        <v>6443033.8595210752</v>
      </c>
      <c r="L59" s="219">
        <v>6332875.3854161985</v>
      </c>
      <c r="M59" s="219">
        <v>4376817.385071734</v>
      </c>
      <c r="N59" s="219">
        <v>23052117.504128307</v>
      </c>
      <c r="O59" s="219">
        <v>10819851.244592808</v>
      </c>
    </row>
    <row r="60" spans="1:15" x14ac:dyDescent="0.25">
      <c r="A60" t="s">
        <v>552</v>
      </c>
      <c r="B60">
        <v>18210702843.160507</v>
      </c>
      <c r="C60">
        <v>6946083183.5916548</v>
      </c>
      <c r="D60">
        <v>6761441395.714366</v>
      </c>
      <c r="E60">
        <v>4771430769.2962599</v>
      </c>
      <c r="F60">
        <v>24972144238.874874</v>
      </c>
      <c r="G60">
        <v>11717513952.887915</v>
      </c>
      <c r="I60" t="s">
        <v>552</v>
      </c>
      <c r="J60" s="219">
        <v>18210702.843160506</v>
      </c>
      <c r="K60" s="219">
        <v>6946083.1835916545</v>
      </c>
      <c r="L60" s="219">
        <v>6761441.3957143659</v>
      </c>
      <c r="M60" s="219">
        <v>4771430.7692962596</v>
      </c>
      <c r="N60" s="219">
        <v>24972144.238874875</v>
      </c>
      <c r="O60" s="219">
        <v>11717513.952887915</v>
      </c>
    </row>
    <row r="61" spans="1:15" x14ac:dyDescent="0.25">
      <c r="A61" t="s">
        <v>553</v>
      </c>
      <c r="B61">
        <v>19783296657.483814</v>
      </c>
      <c r="C61">
        <v>7425619705.3861189</v>
      </c>
      <c r="D61">
        <v>7362010767.830924</v>
      </c>
      <c r="E61">
        <v>5231600971.8967381</v>
      </c>
      <c r="F61">
        <v>27145307425.314739</v>
      </c>
      <c r="G61">
        <v>12657220677.28286</v>
      </c>
      <c r="I61" t="s">
        <v>553</v>
      </c>
      <c r="J61" s="219">
        <v>19783296.657483812</v>
      </c>
      <c r="K61" s="219">
        <v>7425619.705386119</v>
      </c>
      <c r="L61" s="219">
        <v>7362010.7678309241</v>
      </c>
      <c r="M61" s="219">
        <v>5231600.9718967378</v>
      </c>
      <c r="N61" s="219">
        <v>27145307.425314739</v>
      </c>
      <c r="O61" s="219">
        <v>12657220.677282861</v>
      </c>
    </row>
    <row r="62" spans="1:15" x14ac:dyDescent="0.25">
      <c r="A62" t="s">
        <v>554</v>
      </c>
      <c r="B62">
        <v>23013211595.87286</v>
      </c>
      <c r="C62">
        <v>8501264270.2728071</v>
      </c>
      <c r="D62">
        <v>8483630715.9830093</v>
      </c>
      <c r="E62">
        <v>6104356781.0873613</v>
      </c>
      <c r="F62">
        <v>31496842311.855865</v>
      </c>
      <c r="G62">
        <v>14605621051.360168</v>
      </c>
      <c r="I62" t="s">
        <v>554</v>
      </c>
      <c r="J62" s="219">
        <v>23013211.59587286</v>
      </c>
      <c r="K62" s="219">
        <v>8501264.2702728063</v>
      </c>
      <c r="L62" s="219">
        <v>8483630.715983009</v>
      </c>
      <c r="M62" s="219">
        <v>6104356.7810873613</v>
      </c>
      <c r="N62" s="219">
        <v>31496842.311855864</v>
      </c>
      <c r="O62" s="219">
        <v>14605621.051360168</v>
      </c>
    </row>
    <row r="63" spans="1:15" x14ac:dyDescent="0.25">
      <c r="A63" t="s">
        <v>555</v>
      </c>
      <c r="B63">
        <v>24370427621.370571</v>
      </c>
      <c r="C63">
        <v>8842345357.059454</v>
      </c>
      <c r="D63">
        <v>8863104958.5664921</v>
      </c>
      <c r="E63">
        <v>6451885180.39046</v>
      </c>
      <c r="F63">
        <v>33233532579.937061</v>
      </c>
      <c r="G63">
        <v>15294230537.449913</v>
      </c>
      <c r="I63" t="s">
        <v>555</v>
      </c>
      <c r="J63" s="219">
        <v>24370427.621370573</v>
      </c>
      <c r="K63" s="219">
        <v>8842345.3570594545</v>
      </c>
      <c r="L63" s="219">
        <v>8863104.9585664924</v>
      </c>
      <c r="M63" s="219">
        <v>6451885.1803904604</v>
      </c>
      <c r="N63" s="219">
        <v>33233532.579937063</v>
      </c>
      <c r="O63" s="219">
        <v>15294230.537449913</v>
      </c>
    </row>
    <row r="64" spans="1:15" x14ac:dyDescent="0.25">
      <c r="A64" t="s">
        <v>556</v>
      </c>
      <c r="B64">
        <v>26689511249.196259</v>
      </c>
      <c r="C64">
        <v>9492244005.0758266</v>
      </c>
      <c r="D64">
        <v>9429656004.8587437</v>
      </c>
      <c r="E64">
        <v>6956454754.7894373</v>
      </c>
      <c r="F64">
        <v>36119167254.055008</v>
      </c>
      <c r="G64">
        <v>16448698759.865265</v>
      </c>
      <c r="I64" t="s">
        <v>556</v>
      </c>
      <c r="J64" s="219">
        <v>26689511.249196257</v>
      </c>
      <c r="K64" s="219">
        <v>9492244.0050758272</v>
      </c>
      <c r="L64" s="219">
        <v>9429656.0048587434</v>
      </c>
      <c r="M64" s="219">
        <v>6956454.7547894372</v>
      </c>
      <c r="N64" s="219">
        <v>36119167.254055008</v>
      </c>
      <c r="O64" s="219">
        <v>16448698.759865265</v>
      </c>
    </row>
    <row r="65" spans="1:15" x14ac:dyDescent="0.25">
      <c r="A65" t="s">
        <v>557</v>
      </c>
      <c r="B65">
        <v>36592890448.634682</v>
      </c>
      <c r="C65">
        <v>12913294405.351358</v>
      </c>
      <c r="D65">
        <v>11894673713.107821</v>
      </c>
      <c r="E65">
        <v>8911422908.9337215</v>
      </c>
      <c r="F65">
        <v>48487564161.742493</v>
      </c>
      <c r="G65">
        <v>21824717314.285076</v>
      </c>
      <c r="I65" t="s">
        <v>557</v>
      </c>
      <c r="J65" s="219">
        <v>36592890.448634684</v>
      </c>
      <c r="K65" s="219">
        <v>12913294.405351358</v>
      </c>
      <c r="L65" s="219">
        <v>11894673.713107821</v>
      </c>
      <c r="M65" s="219">
        <v>8911422.9089337215</v>
      </c>
      <c r="N65" s="219">
        <v>48487564.161742494</v>
      </c>
      <c r="O65" s="219">
        <v>21824717.314285077</v>
      </c>
    </row>
    <row r="66" spans="1:15" x14ac:dyDescent="0.25">
      <c r="A66" t="s">
        <v>558</v>
      </c>
      <c r="B66">
        <v>43453866484.039848</v>
      </c>
      <c r="C66">
        <v>14949329618.898636</v>
      </c>
      <c r="D66">
        <v>14114095435.076376</v>
      </c>
      <c r="E66">
        <v>10837332885.31241</v>
      </c>
      <c r="F66">
        <v>57567961919.116219</v>
      </c>
      <c r="G66">
        <v>25786662504.21104</v>
      </c>
      <c r="I66" t="s">
        <v>575</v>
      </c>
      <c r="J66" s="219">
        <v>41412764.928550541</v>
      </c>
      <c r="K66" s="219">
        <v>14344174.607805138</v>
      </c>
      <c r="L66" s="219">
        <v>13575450.041297749</v>
      </c>
      <c r="M66" s="219">
        <v>10301136.754388906</v>
      </c>
      <c r="N66" s="219">
        <v>54988214.969848298</v>
      </c>
      <c r="O66" s="219">
        <v>24645311.362194046</v>
      </c>
    </row>
    <row r="67" spans="1:15" x14ac:dyDescent="0.25">
      <c r="A67" t="s">
        <v>575</v>
      </c>
      <c r="B67">
        <v>41412764928.550545</v>
      </c>
      <c r="C67">
        <v>14344174607.805138</v>
      </c>
      <c r="D67">
        <v>13575450041.297749</v>
      </c>
      <c r="E67">
        <v>10301136754.388906</v>
      </c>
      <c r="F67">
        <v>54988214969.848297</v>
      </c>
      <c r="G67">
        <v>24645311362.194046</v>
      </c>
      <c r="I67" t="s">
        <v>576</v>
      </c>
      <c r="J67" s="219">
        <v>41492133.144129395</v>
      </c>
      <c r="K67" s="219">
        <v>14338671.95141747</v>
      </c>
      <c r="L67" s="219">
        <v>13556899.95709591</v>
      </c>
      <c r="M67" s="219">
        <v>10317360.873560974</v>
      </c>
      <c r="N67" s="219">
        <v>55049033.101225302</v>
      </c>
      <c r="O67" s="219">
        <v>24656032.824978445</v>
      </c>
    </row>
    <row r="68" spans="1:15" x14ac:dyDescent="0.25">
      <c r="A68" t="s">
        <v>576</v>
      </c>
      <c r="B68">
        <v>41492133144.129395</v>
      </c>
      <c r="C68">
        <v>14338671951.417471</v>
      </c>
      <c r="D68">
        <v>13556899957.095909</v>
      </c>
      <c r="E68">
        <v>10317360873.560974</v>
      </c>
      <c r="F68">
        <v>55049033101.225304</v>
      </c>
      <c r="G68">
        <v>24656032824.978443</v>
      </c>
      <c r="I68" t="s">
        <v>577</v>
      </c>
      <c r="J68" s="219">
        <v>41689377.531528324</v>
      </c>
      <c r="K68" s="219">
        <v>14389107.537936652</v>
      </c>
      <c r="L68" s="219">
        <v>13587482.423759025</v>
      </c>
      <c r="M68" s="219">
        <v>10363693.683943646</v>
      </c>
      <c r="N68" s="219">
        <v>55276859.955287345</v>
      </c>
      <c r="O68" s="219">
        <v>24752801.221880298</v>
      </c>
    </row>
    <row r="69" spans="1:15" x14ac:dyDescent="0.25">
      <c r="A69" t="s">
        <v>577</v>
      </c>
      <c r="B69">
        <v>41689377531.52832</v>
      </c>
      <c r="C69">
        <v>14389107537.936651</v>
      </c>
      <c r="D69">
        <v>13587482423.759024</v>
      </c>
      <c r="E69">
        <v>10363693683.943645</v>
      </c>
      <c r="F69">
        <v>55276859955.287346</v>
      </c>
      <c r="G69">
        <v>24752801221.880299</v>
      </c>
      <c r="I69" t="s">
        <v>578</v>
      </c>
      <c r="J69" s="219">
        <v>41893693.79481633</v>
      </c>
      <c r="K69" s="219">
        <v>14448119.364683731</v>
      </c>
      <c r="L69" s="219">
        <v>13658161.040342595</v>
      </c>
      <c r="M69" s="219">
        <v>10436146.1342954</v>
      </c>
      <c r="N69" s="219">
        <v>55551854.835158929</v>
      </c>
      <c r="O69" s="219">
        <v>24884265.498979129</v>
      </c>
    </row>
    <row r="70" spans="1:15" x14ac:dyDescent="0.25">
      <c r="A70" t="s">
        <v>578</v>
      </c>
      <c r="B70">
        <v>41893693794.81633</v>
      </c>
      <c r="C70">
        <v>14448119364.683731</v>
      </c>
      <c r="D70">
        <v>13658161040.342596</v>
      </c>
      <c r="E70">
        <v>10436146134.295401</v>
      </c>
      <c r="F70">
        <v>55551854835.158928</v>
      </c>
      <c r="G70">
        <v>24884265498.97913</v>
      </c>
      <c r="I70" t="s">
        <v>579</v>
      </c>
      <c r="J70" s="219">
        <v>42028716.433503956</v>
      </c>
      <c r="K70" s="219">
        <v>14474202.460279303</v>
      </c>
      <c r="L70" s="219">
        <v>13650260.559967369</v>
      </c>
      <c r="M70" s="219">
        <v>10455981.672870468</v>
      </c>
      <c r="N70" s="219">
        <v>55678976.993471324</v>
      </c>
      <c r="O70" s="219">
        <v>24930184.133149773</v>
      </c>
    </row>
    <row r="71" spans="1:15" x14ac:dyDescent="0.25">
      <c r="A71" t="s">
        <v>579</v>
      </c>
      <c r="B71">
        <v>42028716433.503952</v>
      </c>
      <c r="C71">
        <v>14474202460.279303</v>
      </c>
      <c r="D71">
        <v>13650260559.967369</v>
      </c>
      <c r="E71">
        <v>10455981672.870468</v>
      </c>
      <c r="F71">
        <v>55678976993.471321</v>
      </c>
      <c r="G71">
        <v>24930184133.149773</v>
      </c>
      <c r="I71" t="s">
        <v>580</v>
      </c>
      <c r="J71" s="219">
        <v>42051494.056711189</v>
      </c>
      <c r="K71" s="219">
        <v>14454401.135575151</v>
      </c>
      <c r="L71" s="219">
        <v>13673344.879106574</v>
      </c>
      <c r="M71" s="219">
        <v>10488651.757441306</v>
      </c>
      <c r="N71" s="219">
        <v>55724838.935817763</v>
      </c>
      <c r="O71" s="219">
        <v>24943052.893016461</v>
      </c>
    </row>
    <row r="72" spans="1:15" x14ac:dyDescent="0.25">
      <c r="A72" t="s">
        <v>580</v>
      </c>
      <c r="B72">
        <v>42051494056.711189</v>
      </c>
      <c r="C72">
        <v>14454401135.575151</v>
      </c>
      <c r="D72">
        <v>13673344879.106573</v>
      </c>
      <c r="E72">
        <v>10488651757.441307</v>
      </c>
      <c r="F72">
        <v>55724838935.817764</v>
      </c>
      <c r="G72">
        <v>24943052893.01646</v>
      </c>
      <c r="I72" t="s">
        <v>581</v>
      </c>
      <c r="J72" s="219">
        <v>43968064.599592738</v>
      </c>
      <c r="K72" s="219">
        <v>15094747.143016346</v>
      </c>
      <c r="L72" s="219">
        <v>14296200.721375242</v>
      </c>
      <c r="M72" s="219">
        <v>10984398.268326875</v>
      </c>
      <c r="N72" s="219">
        <v>58264265.32096798</v>
      </c>
      <c r="O72" s="219">
        <v>26079145.411343224</v>
      </c>
    </row>
    <row r="73" spans="1:15" x14ac:dyDescent="0.25">
      <c r="A73" t="s">
        <v>581</v>
      </c>
      <c r="B73">
        <v>43968064599.592735</v>
      </c>
      <c r="C73">
        <v>15094747143.016346</v>
      </c>
      <c r="D73">
        <v>14296200721.375242</v>
      </c>
      <c r="E73">
        <v>10984398268.326876</v>
      </c>
      <c r="F73">
        <v>58264265320.967979</v>
      </c>
      <c r="G73">
        <v>26079145411.343224</v>
      </c>
      <c r="I73" t="s">
        <v>582</v>
      </c>
      <c r="J73" s="219">
        <v>44239652.802527435</v>
      </c>
      <c r="K73" s="219">
        <v>15183281.28948546</v>
      </c>
      <c r="L73" s="219">
        <v>14359653.915897924</v>
      </c>
      <c r="M73" s="219">
        <v>11056169.211807955</v>
      </c>
      <c r="N73" s="219">
        <v>58599306.718425363</v>
      </c>
      <c r="O73" s="219">
        <v>26239450.501293413</v>
      </c>
    </row>
    <row r="74" spans="1:15" x14ac:dyDescent="0.25">
      <c r="A74" t="s">
        <v>582</v>
      </c>
      <c r="B74">
        <v>44239652802.527435</v>
      </c>
      <c r="C74">
        <v>15183281289.48546</v>
      </c>
      <c r="D74">
        <v>14359653915.897924</v>
      </c>
      <c r="E74">
        <v>11056169211.807955</v>
      </c>
      <c r="F74">
        <v>58599306718.425362</v>
      </c>
      <c r="G74">
        <v>26239450501.293415</v>
      </c>
      <c r="I74" t="s">
        <v>583</v>
      </c>
      <c r="J74" s="219">
        <v>44825753.490339637</v>
      </c>
      <c r="K74" s="219">
        <v>15361682.293239055</v>
      </c>
      <c r="L74" s="219">
        <v>14520121.666492721</v>
      </c>
      <c r="M74" s="219">
        <v>11196683.921068314</v>
      </c>
      <c r="N74" s="219">
        <v>59345875.15683236</v>
      </c>
      <c r="O74" s="219">
        <v>26558366.214307368</v>
      </c>
    </row>
    <row r="75" spans="1:15" x14ac:dyDescent="0.25">
      <c r="A75" t="s">
        <v>583</v>
      </c>
      <c r="B75">
        <v>44825753490.339638</v>
      </c>
      <c r="C75">
        <v>15361682293.239056</v>
      </c>
      <c r="D75">
        <v>14520121666.492722</v>
      </c>
      <c r="E75">
        <v>11196683921.068314</v>
      </c>
      <c r="F75">
        <v>59345875156.832359</v>
      </c>
      <c r="G75">
        <v>26558366214.307369</v>
      </c>
      <c r="I75" t="s">
        <v>584</v>
      </c>
      <c r="J75" s="219">
        <v>45558468.926131748</v>
      </c>
      <c r="K75" s="219">
        <v>15619780.96611033</v>
      </c>
      <c r="L75" s="219">
        <v>14731002.15665905</v>
      </c>
      <c r="M75" s="219">
        <v>11378658.505587619</v>
      </c>
      <c r="N75" s="219">
        <v>60289471.082790792</v>
      </c>
      <c r="O75" s="219">
        <v>26998439.471697949</v>
      </c>
    </row>
    <row r="76" spans="1:15" x14ac:dyDescent="0.25">
      <c r="A76" t="s">
        <v>584</v>
      </c>
      <c r="B76">
        <v>45558468926.131744</v>
      </c>
      <c r="C76">
        <v>15619780966.110331</v>
      </c>
      <c r="D76">
        <v>14731002156.65905</v>
      </c>
      <c r="E76">
        <v>11378658505.587618</v>
      </c>
      <c r="F76">
        <v>60289471082.790794</v>
      </c>
      <c r="G76">
        <v>26998439471.697948</v>
      </c>
      <c r="I76" t="s">
        <v>585</v>
      </c>
      <c r="J76" s="219">
        <v>45907806.1440157</v>
      </c>
      <c r="K76" s="219">
        <v>15757842.457160728</v>
      </c>
      <c r="L76" s="219">
        <v>14819941.119248938</v>
      </c>
      <c r="M76" s="219">
        <v>11477733.789488826</v>
      </c>
      <c r="N76" s="219">
        <v>60727747.263264634</v>
      </c>
      <c r="O76" s="219">
        <v>27235576.246649556</v>
      </c>
    </row>
    <row r="77" spans="1:15" x14ac:dyDescent="0.25">
      <c r="A77" t="s">
        <v>585</v>
      </c>
      <c r="B77">
        <v>45907806144.015701</v>
      </c>
      <c r="C77">
        <v>15757842457.160728</v>
      </c>
      <c r="D77">
        <v>14819941119.248938</v>
      </c>
      <c r="E77">
        <v>11477733789.488827</v>
      </c>
      <c r="F77">
        <v>60727747263.264633</v>
      </c>
      <c r="G77">
        <v>27235576246.649555</v>
      </c>
      <c r="I77" t="s">
        <v>586</v>
      </c>
      <c r="J77" s="219">
        <v>46378471.956631131</v>
      </c>
      <c r="K77" s="219">
        <v>15925944.220074242</v>
      </c>
      <c r="L77" s="219">
        <v>14940626.739673445</v>
      </c>
      <c r="M77" s="219">
        <v>11591380.05096863</v>
      </c>
      <c r="N77" s="219">
        <v>61319098.696304582</v>
      </c>
      <c r="O77" s="219">
        <v>27517324.271042872</v>
      </c>
    </row>
    <row r="78" spans="1:15" x14ac:dyDescent="0.25">
      <c r="A78" t="s">
        <v>586</v>
      </c>
      <c r="B78">
        <v>46378471956.631134</v>
      </c>
      <c r="C78">
        <v>15925944220.074242</v>
      </c>
      <c r="D78">
        <v>14940626739.673445</v>
      </c>
      <c r="E78">
        <v>11591380050.96863</v>
      </c>
      <c r="F78">
        <v>61319098696.304581</v>
      </c>
      <c r="G78">
        <v>27517324271.042873</v>
      </c>
      <c r="I78" t="s">
        <v>575</v>
      </c>
      <c r="J78" s="219">
        <v>48737948.027624555</v>
      </c>
      <c r="K78" s="219">
        <v>16731658.091126375</v>
      </c>
      <c r="L78" s="219">
        <v>16210542.125044081</v>
      </c>
      <c r="M78" s="219">
        <v>12595583.261466857</v>
      </c>
      <c r="N78" s="219">
        <v>64948490.15266864</v>
      </c>
      <c r="O78" s="219">
        <v>29327241.352593232</v>
      </c>
    </row>
    <row r="79" spans="1:15" x14ac:dyDescent="0.25">
      <c r="A79" t="s">
        <v>559</v>
      </c>
      <c r="B79">
        <v>4061495668.9687133</v>
      </c>
      <c r="C79">
        <v>1394304840.9271979</v>
      </c>
      <c r="D79">
        <v>18608107348.715408</v>
      </c>
      <c r="E79">
        <v>14541108885.050779</v>
      </c>
      <c r="F79">
        <v>22669603017.684124</v>
      </c>
      <c r="G79">
        <v>15935413725.977976</v>
      </c>
      <c r="I79" t="s">
        <v>576</v>
      </c>
      <c r="J79" s="219">
        <v>0</v>
      </c>
      <c r="K79" s="219">
        <v>0</v>
      </c>
      <c r="L79" s="219">
        <v>17091973.483192742</v>
      </c>
      <c r="M79" s="219">
        <v>13299723.403619193</v>
      </c>
      <c r="N79" s="219">
        <v>17091973.483192742</v>
      </c>
      <c r="O79" s="219">
        <v>13299723.403619193</v>
      </c>
    </row>
    <row r="80" spans="1:15" x14ac:dyDescent="0.25">
      <c r="A80" t="s">
        <v>575</v>
      </c>
      <c r="B80">
        <v>48737948027.624557</v>
      </c>
      <c r="C80">
        <v>16731658091.126375</v>
      </c>
      <c r="D80">
        <v>16210542125.044081</v>
      </c>
      <c r="E80">
        <v>12595583261.466858</v>
      </c>
      <c r="F80">
        <v>64948490152.66864</v>
      </c>
      <c r="G80">
        <v>29327241352.593231</v>
      </c>
      <c r="I80" t="s">
        <v>577</v>
      </c>
      <c r="J80" s="219">
        <v>0</v>
      </c>
      <c r="K80" s="219">
        <v>0</v>
      </c>
      <c r="L80" s="219">
        <v>17424606.452911679</v>
      </c>
      <c r="M80" s="219">
        <v>13573744.962130131</v>
      </c>
      <c r="N80" s="219">
        <v>17424606.452911679</v>
      </c>
      <c r="O80" s="219">
        <v>13573744.962130131</v>
      </c>
    </row>
    <row r="81" spans="1:15" x14ac:dyDescent="0.25">
      <c r="A81" t="s">
        <v>576</v>
      </c>
      <c r="B81">
        <v>0</v>
      </c>
      <c r="C81">
        <v>0</v>
      </c>
      <c r="D81">
        <v>17091973483.192741</v>
      </c>
      <c r="E81">
        <v>13299723403.619192</v>
      </c>
      <c r="F81">
        <v>17091973483.192741</v>
      </c>
      <c r="G81">
        <v>13299723403.619192</v>
      </c>
      <c r="I81" t="s">
        <v>578</v>
      </c>
      <c r="J81" s="219">
        <v>0</v>
      </c>
      <c r="K81" s="219">
        <v>0</v>
      </c>
      <c r="L81" s="219">
        <v>17641980.698009972</v>
      </c>
      <c r="M81" s="219">
        <v>13769718.696305219</v>
      </c>
      <c r="N81" s="219">
        <v>17641980.698009972</v>
      </c>
      <c r="O81" s="219">
        <v>13769718.696305219</v>
      </c>
    </row>
    <row r="82" spans="1:15" x14ac:dyDescent="0.25">
      <c r="A82" t="s">
        <v>577</v>
      </c>
      <c r="B82">
        <v>0</v>
      </c>
      <c r="C82">
        <v>0</v>
      </c>
      <c r="D82">
        <v>17424606452.911678</v>
      </c>
      <c r="E82">
        <v>13573744962.130131</v>
      </c>
      <c r="F82">
        <v>17424606452.911678</v>
      </c>
      <c r="G82">
        <v>13573744962.130131</v>
      </c>
      <c r="I82" t="s">
        <v>579</v>
      </c>
      <c r="J82" s="219">
        <v>0</v>
      </c>
      <c r="K82" s="219">
        <v>0</v>
      </c>
      <c r="L82" s="219">
        <v>17891632.863695014</v>
      </c>
      <c r="M82" s="219">
        <v>13984257.091629865</v>
      </c>
      <c r="N82" s="219">
        <v>17891632.863695014</v>
      </c>
      <c r="O82" s="219">
        <v>13984257.091629865</v>
      </c>
    </row>
    <row r="83" spans="1:15" x14ac:dyDescent="0.25">
      <c r="A83" t="s">
        <v>578</v>
      </c>
      <c r="B83">
        <v>0</v>
      </c>
      <c r="C83">
        <v>0</v>
      </c>
      <c r="D83">
        <v>17641980698.009972</v>
      </c>
      <c r="E83">
        <v>13769718696.30522</v>
      </c>
      <c r="F83">
        <v>17641980698.009972</v>
      </c>
      <c r="G83">
        <v>13769718696.30522</v>
      </c>
      <c r="I83" t="s">
        <v>580</v>
      </c>
      <c r="J83" s="219">
        <v>0</v>
      </c>
      <c r="K83" s="219">
        <v>0</v>
      </c>
      <c r="L83" s="219">
        <v>18154510.583825242</v>
      </c>
      <c r="M83" s="219">
        <v>14178908.328029295</v>
      </c>
      <c r="N83" s="219">
        <v>18154510.583825242</v>
      </c>
      <c r="O83" s="219">
        <v>14178908.328029295</v>
      </c>
    </row>
    <row r="84" spans="1:15" x14ac:dyDescent="0.25">
      <c r="A84" t="s">
        <v>579</v>
      </c>
      <c r="B84">
        <v>0</v>
      </c>
      <c r="C84">
        <v>0</v>
      </c>
      <c r="D84">
        <v>17891632863.695015</v>
      </c>
      <c r="E84">
        <v>13984257091.629864</v>
      </c>
      <c r="F84">
        <v>17891632863.695015</v>
      </c>
      <c r="G84">
        <v>13984257091.629864</v>
      </c>
      <c r="I84" t="s">
        <v>581</v>
      </c>
      <c r="J84" s="219">
        <v>0</v>
      </c>
      <c r="K84" s="219">
        <v>0</v>
      </c>
      <c r="L84" s="219">
        <v>19337226.013322685</v>
      </c>
      <c r="M84" s="219">
        <v>15116052.668109372</v>
      </c>
      <c r="N84" s="219">
        <v>19337226.013322685</v>
      </c>
      <c r="O84" s="219">
        <v>15116052.668109372</v>
      </c>
    </row>
    <row r="85" spans="1:15" x14ac:dyDescent="0.25">
      <c r="A85" t="s">
        <v>580</v>
      </c>
      <c r="B85">
        <v>0</v>
      </c>
      <c r="C85">
        <v>0</v>
      </c>
      <c r="D85">
        <v>18154510583.825241</v>
      </c>
      <c r="E85">
        <v>14178908328.029295</v>
      </c>
      <c r="F85">
        <v>18154510583.825241</v>
      </c>
      <c r="G85">
        <v>14178908328.029295</v>
      </c>
      <c r="I85" t="s">
        <v>582</v>
      </c>
      <c r="J85" s="219">
        <v>0</v>
      </c>
      <c r="K85" s="219">
        <v>0</v>
      </c>
      <c r="L85" s="219">
        <v>19615995.290222254</v>
      </c>
      <c r="M85" s="219">
        <v>15334641.090347297</v>
      </c>
      <c r="N85" s="219">
        <v>19615995.290222254</v>
      </c>
      <c r="O85" s="219">
        <v>15334641.090347297</v>
      </c>
    </row>
    <row r="86" spans="1:15" x14ac:dyDescent="0.25">
      <c r="A86" t="s">
        <v>581</v>
      </c>
      <c r="B86">
        <v>0</v>
      </c>
      <c r="C86">
        <v>0</v>
      </c>
      <c r="D86">
        <v>19337226013.322685</v>
      </c>
      <c r="E86">
        <v>15116052668.109373</v>
      </c>
      <c r="F86">
        <v>19337226013.322685</v>
      </c>
      <c r="G86">
        <v>15116052668.109373</v>
      </c>
      <c r="I86" t="s">
        <v>583</v>
      </c>
      <c r="J86" s="219">
        <v>0</v>
      </c>
      <c r="K86" s="219">
        <v>0</v>
      </c>
      <c r="L86" s="219">
        <v>19795507.702981386</v>
      </c>
      <c r="M86" s="219">
        <v>15491241.215056954</v>
      </c>
      <c r="N86" s="219">
        <v>19795507.702981386</v>
      </c>
      <c r="O86" s="219">
        <v>15491241.215056954</v>
      </c>
    </row>
    <row r="87" spans="1:15" x14ac:dyDescent="0.25">
      <c r="A87" t="s">
        <v>582</v>
      </c>
      <c r="B87">
        <v>0</v>
      </c>
      <c r="C87">
        <v>0</v>
      </c>
      <c r="D87">
        <v>19615995290.222252</v>
      </c>
      <c r="E87">
        <v>15334641090.347298</v>
      </c>
      <c r="F87">
        <v>19615995290.222252</v>
      </c>
      <c r="G87">
        <v>15334641090.347298</v>
      </c>
      <c r="I87" t="s">
        <v>584</v>
      </c>
      <c r="J87" s="219">
        <v>0</v>
      </c>
      <c r="K87" s="219">
        <v>0</v>
      </c>
      <c r="L87" s="219">
        <v>19903687.043913327</v>
      </c>
      <c r="M87" s="219">
        <v>15583475.340434209</v>
      </c>
      <c r="N87" s="219">
        <v>19903687.043913327</v>
      </c>
      <c r="O87" s="219">
        <v>15583475.340434209</v>
      </c>
    </row>
    <row r="88" spans="1:15" x14ac:dyDescent="0.25">
      <c r="A88" t="s">
        <v>583</v>
      </c>
      <c r="B88">
        <v>0</v>
      </c>
      <c r="C88">
        <v>0</v>
      </c>
      <c r="D88">
        <v>19795507702.981388</v>
      </c>
      <c r="E88">
        <v>15491241215.056953</v>
      </c>
      <c r="F88">
        <v>19795507702.981388</v>
      </c>
      <c r="G88">
        <v>15491241215.056953</v>
      </c>
      <c r="I88" t="s">
        <v>585</v>
      </c>
      <c r="J88" s="219">
        <v>0</v>
      </c>
      <c r="K88" s="219">
        <v>0</v>
      </c>
      <c r="L88" s="219">
        <v>20075788.768466525</v>
      </c>
      <c r="M88" s="219">
        <v>15749774.388480952</v>
      </c>
      <c r="N88" s="219">
        <v>20075788.768466525</v>
      </c>
      <c r="O88" s="219">
        <v>15749774.388480952</v>
      </c>
    </row>
    <row r="89" spans="1:15" x14ac:dyDescent="0.25">
      <c r="A89" t="s">
        <v>584</v>
      </c>
      <c r="B89">
        <v>0</v>
      </c>
      <c r="C89">
        <v>0</v>
      </c>
      <c r="D89">
        <v>19903687043.913326</v>
      </c>
      <c r="E89">
        <v>15583475340.434208</v>
      </c>
      <c r="F89">
        <v>19903687043.913326</v>
      </c>
      <c r="G89">
        <v>15583475340.434208</v>
      </c>
      <c r="I89" t="s">
        <v>586</v>
      </c>
      <c r="J89" s="219">
        <v>0</v>
      </c>
      <c r="K89" s="219">
        <v>0</v>
      </c>
      <c r="L89" s="219">
        <v>20153837.159000002</v>
      </c>
      <c r="M89" s="219">
        <v>15816186.175000001</v>
      </c>
      <c r="N89" s="219">
        <v>20153837.159000002</v>
      </c>
      <c r="O89" s="219">
        <v>15816186.175000001</v>
      </c>
    </row>
    <row r="90" spans="1:15" x14ac:dyDescent="0.25">
      <c r="A90" t="s">
        <v>585</v>
      </c>
      <c r="B90">
        <v>0</v>
      </c>
      <c r="C90">
        <v>0</v>
      </c>
      <c r="D90">
        <v>20075788768.466526</v>
      </c>
      <c r="E90">
        <v>15749774388.480951</v>
      </c>
      <c r="F90">
        <v>20075788768.466526</v>
      </c>
      <c r="G90">
        <v>15749774388.480951</v>
      </c>
    </row>
    <row r="91" spans="1:15" x14ac:dyDescent="0.25">
      <c r="A91" t="s">
        <v>586</v>
      </c>
      <c r="B91">
        <v>0</v>
      </c>
      <c r="C91">
        <v>0</v>
      </c>
      <c r="D91">
        <v>20153837159</v>
      </c>
      <c r="E91">
        <v>15816186175</v>
      </c>
      <c r="F91">
        <v>20153837159</v>
      </c>
      <c r="G91">
        <v>15816186175</v>
      </c>
    </row>
    <row r="92" spans="1:15" x14ac:dyDescent="0.25">
      <c r="A92" t="s">
        <v>544</v>
      </c>
      <c r="B92">
        <v>19676256282.276787</v>
      </c>
      <c r="C92">
        <v>7386963480.0933323</v>
      </c>
      <c r="D92">
        <v>8525316752.7444334</v>
      </c>
      <c r="E92">
        <v>6252795520.6978397</v>
      </c>
      <c r="F92">
        <v>28201573035.02121</v>
      </c>
      <c r="G92">
        <v>13639759000.791176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2FC61-4380-4D6A-BB5F-FB9CDCD43873}">
  <sheetPr>
    <tabColor theme="9"/>
  </sheetPr>
  <dimension ref="B2:AP256"/>
  <sheetViews>
    <sheetView showGridLines="0" zoomScaleNormal="100" workbookViewId="0"/>
  </sheetViews>
  <sheetFormatPr baseColWidth="10" defaultRowHeight="15" outlineLevelRow="1" x14ac:dyDescent="0.25"/>
  <cols>
    <col min="1" max="1" width="6.42578125" customWidth="1"/>
    <col min="2" max="2" width="19.7109375" customWidth="1"/>
    <col min="3" max="3" width="23.28515625" customWidth="1"/>
    <col min="4" max="4" width="14.5703125" customWidth="1"/>
    <col min="5" max="5" width="18.85546875" customWidth="1"/>
    <col min="6" max="6" width="16.5703125" customWidth="1"/>
    <col min="7" max="9" width="15.5703125" customWidth="1"/>
    <col min="10" max="10" width="14.5703125" customWidth="1"/>
    <col min="11" max="11" width="16.5703125" customWidth="1"/>
    <col min="12" max="12" width="16.42578125" customWidth="1"/>
    <col min="13" max="15" width="15.5703125" bestFit="1" customWidth="1"/>
    <col min="16" max="16" width="15.85546875" bestFit="1" customWidth="1"/>
    <col min="17" max="17" width="14.85546875" customWidth="1"/>
    <col min="21" max="21" width="12" bestFit="1" customWidth="1"/>
    <col min="22" max="22" width="15" customWidth="1"/>
    <col min="25" max="25" width="14" customWidth="1"/>
    <col min="27" max="27" width="13.7109375" customWidth="1"/>
    <col min="32" max="32" width="15" customWidth="1"/>
    <col min="37" max="37" width="14" customWidth="1"/>
    <col min="42" max="42" width="14.85546875" customWidth="1"/>
  </cols>
  <sheetData>
    <row r="2" spans="2:12" ht="23.25" x14ac:dyDescent="0.25">
      <c r="B2" s="1" t="s">
        <v>907</v>
      </c>
    </row>
    <row r="4" spans="2:12" ht="18.75" x14ac:dyDescent="0.3">
      <c r="B4" s="2" t="s">
        <v>789</v>
      </c>
      <c r="C4" s="2"/>
      <c r="D4" s="2"/>
      <c r="E4" s="2"/>
      <c r="F4" s="2"/>
    </row>
    <row r="5" spans="2:12" x14ac:dyDescent="0.25">
      <c r="B5" s="3" t="s">
        <v>866</v>
      </c>
    </row>
    <row r="7" spans="2:12" x14ac:dyDescent="0.25">
      <c r="D7" s="400" t="s">
        <v>73</v>
      </c>
      <c r="E7" s="401"/>
      <c r="F7" s="402"/>
      <c r="G7" s="407" t="s">
        <v>74</v>
      </c>
      <c r="H7" s="407"/>
      <c r="I7" s="407"/>
      <c r="J7" s="407" t="s">
        <v>25</v>
      </c>
      <c r="K7" s="407"/>
      <c r="L7" s="407"/>
    </row>
    <row r="8" spans="2:12" ht="32.25" x14ac:dyDescent="0.25">
      <c r="B8" s="138" t="s">
        <v>472</v>
      </c>
      <c r="C8" s="138" t="s">
        <v>477</v>
      </c>
      <c r="D8" s="161" t="s">
        <v>880</v>
      </c>
      <c r="E8" s="161" t="s">
        <v>883</v>
      </c>
      <c r="F8" s="161" t="s">
        <v>884</v>
      </c>
      <c r="G8" s="161" t="s">
        <v>880</v>
      </c>
      <c r="H8" s="161" t="s">
        <v>883</v>
      </c>
      <c r="I8" s="161" t="s">
        <v>884</v>
      </c>
      <c r="J8" s="161" t="s">
        <v>880</v>
      </c>
      <c r="K8" s="161" t="s">
        <v>883</v>
      </c>
      <c r="L8" s="161" t="s">
        <v>884</v>
      </c>
    </row>
    <row r="9" spans="2:12" ht="17.25" x14ac:dyDescent="0.25">
      <c r="B9" s="403">
        <v>45200</v>
      </c>
      <c r="C9" s="152" t="s">
        <v>881</v>
      </c>
      <c r="D9" s="250">
        <v>344866</v>
      </c>
      <c r="E9" s="250">
        <v>70556341.414000005</v>
      </c>
      <c r="F9" s="264">
        <v>70700999.403781101</v>
      </c>
      <c r="G9" s="264">
        <v>139504</v>
      </c>
      <c r="H9" s="264">
        <v>28629000.951000001</v>
      </c>
      <c r="I9" s="264">
        <v>28687697.499659069</v>
      </c>
      <c r="J9" s="264">
        <v>484370</v>
      </c>
      <c r="K9" s="264">
        <v>99185342.364999995</v>
      </c>
      <c r="L9" s="264">
        <v>99388696.903440148</v>
      </c>
    </row>
    <row r="10" spans="2:12" ht="17.25" x14ac:dyDescent="0.25">
      <c r="B10" s="404"/>
      <c r="C10" s="152" t="s">
        <v>882</v>
      </c>
      <c r="D10" s="250">
        <v>801418</v>
      </c>
      <c r="E10" s="250">
        <v>162703789</v>
      </c>
      <c r="F10" s="264">
        <v>163037372.09933341</v>
      </c>
      <c r="G10" s="264">
        <v>670939</v>
      </c>
      <c r="H10" s="264">
        <v>134969864.56200001</v>
      </c>
      <c r="I10" s="264">
        <v>135246586.24140233</v>
      </c>
      <c r="J10" s="264">
        <v>1472357</v>
      </c>
      <c r="K10" s="264">
        <v>297673653.56199998</v>
      </c>
      <c r="L10" s="264">
        <v>298283958.34073573</v>
      </c>
    </row>
    <row r="11" spans="2:12" x14ac:dyDescent="0.25">
      <c r="B11" s="404"/>
      <c r="C11" s="285" t="s">
        <v>2</v>
      </c>
      <c r="D11" s="250">
        <v>107612</v>
      </c>
      <c r="E11" s="250">
        <v>22173725.000999998</v>
      </c>
      <c r="F11" s="264">
        <v>22219186.633793321</v>
      </c>
      <c r="G11" s="264">
        <v>84447</v>
      </c>
      <c r="H11" s="264">
        <v>17401883.188999999</v>
      </c>
      <c r="I11" s="264">
        <v>17437561.36320911</v>
      </c>
      <c r="J11" s="264">
        <v>192059</v>
      </c>
      <c r="K11" s="264">
        <v>39575608.189999998</v>
      </c>
      <c r="L11" s="264">
        <v>39656747.99700243</v>
      </c>
    </row>
    <row r="12" spans="2:12" ht="17.25" x14ac:dyDescent="0.25">
      <c r="B12" s="404"/>
      <c r="C12" s="152" t="s">
        <v>898</v>
      </c>
      <c r="D12" s="250">
        <v>106548</v>
      </c>
      <c r="E12" s="250">
        <v>25173157.954999998</v>
      </c>
      <c r="F12" s="264">
        <v>25224769.168864466</v>
      </c>
      <c r="G12" s="264">
        <v>60882</v>
      </c>
      <c r="H12" s="264">
        <v>14578037.396</v>
      </c>
      <c r="I12" s="264">
        <v>14607925.986343496</v>
      </c>
      <c r="J12" s="264">
        <v>167430</v>
      </c>
      <c r="K12" s="264">
        <v>39751195.351000004</v>
      </c>
      <c r="L12" s="264">
        <v>39832695.155207962</v>
      </c>
    </row>
    <row r="13" spans="2:12" x14ac:dyDescent="0.25">
      <c r="B13" s="404"/>
      <c r="C13" s="152" t="s">
        <v>3</v>
      </c>
      <c r="D13" s="250">
        <v>47288</v>
      </c>
      <c r="E13" s="250">
        <v>8347977.699</v>
      </c>
      <c r="F13" s="264">
        <v>8365093.1226242064</v>
      </c>
      <c r="G13" s="264">
        <v>49876</v>
      </c>
      <c r="H13" s="264">
        <v>8352880.7070000004</v>
      </c>
      <c r="I13" s="264">
        <v>8370006.1830059905</v>
      </c>
      <c r="J13" s="264">
        <v>97164</v>
      </c>
      <c r="K13" s="264">
        <v>16700858.405999999</v>
      </c>
      <c r="L13" s="264">
        <v>16735099.305630196</v>
      </c>
    </row>
    <row r="14" spans="2:12" ht="17.25" x14ac:dyDescent="0.25">
      <c r="B14" s="405"/>
      <c r="C14" s="309" t="s">
        <v>924</v>
      </c>
      <c r="D14" s="294">
        <v>1407732</v>
      </c>
      <c r="E14" s="294">
        <v>288954991.06900001</v>
      </c>
      <c r="F14" s="294">
        <v>289547420.42839652</v>
      </c>
      <c r="G14" s="294">
        <v>1005648</v>
      </c>
      <c r="H14" s="294">
        <v>203931666.80500001</v>
      </c>
      <c r="I14" s="294">
        <v>204349777.27361998</v>
      </c>
      <c r="J14" s="294">
        <v>2413380</v>
      </c>
      <c r="K14" s="294">
        <v>492886657.87400001</v>
      </c>
      <c r="L14" s="294">
        <v>493897197.70201647</v>
      </c>
    </row>
    <row r="15" spans="2:12" ht="17.25" x14ac:dyDescent="0.25">
      <c r="B15" s="403">
        <v>45231</v>
      </c>
      <c r="C15" s="152" t="s">
        <v>881</v>
      </c>
      <c r="D15" s="250">
        <v>343086</v>
      </c>
      <c r="E15" s="250">
        <v>70221851.963</v>
      </c>
      <c r="F15" s="264">
        <v>69844858.005101427</v>
      </c>
      <c r="G15" s="264">
        <v>139023</v>
      </c>
      <c r="H15" s="264">
        <v>28559852.592</v>
      </c>
      <c r="I15" s="264">
        <v>28406525.791799244</v>
      </c>
      <c r="J15" s="264">
        <v>482109</v>
      </c>
      <c r="K15" s="264">
        <v>98781704.555000007</v>
      </c>
      <c r="L15" s="264">
        <v>98251383.79690066</v>
      </c>
    </row>
    <row r="16" spans="2:12" ht="17.25" x14ac:dyDescent="0.25">
      <c r="B16" s="404"/>
      <c r="C16" s="152" t="s">
        <v>882</v>
      </c>
      <c r="D16" s="250">
        <v>810512</v>
      </c>
      <c r="E16" s="250">
        <v>164595308.602</v>
      </c>
      <c r="F16" s="264">
        <v>163711660.06373444</v>
      </c>
      <c r="G16" s="264">
        <v>678035</v>
      </c>
      <c r="H16" s="264">
        <v>136353041.51699999</v>
      </c>
      <c r="I16" s="264">
        <v>135621014.78520593</v>
      </c>
      <c r="J16" s="264">
        <v>1488547</v>
      </c>
      <c r="K16" s="264">
        <v>300948350.11900002</v>
      </c>
      <c r="L16" s="264">
        <v>299332674.84894037</v>
      </c>
    </row>
    <row r="17" spans="2:13" x14ac:dyDescent="0.25">
      <c r="B17" s="404"/>
      <c r="C17" s="285" t="s">
        <v>2</v>
      </c>
      <c r="D17" s="250">
        <v>107578</v>
      </c>
      <c r="E17" s="250">
        <v>22167675.300999999</v>
      </c>
      <c r="F17" s="264">
        <v>22048665.627863813</v>
      </c>
      <c r="G17" s="264">
        <v>84680</v>
      </c>
      <c r="H17" s="264">
        <v>17450455.925000001</v>
      </c>
      <c r="I17" s="264">
        <v>17356771.177839432</v>
      </c>
      <c r="J17" s="264">
        <v>192258</v>
      </c>
      <c r="K17" s="264">
        <v>39618131.226000004</v>
      </c>
      <c r="L17" s="264">
        <v>39405436.805703245</v>
      </c>
    </row>
    <row r="18" spans="2:13" ht="17.25" x14ac:dyDescent="0.25">
      <c r="B18" s="404"/>
      <c r="C18" s="152" t="s">
        <v>898</v>
      </c>
      <c r="D18" s="250">
        <v>106386</v>
      </c>
      <c r="E18" s="250">
        <v>25126472.482999999</v>
      </c>
      <c r="F18" s="264">
        <v>24991578.172402967</v>
      </c>
      <c r="G18" s="264">
        <v>60624</v>
      </c>
      <c r="H18" s="264">
        <v>14517267.044</v>
      </c>
      <c r="I18" s="264">
        <v>14439329.453238769</v>
      </c>
      <c r="J18" s="264">
        <v>167010</v>
      </c>
      <c r="K18" s="264">
        <v>39643739.527000003</v>
      </c>
      <c r="L18" s="264">
        <v>39430907.625641733</v>
      </c>
    </row>
    <row r="19" spans="2:13" x14ac:dyDescent="0.25">
      <c r="B19" s="404"/>
      <c r="C19" s="152" t="s">
        <v>3</v>
      </c>
      <c r="D19" s="250">
        <v>47294</v>
      </c>
      <c r="E19" s="250">
        <v>8334109.4079999998</v>
      </c>
      <c r="F19" s="264">
        <v>8289366.7986347964</v>
      </c>
      <c r="G19" s="264">
        <v>49989</v>
      </c>
      <c r="H19" s="264">
        <v>8356257.5860000001</v>
      </c>
      <c r="I19" s="264">
        <v>8311396.0716351271</v>
      </c>
      <c r="J19" s="264">
        <v>97283</v>
      </c>
      <c r="K19" s="264">
        <v>16690366.994000001</v>
      </c>
      <c r="L19" s="264">
        <v>16600762.870269923</v>
      </c>
    </row>
    <row r="20" spans="2:13" ht="17.25" x14ac:dyDescent="0.25">
      <c r="B20" s="405"/>
      <c r="C20" s="309" t="s">
        <v>924</v>
      </c>
      <c r="D20" s="294">
        <v>1414856</v>
      </c>
      <c r="E20" s="294">
        <v>290445417.75699997</v>
      </c>
      <c r="F20" s="294">
        <v>288886128.66773742</v>
      </c>
      <c r="G20" s="294">
        <v>1012351</v>
      </c>
      <c r="H20" s="294">
        <v>205236874.664</v>
      </c>
      <c r="I20" s="294">
        <v>204135037.27971849</v>
      </c>
      <c r="J20" s="294">
        <v>2427207</v>
      </c>
      <c r="K20" s="294">
        <v>495682292.42100006</v>
      </c>
      <c r="L20" s="294">
        <v>493021165.94745588</v>
      </c>
    </row>
    <row r="21" spans="2:13" ht="17.25" x14ac:dyDescent="0.25">
      <c r="B21" s="403">
        <v>45261</v>
      </c>
      <c r="C21" s="152" t="s">
        <v>881</v>
      </c>
      <c r="D21" s="250">
        <v>339811</v>
      </c>
      <c r="E21" s="250">
        <v>69796631.952000007</v>
      </c>
      <c r="F21" s="264">
        <v>69796631.952000007</v>
      </c>
      <c r="G21" s="264">
        <v>131135</v>
      </c>
      <c r="H21" s="264">
        <v>26987353.259</v>
      </c>
      <c r="I21" s="264">
        <v>26987353.259</v>
      </c>
      <c r="J21" s="264">
        <v>470946</v>
      </c>
      <c r="K21" s="264">
        <v>96783985.210999995</v>
      </c>
      <c r="L21" s="264">
        <v>96783985.210999995</v>
      </c>
    </row>
    <row r="22" spans="2:13" ht="17.25" x14ac:dyDescent="0.25">
      <c r="B22" s="404"/>
      <c r="C22" s="152" t="s">
        <v>882</v>
      </c>
      <c r="D22" s="250">
        <v>818807</v>
      </c>
      <c r="E22" s="264">
        <v>166334636.76499999</v>
      </c>
      <c r="F22" s="264">
        <v>166334636.76499999</v>
      </c>
      <c r="G22" s="264">
        <v>690945</v>
      </c>
      <c r="H22" s="264">
        <v>139006701.09599999</v>
      </c>
      <c r="I22" s="264">
        <v>139006701.09599999</v>
      </c>
      <c r="J22" s="264">
        <v>1509752</v>
      </c>
      <c r="K22" s="264">
        <v>305341337.861</v>
      </c>
      <c r="L22" s="264">
        <v>305341337.861</v>
      </c>
    </row>
    <row r="23" spans="2:13" x14ac:dyDescent="0.25">
      <c r="B23" s="404"/>
      <c r="C23" s="285" t="s">
        <v>2</v>
      </c>
      <c r="D23" s="250">
        <v>107857</v>
      </c>
      <c r="E23" s="264">
        <v>22224554.960999999</v>
      </c>
      <c r="F23" s="264">
        <v>22224554.960999999</v>
      </c>
      <c r="G23" s="264">
        <v>84948</v>
      </c>
      <c r="H23" s="264">
        <v>17505535.237</v>
      </c>
      <c r="I23" s="264">
        <v>17505535.237</v>
      </c>
      <c r="J23" s="264">
        <v>192805</v>
      </c>
      <c r="K23" s="264">
        <v>39730090.197999999</v>
      </c>
      <c r="L23" s="264">
        <v>39730090.197999999</v>
      </c>
    </row>
    <row r="24" spans="2:13" ht="17.25" x14ac:dyDescent="0.25">
      <c r="B24" s="404"/>
      <c r="C24" s="152" t="s">
        <v>898</v>
      </c>
      <c r="D24" s="250">
        <v>105880</v>
      </c>
      <c r="E24" s="250">
        <v>25039244.065000001</v>
      </c>
      <c r="F24" s="264">
        <v>25039244.065000001</v>
      </c>
      <c r="G24" s="264">
        <v>60307</v>
      </c>
      <c r="H24" s="264">
        <v>14450349.472999999</v>
      </c>
      <c r="I24" s="264">
        <v>14450349.472999999</v>
      </c>
      <c r="J24" s="264">
        <v>166187</v>
      </c>
      <c r="K24" s="264">
        <v>39489593.538000003</v>
      </c>
      <c r="L24" s="264">
        <v>39489593.538000003</v>
      </c>
    </row>
    <row r="25" spans="2:13" x14ac:dyDescent="0.25">
      <c r="B25" s="404"/>
      <c r="C25" s="152" t="s">
        <v>3</v>
      </c>
      <c r="D25" s="250">
        <v>47405</v>
      </c>
      <c r="E25" s="250">
        <v>8339131.6310000001</v>
      </c>
      <c r="F25" s="264">
        <v>8339131.6310000001</v>
      </c>
      <c r="G25" s="264">
        <v>50164</v>
      </c>
      <c r="H25" s="264">
        <v>8365112.523</v>
      </c>
      <c r="I25" s="264">
        <v>8365112.523</v>
      </c>
      <c r="J25" s="264">
        <v>97569</v>
      </c>
      <c r="K25" s="264">
        <v>16704244.153999999</v>
      </c>
      <c r="L25" s="264">
        <v>16704244.153999999</v>
      </c>
    </row>
    <row r="26" spans="2:13" ht="17.25" x14ac:dyDescent="0.25">
      <c r="B26" s="405"/>
      <c r="C26" s="309" t="s">
        <v>924</v>
      </c>
      <c r="D26" s="294">
        <v>1419760</v>
      </c>
      <c r="E26" s="294">
        <v>291734199.37400001</v>
      </c>
      <c r="F26" s="294">
        <v>291734199.37400001</v>
      </c>
      <c r="G26" s="294">
        <v>1017499</v>
      </c>
      <c r="H26" s="294">
        <v>206315051.58799997</v>
      </c>
      <c r="I26" s="294">
        <v>206315051.58799997</v>
      </c>
      <c r="J26" s="294">
        <v>2437259</v>
      </c>
      <c r="K26" s="294">
        <v>498049250.96200001</v>
      </c>
      <c r="L26" s="294">
        <v>498049250.96200001</v>
      </c>
    </row>
    <row r="27" spans="2:13" x14ac:dyDescent="0.25">
      <c r="B27" s="4" t="s">
        <v>788</v>
      </c>
    </row>
    <row r="28" spans="2:13" ht="54.75" customHeight="1" x14ac:dyDescent="0.25">
      <c r="B28" s="397" t="s">
        <v>897</v>
      </c>
      <c r="C28" s="397"/>
      <c r="D28" s="397"/>
      <c r="E28" s="397"/>
      <c r="F28" s="397"/>
      <c r="G28" s="397"/>
      <c r="H28" s="397"/>
      <c r="I28" s="397"/>
      <c r="J28" s="397"/>
      <c r="K28" s="397"/>
      <c r="L28" s="397"/>
      <c r="M28" s="244"/>
    </row>
    <row r="29" spans="2:13" ht="15" customHeight="1" x14ac:dyDescent="0.25">
      <c r="B29" s="253" t="s">
        <v>951</v>
      </c>
      <c r="C29" s="244"/>
      <c r="D29" s="244"/>
      <c r="E29" s="244"/>
      <c r="F29" s="244"/>
      <c r="G29" s="244"/>
      <c r="H29" s="244"/>
      <c r="I29" s="244"/>
      <c r="J29" s="244"/>
      <c r="K29" s="244"/>
      <c r="L29" s="244"/>
      <c r="M29" s="244"/>
    </row>
    <row r="30" spans="2:13" ht="15" customHeight="1" x14ac:dyDescent="0.25">
      <c r="B30" s="253"/>
      <c r="C30" s="244"/>
      <c r="D30" s="244"/>
      <c r="E30" s="244"/>
      <c r="F30" s="244"/>
      <c r="G30" s="244"/>
      <c r="H30" s="244"/>
      <c r="I30" s="244"/>
      <c r="J30" s="244"/>
      <c r="K30" s="244"/>
      <c r="L30" s="244"/>
      <c r="M30" s="244"/>
    </row>
    <row r="31" spans="2:13" ht="15" customHeight="1" x14ac:dyDescent="0.3">
      <c r="B31" s="2" t="s">
        <v>852</v>
      </c>
      <c r="C31" s="2"/>
      <c r="D31" s="2"/>
      <c r="E31" s="2"/>
      <c r="F31" s="2"/>
      <c r="G31" s="244"/>
      <c r="H31" s="244"/>
      <c r="I31" s="244"/>
      <c r="J31" s="244"/>
      <c r="K31" s="244"/>
      <c r="L31" s="244"/>
      <c r="M31" s="244"/>
    </row>
    <row r="32" spans="2:13" ht="15" customHeight="1" x14ac:dyDescent="0.25">
      <c r="B32" s="3" t="s">
        <v>867</v>
      </c>
      <c r="C32" s="244"/>
      <c r="D32" s="244"/>
      <c r="E32" s="244"/>
      <c r="F32" s="244"/>
      <c r="G32" s="244"/>
      <c r="H32" s="244"/>
      <c r="I32" s="244"/>
      <c r="J32" s="244"/>
      <c r="K32" s="244"/>
      <c r="L32" s="244"/>
      <c r="M32" s="244"/>
    </row>
    <row r="33" spans="2:13" ht="15" customHeight="1" x14ac:dyDescent="0.25">
      <c r="C33" s="244"/>
      <c r="D33" s="244"/>
      <c r="E33" s="244"/>
      <c r="F33" s="244"/>
      <c r="G33" s="244"/>
      <c r="H33" s="244"/>
      <c r="I33" s="244"/>
      <c r="J33" s="244"/>
      <c r="K33" s="244"/>
      <c r="L33" s="244"/>
      <c r="M33" s="244"/>
    </row>
    <row r="34" spans="2:13" ht="15" customHeight="1" x14ac:dyDescent="0.25">
      <c r="D34" s="400" t="s">
        <v>73</v>
      </c>
      <c r="E34" s="401"/>
      <c r="F34" s="402"/>
      <c r="G34" s="400" t="s">
        <v>74</v>
      </c>
      <c r="H34" s="401"/>
      <c r="I34" s="402"/>
      <c r="J34" s="407" t="s">
        <v>588</v>
      </c>
      <c r="K34" s="407"/>
      <c r="L34" s="407"/>
      <c r="M34" s="244"/>
    </row>
    <row r="35" spans="2:13" ht="30.75" customHeight="1" x14ac:dyDescent="0.25">
      <c r="B35" s="138" t="s">
        <v>472</v>
      </c>
      <c r="C35" s="138" t="s">
        <v>477</v>
      </c>
      <c r="D35" s="161" t="s">
        <v>925</v>
      </c>
      <c r="E35" s="161" t="s">
        <v>926</v>
      </c>
      <c r="F35" s="161" t="s">
        <v>927</v>
      </c>
      <c r="G35" s="161" t="s">
        <v>925</v>
      </c>
      <c r="H35" s="161" t="s">
        <v>926</v>
      </c>
      <c r="I35" s="161" t="s">
        <v>927</v>
      </c>
      <c r="J35" s="161" t="s">
        <v>925</v>
      </c>
      <c r="K35" s="161" t="s">
        <v>926</v>
      </c>
      <c r="L35" s="161" t="s">
        <v>927</v>
      </c>
      <c r="M35" s="244"/>
    </row>
    <row r="36" spans="2:13" ht="15" customHeight="1" x14ac:dyDescent="0.25">
      <c r="B36" s="406" t="s">
        <v>843</v>
      </c>
      <c r="C36" s="152" t="s">
        <v>881</v>
      </c>
      <c r="D36" s="250">
        <v>338941.41666666669</v>
      </c>
      <c r="E36" s="250">
        <v>829902642.2930001</v>
      </c>
      <c r="F36" s="264">
        <v>841225913.36921847</v>
      </c>
      <c r="G36" s="250">
        <v>133932.08333333334</v>
      </c>
      <c r="H36" s="250">
        <v>328817594.352</v>
      </c>
      <c r="I36" s="264">
        <v>333253939.18778813</v>
      </c>
      <c r="J36" s="250">
        <v>472873.5</v>
      </c>
      <c r="K36" s="250">
        <v>1158720236.645</v>
      </c>
      <c r="L36" s="264">
        <v>1174479852.5570066</v>
      </c>
      <c r="M36" s="244"/>
    </row>
    <row r="37" spans="2:13" ht="15" customHeight="1" x14ac:dyDescent="0.25">
      <c r="B37" s="406"/>
      <c r="C37" s="152" t="s">
        <v>882</v>
      </c>
      <c r="D37" s="264">
        <v>777918.16666666663</v>
      </c>
      <c r="E37" s="264">
        <v>1889260402.3829999</v>
      </c>
      <c r="F37" s="264">
        <v>1914592632.0979171</v>
      </c>
      <c r="G37" s="264">
        <v>650208.25</v>
      </c>
      <c r="H37" s="264">
        <v>1565258574.971</v>
      </c>
      <c r="I37" s="264">
        <v>1586202074.6095459</v>
      </c>
      <c r="J37" s="250">
        <v>1428126.4166666667</v>
      </c>
      <c r="K37" s="264">
        <v>3454518977.3539996</v>
      </c>
      <c r="L37" s="264">
        <v>3500794706.7074633</v>
      </c>
      <c r="M37" s="244"/>
    </row>
    <row r="38" spans="2:13" ht="15" customHeight="1" x14ac:dyDescent="0.25">
      <c r="B38" s="406"/>
      <c r="C38" s="285" t="s">
        <v>2</v>
      </c>
      <c r="D38" s="264">
        <v>106021.08333333333</v>
      </c>
      <c r="E38" s="264">
        <v>260883467.19199997</v>
      </c>
      <c r="F38" s="264">
        <v>264441165.37541965</v>
      </c>
      <c r="G38" s="264">
        <v>83341.5</v>
      </c>
      <c r="H38" s="264">
        <v>205084016.46500003</v>
      </c>
      <c r="I38" s="264">
        <v>207879403.32183933</v>
      </c>
      <c r="J38" s="250">
        <v>189362.58333333334</v>
      </c>
      <c r="K38" s="264">
        <v>465967483.65699995</v>
      </c>
      <c r="L38" s="264">
        <v>472320568.69725901</v>
      </c>
      <c r="M38" s="244"/>
    </row>
    <row r="39" spans="2:13" ht="17.25" x14ac:dyDescent="0.25">
      <c r="B39" s="406"/>
      <c r="C39" s="152" t="s">
        <v>898</v>
      </c>
      <c r="D39" s="264">
        <v>107656.58333333333</v>
      </c>
      <c r="E39" s="264">
        <v>292131658.86900008</v>
      </c>
      <c r="F39" s="264">
        <v>296078422.52840537</v>
      </c>
      <c r="G39" s="264">
        <v>61733.75</v>
      </c>
      <c r="H39" s="264">
        <v>169307603.46799999</v>
      </c>
      <c r="I39" s="264">
        <v>171599064.80914986</v>
      </c>
      <c r="J39" s="250">
        <v>169390.33333333334</v>
      </c>
      <c r="K39" s="264">
        <v>461439262.33700001</v>
      </c>
      <c r="L39" s="264">
        <v>467677487.33755517</v>
      </c>
    </row>
    <row r="40" spans="2:13" x14ac:dyDescent="0.25">
      <c r="B40" s="406"/>
      <c r="C40" s="152" t="s">
        <v>3</v>
      </c>
      <c r="D40" s="264">
        <v>46872.083333333336</v>
      </c>
      <c r="E40" s="264">
        <v>99131586.085999981</v>
      </c>
      <c r="F40" s="264">
        <v>100489473.19499767</v>
      </c>
      <c r="G40" s="264">
        <v>48903.25</v>
      </c>
      <c r="H40" s="264">
        <v>98307681.952999994</v>
      </c>
      <c r="I40" s="264">
        <v>99645253.582008496</v>
      </c>
      <c r="J40" s="250">
        <v>95775.333333333328</v>
      </c>
      <c r="K40" s="264">
        <v>197439268.03899997</v>
      </c>
      <c r="L40" s="264">
        <v>200134726.77700621</v>
      </c>
    </row>
    <row r="41" spans="2:13" ht="17.25" x14ac:dyDescent="0.25">
      <c r="B41" s="406"/>
      <c r="C41" s="309" t="s">
        <v>924</v>
      </c>
      <c r="D41" s="364">
        <v>1377409.333333333</v>
      </c>
      <c r="E41" s="364">
        <v>3371309756.823</v>
      </c>
      <c r="F41" s="364">
        <v>3416827606.565958</v>
      </c>
      <c r="G41" s="364">
        <v>978118.83333333337</v>
      </c>
      <c r="H41" s="364">
        <v>2366775471.2090001</v>
      </c>
      <c r="I41" s="364">
        <v>2398579735.5103316</v>
      </c>
      <c r="J41" s="364">
        <v>2355528.166666667</v>
      </c>
      <c r="K41" s="364">
        <v>5738085228.0319986</v>
      </c>
      <c r="L41" s="364">
        <v>5815407342.0762901</v>
      </c>
    </row>
    <row r="42" spans="2:13" x14ac:dyDescent="0.25">
      <c r="B42" s="4" t="s">
        <v>788</v>
      </c>
    </row>
    <row r="43" spans="2:13" ht="54" customHeight="1" x14ac:dyDescent="0.25">
      <c r="B43" s="397" t="s">
        <v>897</v>
      </c>
      <c r="C43" s="397"/>
      <c r="D43" s="397"/>
      <c r="E43" s="397"/>
      <c r="F43" s="397"/>
      <c r="G43" s="397"/>
      <c r="H43" s="397"/>
      <c r="I43" s="397"/>
      <c r="J43" s="397"/>
      <c r="K43" s="397"/>
      <c r="L43" s="397"/>
    </row>
    <row r="44" spans="2:13" x14ac:dyDescent="0.25">
      <c r="B44" s="358" t="s">
        <v>928</v>
      </c>
    </row>
    <row r="45" spans="2:13" x14ac:dyDescent="0.25">
      <c r="B45" s="358"/>
    </row>
    <row r="46" spans="2:13" ht="18.75" x14ac:dyDescent="0.3">
      <c r="B46" s="2" t="s">
        <v>790</v>
      </c>
      <c r="C46" s="2"/>
      <c r="D46" s="2"/>
      <c r="E46" s="2"/>
      <c r="F46" s="2"/>
      <c r="G46" s="243"/>
    </row>
    <row r="47" spans="2:13" x14ac:dyDescent="0.25">
      <c r="B47" s="3" t="s">
        <v>868</v>
      </c>
    </row>
    <row r="49" spans="2:42" ht="17.25" x14ac:dyDescent="0.25">
      <c r="C49" s="400" t="s">
        <v>885</v>
      </c>
      <c r="D49" s="401"/>
      <c r="E49" s="401"/>
      <c r="F49" s="401"/>
      <c r="G49" s="402"/>
      <c r="H49" s="400" t="s">
        <v>886</v>
      </c>
      <c r="I49" s="401"/>
      <c r="J49" s="401"/>
      <c r="K49" s="401"/>
      <c r="L49" s="402"/>
      <c r="M49" s="400" t="s">
        <v>899</v>
      </c>
      <c r="N49" s="401"/>
      <c r="O49" s="401"/>
      <c r="P49" s="401"/>
      <c r="Q49" s="402"/>
      <c r="R49" s="400" t="s">
        <v>2</v>
      </c>
      <c r="S49" s="401"/>
      <c r="T49" s="401"/>
      <c r="U49" s="401"/>
      <c r="V49" s="402"/>
      <c r="W49" s="400" t="s">
        <v>900</v>
      </c>
      <c r="X49" s="401"/>
      <c r="Y49" s="401"/>
      <c r="Z49" s="401"/>
      <c r="AA49" s="402"/>
      <c r="AB49" s="400" t="s">
        <v>3</v>
      </c>
      <c r="AC49" s="401"/>
      <c r="AD49" s="401"/>
      <c r="AE49" s="401"/>
      <c r="AF49" s="402"/>
      <c r="AG49" s="400" t="s">
        <v>901</v>
      </c>
      <c r="AH49" s="401"/>
      <c r="AI49" s="401"/>
      <c r="AJ49" s="401"/>
      <c r="AK49" s="402"/>
      <c r="AL49" s="400" t="s">
        <v>924</v>
      </c>
      <c r="AM49" s="401"/>
      <c r="AN49" s="401"/>
      <c r="AO49" s="401"/>
      <c r="AP49" s="402"/>
    </row>
    <row r="50" spans="2:42" ht="31.5" customHeight="1" x14ac:dyDescent="0.25">
      <c r="C50" s="398" t="s">
        <v>800</v>
      </c>
      <c r="D50" s="399"/>
      <c r="E50" s="398" t="s">
        <v>889</v>
      </c>
      <c r="F50" s="399"/>
      <c r="G50" s="161" t="s">
        <v>926</v>
      </c>
      <c r="H50" s="398" t="s">
        <v>800</v>
      </c>
      <c r="I50" s="399"/>
      <c r="J50" s="398" t="s">
        <v>889</v>
      </c>
      <c r="K50" s="399"/>
      <c r="L50" s="161" t="s">
        <v>926</v>
      </c>
      <c r="M50" s="398" t="s">
        <v>800</v>
      </c>
      <c r="N50" s="399"/>
      <c r="O50" s="398" t="s">
        <v>889</v>
      </c>
      <c r="P50" s="399"/>
      <c r="Q50" s="161" t="s">
        <v>926</v>
      </c>
      <c r="R50" s="398" t="s">
        <v>800</v>
      </c>
      <c r="S50" s="399"/>
      <c r="T50" s="398" t="s">
        <v>889</v>
      </c>
      <c r="U50" s="399"/>
      <c r="V50" s="161" t="s">
        <v>926</v>
      </c>
      <c r="W50" s="398" t="s">
        <v>800</v>
      </c>
      <c r="X50" s="399"/>
      <c r="Y50" s="398" t="s">
        <v>889</v>
      </c>
      <c r="Z50" s="399"/>
      <c r="AA50" s="161" t="s">
        <v>926</v>
      </c>
      <c r="AB50" s="398" t="s">
        <v>800</v>
      </c>
      <c r="AC50" s="399"/>
      <c r="AD50" s="398" t="s">
        <v>889</v>
      </c>
      <c r="AE50" s="399"/>
      <c r="AF50" s="161" t="s">
        <v>926</v>
      </c>
      <c r="AG50" s="398" t="s">
        <v>800</v>
      </c>
      <c r="AH50" s="399"/>
      <c r="AI50" s="398" t="s">
        <v>889</v>
      </c>
      <c r="AJ50" s="399"/>
      <c r="AK50" s="161" t="s">
        <v>926</v>
      </c>
      <c r="AL50" s="398" t="s">
        <v>800</v>
      </c>
      <c r="AM50" s="399"/>
      <c r="AN50" s="398" t="s">
        <v>889</v>
      </c>
      <c r="AO50" s="399"/>
      <c r="AP50" s="161" t="s">
        <v>926</v>
      </c>
    </row>
    <row r="51" spans="2:42" ht="17.25" x14ac:dyDescent="0.25">
      <c r="B51" s="318" t="s">
        <v>472</v>
      </c>
      <c r="C51" s="214" t="s">
        <v>1</v>
      </c>
      <c r="D51" s="360" t="s">
        <v>930</v>
      </c>
      <c r="E51" s="214" t="s">
        <v>1</v>
      </c>
      <c r="F51" s="360" t="s">
        <v>930</v>
      </c>
      <c r="G51" s="214" t="s">
        <v>1</v>
      </c>
      <c r="H51" s="214" t="s">
        <v>1</v>
      </c>
      <c r="I51" s="360" t="s">
        <v>930</v>
      </c>
      <c r="J51" s="214" t="s">
        <v>1</v>
      </c>
      <c r="K51" s="360" t="s">
        <v>930</v>
      </c>
      <c r="L51" s="214" t="s">
        <v>1</v>
      </c>
      <c r="M51" s="214" t="s">
        <v>1</v>
      </c>
      <c r="N51" s="360" t="s">
        <v>930</v>
      </c>
      <c r="O51" s="214" t="s">
        <v>1</v>
      </c>
      <c r="P51" s="360" t="s">
        <v>930</v>
      </c>
      <c r="Q51" s="214" t="s">
        <v>1</v>
      </c>
      <c r="R51" s="214" t="s">
        <v>1</v>
      </c>
      <c r="S51" s="360" t="s">
        <v>930</v>
      </c>
      <c r="T51" s="214" t="s">
        <v>1</v>
      </c>
      <c r="U51" s="360" t="s">
        <v>930</v>
      </c>
      <c r="V51" s="214" t="s">
        <v>1</v>
      </c>
      <c r="W51" s="214" t="s">
        <v>1</v>
      </c>
      <c r="X51" s="360" t="s">
        <v>930</v>
      </c>
      <c r="Y51" s="214" t="s">
        <v>1</v>
      </c>
      <c r="Z51" s="360" t="s">
        <v>930</v>
      </c>
      <c r="AA51" s="214" t="s">
        <v>1</v>
      </c>
      <c r="AB51" s="214" t="s">
        <v>1</v>
      </c>
      <c r="AC51" s="360" t="s">
        <v>930</v>
      </c>
      <c r="AD51" s="214" t="s">
        <v>1</v>
      </c>
      <c r="AE51" s="360" t="s">
        <v>930</v>
      </c>
      <c r="AF51" s="214" t="s">
        <v>1</v>
      </c>
      <c r="AG51" s="214" t="s">
        <v>1</v>
      </c>
      <c r="AH51" s="360" t="s">
        <v>930</v>
      </c>
      <c r="AI51" s="214" t="s">
        <v>1</v>
      </c>
      <c r="AJ51" s="360" t="s">
        <v>930</v>
      </c>
      <c r="AK51" s="214" t="s">
        <v>1</v>
      </c>
      <c r="AL51" s="214" t="s">
        <v>1</v>
      </c>
      <c r="AM51" s="360" t="s">
        <v>930</v>
      </c>
      <c r="AN51" s="214" t="s">
        <v>1</v>
      </c>
      <c r="AO51" s="360" t="s">
        <v>930</v>
      </c>
      <c r="AP51" s="214" t="s">
        <v>1</v>
      </c>
    </row>
    <row r="52" spans="2:42" hidden="1" outlineLevel="1" x14ac:dyDescent="0.25">
      <c r="B52" s="318">
        <v>39630</v>
      </c>
      <c r="C52" s="319"/>
      <c r="D52" s="320"/>
      <c r="E52" s="319"/>
      <c r="F52" s="320"/>
      <c r="G52" s="319"/>
      <c r="H52" s="319"/>
      <c r="I52" s="320"/>
      <c r="J52" s="319"/>
      <c r="K52" s="320"/>
      <c r="L52" s="319"/>
      <c r="M52" s="319">
        <v>290570</v>
      </c>
      <c r="N52" s="320">
        <v>0.60124441060169964</v>
      </c>
      <c r="O52" s="319">
        <v>30786941.146412238</v>
      </c>
      <c r="P52" s="320">
        <v>0.60124441060169964</v>
      </c>
      <c r="Q52" s="319">
        <v>17434200</v>
      </c>
      <c r="R52" s="319">
        <v>192711</v>
      </c>
      <c r="S52" s="320">
        <v>0.39875558939830036</v>
      </c>
      <c r="T52" s="319">
        <v>20418426.593475752</v>
      </c>
      <c r="U52" s="320">
        <v>0.39875558939830036</v>
      </c>
      <c r="V52" s="319">
        <v>11562660</v>
      </c>
      <c r="W52" s="319"/>
      <c r="X52" s="320"/>
      <c r="Y52" s="319"/>
      <c r="Z52" s="320"/>
      <c r="AA52" s="319"/>
      <c r="AB52" s="319"/>
      <c r="AC52" s="320"/>
      <c r="AD52" s="319"/>
      <c r="AE52" s="320"/>
      <c r="AF52" s="319"/>
      <c r="AG52" s="319"/>
      <c r="AH52" s="320"/>
      <c r="AI52" s="319"/>
      <c r="AJ52" s="320"/>
      <c r="AK52" s="319"/>
      <c r="AL52" s="319">
        <v>483281</v>
      </c>
      <c r="AM52" s="320">
        <v>1</v>
      </c>
      <c r="AN52" s="319">
        <v>51205367.73988799</v>
      </c>
      <c r="AO52" s="320">
        <v>1</v>
      </c>
      <c r="AP52" s="319">
        <v>28996860</v>
      </c>
    </row>
    <row r="53" spans="2:42" hidden="1" outlineLevel="1" x14ac:dyDescent="0.25">
      <c r="B53" s="318">
        <v>39661</v>
      </c>
      <c r="C53" s="319"/>
      <c r="D53" s="320"/>
      <c r="E53" s="319"/>
      <c r="F53" s="320"/>
      <c r="G53" s="319"/>
      <c r="H53" s="319"/>
      <c r="I53" s="320"/>
      <c r="J53" s="319"/>
      <c r="K53" s="320"/>
      <c r="L53" s="319"/>
      <c r="M53" s="319">
        <v>292137</v>
      </c>
      <c r="N53" s="320">
        <v>0.60055998569199553</v>
      </c>
      <c r="O53" s="319">
        <v>30667054.724193685</v>
      </c>
      <c r="P53" s="320">
        <v>0.60055998569199553</v>
      </c>
      <c r="Q53" s="319">
        <v>17528220</v>
      </c>
      <c r="R53" s="319">
        <v>194304</v>
      </c>
      <c r="S53" s="320">
        <v>0.39944001430800447</v>
      </c>
      <c r="T53" s="319">
        <v>20397044.541190363</v>
      </c>
      <c r="U53" s="320">
        <v>0.39944001430800447</v>
      </c>
      <c r="V53" s="319">
        <v>11658240</v>
      </c>
      <c r="W53" s="319"/>
      <c r="X53" s="320"/>
      <c r="Y53" s="319"/>
      <c r="Z53" s="320"/>
      <c r="AA53" s="319"/>
      <c r="AB53" s="319"/>
      <c r="AC53" s="320"/>
      <c r="AD53" s="319"/>
      <c r="AE53" s="320"/>
      <c r="AF53" s="319"/>
      <c r="AG53" s="319"/>
      <c r="AH53" s="320"/>
      <c r="AI53" s="319"/>
      <c r="AJ53" s="320"/>
      <c r="AK53" s="319"/>
      <c r="AL53" s="319">
        <v>486441</v>
      </c>
      <c r="AM53" s="320">
        <v>1</v>
      </c>
      <c r="AN53" s="319">
        <v>51064099.265384048</v>
      </c>
      <c r="AO53" s="320">
        <v>1</v>
      </c>
      <c r="AP53" s="319">
        <v>29186460</v>
      </c>
    </row>
    <row r="54" spans="2:42" hidden="1" outlineLevel="1" x14ac:dyDescent="0.25">
      <c r="B54" s="318">
        <v>39692</v>
      </c>
      <c r="C54" s="319"/>
      <c r="D54" s="320"/>
      <c r="E54" s="319"/>
      <c r="F54" s="320"/>
      <c r="G54" s="319"/>
      <c r="H54" s="319"/>
      <c r="I54" s="320"/>
      <c r="J54" s="319"/>
      <c r="K54" s="320"/>
      <c r="L54" s="319"/>
      <c r="M54" s="319">
        <v>329546</v>
      </c>
      <c r="N54" s="320">
        <v>0.63002997721120169</v>
      </c>
      <c r="O54" s="319">
        <v>34222827.65001674</v>
      </c>
      <c r="P54" s="320">
        <v>0.62997893774254099</v>
      </c>
      <c r="Q54" s="319">
        <v>19768431.017999999</v>
      </c>
      <c r="R54" s="319">
        <v>193518</v>
      </c>
      <c r="S54" s="320">
        <v>0.36997002278879831</v>
      </c>
      <c r="T54" s="319">
        <v>20100937.161312371</v>
      </c>
      <c r="U54" s="320">
        <v>0.37002106225745901</v>
      </c>
      <c r="V54" s="319">
        <v>11611080</v>
      </c>
      <c r="W54" s="319"/>
      <c r="X54" s="320"/>
      <c r="Y54" s="319"/>
      <c r="Z54" s="320"/>
      <c r="AA54" s="319"/>
      <c r="AB54" s="319"/>
      <c r="AC54" s="320"/>
      <c r="AD54" s="319"/>
      <c r="AE54" s="320"/>
      <c r="AF54" s="319"/>
      <c r="AG54" s="319"/>
      <c r="AH54" s="320"/>
      <c r="AI54" s="319"/>
      <c r="AJ54" s="320"/>
      <c r="AK54" s="319"/>
      <c r="AL54" s="319">
        <v>523064</v>
      </c>
      <c r="AM54" s="320">
        <v>1</v>
      </c>
      <c r="AN54" s="319">
        <v>54323764.811329111</v>
      </c>
      <c r="AO54" s="320">
        <v>1</v>
      </c>
      <c r="AP54" s="319">
        <v>31379511.017999999</v>
      </c>
    </row>
    <row r="55" spans="2:42" hidden="1" outlineLevel="1" x14ac:dyDescent="0.25">
      <c r="B55" s="318">
        <v>39722</v>
      </c>
      <c r="C55" s="319"/>
      <c r="D55" s="320"/>
      <c r="E55" s="319"/>
      <c r="F55" s="320"/>
      <c r="G55" s="319"/>
      <c r="H55" s="319"/>
      <c r="I55" s="320"/>
      <c r="J55" s="319"/>
      <c r="K55" s="320"/>
      <c r="L55" s="319"/>
      <c r="M55" s="319">
        <v>340883</v>
      </c>
      <c r="N55" s="320">
        <v>0.63388369355615515</v>
      </c>
      <c r="O55" s="319">
        <v>37996963.992163226</v>
      </c>
      <c r="P55" s="320">
        <v>0.64317181792667077</v>
      </c>
      <c r="Q55" s="319">
        <v>22142510.096000001</v>
      </c>
      <c r="R55" s="319">
        <v>193041</v>
      </c>
      <c r="S55" s="320">
        <v>0.35896639635233718</v>
      </c>
      <c r="T55" s="319">
        <v>19967667.321902208</v>
      </c>
      <c r="U55" s="320">
        <v>0.33799123776919604</v>
      </c>
      <c r="V55" s="319">
        <v>11636042.168</v>
      </c>
      <c r="W55" s="319">
        <v>3399</v>
      </c>
      <c r="X55" s="320">
        <v>6.3205577115824823E-3</v>
      </c>
      <c r="Y55" s="319">
        <v>990570.5222105612</v>
      </c>
      <c r="Z55" s="320">
        <v>1.6767314454021638E-2</v>
      </c>
      <c r="AA55" s="319">
        <v>577249.21900000004</v>
      </c>
      <c r="AB55" s="319">
        <v>446</v>
      </c>
      <c r="AC55" s="320">
        <v>8.2935237992520956E-4</v>
      </c>
      <c r="AD55" s="319">
        <v>122268.49606890223</v>
      </c>
      <c r="AE55" s="320">
        <v>2.0696298501115791E-3</v>
      </c>
      <c r="AF55" s="319">
        <v>71251.255999999994</v>
      </c>
      <c r="AG55" s="319"/>
      <c r="AH55" s="320"/>
      <c r="AI55" s="319"/>
      <c r="AJ55" s="320"/>
      <c r="AK55" s="319"/>
      <c r="AL55" s="319">
        <v>537769</v>
      </c>
      <c r="AM55" s="320">
        <v>1</v>
      </c>
      <c r="AN55" s="319">
        <v>59077470.332344897</v>
      </c>
      <c r="AO55" s="320">
        <v>1</v>
      </c>
      <c r="AP55" s="319">
        <v>34427052.738999993</v>
      </c>
    </row>
    <row r="56" spans="2:42" hidden="1" outlineLevel="1" x14ac:dyDescent="0.25">
      <c r="B56" s="318">
        <v>39753</v>
      </c>
      <c r="C56" s="319"/>
      <c r="D56" s="320"/>
      <c r="E56" s="319"/>
      <c r="F56" s="320"/>
      <c r="G56" s="319"/>
      <c r="H56" s="319"/>
      <c r="I56" s="320"/>
      <c r="J56" s="319"/>
      <c r="K56" s="320"/>
      <c r="L56" s="319"/>
      <c r="M56" s="319">
        <v>347314</v>
      </c>
      <c r="N56" s="320">
        <v>0.63749096021761553</v>
      </c>
      <c r="O56" s="319">
        <v>37874629.247368291</v>
      </c>
      <c r="P56" s="320">
        <v>0.64785948050032593</v>
      </c>
      <c r="Q56" s="319">
        <v>22044175.416999999</v>
      </c>
      <c r="R56" s="319">
        <v>192690</v>
      </c>
      <c r="S56" s="320">
        <v>0.35368033861097548</v>
      </c>
      <c r="T56" s="319">
        <v>20038847.954194311</v>
      </c>
      <c r="U56" s="320">
        <v>0.34277187350504351</v>
      </c>
      <c r="V56" s="319">
        <v>11663213.297</v>
      </c>
      <c r="W56" s="319">
        <v>4226</v>
      </c>
      <c r="X56" s="320">
        <v>7.7567757069385151E-3</v>
      </c>
      <c r="Y56" s="319">
        <v>478707.27343587059</v>
      </c>
      <c r="Z56" s="320">
        <v>8.1884641947073383E-3</v>
      </c>
      <c r="AA56" s="319">
        <v>278622.05699999997</v>
      </c>
      <c r="AB56" s="319">
        <v>584</v>
      </c>
      <c r="AC56" s="320">
        <v>1.0719254644704431E-3</v>
      </c>
      <c r="AD56" s="319">
        <v>68994.819805776366</v>
      </c>
      <c r="AE56" s="320">
        <v>1.1801817999232236E-3</v>
      </c>
      <c r="AF56" s="319">
        <v>40157.063999999998</v>
      </c>
      <c r="AG56" s="319"/>
      <c r="AH56" s="320"/>
      <c r="AI56" s="319"/>
      <c r="AJ56" s="320"/>
      <c r="AK56" s="319"/>
      <c r="AL56" s="319">
        <v>544814</v>
      </c>
      <c r="AM56" s="320">
        <v>1</v>
      </c>
      <c r="AN56" s="319">
        <v>58461179.294804245</v>
      </c>
      <c r="AO56" s="320">
        <v>1</v>
      </c>
      <c r="AP56" s="319">
        <v>34026167.835000001</v>
      </c>
    </row>
    <row r="57" spans="2:42" hidden="1" outlineLevel="1" x14ac:dyDescent="0.25">
      <c r="B57" s="318">
        <v>39783</v>
      </c>
      <c r="C57" s="319"/>
      <c r="D57" s="320"/>
      <c r="E57" s="319"/>
      <c r="F57" s="320"/>
      <c r="G57" s="319"/>
      <c r="H57" s="319"/>
      <c r="I57" s="320"/>
      <c r="J57" s="319"/>
      <c r="K57" s="320"/>
      <c r="L57" s="319"/>
      <c r="M57" s="319">
        <v>358445</v>
      </c>
      <c r="N57" s="320">
        <v>0.64228131758651519</v>
      </c>
      <c r="O57" s="319">
        <v>40800712.656714857</v>
      </c>
      <c r="P57" s="320">
        <v>0.64842421999130029</v>
      </c>
      <c r="Q57" s="319">
        <v>23467261.041000001</v>
      </c>
      <c r="R57" s="319">
        <v>194451</v>
      </c>
      <c r="S57" s="320">
        <v>0.34842791637773013</v>
      </c>
      <c r="T57" s="319">
        <v>21517776.232945606</v>
      </c>
      <c r="U57" s="320">
        <v>0.34197067554159033</v>
      </c>
      <c r="V57" s="319">
        <v>12376334.603</v>
      </c>
      <c r="W57" s="319">
        <v>4485</v>
      </c>
      <c r="X57" s="320">
        <v>8.0364678245631004E-3</v>
      </c>
      <c r="Y57" s="319">
        <v>532459.7152415188</v>
      </c>
      <c r="Z57" s="320">
        <v>8.4621015921262314E-3</v>
      </c>
      <c r="AA57" s="319">
        <v>306253.74699999997</v>
      </c>
      <c r="AB57" s="319">
        <v>700</v>
      </c>
      <c r="AC57" s="320">
        <v>1.2542982111915654E-3</v>
      </c>
      <c r="AD57" s="319">
        <v>71921.020884461512</v>
      </c>
      <c r="AE57" s="320">
        <v>1.143002874983113E-3</v>
      </c>
      <c r="AF57" s="319">
        <v>41366.663999999997</v>
      </c>
      <c r="AG57" s="319"/>
      <c r="AH57" s="320"/>
      <c r="AI57" s="319"/>
      <c r="AJ57" s="320"/>
      <c r="AK57" s="319"/>
      <c r="AL57" s="319">
        <v>558081</v>
      </c>
      <c r="AM57" s="320">
        <v>1</v>
      </c>
      <c r="AN57" s="319">
        <v>62922869.625786446</v>
      </c>
      <c r="AO57" s="320">
        <v>1</v>
      </c>
      <c r="AP57" s="319">
        <v>36191216.055</v>
      </c>
    </row>
    <row r="58" spans="2:42" collapsed="1" x14ac:dyDescent="0.25">
      <c r="B58" s="321" t="s">
        <v>690</v>
      </c>
      <c r="C58" s="322"/>
      <c r="D58" s="311"/>
      <c r="E58" s="322"/>
      <c r="F58" s="311"/>
      <c r="G58" s="322"/>
      <c r="H58" s="322"/>
      <c r="I58" s="311"/>
      <c r="J58" s="322"/>
      <c r="K58" s="311"/>
      <c r="L58" s="322"/>
      <c r="M58" s="322">
        <v>326482.5</v>
      </c>
      <c r="N58" s="311">
        <v>0.62240689609155808</v>
      </c>
      <c r="O58" s="322">
        <v>35391521.569478177</v>
      </c>
      <c r="P58" s="311">
        <v>0.62580848198771</v>
      </c>
      <c r="Q58" s="322"/>
      <c r="R58" s="322">
        <v>193452.5</v>
      </c>
      <c r="S58" s="311">
        <v>0.36879823594266808</v>
      </c>
      <c r="T58" s="322">
        <v>20406783.300836768</v>
      </c>
      <c r="U58" s="311">
        <v>0.36084173591344981</v>
      </c>
      <c r="V58" s="322"/>
      <c r="W58" s="322">
        <v>4036.6666666666665</v>
      </c>
      <c r="X58" s="311">
        <v>7.6955094700520118E-3</v>
      </c>
      <c r="Y58" s="322">
        <v>667245.83696265018</v>
      </c>
      <c r="Z58" s="311">
        <v>1.1798534954833021E-2</v>
      </c>
      <c r="AA58" s="322"/>
      <c r="AB58" s="322">
        <v>576.66666666666663</v>
      </c>
      <c r="AC58" s="311">
        <v>1.099358495721716E-3</v>
      </c>
      <c r="AD58" s="322">
        <v>87728.112253046711</v>
      </c>
      <c r="AE58" s="311">
        <v>1.5512471440073227E-3</v>
      </c>
      <c r="AF58" s="322"/>
      <c r="AG58" s="322"/>
      <c r="AH58" s="311"/>
      <c r="AI58" s="322"/>
      <c r="AJ58" s="311"/>
      <c r="AK58" s="322"/>
      <c r="AL58" s="322">
        <v>524548.33333333337</v>
      </c>
      <c r="AM58" s="311">
        <v>0.99999999999999989</v>
      </c>
      <c r="AN58" s="322">
        <v>56553278.819530636</v>
      </c>
      <c r="AO58" s="311">
        <v>1.0000000000000002</v>
      </c>
      <c r="AP58" s="322"/>
    </row>
    <row r="59" spans="2:42" hidden="1" outlineLevel="1" x14ac:dyDescent="0.25">
      <c r="B59" s="318">
        <v>39814</v>
      </c>
      <c r="C59" s="319"/>
      <c r="D59" s="320"/>
      <c r="E59" s="319"/>
      <c r="F59" s="320"/>
      <c r="G59" s="319"/>
      <c r="H59" s="319"/>
      <c r="I59" s="320"/>
      <c r="J59" s="319"/>
      <c r="K59" s="320"/>
      <c r="L59" s="319"/>
      <c r="M59" s="319">
        <v>364131</v>
      </c>
      <c r="N59" s="320">
        <v>0.64167331898898794</v>
      </c>
      <c r="O59" s="319">
        <v>39821905.395031355</v>
      </c>
      <c r="P59" s="320">
        <v>0.63183868401096943</v>
      </c>
      <c r="Q59" s="319">
        <v>22729603.677000001</v>
      </c>
      <c r="R59" s="319">
        <v>196192</v>
      </c>
      <c r="S59" s="320">
        <v>0.34573044261292646</v>
      </c>
      <c r="T59" s="319">
        <v>22041669.380943224</v>
      </c>
      <c r="U59" s="320">
        <v>0.3497265948705135</v>
      </c>
      <c r="V59" s="319">
        <v>12580975.331</v>
      </c>
      <c r="W59" s="319">
        <v>6199</v>
      </c>
      <c r="X59" s="320">
        <v>1.0923906243667077E-2</v>
      </c>
      <c r="Y59" s="319">
        <v>1018672.5696245038</v>
      </c>
      <c r="Z59" s="320">
        <v>1.6162881445394794E-2</v>
      </c>
      <c r="AA59" s="319">
        <v>581439.375</v>
      </c>
      <c r="AB59" s="319">
        <v>949</v>
      </c>
      <c r="AC59" s="320">
        <v>1.6723321544184636E-3</v>
      </c>
      <c r="AD59" s="319">
        <v>143183.67460734004</v>
      </c>
      <c r="AE59" s="320">
        <v>2.2718396731223351E-3</v>
      </c>
      <c r="AF59" s="319">
        <v>81726.581000000006</v>
      </c>
      <c r="AG59" s="319"/>
      <c r="AH59" s="320"/>
      <c r="AI59" s="319"/>
      <c r="AJ59" s="320"/>
      <c r="AK59" s="319"/>
      <c r="AL59" s="319">
        <v>567471</v>
      </c>
      <c r="AM59" s="320">
        <v>1</v>
      </c>
      <c r="AN59" s="319">
        <v>63025431.020206422</v>
      </c>
      <c r="AO59" s="320">
        <v>1</v>
      </c>
      <c r="AP59" s="319">
        <v>35973744.964000002</v>
      </c>
    </row>
    <row r="60" spans="2:42" hidden="1" outlineLevel="1" x14ac:dyDescent="0.25">
      <c r="B60" s="318">
        <v>39845</v>
      </c>
      <c r="C60" s="319"/>
      <c r="D60" s="320"/>
      <c r="E60" s="319"/>
      <c r="F60" s="320"/>
      <c r="G60" s="319"/>
      <c r="H60" s="319"/>
      <c r="I60" s="320"/>
      <c r="J60" s="319"/>
      <c r="K60" s="320"/>
      <c r="L60" s="319"/>
      <c r="M60" s="319">
        <v>366991</v>
      </c>
      <c r="N60" s="320">
        <v>0.64091252813884569</v>
      </c>
      <c r="O60" s="319">
        <v>39858142.571443029</v>
      </c>
      <c r="P60" s="320">
        <v>0.63378798428923566</v>
      </c>
      <c r="Q60" s="319">
        <v>22667397.420000002</v>
      </c>
      <c r="R60" s="319">
        <v>197256</v>
      </c>
      <c r="S60" s="320">
        <v>0.3444875804871404</v>
      </c>
      <c r="T60" s="319">
        <v>22072286.329652809</v>
      </c>
      <c r="U60" s="320">
        <v>0.35097345132054003</v>
      </c>
      <c r="V60" s="319">
        <v>12552548.963</v>
      </c>
      <c r="W60" s="319">
        <v>7180</v>
      </c>
      <c r="X60" s="320">
        <v>1.2539141156150728E-2</v>
      </c>
      <c r="Y60" s="319">
        <v>798489.91527878633</v>
      </c>
      <c r="Z60" s="320">
        <v>1.2696861449896273E-2</v>
      </c>
      <c r="AA60" s="319">
        <v>454102.652</v>
      </c>
      <c r="AB60" s="319">
        <v>1180</v>
      </c>
      <c r="AC60" s="320">
        <v>2.0607502178632115E-3</v>
      </c>
      <c r="AD60" s="319">
        <v>159844.55477404359</v>
      </c>
      <c r="AE60" s="320">
        <v>2.541702940328051E-3</v>
      </c>
      <c r="AF60" s="319">
        <v>90903.885999999999</v>
      </c>
      <c r="AG60" s="319"/>
      <c r="AH60" s="320"/>
      <c r="AI60" s="319"/>
      <c r="AJ60" s="320"/>
      <c r="AK60" s="319"/>
      <c r="AL60" s="319">
        <v>572607</v>
      </c>
      <c r="AM60" s="320">
        <v>1</v>
      </c>
      <c r="AN60" s="319">
        <v>62888763.371148668</v>
      </c>
      <c r="AO60" s="320">
        <v>1</v>
      </c>
      <c r="AP60" s="319">
        <v>35764952.921000004</v>
      </c>
    </row>
    <row r="61" spans="2:42" hidden="1" outlineLevel="1" x14ac:dyDescent="0.25">
      <c r="B61" s="318">
        <v>39873</v>
      </c>
      <c r="C61" s="319"/>
      <c r="D61" s="320"/>
      <c r="E61" s="319"/>
      <c r="F61" s="320"/>
      <c r="G61" s="319"/>
      <c r="H61" s="319"/>
      <c r="I61" s="320"/>
      <c r="J61" s="319"/>
      <c r="K61" s="320"/>
      <c r="L61" s="319"/>
      <c r="M61" s="319">
        <v>369833</v>
      </c>
      <c r="N61" s="320">
        <v>0.64020613559803208</v>
      </c>
      <c r="O61" s="319">
        <v>39851134.888208382</v>
      </c>
      <c r="P61" s="320">
        <v>0.63318479098493707</v>
      </c>
      <c r="Q61" s="319">
        <v>22752284.488000002</v>
      </c>
      <c r="R61" s="319">
        <v>198068</v>
      </c>
      <c r="S61" s="320">
        <v>0.34286921087526268</v>
      </c>
      <c r="T61" s="319">
        <v>21961788.757335145</v>
      </c>
      <c r="U61" s="320">
        <v>0.34894541053793737</v>
      </c>
      <c r="V61" s="319">
        <v>12538685.964</v>
      </c>
      <c r="W61" s="319">
        <v>8287</v>
      </c>
      <c r="X61" s="320">
        <v>1.4345361949044278E-2</v>
      </c>
      <c r="Y61" s="319">
        <v>933039.36300336348</v>
      </c>
      <c r="Z61" s="320">
        <v>1.4824830853658129E-2</v>
      </c>
      <c r="AA61" s="319">
        <v>532701.94400000002</v>
      </c>
      <c r="AB61" s="319">
        <v>1490</v>
      </c>
      <c r="AC61" s="320">
        <v>2.5792915776609113E-3</v>
      </c>
      <c r="AD61" s="319">
        <v>191642.97251086615</v>
      </c>
      <c r="AE61" s="320">
        <v>3.0449676234673537E-3</v>
      </c>
      <c r="AF61" s="319">
        <v>109415.088</v>
      </c>
      <c r="AG61" s="319"/>
      <c r="AH61" s="320"/>
      <c r="AI61" s="319"/>
      <c r="AJ61" s="320"/>
      <c r="AK61" s="319"/>
      <c r="AL61" s="319">
        <v>577678</v>
      </c>
      <c r="AM61" s="320">
        <v>0.99999999999999989</v>
      </c>
      <c r="AN61" s="319">
        <v>62937605.981057763</v>
      </c>
      <c r="AO61" s="320">
        <v>1</v>
      </c>
      <c r="AP61" s="319">
        <v>35933087.483999997</v>
      </c>
    </row>
    <row r="62" spans="2:42" hidden="1" outlineLevel="1" x14ac:dyDescent="0.25">
      <c r="B62" s="318">
        <v>39904</v>
      </c>
      <c r="C62" s="319"/>
      <c r="D62" s="320"/>
      <c r="E62" s="319"/>
      <c r="F62" s="320"/>
      <c r="G62" s="319"/>
      <c r="H62" s="319"/>
      <c r="I62" s="320"/>
      <c r="J62" s="319"/>
      <c r="K62" s="320"/>
      <c r="L62" s="319"/>
      <c r="M62" s="319">
        <v>371972</v>
      </c>
      <c r="N62" s="320">
        <v>0.63854126969412939</v>
      </c>
      <c r="O62" s="319">
        <v>39894757.544206738</v>
      </c>
      <c r="P62" s="320">
        <v>0.62590062620837117</v>
      </c>
      <c r="Q62" s="319">
        <v>22741680.691</v>
      </c>
      <c r="R62" s="319">
        <v>198891</v>
      </c>
      <c r="S62" s="320">
        <v>0.34142384822173472</v>
      </c>
      <c r="T62" s="319">
        <v>22187634.958693013</v>
      </c>
      <c r="U62" s="320">
        <v>0.34809723055317388</v>
      </c>
      <c r="V62" s="319">
        <v>12647880.086999999</v>
      </c>
      <c r="W62" s="319">
        <v>9630</v>
      </c>
      <c r="X62" s="320">
        <v>1.6531223928560393E-2</v>
      </c>
      <c r="Y62" s="319">
        <v>1325846.5574467548</v>
      </c>
      <c r="Z62" s="320">
        <v>2.0800933296626647E-2</v>
      </c>
      <c r="AA62" s="319">
        <v>755788.00100000005</v>
      </c>
      <c r="AB62" s="319">
        <v>2041</v>
      </c>
      <c r="AC62" s="320">
        <v>3.5036581555754685E-3</v>
      </c>
      <c r="AD62" s="319">
        <v>331523.88874057151</v>
      </c>
      <c r="AE62" s="320">
        <v>5.2012099418283107E-3</v>
      </c>
      <c r="AF62" s="319">
        <v>188982.48499999999</v>
      </c>
      <c r="AG62" s="319"/>
      <c r="AH62" s="320"/>
      <c r="AI62" s="319"/>
      <c r="AJ62" s="320"/>
      <c r="AK62" s="319"/>
      <c r="AL62" s="319">
        <v>582534</v>
      </c>
      <c r="AM62" s="320">
        <v>1</v>
      </c>
      <c r="AN62" s="319">
        <v>63739762.949087076</v>
      </c>
      <c r="AO62" s="320">
        <v>1</v>
      </c>
      <c r="AP62" s="319">
        <v>36334331.263999999</v>
      </c>
    </row>
    <row r="63" spans="2:42" hidden="1" outlineLevel="1" x14ac:dyDescent="0.25">
      <c r="B63" s="318">
        <v>39934</v>
      </c>
      <c r="C63" s="319"/>
      <c r="D63" s="320"/>
      <c r="E63" s="319"/>
      <c r="F63" s="320"/>
      <c r="G63" s="319"/>
      <c r="H63" s="319"/>
      <c r="I63" s="320"/>
      <c r="J63" s="319"/>
      <c r="K63" s="320"/>
      <c r="L63" s="319"/>
      <c r="M63" s="319">
        <v>374732</v>
      </c>
      <c r="N63" s="320">
        <v>0.63690179768749777</v>
      </c>
      <c r="O63" s="319">
        <v>40355096.471773937</v>
      </c>
      <c r="P63" s="320">
        <v>0.62392416817607554</v>
      </c>
      <c r="Q63" s="319">
        <v>22946564.344999999</v>
      </c>
      <c r="R63" s="319">
        <v>200088</v>
      </c>
      <c r="S63" s="320">
        <v>0.3400734575528539</v>
      </c>
      <c r="T63" s="319">
        <v>22648033.154971942</v>
      </c>
      <c r="U63" s="320">
        <v>0.35015788543396564</v>
      </c>
      <c r="V63" s="319">
        <v>12878040.086999999</v>
      </c>
      <c r="W63" s="319">
        <v>11050</v>
      </c>
      <c r="X63" s="320">
        <v>1.8780794980003977E-2</v>
      </c>
      <c r="Y63" s="319">
        <v>1347751.4913197861</v>
      </c>
      <c r="Z63" s="320">
        <v>2.0837386145710745E-2</v>
      </c>
      <c r="AA63" s="319">
        <v>766353.42299999995</v>
      </c>
      <c r="AB63" s="319">
        <v>2497</v>
      </c>
      <c r="AC63" s="320">
        <v>4.2439497796443373E-3</v>
      </c>
      <c r="AD63" s="319">
        <v>328608.0412410486</v>
      </c>
      <c r="AE63" s="320">
        <v>5.080560244248084E-3</v>
      </c>
      <c r="AF63" s="319">
        <v>186851.878</v>
      </c>
      <c r="AG63" s="319"/>
      <c r="AH63" s="320"/>
      <c r="AI63" s="319"/>
      <c r="AJ63" s="320"/>
      <c r="AK63" s="319"/>
      <c r="AL63" s="319">
        <v>588367</v>
      </c>
      <c r="AM63" s="320">
        <v>1</v>
      </c>
      <c r="AN63" s="319">
        <v>64679489.159306712</v>
      </c>
      <c r="AO63" s="320">
        <v>1</v>
      </c>
      <c r="AP63" s="319">
        <v>36777809.732999995</v>
      </c>
    </row>
    <row r="64" spans="2:42" hidden="1" outlineLevel="1" x14ac:dyDescent="0.25">
      <c r="B64" s="318">
        <v>39965</v>
      </c>
      <c r="C64" s="319"/>
      <c r="D64" s="320"/>
      <c r="E64" s="319"/>
      <c r="F64" s="320"/>
      <c r="G64" s="319"/>
      <c r="H64" s="319"/>
      <c r="I64" s="320"/>
      <c r="J64" s="319"/>
      <c r="K64" s="320"/>
      <c r="L64" s="319"/>
      <c r="M64" s="319">
        <v>377068</v>
      </c>
      <c r="N64" s="320">
        <v>0.63511323862813329</v>
      </c>
      <c r="O64" s="319">
        <v>40525720.769327514</v>
      </c>
      <c r="P64" s="320">
        <v>0.62146721977402331</v>
      </c>
      <c r="Q64" s="319">
        <v>23123443.857999999</v>
      </c>
      <c r="R64" s="319">
        <v>201424</v>
      </c>
      <c r="S64" s="320">
        <v>0.33926784817972655</v>
      </c>
      <c r="T64" s="319">
        <v>22996250.099584483</v>
      </c>
      <c r="U64" s="320">
        <v>0.35265049808647803</v>
      </c>
      <c r="V64" s="319">
        <v>13121358.189999999</v>
      </c>
      <c r="W64" s="319">
        <v>12190</v>
      </c>
      <c r="X64" s="320">
        <v>2.0532186180945995E-2</v>
      </c>
      <c r="Y64" s="319">
        <v>1306751.1946156004</v>
      </c>
      <c r="Z64" s="320">
        <v>2.0039200202672098E-2</v>
      </c>
      <c r="AA64" s="319">
        <v>745615.06400000001</v>
      </c>
      <c r="AB64" s="319">
        <v>3020</v>
      </c>
      <c r="AC64" s="320">
        <v>5.0867270111941681E-3</v>
      </c>
      <c r="AD64" s="319">
        <v>381025.90043323481</v>
      </c>
      <c r="AE64" s="320">
        <v>5.8430819368266015E-3</v>
      </c>
      <c r="AF64" s="319">
        <v>217408.37299999999</v>
      </c>
      <c r="AG64" s="319"/>
      <c r="AH64" s="320"/>
      <c r="AI64" s="319"/>
      <c r="AJ64" s="320"/>
      <c r="AK64" s="319"/>
      <c r="AL64" s="319">
        <v>593702</v>
      </c>
      <c r="AM64" s="320">
        <v>1</v>
      </c>
      <c r="AN64" s="319">
        <v>65209747.963960834</v>
      </c>
      <c r="AO64" s="320">
        <v>1.0000000000000002</v>
      </c>
      <c r="AP64" s="319">
        <v>37207825.485000007</v>
      </c>
    </row>
    <row r="65" spans="2:42" hidden="1" outlineLevel="1" x14ac:dyDescent="0.25">
      <c r="B65" s="318">
        <v>39995</v>
      </c>
      <c r="C65" s="319"/>
      <c r="D65" s="320"/>
      <c r="E65" s="319"/>
      <c r="F65" s="320"/>
      <c r="G65" s="319"/>
      <c r="H65" s="319"/>
      <c r="I65" s="320"/>
      <c r="J65" s="319"/>
      <c r="K65" s="320"/>
      <c r="L65" s="319"/>
      <c r="M65" s="319">
        <v>378458</v>
      </c>
      <c r="N65" s="320">
        <v>0.63259680975360255</v>
      </c>
      <c r="O65" s="319">
        <v>50725992.859633364</v>
      </c>
      <c r="P65" s="320">
        <v>0.61863068875215677</v>
      </c>
      <c r="Q65" s="319">
        <v>28816125.442000002</v>
      </c>
      <c r="R65" s="319">
        <v>202738</v>
      </c>
      <c r="S65" s="320">
        <v>0.33887885053513433</v>
      </c>
      <c r="T65" s="319">
        <v>28710430.084539328</v>
      </c>
      <c r="U65" s="320">
        <v>0.35013909312168723</v>
      </c>
      <c r="V65" s="319">
        <v>16309653.26</v>
      </c>
      <c r="W65" s="319">
        <v>13277</v>
      </c>
      <c r="X65" s="320">
        <v>2.2192655045206022E-2</v>
      </c>
      <c r="Y65" s="319">
        <v>1864796.9123768331</v>
      </c>
      <c r="Z65" s="320">
        <v>2.2742198491389247E-2</v>
      </c>
      <c r="AA65" s="319">
        <v>1059342.9269999999</v>
      </c>
      <c r="AB65" s="319">
        <v>3788</v>
      </c>
      <c r="AC65" s="320">
        <v>6.3316846660571224E-3</v>
      </c>
      <c r="AD65" s="319">
        <v>695993.96087849361</v>
      </c>
      <c r="AE65" s="320">
        <v>8.4880196347667143E-3</v>
      </c>
      <c r="AF65" s="319">
        <v>395376.18</v>
      </c>
      <c r="AG65" s="319"/>
      <c r="AH65" s="320"/>
      <c r="AI65" s="319"/>
      <c r="AJ65" s="320"/>
      <c r="AK65" s="319"/>
      <c r="AL65" s="319">
        <v>598261</v>
      </c>
      <c r="AM65" s="320">
        <v>1</v>
      </c>
      <c r="AN65" s="319">
        <v>81997213.817428023</v>
      </c>
      <c r="AO65" s="320">
        <v>1</v>
      </c>
      <c r="AP65" s="319">
        <v>46580497.809</v>
      </c>
    </row>
    <row r="66" spans="2:42" hidden="1" outlineLevel="1" x14ac:dyDescent="0.25">
      <c r="B66" s="318">
        <v>40026</v>
      </c>
      <c r="C66" s="319"/>
      <c r="D66" s="320"/>
      <c r="E66" s="319"/>
      <c r="F66" s="320"/>
      <c r="G66" s="319"/>
      <c r="H66" s="319"/>
      <c r="I66" s="320"/>
      <c r="J66" s="319"/>
      <c r="K66" s="320"/>
      <c r="L66" s="319"/>
      <c r="M66" s="319">
        <v>379265</v>
      </c>
      <c r="N66" s="320">
        <v>0.62885818461584375</v>
      </c>
      <c r="O66" s="319">
        <v>51178943.87281929</v>
      </c>
      <c r="P66" s="320">
        <v>0.60958882151824956</v>
      </c>
      <c r="Q66" s="319">
        <v>28968742.634</v>
      </c>
      <c r="R66" s="319">
        <v>204743</v>
      </c>
      <c r="S66" s="320">
        <v>0.33948376805874969</v>
      </c>
      <c r="T66" s="319">
        <v>29727104.930698831</v>
      </c>
      <c r="U66" s="320">
        <v>0.35407746800883327</v>
      </c>
      <c r="V66" s="319">
        <v>16826389.66</v>
      </c>
      <c r="W66" s="319">
        <v>14655</v>
      </c>
      <c r="X66" s="320">
        <v>2.4299412536208695E-2</v>
      </c>
      <c r="Y66" s="319">
        <v>2325518.0032722391</v>
      </c>
      <c r="Z66" s="320">
        <v>2.7699082313167426E-2</v>
      </c>
      <c r="AA66" s="319">
        <v>1316309.5490000001</v>
      </c>
      <c r="AB66" s="319">
        <v>4438</v>
      </c>
      <c r="AC66" s="320">
        <v>7.3586347891978288E-3</v>
      </c>
      <c r="AD66" s="319">
        <v>724933.15879688982</v>
      </c>
      <c r="AE66" s="320">
        <v>8.6346281597497656E-3</v>
      </c>
      <c r="AF66" s="319">
        <v>410332.85399999999</v>
      </c>
      <c r="AG66" s="319"/>
      <c r="AH66" s="320"/>
      <c r="AI66" s="319"/>
      <c r="AJ66" s="320"/>
      <c r="AK66" s="319"/>
      <c r="AL66" s="319">
        <v>603101</v>
      </c>
      <c r="AM66" s="320">
        <v>1</v>
      </c>
      <c r="AN66" s="319">
        <v>83956499.965587243</v>
      </c>
      <c r="AO66" s="320">
        <v>1</v>
      </c>
      <c r="AP66" s="319">
        <v>47521774.697000004</v>
      </c>
    </row>
    <row r="67" spans="2:42" hidden="1" outlineLevel="1" x14ac:dyDescent="0.25">
      <c r="B67" s="318">
        <v>40057</v>
      </c>
      <c r="C67" s="319"/>
      <c r="D67" s="320"/>
      <c r="E67" s="319"/>
      <c r="F67" s="320"/>
      <c r="G67" s="319"/>
      <c r="H67" s="319"/>
      <c r="I67" s="320"/>
      <c r="J67" s="319"/>
      <c r="K67" s="320"/>
      <c r="L67" s="319"/>
      <c r="M67" s="319">
        <v>384674</v>
      </c>
      <c r="N67" s="320">
        <v>0.61716102782626558</v>
      </c>
      <c r="O67" s="319">
        <v>52539417.673297659</v>
      </c>
      <c r="P67" s="320">
        <v>0.60982284356029293</v>
      </c>
      <c r="Q67" s="319">
        <v>30030908.395</v>
      </c>
      <c r="R67" s="319">
        <v>206439</v>
      </c>
      <c r="S67" s="320">
        <v>0.33120539839819285</v>
      </c>
      <c r="T67" s="319">
        <v>29461200.143655192</v>
      </c>
      <c r="U67" s="320">
        <v>0.34195492911665287</v>
      </c>
      <c r="V67" s="319">
        <v>16839672.800000001</v>
      </c>
      <c r="W67" s="319">
        <v>27203</v>
      </c>
      <c r="X67" s="320">
        <v>4.3643790430228979E-2</v>
      </c>
      <c r="Y67" s="319">
        <v>3407118.7130958023</v>
      </c>
      <c r="Z67" s="320">
        <v>3.9546285702811407E-2</v>
      </c>
      <c r="AA67" s="319">
        <v>1947468.672</v>
      </c>
      <c r="AB67" s="319">
        <v>4980</v>
      </c>
      <c r="AC67" s="320">
        <v>7.9897833453126607E-3</v>
      </c>
      <c r="AD67" s="319">
        <v>747477.60814246861</v>
      </c>
      <c r="AE67" s="320">
        <v>8.6759416202428618E-3</v>
      </c>
      <c r="AF67" s="319">
        <v>427249.34100000001</v>
      </c>
      <c r="AG67" s="319"/>
      <c r="AH67" s="320"/>
      <c r="AI67" s="319"/>
      <c r="AJ67" s="320"/>
      <c r="AK67" s="319"/>
      <c r="AL67" s="319">
        <v>623296</v>
      </c>
      <c r="AM67" s="320">
        <v>1</v>
      </c>
      <c r="AN67" s="319">
        <v>86155214.138191119</v>
      </c>
      <c r="AO67" s="320">
        <v>1</v>
      </c>
      <c r="AP67" s="319">
        <v>49245299.207999997</v>
      </c>
    </row>
    <row r="68" spans="2:42" hidden="1" outlineLevel="1" x14ac:dyDescent="0.25">
      <c r="B68" s="318">
        <v>40087</v>
      </c>
      <c r="C68" s="319"/>
      <c r="D68" s="320"/>
      <c r="E68" s="319"/>
      <c r="F68" s="320"/>
      <c r="G68" s="319"/>
      <c r="H68" s="319"/>
      <c r="I68" s="320"/>
      <c r="J68" s="319"/>
      <c r="K68" s="320"/>
      <c r="L68" s="319"/>
      <c r="M68" s="319">
        <v>391967</v>
      </c>
      <c r="N68" s="320">
        <v>0.5049435819745729</v>
      </c>
      <c r="O68" s="319">
        <v>53651978.111895323</v>
      </c>
      <c r="P68" s="320">
        <v>0.54420682515871088</v>
      </c>
      <c r="Q68" s="319">
        <v>30666096.493999999</v>
      </c>
      <c r="R68" s="319">
        <v>208340</v>
      </c>
      <c r="S68" s="320">
        <v>0.26838980288795361</v>
      </c>
      <c r="T68" s="319">
        <v>30161968.693560623</v>
      </c>
      <c r="U68" s="320">
        <v>0.30594117497449336</v>
      </c>
      <c r="V68" s="319">
        <v>17239808.763</v>
      </c>
      <c r="W68" s="319">
        <v>169034</v>
      </c>
      <c r="X68" s="320">
        <v>0.21775464117002186</v>
      </c>
      <c r="Y68" s="319">
        <v>13449341.400711676</v>
      </c>
      <c r="Z68" s="320">
        <v>0.13642038265377854</v>
      </c>
      <c r="AA68" s="319">
        <v>7687299.0650000004</v>
      </c>
      <c r="AB68" s="319">
        <v>6918</v>
      </c>
      <c r="AC68" s="320">
        <v>8.9119739674515842E-3</v>
      </c>
      <c r="AD68" s="319">
        <v>1324189.2593132954</v>
      </c>
      <c r="AE68" s="320">
        <v>1.3431617213017165E-2</v>
      </c>
      <c r="AF68" s="319">
        <v>756872.66399999999</v>
      </c>
      <c r="AG68" s="319"/>
      <c r="AH68" s="320"/>
      <c r="AI68" s="319"/>
      <c r="AJ68" s="320"/>
      <c r="AK68" s="319"/>
      <c r="AL68" s="319">
        <v>776259</v>
      </c>
      <c r="AM68" s="320">
        <v>1</v>
      </c>
      <c r="AN68" s="319">
        <v>98587477.465480924</v>
      </c>
      <c r="AO68" s="320">
        <v>0.99999999999999989</v>
      </c>
      <c r="AP68" s="319">
        <v>56350076.985999994</v>
      </c>
    </row>
    <row r="69" spans="2:42" hidden="1" outlineLevel="1" x14ac:dyDescent="0.25">
      <c r="B69" s="318">
        <v>40118</v>
      </c>
      <c r="C69" s="319"/>
      <c r="D69" s="320"/>
      <c r="E69" s="319"/>
      <c r="F69" s="320"/>
      <c r="G69" s="319"/>
      <c r="H69" s="319"/>
      <c r="I69" s="320"/>
      <c r="J69" s="319"/>
      <c r="K69" s="320"/>
      <c r="L69" s="319"/>
      <c r="M69" s="319">
        <v>393607</v>
      </c>
      <c r="N69" s="320">
        <v>0.48307962694544709</v>
      </c>
      <c r="O69" s="319">
        <v>52713999.142372176</v>
      </c>
      <c r="P69" s="320">
        <v>0.56902663823230815</v>
      </c>
      <c r="Q69" s="319">
        <v>29992656.368999999</v>
      </c>
      <c r="R69" s="319">
        <v>209889</v>
      </c>
      <c r="S69" s="320">
        <v>0.25759983897632144</v>
      </c>
      <c r="T69" s="319">
        <v>30032886.128826343</v>
      </c>
      <c r="U69" s="320">
        <v>0.32419305133999993</v>
      </c>
      <c r="V69" s="319">
        <v>17087795.425999999</v>
      </c>
      <c r="W69" s="319">
        <v>203555</v>
      </c>
      <c r="X69" s="320">
        <v>0.24982602815214283</v>
      </c>
      <c r="Y69" s="319">
        <v>8716909.3279883619</v>
      </c>
      <c r="Z69" s="320">
        <v>9.4095566479114517E-2</v>
      </c>
      <c r="AA69" s="319">
        <v>4959655.3159999996</v>
      </c>
      <c r="AB69" s="319">
        <v>7736</v>
      </c>
      <c r="AC69" s="320">
        <v>9.4945059260886592E-3</v>
      </c>
      <c r="AD69" s="319">
        <v>1175100.6661194984</v>
      </c>
      <c r="AE69" s="320">
        <v>1.2684743948577486E-2</v>
      </c>
      <c r="AF69" s="319">
        <v>668596.40800000005</v>
      </c>
      <c r="AG69" s="319"/>
      <c r="AH69" s="320"/>
      <c r="AI69" s="319"/>
      <c r="AJ69" s="320"/>
      <c r="AK69" s="319"/>
      <c r="AL69" s="319">
        <v>814787</v>
      </c>
      <c r="AM69" s="320">
        <v>1</v>
      </c>
      <c r="AN69" s="319">
        <v>92638895.265306368</v>
      </c>
      <c r="AO69" s="320">
        <v>1.0000000000000002</v>
      </c>
      <c r="AP69" s="319">
        <v>52708703.519000001</v>
      </c>
    </row>
    <row r="70" spans="2:42" hidden="1" outlineLevel="1" x14ac:dyDescent="0.25">
      <c r="B70" s="318">
        <v>40148</v>
      </c>
      <c r="C70" s="319"/>
      <c r="D70" s="320"/>
      <c r="E70" s="319"/>
      <c r="F70" s="320"/>
      <c r="G70" s="319"/>
      <c r="H70" s="319"/>
      <c r="I70" s="320"/>
      <c r="J70" s="319"/>
      <c r="K70" s="320"/>
      <c r="L70" s="319"/>
      <c r="M70" s="319">
        <v>398828</v>
      </c>
      <c r="N70" s="320">
        <v>0.46495534387142579</v>
      </c>
      <c r="O70" s="319">
        <v>54824385.21781946</v>
      </c>
      <c r="P70" s="320">
        <v>0.55645501643659956</v>
      </c>
      <c r="Q70" s="319">
        <v>31098135.497000001</v>
      </c>
      <c r="R70" s="319">
        <v>212205</v>
      </c>
      <c r="S70" s="320">
        <v>0.2473894730215429</v>
      </c>
      <c r="T70" s="319">
        <v>31586170.415969864</v>
      </c>
      <c r="U70" s="320">
        <v>0.32059243178298258</v>
      </c>
      <c r="V70" s="319">
        <v>17916680.752999999</v>
      </c>
      <c r="W70" s="319">
        <v>237978</v>
      </c>
      <c r="X70" s="320">
        <v>0.27743574378888686</v>
      </c>
      <c r="Y70" s="319">
        <v>10689256.102621416</v>
      </c>
      <c r="Z70" s="320">
        <v>0.10849351354597454</v>
      </c>
      <c r="AA70" s="319">
        <v>6063286.1330000004</v>
      </c>
      <c r="AB70" s="319">
        <v>8766</v>
      </c>
      <c r="AC70" s="320">
        <v>1.0219439318144459E-2</v>
      </c>
      <c r="AD70" s="319">
        <v>1424567.7703124974</v>
      </c>
      <c r="AE70" s="320">
        <v>1.4459038234443137E-2</v>
      </c>
      <c r="AF70" s="319">
        <v>808060.16099999996</v>
      </c>
      <c r="AG70" s="319"/>
      <c r="AH70" s="320"/>
      <c r="AI70" s="319"/>
      <c r="AJ70" s="320"/>
      <c r="AK70" s="319"/>
      <c r="AL70" s="319">
        <v>857777</v>
      </c>
      <c r="AM70" s="320">
        <v>1</v>
      </c>
      <c r="AN70" s="319">
        <v>98524379.506723255</v>
      </c>
      <c r="AO70" s="320">
        <v>0.99999999999999989</v>
      </c>
      <c r="AP70" s="319">
        <v>55886162.544</v>
      </c>
    </row>
    <row r="71" spans="2:42" collapsed="1" x14ac:dyDescent="0.25">
      <c r="B71" s="321" t="s">
        <v>691</v>
      </c>
      <c r="C71" s="322"/>
      <c r="D71" s="311"/>
      <c r="E71" s="322"/>
      <c r="F71" s="311"/>
      <c r="G71" s="322"/>
      <c r="H71" s="322"/>
      <c r="I71" s="311"/>
      <c r="J71" s="322"/>
      <c r="K71" s="311"/>
      <c r="L71" s="322"/>
      <c r="M71" s="322">
        <v>379293.83333333331</v>
      </c>
      <c r="N71" s="311">
        <v>0.58685145645088088</v>
      </c>
      <c r="O71" s="322">
        <v>46328456.209819026</v>
      </c>
      <c r="P71" s="311">
        <v>0.60144663809905263</v>
      </c>
      <c r="Q71" s="322"/>
      <c r="R71" s="322">
        <v>203022.75</v>
      </c>
      <c r="S71" s="311">
        <v>0.31412110100259932</v>
      </c>
      <c r="T71" s="322">
        <v>26132285.256535899</v>
      </c>
      <c r="U71" s="311">
        <v>0.33925531734117659</v>
      </c>
      <c r="V71" s="322"/>
      <c r="W71" s="322">
        <v>60019.833333333336</v>
      </c>
      <c r="X71" s="311">
        <v>9.2863957998102084E-2</v>
      </c>
      <c r="Y71" s="322">
        <v>3931957.6292795935</v>
      </c>
      <c r="Z71" s="311">
        <v>5.1045575241441238E-2</v>
      </c>
      <c r="AA71" s="322"/>
      <c r="AB71" s="322">
        <v>3983.5833333333335</v>
      </c>
      <c r="AC71" s="311">
        <v>6.1634845484177083E-3</v>
      </c>
      <c r="AD71" s="322">
        <v>635674.28798918729</v>
      </c>
      <c r="AE71" s="311">
        <v>8.2524693183295521E-3</v>
      </c>
      <c r="AF71" s="322"/>
      <c r="AG71" s="322"/>
      <c r="AH71" s="311"/>
      <c r="AI71" s="322"/>
      <c r="AJ71" s="311"/>
      <c r="AK71" s="322"/>
      <c r="AL71" s="322">
        <v>646320</v>
      </c>
      <c r="AM71" s="311">
        <v>1</v>
      </c>
      <c r="AN71" s="322">
        <v>77028373.383623704</v>
      </c>
      <c r="AO71" s="311">
        <v>1</v>
      </c>
      <c r="AP71" s="322"/>
    </row>
    <row r="72" spans="2:42" hidden="1" outlineLevel="1" x14ac:dyDescent="0.25">
      <c r="B72" s="318">
        <v>40179</v>
      </c>
      <c r="C72" s="319"/>
      <c r="D72" s="320"/>
      <c r="E72" s="319"/>
      <c r="F72" s="320"/>
      <c r="G72" s="319"/>
      <c r="H72" s="319"/>
      <c r="I72" s="320"/>
      <c r="J72" s="319"/>
      <c r="K72" s="320"/>
      <c r="L72" s="319"/>
      <c r="M72" s="319">
        <v>401503</v>
      </c>
      <c r="N72" s="320">
        <v>0.45844561265688655</v>
      </c>
      <c r="O72" s="319">
        <v>53353917.463203683</v>
      </c>
      <c r="P72" s="320">
        <v>0.56428748389835748</v>
      </c>
      <c r="Q72" s="319">
        <v>30420882.973000001</v>
      </c>
      <c r="R72" s="319">
        <v>213689</v>
      </c>
      <c r="S72" s="320">
        <v>0.24399514953322249</v>
      </c>
      <c r="T72" s="319">
        <v>29910345.069360651</v>
      </c>
      <c r="U72" s="320">
        <v>0.31634103294029631</v>
      </c>
      <c r="V72" s="319">
        <v>17054026.214000002</v>
      </c>
      <c r="W72" s="319">
        <v>250933</v>
      </c>
      <c r="X72" s="320">
        <v>0.28652122878491698</v>
      </c>
      <c r="Y72" s="319">
        <v>9842486.776018858</v>
      </c>
      <c r="Z72" s="320">
        <v>0.10409717528188873</v>
      </c>
      <c r="AA72" s="319">
        <v>5611905.4160000002</v>
      </c>
      <c r="AB72" s="319">
        <v>9667</v>
      </c>
      <c r="AC72" s="320">
        <v>1.1038009024973967E-2</v>
      </c>
      <c r="AD72" s="319">
        <v>1444200.3148432854</v>
      </c>
      <c r="AE72" s="320">
        <v>1.5274307879457428E-2</v>
      </c>
      <c r="AF72" s="319">
        <v>823441.85499999998</v>
      </c>
      <c r="AG72" s="319"/>
      <c r="AH72" s="320"/>
      <c r="AI72" s="319"/>
      <c r="AJ72" s="320"/>
      <c r="AK72" s="319"/>
      <c r="AL72" s="319">
        <v>875792</v>
      </c>
      <c r="AM72" s="320">
        <v>1</v>
      </c>
      <c r="AN72" s="319">
        <v>94550949.623426482</v>
      </c>
      <c r="AO72" s="320">
        <v>1</v>
      </c>
      <c r="AP72" s="319">
        <v>53910256.458000004</v>
      </c>
    </row>
    <row r="73" spans="2:42" hidden="1" outlineLevel="1" x14ac:dyDescent="0.25">
      <c r="B73" s="318">
        <v>40210</v>
      </c>
      <c r="C73" s="319"/>
      <c r="D73" s="320"/>
      <c r="E73" s="319"/>
      <c r="F73" s="320"/>
      <c r="G73" s="319"/>
      <c r="H73" s="319"/>
      <c r="I73" s="320"/>
      <c r="J73" s="319"/>
      <c r="K73" s="320"/>
      <c r="L73" s="319"/>
      <c r="M73" s="319">
        <v>399656</v>
      </c>
      <c r="N73" s="320">
        <v>0.4499100531125676</v>
      </c>
      <c r="O73" s="319">
        <v>52403662.61513298</v>
      </c>
      <c r="P73" s="320">
        <v>0.56799650996090334</v>
      </c>
      <c r="Q73" s="319">
        <v>29963034.173999999</v>
      </c>
      <c r="R73" s="319">
        <v>212721</v>
      </c>
      <c r="S73" s="320">
        <v>0.23946923456211963</v>
      </c>
      <c r="T73" s="319">
        <v>27903650.774736382</v>
      </c>
      <c r="U73" s="320">
        <v>0.30244405570692384</v>
      </c>
      <c r="V73" s="319">
        <v>15954572.639</v>
      </c>
      <c r="W73" s="319">
        <v>265352</v>
      </c>
      <c r="X73" s="320">
        <v>0.29871822871050613</v>
      </c>
      <c r="Y73" s="319">
        <v>10478670.228320671</v>
      </c>
      <c r="Z73" s="320">
        <v>0.11357694904704248</v>
      </c>
      <c r="AA73" s="319">
        <v>5991427.6689999998</v>
      </c>
      <c r="AB73" s="319">
        <v>10573</v>
      </c>
      <c r="AC73" s="320">
        <v>1.1902483614806676E-2</v>
      </c>
      <c r="AD73" s="319">
        <v>1474552.6635206814</v>
      </c>
      <c r="AE73" s="320">
        <v>1.5982485285130407E-2</v>
      </c>
      <c r="AF73" s="319">
        <v>843110.37899999996</v>
      </c>
      <c r="AG73" s="319"/>
      <c r="AH73" s="320"/>
      <c r="AI73" s="319"/>
      <c r="AJ73" s="320"/>
      <c r="AK73" s="319"/>
      <c r="AL73" s="319">
        <v>888302</v>
      </c>
      <c r="AM73" s="320">
        <v>1</v>
      </c>
      <c r="AN73" s="319">
        <v>92260536.281710714</v>
      </c>
      <c r="AO73" s="320">
        <v>1</v>
      </c>
      <c r="AP73" s="319">
        <v>52752144.861000001</v>
      </c>
    </row>
    <row r="74" spans="2:42" hidden="1" outlineLevel="1" x14ac:dyDescent="0.25">
      <c r="B74" s="318">
        <v>40238</v>
      </c>
      <c r="C74" s="319"/>
      <c r="D74" s="320"/>
      <c r="E74" s="319"/>
      <c r="F74" s="320"/>
      <c r="G74" s="319"/>
      <c r="H74" s="319"/>
      <c r="I74" s="320"/>
      <c r="J74" s="319"/>
      <c r="K74" s="320"/>
      <c r="L74" s="319"/>
      <c r="M74" s="319">
        <v>402294</v>
      </c>
      <c r="N74" s="320">
        <v>0.44120182405622199</v>
      </c>
      <c r="O74" s="319">
        <v>54310010.018656828</v>
      </c>
      <c r="P74" s="320">
        <v>0.55107759732160899</v>
      </c>
      <c r="Q74" s="319">
        <v>31079143.866999999</v>
      </c>
      <c r="R74" s="319">
        <v>214407</v>
      </c>
      <c r="S74" s="320">
        <v>0.23514335160460356</v>
      </c>
      <c r="T74" s="319">
        <v>30206146.581488669</v>
      </c>
      <c r="U74" s="320">
        <v>0.30649839093663989</v>
      </c>
      <c r="V74" s="319">
        <v>17285601.217</v>
      </c>
      <c r="W74" s="319">
        <v>283774</v>
      </c>
      <c r="X74" s="320">
        <v>0.31121917408594296</v>
      </c>
      <c r="Y74" s="319">
        <v>12369199.130150519</v>
      </c>
      <c r="Z74" s="320">
        <v>0.12550888013267325</v>
      </c>
      <c r="AA74" s="319">
        <v>7078329.0070000002</v>
      </c>
      <c r="AB74" s="319">
        <v>11339</v>
      </c>
      <c r="AC74" s="320">
        <v>1.243565025323147E-2</v>
      </c>
      <c r="AD74" s="319">
        <v>1667026.5160856927</v>
      </c>
      <c r="AE74" s="320">
        <v>1.6915131609077837E-2</v>
      </c>
      <c r="AF74" s="319">
        <v>953963.31</v>
      </c>
      <c r="AG74" s="319"/>
      <c r="AH74" s="320"/>
      <c r="AI74" s="319"/>
      <c r="AJ74" s="320"/>
      <c r="AK74" s="319"/>
      <c r="AL74" s="319">
        <v>911814</v>
      </c>
      <c r="AM74" s="320">
        <v>1</v>
      </c>
      <c r="AN74" s="319">
        <v>98552382.246381715</v>
      </c>
      <c r="AO74" s="320">
        <v>1</v>
      </c>
      <c r="AP74" s="319">
        <v>56397037.401000001</v>
      </c>
    </row>
    <row r="75" spans="2:42" hidden="1" outlineLevel="1" x14ac:dyDescent="0.25">
      <c r="B75" s="318">
        <v>40269</v>
      </c>
      <c r="C75" s="319"/>
      <c r="D75" s="320"/>
      <c r="E75" s="319"/>
      <c r="F75" s="320"/>
      <c r="G75" s="319"/>
      <c r="H75" s="319"/>
      <c r="I75" s="320"/>
      <c r="J75" s="319"/>
      <c r="K75" s="320"/>
      <c r="L75" s="319"/>
      <c r="M75" s="319">
        <v>403577</v>
      </c>
      <c r="N75" s="320">
        <v>0.43827049215933278</v>
      </c>
      <c r="O75" s="319">
        <v>53395525.82730294</v>
      </c>
      <c r="P75" s="320">
        <v>0.56380649761620683</v>
      </c>
      <c r="Q75" s="319">
        <v>30697055.164999999</v>
      </c>
      <c r="R75" s="319">
        <v>214665</v>
      </c>
      <c r="S75" s="320">
        <v>0.23311867425394206</v>
      </c>
      <c r="T75" s="319">
        <v>28999251.586592514</v>
      </c>
      <c r="U75" s="320">
        <v>0.30620480306549697</v>
      </c>
      <c r="V75" s="319">
        <v>16671652.014</v>
      </c>
      <c r="W75" s="319">
        <v>290581</v>
      </c>
      <c r="X75" s="320">
        <v>0.31556079232005563</v>
      </c>
      <c r="Y75" s="319">
        <v>10650342.388319159</v>
      </c>
      <c r="Z75" s="320">
        <v>0.11245759166775036</v>
      </c>
      <c r="AA75" s="319">
        <v>6122875.3300000001</v>
      </c>
      <c r="AB75" s="319">
        <v>12017</v>
      </c>
      <c r="AC75" s="320">
        <v>1.3050041266669563E-2</v>
      </c>
      <c r="AD75" s="319">
        <v>1660290.7474350294</v>
      </c>
      <c r="AE75" s="320">
        <v>1.7531107650545646E-2</v>
      </c>
      <c r="AF75" s="319">
        <v>954500.13600000006</v>
      </c>
      <c r="AG75" s="319"/>
      <c r="AH75" s="320"/>
      <c r="AI75" s="319"/>
      <c r="AJ75" s="320"/>
      <c r="AK75" s="319"/>
      <c r="AL75" s="319">
        <v>920840</v>
      </c>
      <c r="AM75" s="320">
        <v>1</v>
      </c>
      <c r="AN75" s="319">
        <v>94705410.549649656</v>
      </c>
      <c r="AO75" s="320">
        <v>0.99999999999999989</v>
      </c>
      <c r="AP75" s="319">
        <v>54446082.644999996</v>
      </c>
    </row>
    <row r="76" spans="2:42" hidden="1" outlineLevel="1" x14ac:dyDescent="0.25">
      <c r="B76" s="318">
        <v>40299</v>
      </c>
      <c r="C76" s="319"/>
      <c r="D76" s="320"/>
      <c r="E76" s="319"/>
      <c r="F76" s="320"/>
      <c r="G76" s="319"/>
      <c r="H76" s="319"/>
      <c r="I76" s="320"/>
      <c r="J76" s="319"/>
      <c r="K76" s="320"/>
      <c r="L76" s="319"/>
      <c r="M76" s="319">
        <v>404226</v>
      </c>
      <c r="N76" s="320">
        <v>0.43466376479342433</v>
      </c>
      <c r="O76" s="319">
        <v>53437099.930129565</v>
      </c>
      <c r="P76" s="320">
        <v>0.56029958168225014</v>
      </c>
      <c r="Q76" s="319">
        <v>30831499.243999999</v>
      </c>
      <c r="R76" s="319">
        <v>214850</v>
      </c>
      <c r="S76" s="320">
        <v>0.23102796422265567</v>
      </c>
      <c r="T76" s="319">
        <v>28937718.895072367</v>
      </c>
      <c r="U76" s="320">
        <v>0.30341825834387642</v>
      </c>
      <c r="V76" s="319">
        <v>16696139.187999999</v>
      </c>
      <c r="W76" s="319">
        <v>297968</v>
      </c>
      <c r="X76" s="320">
        <v>0.32040465647426702</v>
      </c>
      <c r="Y76" s="319">
        <v>11185822.067624502</v>
      </c>
      <c r="Z76" s="320">
        <v>0.11728577025057309</v>
      </c>
      <c r="AA76" s="319">
        <v>6453861.9249999998</v>
      </c>
      <c r="AB76" s="319">
        <v>12930</v>
      </c>
      <c r="AC76" s="320">
        <v>1.3903614509652959E-2</v>
      </c>
      <c r="AD76" s="319">
        <v>1811730.7403798071</v>
      </c>
      <c r="AE76" s="320">
        <v>1.8996389723300203E-2</v>
      </c>
      <c r="AF76" s="319">
        <v>1045310.749</v>
      </c>
      <c r="AG76" s="319"/>
      <c r="AH76" s="320"/>
      <c r="AI76" s="319"/>
      <c r="AJ76" s="320"/>
      <c r="AK76" s="319"/>
      <c r="AL76" s="319">
        <v>929974</v>
      </c>
      <c r="AM76" s="320">
        <v>1</v>
      </c>
      <c r="AN76" s="319">
        <v>95372371.633206248</v>
      </c>
      <c r="AO76" s="320">
        <v>0.99999999999999978</v>
      </c>
      <c r="AP76" s="319">
        <v>55026811.105999991</v>
      </c>
    </row>
    <row r="77" spans="2:42" hidden="1" outlineLevel="1" x14ac:dyDescent="0.25">
      <c r="B77" s="318">
        <v>40330</v>
      </c>
      <c r="C77" s="319"/>
      <c r="D77" s="320"/>
      <c r="E77" s="319"/>
      <c r="F77" s="320"/>
      <c r="G77" s="319"/>
      <c r="H77" s="319"/>
      <c r="I77" s="320"/>
      <c r="J77" s="319"/>
      <c r="K77" s="320"/>
      <c r="L77" s="319"/>
      <c r="M77" s="319">
        <v>405141</v>
      </c>
      <c r="N77" s="320">
        <v>0.42909933210897239</v>
      </c>
      <c r="O77" s="319">
        <v>53393241.325650707</v>
      </c>
      <c r="P77" s="320">
        <v>0.55333693815810059</v>
      </c>
      <c r="Q77" s="319">
        <v>30806306.613000002</v>
      </c>
      <c r="R77" s="319">
        <v>215430</v>
      </c>
      <c r="S77" s="320">
        <v>0.22816962271464974</v>
      </c>
      <c r="T77" s="319">
        <v>29281432.207982089</v>
      </c>
      <c r="U77" s="320">
        <v>0.30345597383811457</v>
      </c>
      <c r="V77" s="319">
        <v>16894512.419</v>
      </c>
      <c r="W77" s="319">
        <v>309440</v>
      </c>
      <c r="X77" s="320">
        <v>0.32773897810342673</v>
      </c>
      <c r="Y77" s="319">
        <v>11639836.753971931</v>
      </c>
      <c r="Z77" s="320">
        <v>0.12062859399788384</v>
      </c>
      <c r="AA77" s="319">
        <v>6715838.392</v>
      </c>
      <c r="AB77" s="319">
        <v>14155</v>
      </c>
      <c r="AC77" s="320">
        <v>1.4992067072951155E-2</v>
      </c>
      <c r="AD77" s="319">
        <v>2178670.7087361966</v>
      </c>
      <c r="AE77" s="320">
        <v>2.2578494005900923E-2</v>
      </c>
      <c r="AF77" s="319">
        <v>1257027.9720000001</v>
      </c>
      <c r="AG77" s="319"/>
      <c r="AH77" s="320"/>
      <c r="AI77" s="319"/>
      <c r="AJ77" s="320"/>
      <c r="AK77" s="319"/>
      <c r="AL77" s="319">
        <v>944166</v>
      </c>
      <c r="AM77" s="320">
        <v>1</v>
      </c>
      <c r="AN77" s="319">
        <v>96493180.99634093</v>
      </c>
      <c r="AO77" s="320">
        <v>1</v>
      </c>
      <c r="AP77" s="319">
        <v>55673685.396000005</v>
      </c>
    </row>
    <row r="78" spans="2:42" hidden="1" outlineLevel="1" x14ac:dyDescent="0.25">
      <c r="B78" s="318">
        <v>40360</v>
      </c>
      <c r="C78" s="319"/>
      <c r="D78" s="320"/>
      <c r="E78" s="319"/>
      <c r="F78" s="320"/>
      <c r="G78" s="319"/>
      <c r="H78" s="319"/>
      <c r="I78" s="320"/>
      <c r="J78" s="319"/>
      <c r="K78" s="320"/>
      <c r="L78" s="319"/>
      <c r="M78" s="319">
        <v>405859</v>
      </c>
      <c r="N78" s="320">
        <v>0.42549963778030092</v>
      </c>
      <c r="O78" s="319">
        <v>53814290.924269512</v>
      </c>
      <c r="P78" s="320">
        <v>0.50727639370041155</v>
      </c>
      <c r="Q78" s="319">
        <v>31248696.783</v>
      </c>
      <c r="R78" s="319">
        <v>215653</v>
      </c>
      <c r="S78" s="320">
        <v>0.22608904419080328</v>
      </c>
      <c r="T78" s="319">
        <v>29451044.352228399</v>
      </c>
      <c r="U78" s="320">
        <v>0.27761806971931391</v>
      </c>
      <c r="V78" s="319">
        <v>17101530.822000001</v>
      </c>
      <c r="W78" s="319">
        <v>317232</v>
      </c>
      <c r="X78" s="320">
        <v>0.33258373250887724</v>
      </c>
      <c r="Y78" s="319">
        <v>20655794.251469117</v>
      </c>
      <c r="Z78" s="320">
        <v>0.19471030161204672</v>
      </c>
      <c r="AA78" s="319">
        <v>11994335.339</v>
      </c>
      <c r="AB78" s="319">
        <v>15097</v>
      </c>
      <c r="AC78" s="320">
        <v>1.5827585520018537E-2</v>
      </c>
      <c r="AD78" s="319">
        <v>2163623.4638137664</v>
      </c>
      <c r="AE78" s="320">
        <v>2.0395234968227705E-2</v>
      </c>
      <c r="AF78" s="319">
        <v>1256365.4080000001</v>
      </c>
      <c r="AG78" s="319"/>
      <c r="AH78" s="320"/>
      <c r="AI78" s="319"/>
      <c r="AJ78" s="320"/>
      <c r="AK78" s="319"/>
      <c r="AL78" s="319">
        <v>953841</v>
      </c>
      <c r="AM78" s="320">
        <v>1</v>
      </c>
      <c r="AN78" s="319">
        <v>106084752.9917808</v>
      </c>
      <c r="AO78" s="320">
        <v>0.99999999999999989</v>
      </c>
      <c r="AP78" s="319">
        <v>61600928.352000006</v>
      </c>
    </row>
    <row r="79" spans="2:42" hidden="1" outlineLevel="1" x14ac:dyDescent="0.25">
      <c r="B79" s="318">
        <v>40391</v>
      </c>
      <c r="C79" s="319"/>
      <c r="D79" s="320"/>
      <c r="E79" s="319"/>
      <c r="F79" s="320"/>
      <c r="G79" s="319"/>
      <c r="H79" s="319"/>
      <c r="I79" s="320"/>
      <c r="J79" s="319"/>
      <c r="K79" s="320"/>
      <c r="L79" s="319"/>
      <c r="M79" s="319">
        <v>407004</v>
      </c>
      <c r="N79" s="320">
        <v>0.42148364928762716</v>
      </c>
      <c r="O79" s="319">
        <v>54087211.777618743</v>
      </c>
      <c r="P79" s="320">
        <v>0.5033315246396296</v>
      </c>
      <c r="Q79" s="319">
        <v>31376299.859999999</v>
      </c>
      <c r="R79" s="319">
        <v>215989</v>
      </c>
      <c r="S79" s="320">
        <v>0.22367306445633287</v>
      </c>
      <c r="T79" s="319">
        <v>29308732.714062165</v>
      </c>
      <c r="U79" s="320">
        <v>0.27274486218438554</v>
      </c>
      <c r="V79" s="319">
        <v>17002162.912999999</v>
      </c>
      <c r="W79" s="319">
        <v>326831</v>
      </c>
      <c r="X79" s="320">
        <v>0.33845839986910314</v>
      </c>
      <c r="Y79" s="319">
        <v>21845199.041622784</v>
      </c>
      <c r="Z79" s="320">
        <v>0.20328977919741928</v>
      </c>
      <c r="AA79" s="319">
        <v>12672524.486</v>
      </c>
      <c r="AB79" s="319">
        <v>15822</v>
      </c>
      <c r="AC79" s="320">
        <v>1.6384886386936828E-2</v>
      </c>
      <c r="AD79" s="319">
        <v>2217279.2554210601</v>
      </c>
      <c r="AE79" s="320">
        <v>2.0633833978565632E-2</v>
      </c>
      <c r="AF79" s="319">
        <v>1286256.335</v>
      </c>
      <c r="AG79" s="319"/>
      <c r="AH79" s="320"/>
      <c r="AI79" s="319"/>
      <c r="AJ79" s="320"/>
      <c r="AK79" s="319"/>
      <c r="AL79" s="319">
        <v>965646</v>
      </c>
      <c r="AM79" s="320">
        <v>0.99999999999999989</v>
      </c>
      <c r="AN79" s="319">
        <v>107458422.78872475</v>
      </c>
      <c r="AO79" s="320">
        <v>1</v>
      </c>
      <c r="AP79" s="319">
        <v>62337243.594000004</v>
      </c>
    </row>
    <row r="80" spans="2:42" hidden="1" outlineLevel="1" x14ac:dyDescent="0.25">
      <c r="B80" s="318">
        <v>40422</v>
      </c>
      <c r="C80" s="319"/>
      <c r="D80" s="320"/>
      <c r="E80" s="319"/>
      <c r="F80" s="320"/>
      <c r="G80" s="319"/>
      <c r="H80" s="319"/>
      <c r="I80" s="320"/>
      <c r="J80" s="319"/>
      <c r="K80" s="320"/>
      <c r="L80" s="319"/>
      <c r="M80" s="319">
        <v>405711</v>
      </c>
      <c r="N80" s="320">
        <v>0.41614713792488012</v>
      </c>
      <c r="O80" s="319">
        <v>52998808.328460105</v>
      </c>
      <c r="P80" s="320">
        <v>0.50140057751931033</v>
      </c>
      <c r="Q80" s="319">
        <v>30867869.701000001</v>
      </c>
      <c r="R80" s="319">
        <v>216293</v>
      </c>
      <c r="S80" s="320">
        <v>0.22185672289680611</v>
      </c>
      <c r="T80" s="319">
        <v>29307341.52944487</v>
      </c>
      <c r="U80" s="320">
        <v>0.27726506372273152</v>
      </c>
      <c r="V80" s="319">
        <v>17069349.824000001</v>
      </c>
      <c r="W80" s="319">
        <v>337133</v>
      </c>
      <c r="X80" s="320">
        <v>0.34580510030546036</v>
      </c>
      <c r="Y80" s="319">
        <v>21339444.796412922</v>
      </c>
      <c r="Z80" s="320">
        <v>0.20188397215560111</v>
      </c>
      <c r="AA80" s="319">
        <v>12428641.742000001</v>
      </c>
      <c r="AB80" s="319">
        <v>15785</v>
      </c>
      <c r="AC80" s="320">
        <v>1.6191038872853419E-2</v>
      </c>
      <c r="AD80" s="319">
        <v>2055935.6284608161</v>
      </c>
      <c r="AE80" s="320">
        <v>1.9450386602357234E-2</v>
      </c>
      <c r="AF80" s="319">
        <v>1197429.8119999999</v>
      </c>
      <c r="AG80" s="319"/>
      <c r="AH80" s="320"/>
      <c r="AI80" s="319"/>
      <c r="AJ80" s="320"/>
      <c r="AK80" s="319"/>
      <c r="AL80" s="319">
        <v>974922</v>
      </c>
      <c r="AM80" s="320">
        <v>1</v>
      </c>
      <c r="AN80" s="319">
        <v>105701530.2827787</v>
      </c>
      <c r="AO80" s="320">
        <v>1.0000000000000002</v>
      </c>
      <c r="AP80" s="319">
        <v>61563291.079000004</v>
      </c>
    </row>
    <row r="81" spans="2:42" hidden="1" outlineLevel="1" x14ac:dyDescent="0.25">
      <c r="B81" s="318">
        <v>40452</v>
      </c>
      <c r="C81" s="319"/>
      <c r="D81" s="320"/>
      <c r="E81" s="319"/>
      <c r="F81" s="320"/>
      <c r="G81" s="319"/>
      <c r="H81" s="319"/>
      <c r="I81" s="320"/>
      <c r="J81" s="319"/>
      <c r="K81" s="320"/>
      <c r="L81" s="319"/>
      <c r="M81" s="319">
        <v>405916</v>
      </c>
      <c r="N81" s="320">
        <v>0.41141747446859406</v>
      </c>
      <c r="O81" s="319">
        <v>53572849.516653828</v>
      </c>
      <c r="P81" s="320">
        <v>0.49481363331721662</v>
      </c>
      <c r="Q81" s="319">
        <v>31232799.296999998</v>
      </c>
      <c r="R81" s="319">
        <v>216539</v>
      </c>
      <c r="S81" s="320">
        <v>0.21947380370311809</v>
      </c>
      <c r="T81" s="319">
        <v>29249804.0860392</v>
      </c>
      <c r="U81" s="320">
        <v>0.27015926843933585</v>
      </c>
      <c r="V81" s="319">
        <v>17052541.888999999</v>
      </c>
      <c r="W81" s="319">
        <v>348007</v>
      </c>
      <c r="X81" s="320">
        <v>0.35272362024998277</v>
      </c>
      <c r="Y81" s="319">
        <v>23282631.033057012</v>
      </c>
      <c r="Z81" s="320">
        <v>0.21504481017142463</v>
      </c>
      <c r="AA81" s="319">
        <v>13573699.153999999</v>
      </c>
      <c r="AB81" s="319">
        <v>16166</v>
      </c>
      <c r="AC81" s="320">
        <v>1.6385101578305097E-2</v>
      </c>
      <c r="AD81" s="319">
        <v>2163457.1883241334</v>
      </c>
      <c r="AE81" s="320">
        <v>1.9982288072022986E-2</v>
      </c>
      <c r="AF81" s="319">
        <v>1261288.5959999999</v>
      </c>
      <c r="AG81" s="319"/>
      <c r="AH81" s="320"/>
      <c r="AI81" s="319"/>
      <c r="AJ81" s="320"/>
      <c r="AK81" s="319"/>
      <c r="AL81" s="319">
        <v>986628</v>
      </c>
      <c r="AM81" s="320">
        <v>1.0000000000000002</v>
      </c>
      <c r="AN81" s="319">
        <v>108268741.82407416</v>
      </c>
      <c r="AO81" s="320">
        <v>1.0000000000000002</v>
      </c>
      <c r="AP81" s="319">
        <v>63120328.935999997</v>
      </c>
    </row>
    <row r="82" spans="2:42" hidden="1" outlineLevel="1" x14ac:dyDescent="0.25">
      <c r="B82" s="318">
        <v>40483</v>
      </c>
      <c r="C82" s="319"/>
      <c r="D82" s="320"/>
      <c r="E82" s="319"/>
      <c r="F82" s="320"/>
      <c r="G82" s="319"/>
      <c r="H82" s="319"/>
      <c r="I82" s="320"/>
      <c r="J82" s="319"/>
      <c r="K82" s="320"/>
      <c r="L82" s="319"/>
      <c r="M82" s="319">
        <v>406466</v>
      </c>
      <c r="N82" s="320">
        <v>0.40554460266275022</v>
      </c>
      <c r="O82" s="319">
        <v>53862831.316856302</v>
      </c>
      <c r="P82" s="320">
        <v>0.48876839213209133</v>
      </c>
      <c r="Q82" s="319">
        <v>31423959.846999999</v>
      </c>
      <c r="R82" s="319">
        <v>216508</v>
      </c>
      <c r="S82" s="320">
        <v>0.21601720890137607</v>
      </c>
      <c r="T82" s="319">
        <v>29223036.149717111</v>
      </c>
      <c r="U82" s="320">
        <v>0.2651790862625017</v>
      </c>
      <c r="V82" s="319">
        <v>17048927.658</v>
      </c>
      <c r="W82" s="319">
        <v>362534</v>
      </c>
      <c r="X82" s="320">
        <v>0.36171218990453691</v>
      </c>
      <c r="Y82" s="319">
        <v>24777464.099917367</v>
      </c>
      <c r="Z82" s="320">
        <v>0.22483855737151495</v>
      </c>
      <c r="AA82" s="319">
        <v>14455349.226</v>
      </c>
      <c r="AB82" s="319">
        <v>16764</v>
      </c>
      <c r="AC82" s="320">
        <v>1.6725998531336803E-2</v>
      </c>
      <c r="AD82" s="319">
        <v>2337802.9256506134</v>
      </c>
      <c r="AE82" s="320">
        <v>2.1213964233892036E-2</v>
      </c>
      <c r="AF82" s="319">
        <v>1363890.8959999999</v>
      </c>
      <c r="AG82" s="319"/>
      <c r="AH82" s="320"/>
      <c r="AI82" s="319"/>
      <c r="AJ82" s="320"/>
      <c r="AK82" s="319"/>
      <c r="AL82" s="319">
        <v>1002272</v>
      </c>
      <c r="AM82" s="320">
        <v>1</v>
      </c>
      <c r="AN82" s="319">
        <v>110201134.4921414</v>
      </c>
      <c r="AO82" s="320">
        <v>0.99999999999999989</v>
      </c>
      <c r="AP82" s="319">
        <v>64292127.626999989</v>
      </c>
    </row>
    <row r="83" spans="2:42" hidden="1" outlineLevel="1" x14ac:dyDescent="0.25">
      <c r="B83" s="318">
        <v>40513</v>
      </c>
      <c r="C83" s="319"/>
      <c r="D83" s="320"/>
      <c r="E83" s="319"/>
      <c r="F83" s="320"/>
      <c r="G83" s="319"/>
      <c r="H83" s="319"/>
      <c r="I83" s="320"/>
      <c r="J83" s="319"/>
      <c r="K83" s="320"/>
      <c r="L83" s="319"/>
      <c r="M83" s="319">
        <v>407118</v>
      </c>
      <c r="N83" s="320">
        <v>0.40265059168525213</v>
      </c>
      <c r="O83" s="319">
        <v>53882678.830327347</v>
      </c>
      <c r="P83" s="320">
        <v>0.49036701508285663</v>
      </c>
      <c r="Q83" s="319">
        <v>31472596.182999998</v>
      </c>
      <c r="R83" s="319">
        <v>216390</v>
      </c>
      <c r="S83" s="320">
        <v>0.21401549804914474</v>
      </c>
      <c r="T83" s="319">
        <v>29069985.731805325</v>
      </c>
      <c r="U83" s="320">
        <v>0.26455555739339637</v>
      </c>
      <c r="V83" s="319">
        <v>16979629.480999999</v>
      </c>
      <c r="W83" s="319">
        <v>370216</v>
      </c>
      <c r="X83" s="320">
        <v>0.36615352662212752</v>
      </c>
      <c r="Y83" s="319">
        <v>24515927.751874007</v>
      </c>
      <c r="Z83" s="320">
        <v>0.22311070226350865</v>
      </c>
      <c r="AA83" s="319">
        <v>14319627.585999999</v>
      </c>
      <c r="AB83" s="319">
        <v>17371</v>
      </c>
      <c r="AC83" s="320">
        <v>1.7180383643475638E-2</v>
      </c>
      <c r="AD83" s="319">
        <v>2413755.34190745</v>
      </c>
      <c r="AE83" s="320">
        <v>2.1966725260238247E-2</v>
      </c>
      <c r="AF83" s="319">
        <v>1409862.108</v>
      </c>
      <c r="AG83" s="319"/>
      <c r="AH83" s="320"/>
      <c r="AI83" s="319"/>
      <c r="AJ83" s="320"/>
      <c r="AK83" s="319"/>
      <c r="AL83" s="319">
        <v>1011095</v>
      </c>
      <c r="AM83" s="320">
        <v>1</v>
      </c>
      <c r="AN83" s="319">
        <v>109882347.65591414</v>
      </c>
      <c r="AO83" s="320">
        <v>0.99999999999999978</v>
      </c>
      <c r="AP83" s="319">
        <v>64181715.358000003</v>
      </c>
    </row>
    <row r="84" spans="2:42" collapsed="1" x14ac:dyDescent="0.25">
      <c r="B84" s="321" t="s">
        <v>692</v>
      </c>
      <c r="C84" s="322"/>
      <c r="D84" s="311"/>
      <c r="E84" s="322"/>
      <c r="F84" s="311"/>
      <c r="G84" s="322"/>
      <c r="H84" s="322"/>
      <c r="I84" s="311"/>
      <c r="J84" s="322"/>
      <c r="K84" s="311"/>
      <c r="L84" s="322"/>
      <c r="M84" s="322">
        <v>404539.25</v>
      </c>
      <c r="N84" s="311">
        <v>0.42713121669025311</v>
      </c>
      <c r="O84" s="322">
        <v>53542677.322855212</v>
      </c>
      <c r="P84" s="311">
        <v>0.52685149188284774</v>
      </c>
      <c r="Q84" s="322"/>
      <c r="R84" s="322">
        <v>215261.16666666666</v>
      </c>
      <c r="S84" s="311">
        <v>0.2272826778229719</v>
      </c>
      <c r="T84" s="322">
        <v>29237374.13987748</v>
      </c>
      <c r="U84" s="311">
        <v>0.28769114572752602</v>
      </c>
      <c r="V84" s="322"/>
      <c r="W84" s="322">
        <v>313333.41666666669</v>
      </c>
      <c r="X84" s="311">
        <v>0.3308318871173746</v>
      </c>
      <c r="Y84" s="322">
        <v>16881901.526563235</v>
      </c>
      <c r="Z84" s="311">
        <v>0.16611524581518389</v>
      </c>
      <c r="AA84" s="322"/>
      <c r="AB84" s="322">
        <v>13973.833333333334</v>
      </c>
      <c r="AC84" s="311">
        <v>1.4754218369400452E-2</v>
      </c>
      <c r="AD84" s="322">
        <v>1965693.7912148777</v>
      </c>
      <c r="AE84" s="311">
        <v>1.9342116574442219E-2</v>
      </c>
      <c r="AF84" s="322"/>
      <c r="AG84" s="322"/>
      <c r="AH84" s="311"/>
      <c r="AI84" s="322"/>
      <c r="AJ84" s="311"/>
      <c r="AK84" s="322"/>
      <c r="AL84" s="322">
        <v>947107.66666666663</v>
      </c>
      <c r="AM84" s="311">
        <v>1</v>
      </c>
      <c r="AN84" s="322">
        <v>101627646.78051081</v>
      </c>
      <c r="AO84" s="311">
        <v>0.99999999999999978</v>
      </c>
      <c r="AP84" s="322"/>
    </row>
    <row r="85" spans="2:42" hidden="1" outlineLevel="1" x14ac:dyDescent="0.25">
      <c r="B85" s="318">
        <v>40544</v>
      </c>
      <c r="C85" s="319"/>
      <c r="D85" s="320"/>
      <c r="E85" s="319"/>
      <c r="F85" s="320"/>
      <c r="G85" s="319"/>
      <c r="H85" s="319"/>
      <c r="I85" s="320"/>
      <c r="J85" s="319"/>
      <c r="K85" s="320"/>
      <c r="L85" s="319"/>
      <c r="M85" s="319">
        <v>408161</v>
      </c>
      <c r="N85" s="320">
        <v>0.4019207780007602</v>
      </c>
      <c r="O85" s="319">
        <v>54402157.85734611</v>
      </c>
      <c r="P85" s="320">
        <v>0.49319949204690744</v>
      </c>
      <c r="Q85" s="319">
        <v>31862037.416999999</v>
      </c>
      <c r="R85" s="319">
        <v>216183</v>
      </c>
      <c r="S85" s="320">
        <v>0.2128778583709329</v>
      </c>
      <c r="T85" s="319">
        <v>28732425.843500406</v>
      </c>
      <c r="U85" s="320">
        <v>0.26048264240636737</v>
      </c>
      <c r="V85" s="319">
        <v>16827891.822000001</v>
      </c>
      <c r="W85" s="319">
        <v>372853</v>
      </c>
      <c r="X85" s="320">
        <v>0.36715258890466618</v>
      </c>
      <c r="Y85" s="319">
        <v>24403155.318963148</v>
      </c>
      <c r="Z85" s="320">
        <v>0.22123430910983985</v>
      </c>
      <c r="AA85" s="319">
        <v>14292342.040999999</v>
      </c>
      <c r="AB85" s="319">
        <v>18329</v>
      </c>
      <c r="AC85" s="320">
        <v>1.8048774723640755E-2</v>
      </c>
      <c r="AD85" s="319">
        <v>2766830.9049541797</v>
      </c>
      <c r="AE85" s="320">
        <v>2.5083556436885344E-2</v>
      </c>
      <c r="AF85" s="319">
        <v>1620466.4169999999</v>
      </c>
      <c r="AG85" s="319"/>
      <c r="AH85" s="320"/>
      <c r="AI85" s="319"/>
      <c r="AJ85" s="320"/>
      <c r="AK85" s="319"/>
      <c r="AL85" s="319">
        <v>1015526</v>
      </c>
      <c r="AM85" s="320">
        <v>1</v>
      </c>
      <c r="AN85" s="319">
        <v>110304569.92476384</v>
      </c>
      <c r="AO85" s="320">
        <v>1</v>
      </c>
      <c r="AP85" s="319">
        <v>64602737.697000004</v>
      </c>
    </row>
    <row r="86" spans="2:42" hidden="1" outlineLevel="1" x14ac:dyDescent="0.25">
      <c r="B86" s="318">
        <v>40575</v>
      </c>
      <c r="C86" s="319"/>
      <c r="D86" s="320"/>
      <c r="E86" s="319"/>
      <c r="F86" s="320"/>
      <c r="G86" s="319"/>
      <c r="H86" s="319"/>
      <c r="I86" s="320"/>
      <c r="J86" s="319"/>
      <c r="K86" s="320"/>
      <c r="L86" s="319"/>
      <c r="M86" s="319">
        <v>407627</v>
      </c>
      <c r="N86" s="320">
        <v>0.39832102587253987</v>
      </c>
      <c r="O86" s="319">
        <v>53286137.634564392</v>
      </c>
      <c r="P86" s="320">
        <v>0.48441660651244034</v>
      </c>
      <c r="Q86" s="319">
        <v>31280217.890999999</v>
      </c>
      <c r="R86" s="319">
        <v>215873</v>
      </c>
      <c r="S86" s="320">
        <v>0.21094469899732549</v>
      </c>
      <c r="T86" s="319">
        <v>28520319.069112174</v>
      </c>
      <c r="U86" s="320">
        <v>0.25927411505895498</v>
      </c>
      <c r="V86" s="319">
        <v>16742099.060000001</v>
      </c>
      <c r="W86" s="319">
        <v>381231</v>
      </c>
      <c r="X86" s="320">
        <v>0.37252763682095208</v>
      </c>
      <c r="Y86" s="319">
        <v>25742082.633792907</v>
      </c>
      <c r="Z86" s="320">
        <v>0.23401756756218914</v>
      </c>
      <c r="AA86" s="319">
        <v>15111208.834000001</v>
      </c>
      <c r="AB86" s="319">
        <v>18632</v>
      </c>
      <c r="AC86" s="320">
        <v>1.8206638309182569E-2</v>
      </c>
      <c r="AD86" s="319">
        <v>2452102.5030285157</v>
      </c>
      <c r="AE86" s="320">
        <v>2.2291710866415567E-2</v>
      </c>
      <c r="AF86" s="319">
        <v>1439441.926</v>
      </c>
      <c r="AG86" s="319"/>
      <c r="AH86" s="320"/>
      <c r="AI86" s="319"/>
      <c r="AJ86" s="320"/>
      <c r="AK86" s="319"/>
      <c r="AL86" s="319">
        <v>1023363</v>
      </c>
      <c r="AM86" s="320">
        <v>1</v>
      </c>
      <c r="AN86" s="319">
        <v>110000641.84049799</v>
      </c>
      <c r="AO86" s="320">
        <v>1</v>
      </c>
      <c r="AP86" s="319">
        <v>64572967.710999995</v>
      </c>
    </row>
    <row r="87" spans="2:42" hidden="1" outlineLevel="1" x14ac:dyDescent="0.25">
      <c r="B87" s="318">
        <v>40603</v>
      </c>
      <c r="C87" s="319"/>
      <c r="D87" s="320"/>
      <c r="E87" s="319"/>
      <c r="F87" s="320"/>
      <c r="G87" s="319"/>
      <c r="H87" s="319"/>
      <c r="I87" s="320"/>
      <c r="J87" s="319"/>
      <c r="K87" s="320"/>
      <c r="L87" s="319"/>
      <c r="M87" s="319">
        <v>408158</v>
      </c>
      <c r="N87" s="320">
        <v>0.39701768379277474</v>
      </c>
      <c r="O87" s="319">
        <v>53267459.625988863</v>
      </c>
      <c r="P87" s="320">
        <v>0.48977940697454192</v>
      </c>
      <c r="Q87" s="319">
        <v>31508366.419</v>
      </c>
      <c r="R87" s="319">
        <v>215968</v>
      </c>
      <c r="S87" s="320">
        <v>0.21007334202283914</v>
      </c>
      <c r="T87" s="319">
        <v>28577812.032624763</v>
      </c>
      <c r="U87" s="320">
        <v>0.26276499627062977</v>
      </c>
      <c r="V87" s="319">
        <v>16904132.078000002</v>
      </c>
      <c r="W87" s="319">
        <v>384417</v>
      </c>
      <c r="X87" s="320">
        <v>0.37392467365717952</v>
      </c>
      <c r="Y87" s="319">
        <v>24062630.828535296</v>
      </c>
      <c r="Z87" s="320">
        <v>0.22124916675578299</v>
      </c>
      <c r="AA87" s="319">
        <v>14233346.107999999</v>
      </c>
      <c r="AB87" s="319">
        <v>19517</v>
      </c>
      <c r="AC87" s="320">
        <v>1.8984300527206583E-2</v>
      </c>
      <c r="AD87" s="319">
        <v>2850160.5662404089</v>
      </c>
      <c r="AE87" s="320">
        <v>2.620642999904536E-2</v>
      </c>
      <c r="AF87" s="319">
        <v>1685905.5060000001</v>
      </c>
      <c r="AG87" s="319"/>
      <c r="AH87" s="320"/>
      <c r="AI87" s="319"/>
      <c r="AJ87" s="320"/>
      <c r="AK87" s="319"/>
      <c r="AL87" s="319">
        <v>1028060</v>
      </c>
      <c r="AM87" s="320">
        <v>1</v>
      </c>
      <c r="AN87" s="319">
        <v>108758063.05338933</v>
      </c>
      <c r="AO87" s="320">
        <v>1</v>
      </c>
      <c r="AP87" s="319">
        <v>64331750.111000001</v>
      </c>
    </row>
    <row r="88" spans="2:42" hidden="1" outlineLevel="1" x14ac:dyDescent="0.25">
      <c r="B88" s="318">
        <v>40634</v>
      </c>
      <c r="C88" s="319"/>
      <c r="D88" s="320"/>
      <c r="E88" s="319"/>
      <c r="F88" s="320"/>
      <c r="G88" s="319"/>
      <c r="H88" s="319"/>
      <c r="I88" s="320"/>
      <c r="J88" s="319"/>
      <c r="K88" s="320"/>
      <c r="L88" s="319"/>
      <c r="M88" s="319">
        <v>403355</v>
      </c>
      <c r="N88" s="320">
        <v>0.39436004180643697</v>
      </c>
      <c r="O88" s="319">
        <v>51521682.707118258</v>
      </c>
      <c r="P88" s="320">
        <v>0.48945379262799221</v>
      </c>
      <c r="Q88" s="319">
        <v>30572922.061000001</v>
      </c>
      <c r="R88" s="319">
        <v>215453</v>
      </c>
      <c r="S88" s="320">
        <v>0.21064832241405776</v>
      </c>
      <c r="T88" s="319">
        <v>28501409.094207942</v>
      </c>
      <c r="U88" s="320">
        <v>0.27076217319421264</v>
      </c>
      <c r="V88" s="319">
        <v>16912711.563000001</v>
      </c>
      <c r="W88" s="319">
        <v>383911</v>
      </c>
      <c r="X88" s="320">
        <v>0.3753496498368708</v>
      </c>
      <c r="Y88" s="319">
        <v>22803668.877646632</v>
      </c>
      <c r="Z88" s="320">
        <v>0.21663388366884606</v>
      </c>
      <c r="AA88" s="319">
        <v>13531677.435000001</v>
      </c>
      <c r="AB88" s="319">
        <v>20090</v>
      </c>
      <c r="AC88" s="320">
        <v>1.964198594263445E-2</v>
      </c>
      <c r="AD88" s="319">
        <v>2436868.8671100717</v>
      </c>
      <c r="AE88" s="320">
        <v>2.3150150508949013E-2</v>
      </c>
      <c r="AF88" s="319">
        <v>1446035.8829999999</v>
      </c>
      <c r="AG88" s="319"/>
      <c r="AH88" s="320"/>
      <c r="AI88" s="319"/>
      <c r="AJ88" s="320"/>
      <c r="AK88" s="319"/>
      <c r="AL88" s="319">
        <v>1022809</v>
      </c>
      <c r="AM88" s="320">
        <v>1</v>
      </c>
      <c r="AN88" s="319">
        <v>105263629.54608291</v>
      </c>
      <c r="AO88" s="320">
        <v>0.99999999999999989</v>
      </c>
      <c r="AP88" s="319">
        <v>62463346.942000002</v>
      </c>
    </row>
    <row r="89" spans="2:42" hidden="1" outlineLevel="1" x14ac:dyDescent="0.25">
      <c r="B89" s="318">
        <v>40664</v>
      </c>
      <c r="C89" s="319"/>
      <c r="D89" s="320"/>
      <c r="E89" s="319"/>
      <c r="F89" s="320"/>
      <c r="G89" s="319"/>
      <c r="H89" s="319"/>
      <c r="I89" s="320"/>
      <c r="J89" s="319"/>
      <c r="K89" s="320"/>
      <c r="L89" s="319"/>
      <c r="M89" s="319">
        <v>406131</v>
      </c>
      <c r="N89" s="320">
        <v>0.3934630632166759</v>
      </c>
      <c r="O89" s="319">
        <v>53619205.962065645</v>
      </c>
      <c r="P89" s="320">
        <v>0.48762634671125837</v>
      </c>
      <c r="Q89" s="319">
        <v>31944810.620999999</v>
      </c>
      <c r="R89" s="319">
        <v>215354</v>
      </c>
      <c r="S89" s="320">
        <v>0.20863673178349848</v>
      </c>
      <c r="T89" s="319">
        <v>28143818.29336036</v>
      </c>
      <c r="U89" s="320">
        <v>0.25594685804571543</v>
      </c>
      <c r="V89" s="319">
        <v>16767293.163000001</v>
      </c>
      <c r="W89" s="319">
        <v>389170</v>
      </c>
      <c r="X89" s="320">
        <v>0.37703110649527805</v>
      </c>
      <c r="Y89" s="319">
        <v>24889302.079374697</v>
      </c>
      <c r="Z89" s="320">
        <v>0.22634948107483785</v>
      </c>
      <c r="AA89" s="319">
        <v>14828344.194</v>
      </c>
      <c r="AB89" s="319">
        <v>21541</v>
      </c>
      <c r="AC89" s="320">
        <v>2.0869098504547587E-2</v>
      </c>
      <c r="AD89" s="319">
        <v>3307289.9240302956</v>
      </c>
      <c r="AE89" s="320">
        <v>3.0077314168188388E-2</v>
      </c>
      <c r="AF89" s="319">
        <v>1970390.057</v>
      </c>
      <c r="AG89" s="319"/>
      <c r="AH89" s="320"/>
      <c r="AI89" s="319"/>
      <c r="AJ89" s="320"/>
      <c r="AK89" s="319"/>
      <c r="AL89" s="319">
        <v>1032196</v>
      </c>
      <c r="AM89" s="320">
        <v>1</v>
      </c>
      <c r="AN89" s="319">
        <v>109959616.25883099</v>
      </c>
      <c r="AO89" s="320">
        <v>1.0000000000000002</v>
      </c>
      <c r="AP89" s="319">
        <v>65510838.034999996</v>
      </c>
    </row>
    <row r="90" spans="2:42" hidden="1" outlineLevel="1" x14ac:dyDescent="0.25">
      <c r="B90" s="318">
        <v>40695</v>
      </c>
      <c r="C90" s="319"/>
      <c r="D90" s="320"/>
      <c r="E90" s="319"/>
      <c r="F90" s="320"/>
      <c r="G90" s="319"/>
      <c r="H90" s="319"/>
      <c r="I90" s="320"/>
      <c r="J90" s="319"/>
      <c r="K90" s="320"/>
      <c r="L90" s="319"/>
      <c r="M90" s="319">
        <v>406612</v>
      </c>
      <c r="N90" s="320">
        <v>0.39025410877652328</v>
      </c>
      <c r="O90" s="319">
        <v>52538841.595659077</v>
      </c>
      <c r="P90" s="320">
        <v>0.47884412502391194</v>
      </c>
      <c r="Q90" s="319">
        <v>31354279.932999998</v>
      </c>
      <c r="R90" s="319">
        <v>215443</v>
      </c>
      <c r="S90" s="320">
        <v>0.20677578614782766</v>
      </c>
      <c r="T90" s="319">
        <v>28203867.064326212</v>
      </c>
      <c r="U90" s="320">
        <v>0.2570527944000931</v>
      </c>
      <c r="V90" s="319">
        <v>16831584.333999999</v>
      </c>
      <c r="W90" s="319">
        <v>397492</v>
      </c>
      <c r="X90" s="320">
        <v>0.38150100391970176</v>
      </c>
      <c r="Y90" s="319">
        <v>25874781.911721058</v>
      </c>
      <c r="Z90" s="320">
        <v>0.23582528522528964</v>
      </c>
      <c r="AA90" s="319">
        <v>15441626.244999999</v>
      </c>
      <c r="AB90" s="319">
        <v>22369</v>
      </c>
      <c r="AC90" s="320">
        <v>2.1469101155947311E-2</v>
      </c>
      <c r="AD90" s="319">
        <v>3102643.4970481871</v>
      </c>
      <c r="AE90" s="320">
        <v>2.8277795350705279E-2</v>
      </c>
      <c r="AF90" s="319">
        <v>1851604.4469999999</v>
      </c>
      <c r="AG90" s="319"/>
      <c r="AH90" s="320"/>
      <c r="AI90" s="319"/>
      <c r="AJ90" s="320"/>
      <c r="AK90" s="319"/>
      <c r="AL90" s="319">
        <v>1041916</v>
      </c>
      <c r="AM90" s="320">
        <v>1</v>
      </c>
      <c r="AN90" s="319">
        <v>109720134.06875454</v>
      </c>
      <c r="AO90" s="320">
        <v>1</v>
      </c>
      <c r="AP90" s="319">
        <v>65479094.958999991</v>
      </c>
    </row>
    <row r="91" spans="2:42" hidden="1" outlineLevel="1" x14ac:dyDescent="0.25">
      <c r="B91" s="318">
        <v>40725</v>
      </c>
      <c r="C91" s="319"/>
      <c r="D91" s="320"/>
      <c r="E91" s="319"/>
      <c r="F91" s="320"/>
      <c r="G91" s="319"/>
      <c r="H91" s="319"/>
      <c r="I91" s="320"/>
      <c r="J91" s="319"/>
      <c r="K91" s="320"/>
      <c r="L91" s="319"/>
      <c r="M91" s="319">
        <v>405603</v>
      </c>
      <c r="N91" s="320">
        <v>0.38809004847262435</v>
      </c>
      <c r="O91" s="319">
        <v>54022080.788886517</v>
      </c>
      <c r="P91" s="320">
        <v>0.4576944839403716</v>
      </c>
      <c r="Q91" s="319">
        <v>32280384.068</v>
      </c>
      <c r="R91" s="319">
        <v>214230</v>
      </c>
      <c r="S91" s="320">
        <v>0.2049800693887627</v>
      </c>
      <c r="T91" s="319">
        <v>28740852.596402481</v>
      </c>
      <c r="U91" s="320">
        <v>0.24350283263844377</v>
      </c>
      <c r="V91" s="319">
        <v>17173824.975000001</v>
      </c>
      <c r="W91" s="319">
        <v>402342</v>
      </c>
      <c r="X91" s="320">
        <v>0.38496985052519983</v>
      </c>
      <c r="Y91" s="319">
        <v>32142803.359954365</v>
      </c>
      <c r="Z91" s="320">
        <v>0.2723253821659094</v>
      </c>
      <c r="AA91" s="319">
        <v>19206628.517999999</v>
      </c>
      <c r="AB91" s="319">
        <v>22951</v>
      </c>
      <c r="AC91" s="320">
        <v>2.196003161341312E-2</v>
      </c>
      <c r="AD91" s="319">
        <v>3125139.0560138593</v>
      </c>
      <c r="AE91" s="320">
        <v>2.6477301255275202E-2</v>
      </c>
      <c r="AF91" s="319">
        <v>1867397.3219999999</v>
      </c>
      <c r="AG91" s="319"/>
      <c r="AH91" s="320"/>
      <c r="AI91" s="319"/>
      <c r="AJ91" s="320"/>
      <c r="AK91" s="319"/>
      <c r="AL91" s="319">
        <v>1045126</v>
      </c>
      <c r="AM91" s="320">
        <v>1</v>
      </c>
      <c r="AN91" s="319">
        <v>118030875.80125722</v>
      </c>
      <c r="AO91" s="320">
        <v>1</v>
      </c>
      <c r="AP91" s="319">
        <v>70528234.882999986</v>
      </c>
    </row>
    <row r="92" spans="2:42" hidden="1" outlineLevel="1" x14ac:dyDescent="0.25">
      <c r="B92" s="318">
        <v>40756</v>
      </c>
      <c r="C92" s="319"/>
      <c r="D92" s="320"/>
      <c r="E92" s="319"/>
      <c r="F92" s="320"/>
      <c r="G92" s="319"/>
      <c r="H92" s="319"/>
      <c r="I92" s="320"/>
      <c r="J92" s="319"/>
      <c r="K92" s="320"/>
      <c r="L92" s="319"/>
      <c r="M92" s="319">
        <v>405997</v>
      </c>
      <c r="N92" s="320">
        <v>0.38525524297354719</v>
      </c>
      <c r="O92" s="319">
        <v>54025660.185202219</v>
      </c>
      <c r="P92" s="320">
        <v>0.45146023061924573</v>
      </c>
      <c r="Q92" s="319">
        <v>32334868.84</v>
      </c>
      <c r="R92" s="319">
        <v>214543</v>
      </c>
      <c r="S92" s="320">
        <v>0.20358233088735567</v>
      </c>
      <c r="T92" s="319">
        <v>28836674.438177399</v>
      </c>
      <c r="U92" s="320">
        <v>0.24097089508065858</v>
      </c>
      <c r="V92" s="319">
        <v>17259022.519000001</v>
      </c>
      <c r="W92" s="319">
        <v>409747</v>
      </c>
      <c r="X92" s="320">
        <v>0.38881366128981754</v>
      </c>
      <c r="Y92" s="319">
        <v>33561988.407431789</v>
      </c>
      <c r="Z92" s="320">
        <v>0.28045752656271578</v>
      </c>
      <c r="AA92" s="319">
        <v>20087167.642999999</v>
      </c>
      <c r="AB92" s="319">
        <v>23552</v>
      </c>
      <c r="AC92" s="320">
        <v>2.2348764849279633E-2</v>
      </c>
      <c r="AD92" s="319">
        <v>3244379.8161655818</v>
      </c>
      <c r="AE92" s="320">
        <v>2.7111347737379939E-2</v>
      </c>
      <c r="AF92" s="319">
        <v>1941792.02</v>
      </c>
      <c r="AG92" s="319"/>
      <c r="AH92" s="320"/>
      <c r="AI92" s="319"/>
      <c r="AJ92" s="320"/>
      <c r="AK92" s="319"/>
      <c r="AL92" s="319">
        <v>1053839</v>
      </c>
      <c r="AM92" s="320">
        <v>1</v>
      </c>
      <c r="AN92" s="319">
        <v>119668702.84697698</v>
      </c>
      <c r="AO92" s="320">
        <v>1</v>
      </c>
      <c r="AP92" s="319">
        <v>71622851.022</v>
      </c>
    </row>
    <row r="93" spans="2:42" hidden="1" outlineLevel="1" x14ac:dyDescent="0.25">
      <c r="B93" s="318">
        <v>40787</v>
      </c>
      <c r="C93" s="319"/>
      <c r="D93" s="320"/>
      <c r="E93" s="319"/>
      <c r="F93" s="320"/>
      <c r="G93" s="319"/>
      <c r="H93" s="319"/>
      <c r="I93" s="320"/>
      <c r="J93" s="319"/>
      <c r="K93" s="320"/>
      <c r="L93" s="319"/>
      <c r="M93" s="319">
        <v>405744</v>
      </c>
      <c r="N93" s="320">
        <v>0.38511420240554001</v>
      </c>
      <c r="O93" s="319">
        <v>53796916.936717071</v>
      </c>
      <c r="P93" s="320">
        <v>0.45972646739031825</v>
      </c>
      <c r="Q93" s="319">
        <v>32357993.809</v>
      </c>
      <c r="R93" s="319">
        <v>214849</v>
      </c>
      <c r="S93" s="320">
        <v>0.2039251381970599</v>
      </c>
      <c r="T93" s="319">
        <v>29235876.747969542</v>
      </c>
      <c r="U93" s="320">
        <v>0.2498378550988945</v>
      </c>
      <c r="V93" s="319">
        <v>17584916.993000001</v>
      </c>
      <c r="W93" s="319">
        <v>409464</v>
      </c>
      <c r="X93" s="320">
        <v>0.38864506135341997</v>
      </c>
      <c r="Y93" s="319">
        <v>31048942.555093691</v>
      </c>
      <c r="Z93" s="320">
        <v>0.26533157455564049</v>
      </c>
      <c r="AA93" s="319">
        <v>18675447.370999999</v>
      </c>
      <c r="AB93" s="319">
        <v>23511</v>
      </c>
      <c r="AC93" s="320">
        <v>2.2315598043980076E-2</v>
      </c>
      <c r="AD93" s="319">
        <v>2937667.1504583899</v>
      </c>
      <c r="AE93" s="320">
        <v>2.5104102955146656E-2</v>
      </c>
      <c r="AF93" s="319">
        <v>1766960.281</v>
      </c>
      <c r="AG93" s="319"/>
      <c r="AH93" s="320"/>
      <c r="AI93" s="319"/>
      <c r="AJ93" s="320"/>
      <c r="AK93" s="319"/>
      <c r="AL93" s="319">
        <v>1053568</v>
      </c>
      <c r="AM93" s="320">
        <v>0.99999999999999989</v>
      </c>
      <c r="AN93" s="319">
        <v>117019403.3902387</v>
      </c>
      <c r="AO93" s="320">
        <v>0.99999999999999989</v>
      </c>
      <c r="AP93" s="319">
        <v>70385318.454000011</v>
      </c>
    </row>
    <row r="94" spans="2:42" hidden="1" outlineLevel="1" x14ac:dyDescent="0.25">
      <c r="B94" s="318">
        <v>40817</v>
      </c>
      <c r="C94" s="319"/>
      <c r="D94" s="320"/>
      <c r="E94" s="319"/>
      <c r="F94" s="320"/>
      <c r="G94" s="319"/>
      <c r="H94" s="319"/>
      <c r="I94" s="320"/>
      <c r="J94" s="319"/>
      <c r="K94" s="320"/>
      <c r="L94" s="319"/>
      <c r="M94" s="319">
        <v>403625</v>
      </c>
      <c r="N94" s="320">
        <v>0.37899843940438205</v>
      </c>
      <c r="O94" s="319">
        <v>52949294.427176692</v>
      </c>
      <c r="P94" s="320">
        <v>0.43739465880348816</v>
      </c>
      <c r="Q94" s="319">
        <v>32002757.372000001</v>
      </c>
      <c r="R94" s="319">
        <v>214346</v>
      </c>
      <c r="S94" s="320">
        <v>0.20126800741423767</v>
      </c>
      <c r="T94" s="319">
        <v>28632283.774653703</v>
      </c>
      <c r="U94" s="320">
        <v>0.23652077195482807</v>
      </c>
      <c r="V94" s="319">
        <v>17305462.528999999</v>
      </c>
      <c r="W94" s="319">
        <v>422164</v>
      </c>
      <c r="X94" s="320">
        <v>0.39640631074069138</v>
      </c>
      <c r="Y94" s="319">
        <v>35806606.899306059</v>
      </c>
      <c r="Z94" s="320">
        <v>0.29578521823690507</v>
      </c>
      <c r="AA94" s="319">
        <v>21641651.041999999</v>
      </c>
      <c r="AB94" s="319">
        <v>24843</v>
      </c>
      <c r="AC94" s="320">
        <v>2.3327242440688914E-2</v>
      </c>
      <c r="AD94" s="319">
        <v>3667921.4640917405</v>
      </c>
      <c r="AE94" s="320">
        <v>3.0299351004778669E-2</v>
      </c>
      <c r="AF94" s="319">
        <v>2216905.852</v>
      </c>
      <c r="AG94" s="319"/>
      <c r="AH94" s="320"/>
      <c r="AI94" s="319"/>
      <c r="AJ94" s="320"/>
      <c r="AK94" s="319"/>
      <c r="AL94" s="319">
        <v>1064978</v>
      </c>
      <c r="AM94" s="320">
        <v>1</v>
      </c>
      <c r="AN94" s="319">
        <v>121056106.56522819</v>
      </c>
      <c r="AO94" s="320">
        <v>0.99999999999999989</v>
      </c>
      <c r="AP94" s="319">
        <v>73166776.795000002</v>
      </c>
    </row>
    <row r="95" spans="2:42" hidden="1" outlineLevel="1" x14ac:dyDescent="0.25">
      <c r="B95" s="318">
        <v>40848</v>
      </c>
      <c r="C95" s="319"/>
      <c r="D95" s="320"/>
      <c r="E95" s="319"/>
      <c r="F95" s="320"/>
      <c r="G95" s="319"/>
      <c r="H95" s="319"/>
      <c r="I95" s="320"/>
      <c r="J95" s="319"/>
      <c r="K95" s="320"/>
      <c r="L95" s="319"/>
      <c r="M95" s="319">
        <v>401693</v>
      </c>
      <c r="N95" s="320">
        <v>0.3778840382838855</v>
      </c>
      <c r="O95" s="319">
        <v>51945536.912062444</v>
      </c>
      <c r="P95" s="320">
        <v>0.44669860673176237</v>
      </c>
      <c r="Q95" s="319">
        <v>31495705.230999999</v>
      </c>
      <c r="R95" s="319">
        <v>213867</v>
      </c>
      <c r="S95" s="320">
        <v>0.20119077408782265</v>
      </c>
      <c r="T95" s="319">
        <v>28267618.629505362</v>
      </c>
      <c r="U95" s="320">
        <v>0.24308355651037028</v>
      </c>
      <c r="V95" s="319">
        <v>17139270.028999999</v>
      </c>
      <c r="W95" s="319">
        <v>422687</v>
      </c>
      <c r="X95" s="320">
        <v>0.39763369162544709</v>
      </c>
      <c r="Y95" s="319">
        <v>32987752.204480086</v>
      </c>
      <c r="Z95" s="320">
        <v>0.28367370567175865</v>
      </c>
      <c r="AA95" s="319">
        <v>20001189.350000001</v>
      </c>
      <c r="AB95" s="319">
        <v>24759</v>
      </c>
      <c r="AC95" s="320">
        <v>2.3291496002844764E-2</v>
      </c>
      <c r="AD95" s="319">
        <v>3086754.962636509</v>
      </c>
      <c r="AE95" s="320">
        <v>2.6544131086108664E-2</v>
      </c>
      <c r="AF95" s="319">
        <v>1871566.456</v>
      </c>
      <c r="AG95" s="319"/>
      <c r="AH95" s="320"/>
      <c r="AI95" s="319"/>
      <c r="AJ95" s="320"/>
      <c r="AK95" s="319"/>
      <c r="AL95" s="319">
        <v>1063006</v>
      </c>
      <c r="AM95" s="320">
        <v>1</v>
      </c>
      <c r="AN95" s="319">
        <v>116287662.7086844</v>
      </c>
      <c r="AO95" s="320">
        <v>0.99999999999999989</v>
      </c>
      <c r="AP95" s="319">
        <v>70507731.066</v>
      </c>
    </row>
    <row r="96" spans="2:42" hidden="1" outlineLevel="1" x14ac:dyDescent="0.25">
      <c r="B96" s="318">
        <v>40878</v>
      </c>
      <c r="C96" s="319"/>
      <c r="D96" s="320"/>
      <c r="E96" s="319"/>
      <c r="F96" s="320"/>
      <c r="G96" s="319"/>
      <c r="H96" s="319"/>
      <c r="I96" s="320"/>
      <c r="J96" s="319"/>
      <c r="K96" s="320"/>
      <c r="L96" s="319"/>
      <c r="M96" s="319">
        <v>405116</v>
      </c>
      <c r="N96" s="320">
        <v>0.37454835930074742</v>
      </c>
      <c r="O96" s="319">
        <v>54329469.730853565</v>
      </c>
      <c r="P96" s="320">
        <v>0.44180205287802493</v>
      </c>
      <c r="Q96" s="319">
        <v>33141815.25</v>
      </c>
      <c r="R96" s="319">
        <v>213801</v>
      </c>
      <c r="S96" s="320">
        <v>0.19766884982784955</v>
      </c>
      <c r="T96" s="319">
        <v>28348089.92098612</v>
      </c>
      <c r="U96" s="320">
        <v>0.23052395659864189</v>
      </c>
      <c r="V96" s="319">
        <v>17292772.477000002</v>
      </c>
      <c r="W96" s="319">
        <v>436791</v>
      </c>
      <c r="X96" s="320">
        <v>0.40383335244061641</v>
      </c>
      <c r="Y96" s="319">
        <v>36550778.216966353</v>
      </c>
      <c r="Z96" s="320">
        <v>0.29722743348210162</v>
      </c>
      <c r="AA96" s="319">
        <v>22296538.967</v>
      </c>
      <c r="AB96" s="319">
        <v>25904</v>
      </c>
      <c r="AC96" s="320">
        <v>2.3949438430786639E-2</v>
      </c>
      <c r="AD96" s="319">
        <v>3744086.9466421022</v>
      </c>
      <c r="AE96" s="320">
        <v>3.0446557041231569E-2</v>
      </c>
      <c r="AF96" s="319">
        <v>2283950.8369999998</v>
      </c>
      <c r="AG96" s="319"/>
      <c r="AH96" s="320"/>
      <c r="AI96" s="319"/>
      <c r="AJ96" s="320"/>
      <c r="AK96" s="319"/>
      <c r="AL96" s="319">
        <v>1081612</v>
      </c>
      <c r="AM96" s="320">
        <v>1</v>
      </c>
      <c r="AN96" s="319">
        <v>122972424.81544814</v>
      </c>
      <c r="AO96" s="320">
        <v>1</v>
      </c>
      <c r="AP96" s="319">
        <v>75015077.531000003</v>
      </c>
    </row>
    <row r="97" spans="2:42" collapsed="1" x14ac:dyDescent="0.25">
      <c r="B97" s="321" t="s">
        <v>693</v>
      </c>
      <c r="C97" s="322"/>
      <c r="D97" s="311"/>
      <c r="E97" s="322"/>
      <c r="F97" s="311"/>
      <c r="G97" s="322"/>
      <c r="H97" s="322"/>
      <c r="I97" s="311"/>
      <c r="J97" s="322"/>
      <c r="K97" s="311"/>
      <c r="L97" s="322"/>
      <c r="M97" s="322">
        <v>405651.83333333331</v>
      </c>
      <c r="N97" s="311">
        <v>0.38861746675853959</v>
      </c>
      <c r="O97" s="322">
        <v>53308703.696970075</v>
      </c>
      <c r="P97" s="311">
        <v>0.46726435231012076</v>
      </c>
      <c r="Q97" s="322"/>
      <c r="R97" s="322">
        <v>214992.5</v>
      </c>
      <c r="S97" s="311">
        <v>0.20596441050330597</v>
      </c>
      <c r="T97" s="322">
        <v>28561753.958735537</v>
      </c>
      <c r="U97" s="311">
        <v>0.25035104099010635</v>
      </c>
      <c r="V97" s="322"/>
      <c r="W97" s="322">
        <v>401022.41666666669</v>
      </c>
      <c r="X97" s="311">
        <v>0.38418245123602518</v>
      </c>
      <c r="Y97" s="322">
        <v>29156207.774438839</v>
      </c>
      <c r="Z97" s="311">
        <v>0.25556157994359191</v>
      </c>
      <c r="AA97" s="322"/>
      <c r="AB97" s="322">
        <v>22166.5</v>
      </c>
      <c r="AC97" s="311">
        <v>2.1235671502129291E-2</v>
      </c>
      <c r="AD97" s="322">
        <v>3060153.80486832</v>
      </c>
      <c r="AE97" s="311">
        <v>2.6823026756180885E-2</v>
      </c>
      <c r="AF97" s="322"/>
      <c r="AG97" s="322"/>
      <c r="AH97" s="311"/>
      <c r="AI97" s="322"/>
      <c r="AJ97" s="311"/>
      <c r="AK97" s="322"/>
      <c r="AL97" s="322">
        <v>1043833.25</v>
      </c>
      <c r="AM97" s="311">
        <v>0.99999999999999989</v>
      </c>
      <c r="AN97" s="322">
        <v>114086819.23501278</v>
      </c>
      <c r="AO97" s="311">
        <v>1</v>
      </c>
      <c r="AP97" s="322"/>
    </row>
    <row r="98" spans="2:42" hidden="1" outlineLevel="1" x14ac:dyDescent="0.25">
      <c r="B98" s="318">
        <v>40909</v>
      </c>
      <c r="C98" s="319"/>
      <c r="D98" s="320"/>
      <c r="E98" s="319"/>
      <c r="F98" s="320"/>
      <c r="G98" s="319"/>
      <c r="H98" s="319"/>
      <c r="I98" s="320"/>
      <c r="J98" s="319"/>
      <c r="K98" s="320"/>
      <c r="L98" s="319"/>
      <c r="M98" s="319">
        <v>405147</v>
      </c>
      <c r="N98" s="320">
        <v>0.37581396815738016</v>
      </c>
      <c r="O98" s="319">
        <v>52832767.94651188</v>
      </c>
      <c r="P98" s="320">
        <v>0.45393341351649907</v>
      </c>
      <c r="Q98" s="319">
        <v>32257170.563000001</v>
      </c>
      <c r="R98" s="319">
        <v>212218</v>
      </c>
      <c r="S98" s="320">
        <v>0.19685321301755387</v>
      </c>
      <c r="T98" s="319">
        <v>27901983.264279075</v>
      </c>
      <c r="U98" s="320">
        <v>0.23973081478254521</v>
      </c>
      <c r="V98" s="319">
        <v>17035621.418000001</v>
      </c>
      <c r="W98" s="319">
        <v>434885</v>
      </c>
      <c r="X98" s="320">
        <v>0.40339890840145004</v>
      </c>
      <c r="Y98" s="319">
        <v>32475222.803063963</v>
      </c>
      <c r="Z98" s="320">
        <v>0.27902359302143931</v>
      </c>
      <c r="AA98" s="319">
        <v>19827823.559999999</v>
      </c>
      <c r="AB98" s="319">
        <v>25802</v>
      </c>
      <c r="AC98" s="320">
        <v>2.393391042361593E-2</v>
      </c>
      <c r="AD98" s="319">
        <v>3178831.8623874723</v>
      </c>
      <c r="AE98" s="320">
        <v>2.7312178679516328E-2</v>
      </c>
      <c r="AF98" s="319">
        <v>1940843.26</v>
      </c>
      <c r="AG98" s="319"/>
      <c r="AH98" s="320"/>
      <c r="AI98" s="319"/>
      <c r="AJ98" s="320"/>
      <c r="AK98" s="319"/>
      <c r="AL98" s="319">
        <v>1078052</v>
      </c>
      <c r="AM98" s="320">
        <v>0.99999999999999989</v>
      </c>
      <c r="AN98" s="319">
        <v>116388805.8762424</v>
      </c>
      <c r="AO98" s="320">
        <v>0.99999999999999989</v>
      </c>
      <c r="AP98" s="319">
        <v>71061458.801000014</v>
      </c>
    </row>
    <row r="99" spans="2:42" hidden="1" outlineLevel="1" x14ac:dyDescent="0.25">
      <c r="B99" s="318">
        <v>40940</v>
      </c>
      <c r="C99" s="319"/>
      <c r="D99" s="320"/>
      <c r="E99" s="319"/>
      <c r="F99" s="320"/>
      <c r="G99" s="319"/>
      <c r="H99" s="319"/>
      <c r="I99" s="320"/>
      <c r="J99" s="319"/>
      <c r="K99" s="320"/>
      <c r="L99" s="319"/>
      <c r="M99" s="319">
        <v>405788</v>
      </c>
      <c r="N99" s="320">
        <v>0.37228120263778847</v>
      </c>
      <c r="O99" s="319">
        <v>52916525.34024173</v>
      </c>
      <c r="P99" s="320">
        <v>0.43889155242458833</v>
      </c>
      <c r="Q99" s="319">
        <v>32433792.901000001</v>
      </c>
      <c r="R99" s="319">
        <v>211479</v>
      </c>
      <c r="S99" s="320">
        <v>0.19401671920470018</v>
      </c>
      <c r="T99" s="319">
        <v>27545339.044092562</v>
      </c>
      <c r="U99" s="320">
        <v>0.22846202651045386</v>
      </c>
      <c r="V99" s="319">
        <v>16883191.331999999</v>
      </c>
      <c r="W99" s="319">
        <v>445464</v>
      </c>
      <c r="X99" s="320">
        <v>0.40868106906029705</v>
      </c>
      <c r="Y99" s="319">
        <v>36078711.615209125</v>
      </c>
      <c r="Z99" s="320">
        <v>0.29923812360061175</v>
      </c>
      <c r="AA99" s="319">
        <v>22113497.686000001</v>
      </c>
      <c r="AB99" s="319">
        <v>27273</v>
      </c>
      <c r="AC99" s="320">
        <v>2.5021009097214324E-2</v>
      </c>
      <c r="AD99" s="319">
        <v>4027990.5356577937</v>
      </c>
      <c r="AE99" s="320">
        <v>3.3408297464345989E-2</v>
      </c>
      <c r="AF99" s="319">
        <v>2468850.8930000002</v>
      </c>
      <c r="AG99" s="319"/>
      <c r="AH99" s="320"/>
      <c r="AI99" s="319"/>
      <c r="AJ99" s="320"/>
      <c r="AK99" s="319"/>
      <c r="AL99" s="319">
        <v>1090004</v>
      </c>
      <c r="AM99" s="320">
        <v>1</v>
      </c>
      <c r="AN99" s="319">
        <v>120568566.53520122</v>
      </c>
      <c r="AO99" s="320">
        <v>1</v>
      </c>
      <c r="AP99" s="319">
        <v>73899332.812000006</v>
      </c>
    </row>
    <row r="100" spans="2:42" hidden="1" outlineLevel="1" x14ac:dyDescent="0.25">
      <c r="B100" s="318">
        <v>40969</v>
      </c>
      <c r="C100" s="319"/>
      <c r="D100" s="320"/>
      <c r="E100" s="319"/>
      <c r="F100" s="320"/>
      <c r="G100" s="319"/>
      <c r="H100" s="319"/>
      <c r="I100" s="320"/>
      <c r="J100" s="319"/>
      <c r="K100" s="320"/>
      <c r="L100" s="319"/>
      <c r="M100" s="319">
        <v>405724</v>
      </c>
      <c r="N100" s="320">
        <v>0.36716306614154987</v>
      </c>
      <c r="O100" s="319">
        <v>52800573.862795629</v>
      </c>
      <c r="P100" s="320">
        <v>0.43558475508604405</v>
      </c>
      <c r="Q100" s="319">
        <v>32415538.609000001</v>
      </c>
      <c r="R100" s="319">
        <v>211975</v>
      </c>
      <c r="S100" s="320">
        <v>0.19182841277655507</v>
      </c>
      <c r="T100" s="319">
        <v>27899819.101561531</v>
      </c>
      <c r="U100" s="320">
        <v>0.23016295053682517</v>
      </c>
      <c r="V100" s="319">
        <v>17128368.067000002</v>
      </c>
      <c r="W100" s="319">
        <v>459460</v>
      </c>
      <c r="X100" s="320">
        <v>0.41579187420363722</v>
      </c>
      <c r="Y100" s="319">
        <v>36786770.224723719</v>
      </c>
      <c r="Z100" s="320">
        <v>0.30347693455721186</v>
      </c>
      <c r="AA100" s="319">
        <v>22584280.497000001</v>
      </c>
      <c r="AB100" s="319">
        <v>27865</v>
      </c>
      <c r="AC100" s="320">
        <v>2.5216646878257847E-2</v>
      </c>
      <c r="AD100" s="319">
        <v>3730517.747354927</v>
      </c>
      <c r="AE100" s="320">
        <v>3.0775359819918826E-2</v>
      </c>
      <c r="AF100" s="319">
        <v>2290254.3139999998</v>
      </c>
      <c r="AG100" s="319"/>
      <c r="AH100" s="320"/>
      <c r="AI100" s="319"/>
      <c r="AJ100" s="320"/>
      <c r="AK100" s="319"/>
      <c r="AL100" s="319">
        <v>1105024</v>
      </c>
      <c r="AM100" s="320">
        <v>1</v>
      </c>
      <c r="AN100" s="319">
        <v>121217680.93643582</v>
      </c>
      <c r="AO100" s="320">
        <v>0.99999999999999989</v>
      </c>
      <c r="AP100" s="319">
        <v>74418441.487000003</v>
      </c>
    </row>
    <row r="101" spans="2:42" hidden="1" outlineLevel="1" x14ac:dyDescent="0.25">
      <c r="B101" s="318">
        <v>41000</v>
      </c>
      <c r="C101" s="319"/>
      <c r="D101" s="320"/>
      <c r="E101" s="319"/>
      <c r="F101" s="320"/>
      <c r="G101" s="319"/>
      <c r="H101" s="319"/>
      <c r="I101" s="320"/>
      <c r="J101" s="319"/>
      <c r="K101" s="320"/>
      <c r="L101" s="319"/>
      <c r="M101" s="319">
        <v>405278</v>
      </c>
      <c r="N101" s="320">
        <v>0.3653901809018496</v>
      </c>
      <c r="O101" s="319">
        <v>52637855.396300137</v>
      </c>
      <c r="P101" s="320">
        <v>0.44139917627248509</v>
      </c>
      <c r="Q101" s="319">
        <v>32332027.182</v>
      </c>
      <c r="R101" s="319">
        <v>210835</v>
      </c>
      <c r="S101" s="320">
        <v>0.19008443288419666</v>
      </c>
      <c r="T101" s="319">
        <v>27808793.2490982</v>
      </c>
      <c r="U101" s="320">
        <v>0.23319298137945363</v>
      </c>
      <c r="V101" s="319">
        <v>17081141.556000002</v>
      </c>
      <c r="W101" s="319">
        <v>464267</v>
      </c>
      <c r="X101" s="320">
        <v>0.41857343136503589</v>
      </c>
      <c r="Y101" s="319">
        <v>35028232.953597888</v>
      </c>
      <c r="Z101" s="320">
        <v>0.29373220195983885</v>
      </c>
      <c r="AA101" s="319">
        <v>21515576.033</v>
      </c>
      <c r="AB101" s="319">
        <v>28785</v>
      </c>
      <c r="AC101" s="320">
        <v>2.595195484891788E-2</v>
      </c>
      <c r="AD101" s="319">
        <v>3777392.1383830965</v>
      </c>
      <c r="AE101" s="320">
        <v>3.1675640388222494E-2</v>
      </c>
      <c r="AF101" s="319">
        <v>2320207.4700000002</v>
      </c>
      <c r="AG101" s="319"/>
      <c r="AH101" s="320"/>
      <c r="AI101" s="319"/>
      <c r="AJ101" s="320"/>
      <c r="AK101" s="319"/>
      <c r="AL101" s="319">
        <v>1109165</v>
      </c>
      <c r="AM101" s="320">
        <v>1</v>
      </c>
      <c r="AN101" s="319">
        <v>119252273.73737931</v>
      </c>
      <c r="AO101" s="320">
        <v>1</v>
      </c>
      <c r="AP101" s="319">
        <v>73248952.240999997</v>
      </c>
    </row>
    <row r="102" spans="2:42" hidden="1" outlineLevel="1" x14ac:dyDescent="0.25">
      <c r="B102" s="318">
        <v>41030</v>
      </c>
      <c r="C102" s="319"/>
      <c r="D102" s="320"/>
      <c r="E102" s="319"/>
      <c r="F102" s="320"/>
      <c r="G102" s="319"/>
      <c r="H102" s="319"/>
      <c r="I102" s="320"/>
      <c r="J102" s="319"/>
      <c r="K102" s="320"/>
      <c r="L102" s="319"/>
      <c r="M102" s="319">
        <v>405077</v>
      </c>
      <c r="N102" s="320">
        <v>0.36230928712874827</v>
      </c>
      <c r="O102" s="319">
        <v>52419512.693944179</v>
      </c>
      <c r="P102" s="320">
        <v>0.43297818513383679</v>
      </c>
      <c r="Q102" s="319">
        <v>32207790.521000002</v>
      </c>
      <c r="R102" s="319">
        <v>211171</v>
      </c>
      <c r="S102" s="320">
        <v>0.18887573096538413</v>
      </c>
      <c r="T102" s="319">
        <v>27915186.800231364</v>
      </c>
      <c r="U102" s="320">
        <v>0.23057572070547955</v>
      </c>
      <c r="V102" s="319">
        <v>17151752.136</v>
      </c>
      <c r="W102" s="319">
        <v>472382</v>
      </c>
      <c r="X102" s="320">
        <v>0.42250827786433781</v>
      </c>
      <c r="Y102" s="319">
        <v>36856879.096194968</v>
      </c>
      <c r="Z102" s="320">
        <v>0.30443290676777574</v>
      </c>
      <c r="AA102" s="319">
        <v>22645739.728999998</v>
      </c>
      <c r="AB102" s="319">
        <v>29412</v>
      </c>
      <c r="AC102" s="320">
        <v>2.6306704041529745E-2</v>
      </c>
      <c r="AD102" s="319">
        <v>3875751.1129514198</v>
      </c>
      <c r="AE102" s="320">
        <v>3.2013187392907989E-2</v>
      </c>
      <c r="AF102" s="319">
        <v>2381353.3080000002</v>
      </c>
      <c r="AG102" s="319"/>
      <c r="AH102" s="320"/>
      <c r="AI102" s="319"/>
      <c r="AJ102" s="320"/>
      <c r="AK102" s="319"/>
      <c r="AL102" s="319">
        <v>1118042</v>
      </c>
      <c r="AM102" s="320">
        <v>1</v>
      </c>
      <c r="AN102" s="319">
        <v>121067329.70332192</v>
      </c>
      <c r="AO102" s="320">
        <v>1</v>
      </c>
      <c r="AP102" s="319">
        <v>74386635.694000006</v>
      </c>
    </row>
    <row r="103" spans="2:42" hidden="1" outlineLevel="1" x14ac:dyDescent="0.25">
      <c r="B103" s="318">
        <v>41061</v>
      </c>
      <c r="C103" s="319"/>
      <c r="D103" s="320"/>
      <c r="E103" s="319"/>
      <c r="F103" s="320"/>
      <c r="G103" s="319"/>
      <c r="H103" s="319"/>
      <c r="I103" s="320"/>
      <c r="J103" s="319"/>
      <c r="K103" s="320"/>
      <c r="L103" s="319"/>
      <c r="M103" s="319">
        <v>405447</v>
      </c>
      <c r="N103" s="320">
        <v>0.35951851030813564</v>
      </c>
      <c r="O103" s="319">
        <v>52732288.547479391</v>
      </c>
      <c r="P103" s="320">
        <v>0.43216834628017903</v>
      </c>
      <c r="Q103" s="319">
        <v>32304016.004000001</v>
      </c>
      <c r="R103" s="319">
        <v>211515</v>
      </c>
      <c r="S103" s="320">
        <v>0.18755486588339615</v>
      </c>
      <c r="T103" s="319">
        <v>28078600.37430995</v>
      </c>
      <c r="U103" s="320">
        <v>0.23011863554341386</v>
      </c>
      <c r="V103" s="319">
        <v>17201065.625</v>
      </c>
      <c r="W103" s="319">
        <v>480566</v>
      </c>
      <c r="X103" s="320">
        <v>0.42612813123475946</v>
      </c>
      <c r="Y103" s="319">
        <v>37236105.561153732</v>
      </c>
      <c r="Z103" s="320">
        <v>0.3051691213399309</v>
      </c>
      <c r="AA103" s="319">
        <v>22810990.82</v>
      </c>
      <c r="AB103" s="319">
        <v>30222</v>
      </c>
      <c r="AC103" s="320">
        <v>2.6798492573708713E-2</v>
      </c>
      <c r="AD103" s="319">
        <v>3970939.0407965751</v>
      </c>
      <c r="AE103" s="320">
        <v>3.2543896836476044E-2</v>
      </c>
      <c r="AF103" s="319">
        <v>2432613.5249999999</v>
      </c>
      <c r="AG103" s="319"/>
      <c r="AH103" s="320"/>
      <c r="AI103" s="319"/>
      <c r="AJ103" s="320"/>
      <c r="AK103" s="319"/>
      <c r="AL103" s="319">
        <v>1127750</v>
      </c>
      <c r="AM103" s="320">
        <v>1</v>
      </c>
      <c r="AN103" s="319">
        <v>122017933.52373967</v>
      </c>
      <c r="AO103" s="320">
        <v>0.99999999999999989</v>
      </c>
      <c r="AP103" s="319">
        <v>74748685.974000007</v>
      </c>
    </row>
    <row r="104" spans="2:42" hidden="1" outlineLevel="1" x14ac:dyDescent="0.25">
      <c r="B104" s="318">
        <v>41091</v>
      </c>
      <c r="C104" s="319"/>
      <c r="D104" s="320"/>
      <c r="E104" s="319"/>
      <c r="F104" s="320"/>
      <c r="G104" s="319"/>
      <c r="H104" s="319"/>
      <c r="I104" s="320"/>
      <c r="J104" s="319"/>
      <c r="K104" s="320"/>
      <c r="L104" s="319"/>
      <c r="M104" s="319">
        <v>405988</v>
      </c>
      <c r="N104" s="320">
        <v>0.3605279492901563</v>
      </c>
      <c r="O104" s="319">
        <v>54209258.899953447</v>
      </c>
      <c r="P104" s="320">
        <v>0.43364826145176472</v>
      </c>
      <c r="Q104" s="319">
        <v>33204447.982999999</v>
      </c>
      <c r="R104" s="319">
        <v>211177</v>
      </c>
      <c r="S104" s="320">
        <v>0.18753069240284773</v>
      </c>
      <c r="T104" s="319">
        <v>28762867.352786705</v>
      </c>
      <c r="U104" s="320">
        <v>0.23008924443928136</v>
      </c>
      <c r="V104" s="319">
        <v>17617933.767000001</v>
      </c>
      <c r="W104" s="319">
        <v>478596</v>
      </c>
      <c r="X104" s="320">
        <v>0.42500574996914109</v>
      </c>
      <c r="Y104" s="319">
        <v>37988307.000886649</v>
      </c>
      <c r="Z104" s="320">
        <v>0.30388836926978435</v>
      </c>
      <c r="AA104" s="319">
        <v>23268732.857999999</v>
      </c>
      <c r="AB104" s="319">
        <v>30332</v>
      </c>
      <c r="AC104" s="320">
        <v>2.6935608337854865E-2</v>
      </c>
      <c r="AD104" s="319">
        <v>4047006.4590842789</v>
      </c>
      <c r="AE104" s="320">
        <v>3.2374124839169627E-2</v>
      </c>
      <c r="AF104" s="319">
        <v>2478886.784</v>
      </c>
      <c r="AG104" s="319"/>
      <c r="AH104" s="320"/>
      <c r="AI104" s="319"/>
      <c r="AJ104" s="320"/>
      <c r="AK104" s="319"/>
      <c r="AL104" s="319">
        <v>1126093</v>
      </c>
      <c r="AM104" s="320">
        <v>1</v>
      </c>
      <c r="AN104" s="319">
        <v>125007439.71271107</v>
      </c>
      <c r="AO104" s="320">
        <v>1</v>
      </c>
      <c r="AP104" s="319">
        <v>76570001.39199999</v>
      </c>
    </row>
    <row r="105" spans="2:42" hidden="1" outlineLevel="1" x14ac:dyDescent="0.25">
      <c r="B105" s="318">
        <v>41122</v>
      </c>
      <c r="C105" s="319"/>
      <c r="D105" s="320"/>
      <c r="E105" s="319"/>
      <c r="F105" s="320"/>
      <c r="G105" s="319"/>
      <c r="H105" s="319"/>
      <c r="I105" s="320"/>
      <c r="J105" s="319"/>
      <c r="K105" s="320"/>
      <c r="L105" s="319"/>
      <c r="M105" s="319">
        <v>403875</v>
      </c>
      <c r="N105" s="320">
        <v>0.35582916675844145</v>
      </c>
      <c r="O105" s="319">
        <v>53880750.359690472</v>
      </c>
      <c r="P105" s="320">
        <v>0.42874193510125608</v>
      </c>
      <c r="Q105" s="319">
        <v>33076216.285</v>
      </c>
      <c r="R105" s="319">
        <v>198447</v>
      </c>
      <c r="S105" s="320">
        <v>0.17483932071980793</v>
      </c>
      <c r="T105" s="319">
        <v>26630698.7951518</v>
      </c>
      <c r="U105" s="320">
        <v>0.21190679896458781</v>
      </c>
      <c r="V105" s="319">
        <v>16348004.571</v>
      </c>
      <c r="W105" s="319">
        <v>489880</v>
      </c>
      <c r="X105" s="320">
        <v>0.43160282813153894</v>
      </c>
      <c r="Y105" s="319">
        <v>39574369.684443928</v>
      </c>
      <c r="Z105" s="320">
        <v>0.31490266422894053</v>
      </c>
      <c r="AA105" s="319">
        <v>24293841.535</v>
      </c>
      <c r="AB105" s="319">
        <v>42823</v>
      </c>
      <c r="AC105" s="320">
        <v>3.7728684390211667E-2</v>
      </c>
      <c r="AD105" s="319">
        <v>5585933.6730157351</v>
      </c>
      <c r="AE105" s="320">
        <v>4.4448601705215585E-2</v>
      </c>
      <c r="AF105" s="319">
        <v>3429082.7259999998</v>
      </c>
      <c r="AG105" s="319"/>
      <c r="AH105" s="320"/>
      <c r="AI105" s="319"/>
      <c r="AJ105" s="320"/>
      <c r="AK105" s="319"/>
      <c r="AL105" s="319">
        <v>1135025</v>
      </c>
      <c r="AM105" s="320">
        <v>1</v>
      </c>
      <c r="AN105" s="319">
        <v>125671752.51230194</v>
      </c>
      <c r="AO105" s="320">
        <v>1</v>
      </c>
      <c r="AP105" s="319">
        <v>77147145.116999999</v>
      </c>
    </row>
    <row r="106" spans="2:42" hidden="1" outlineLevel="1" x14ac:dyDescent="0.25">
      <c r="B106" s="318">
        <v>41153</v>
      </c>
      <c r="C106" s="319"/>
      <c r="D106" s="320"/>
      <c r="E106" s="319"/>
      <c r="F106" s="320"/>
      <c r="G106" s="319"/>
      <c r="H106" s="319"/>
      <c r="I106" s="320"/>
      <c r="J106" s="319"/>
      <c r="K106" s="320"/>
      <c r="L106" s="319"/>
      <c r="M106" s="319">
        <v>403144</v>
      </c>
      <c r="N106" s="320">
        <v>0.35241061539685359</v>
      </c>
      <c r="O106" s="319">
        <v>53053072.230063811</v>
      </c>
      <c r="P106" s="320">
        <v>0.42433171253565893</v>
      </c>
      <c r="Q106" s="319">
        <v>32818428.890999999</v>
      </c>
      <c r="R106" s="319">
        <v>198376</v>
      </c>
      <c r="S106" s="320">
        <v>0.17341150616148626</v>
      </c>
      <c r="T106" s="319">
        <v>26744882.922616694</v>
      </c>
      <c r="U106" s="320">
        <v>0.21391224852928731</v>
      </c>
      <c r="V106" s="319">
        <v>16544282.950999999</v>
      </c>
      <c r="W106" s="319">
        <v>499207</v>
      </c>
      <c r="X106" s="320">
        <v>0.43638463199357319</v>
      </c>
      <c r="Y106" s="319">
        <v>39625069.953011177</v>
      </c>
      <c r="Z106" s="320">
        <v>0.31693119899997718</v>
      </c>
      <c r="AA106" s="319">
        <v>24511917.706</v>
      </c>
      <c r="AB106" s="319">
        <v>43234</v>
      </c>
      <c r="AC106" s="320">
        <v>3.7793246448086952E-2</v>
      </c>
      <c r="AD106" s="319">
        <v>5604331.235499694</v>
      </c>
      <c r="AE106" s="320">
        <v>4.4824839935076653E-2</v>
      </c>
      <c r="AF106" s="319">
        <v>3466818.0070000002</v>
      </c>
      <c r="AG106" s="319"/>
      <c r="AH106" s="320"/>
      <c r="AI106" s="319"/>
      <c r="AJ106" s="320"/>
      <c r="AK106" s="319"/>
      <c r="AL106" s="319">
        <v>1143961</v>
      </c>
      <c r="AM106" s="320">
        <v>0.99999999999999989</v>
      </c>
      <c r="AN106" s="319">
        <v>125027356.34119137</v>
      </c>
      <c r="AO106" s="320">
        <v>1</v>
      </c>
      <c r="AP106" s="319">
        <v>77341447.555000007</v>
      </c>
    </row>
    <row r="107" spans="2:42" hidden="1" outlineLevel="1" x14ac:dyDescent="0.25">
      <c r="B107" s="318">
        <v>41183</v>
      </c>
      <c r="C107" s="319"/>
      <c r="D107" s="320"/>
      <c r="E107" s="319"/>
      <c r="F107" s="320"/>
      <c r="G107" s="319"/>
      <c r="H107" s="319"/>
      <c r="I107" s="320"/>
      <c r="J107" s="319"/>
      <c r="K107" s="320"/>
      <c r="L107" s="319"/>
      <c r="M107" s="319">
        <v>403812</v>
      </c>
      <c r="N107" s="320">
        <v>0.35006267652153106</v>
      </c>
      <c r="O107" s="319">
        <v>53335430.898886971</v>
      </c>
      <c r="P107" s="320">
        <v>0.42507821560282522</v>
      </c>
      <c r="Q107" s="319">
        <v>33177418.311000001</v>
      </c>
      <c r="R107" s="319">
        <v>197358</v>
      </c>
      <c r="S107" s="320">
        <v>0.17108869898105142</v>
      </c>
      <c r="T107" s="319">
        <v>25927788.923242204</v>
      </c>
      <c r="U107" s="320">
        <v>0.20664196509282334</v>
      </c>
      <c r="V107" s="319">
        <v>16128436.285</v>
      </c>
      <c r="W107" s="319">
        <v>510960</v>
      </c>
      <c r="X107" s="320">
        <v>0.44294876129347693</v>
      </c>
      <c r="Y107" s="319">
        <v>40843811.375452921</v>
      </c>
      <c r="Z107" s="320">
        <v>0.32552121854626692</v>
      </c>
      <c r="AA107" s="319">
        <v>25406979.798999999</v>
      </c>
      <c r="AB107" s="319">
        <v>41412</v>
      </c>
      <c r="AC107" s="320">
        <v>3.5899863203940556E-2</v>
      </c>
      <c r="AD107" s="319">
        <v>5365008.8674427876</v>
      </c>
      <c r="AE107" s="320">
        <v>4.2758600758084547E-2</v>
      </c>
      <c r="AF107" s="319">
        <v>3337315.1850000001</v>
      </c>
      <c r="AG107" s="319"/>
      <c r="AH107" s="320"/>
      <c r="AI107" s="319"/>
      <c r="AJ107" s="320"/>
      <c r="AK107" s="319"/>
      <c r="AL107" s="319">
        <v>1153542</v>
      </c>
      <c r="AM107" s="320">
        <v>1</v>
      </c>
      <c r="AN107" s="319">
        <v>125472040.06502488</v>
      </c>
      <c r="AO107" s="320">
        <v>1</v>
      </c>
      <c r="AP107" s="319">
        <v>78050149.579999998</v>
      </c>
    </row>
    <row r="108" spans="2:42" hidden="1" outlineLevel="1" x14ac:dyDescent="0.25">
      <c r="B108" s="318">
        <v>41214</v>
      </c>
      <c r="C108" s="319"/>
      <c r="D108" s="320"/>
      <c r="E108" s="319"/>
      <c r="F108" s="320"/>
      <c r="G108" s="319"/>
      <c r="H108" s="319"/>
      <c r="I108" s="320"/>
      <c r="J108" s="319"/>
      <c r="K108" s="320"/>
      <c r="L108" s="319"/>
      <c r="M108" s="319">
        <v>403590</v>
      </c>
      <c r="N108" s="320">
        <v>0.34642115590454126</v>
      </c>
      <c r="O108" s="319">
        <v>53134459.236251161</v>
      </c>
      <c r="P108" s="320">
        <v>0.41859241624605381</v>
      </c>
      <c r="Q108" s="319">
        <v>32903542.734000001</v>
      </c>
      <c r="R108" s="319">
        <v>196261</v>
      </c>
      <c r="S108" s="320">
        <v>0.16846047344825485</v>
      </c>
      <c r="T108" s="319">
        <v>26654964.945311397</v>
      </c>
      <c r="U108" s="320">
        <v>0.20998738562110883</v>
      </c>
      <c r="V108" s="319">
        <v>16506101.516000001</v>
      </c>
      <c r="W108" s="319">
        <v>526706</v>
      </c>
      <c r="X108" s="320">
        <v>0.4520976767062051</v>
      </c>
      <c r="Y108" s="319">
        <v>42258472.887681648</v>
      </c>
      <c r="Z108" s="320">
        <v>0.33291157051720938</v>
      </c>
      <c r="AA108" s="319">
        <v>26168582.282000002</v>
      </c>
      <c r="AB108" s="319">
        <v>38470</v>
      </c>
      <c r="AC108" s="320">
        <v>3.302069394099879E-2</v>
      </c>
      <c r="AD108" s="319">
        <v>4888132.2854254004</v>
      </c>
      <c r="AE108" s="320">
        <v>3.8508627615628031E-2</v>
      </c>
      <c r="AF108" s="319">
        <v>3026978.5720000002</v>
      </c>
      <c r="AG108" s="319"/>
      <c r="AH108" s="320"/>
      <c r="AI108" s="319"/>
      <c r="AJ108" s="320"/>
      <c r="AK108" s="319"/>
      <c r="AL108" s="319">
        <v>1165027</v>
      </c>
      <c r="AM108" s="320">
        <v>1</v>
      </c>
      <c r="AN108" s="319">
        <v>126936029.3546696</v>
      </c>
      <c r="AO108" s="320">
        <v>1.0000000000000002</v>
      </c>
      <c r="AP108" s="319">
        <v>78605205.104000002</v>
      </c>
    </row>
    <row r="109" spans="2:42" hidden="1" outlineLevel="1" x14ac:dyDescent="0.25">
      <c r="B109" s="318">
        <v>41244</v>
      </c>
      <c r="C109" s="319"/>
      <c r="D109" s="320"/>
      <c r="E109" s="319"/>
      <c r="F109" s="320"/>
      <c r="G109" s="319"/>
      <c r="H109" s="319"/>
      <c r="I109" s="320"/>
      <c r="J109" s="319"/>
      <c r="K109" s="320"/>
      <c r="L109" s="319"/>
      <c r="M109" s="319">
        <v>406123</v>
      </c>
      <c r="N109" s="320">
        <v>0.34387216571311968</v>
      </c>
      <c r="O109" s="319">
        <v>54135475.450967766</v>
      </c>
      <c r="P109" s="320">
        <v>0.4219177719317968</v>
      </c>
      <c r="Q109" s="319">
        <v>33514523.147999998</v>
      </c>
      <c r="R109" s="319">
        <v>194854</v>
      </c>
      <c r="S109" s="320">
        <v>0.16498663453649318</v>
      </c>
      <c r="T109" s="319">
        <v>26099427.748430301</v>
      </c>
      <c r="U109" s="320">
        <v>0.20341213063301486</v>
      </c>
      <c r="V109" s="319">
        <v>16157794.277000001</v>
      </c>
      <c r="W109" s="319">
        <v>539888</v>
      </c>
      <c r="X109" s="320">
        <v>0.45713356742298455</v>
      </c>
      <c r="Y109" s="319">
        <v>42789214.76370284</v>
      </c>
      <c r="Z109" s="320">
        <v>0.33348797633012955</v>
      </c>
      <c r="AA109" s="319">
        <v>26490210.287</v>
      </c>
      <c r="AB109" s="319">
        <v>40164</v>
      </c>
      <c r="AC109" s="320">
        <v>3.4007632327402629E-2</v>
      </c>
      <c r="AD109" s="319">
        <v>5284000.4721632767</v>
      </c>
      <c r="AE109" s="320">
        <v>4.1182121105058797E-2</v>
      </c>
      <c r="AF109" s="319">
        <v>3271251.5159999998</v>
      </c>
      <c r="AG109" s="319"/>
      <c r="AH109" s="320"/>
      <c r="AI109" s="319"/>
      <c r="AJ109" s="320"/>
      <c r="AK109" s="319"/>
      <c r="AL109" s="319">
        <v>1181029</v>
      </c>
      <c r="AM109" s="320">
        <v>1</v>
      </c>
      <c r="AN109" s="319">
        <v>128308118.43526419</v>
      </c>
      <c r="AO109" s="320">
        <v>1</v>
      </c>
      <c r="AP109" s="319">
        <v>79433779.228</v>
      </c>
    </row>
    <row r="110" spans="2:42" collapsed="1" x14ac:dyDescent="0.25">
      <c r="B110" s="321" t="s">
        <v>694</v>
      </c>
      <c r="C110" s="322"/>
      <c r="D110" s="311"/>
      <c r="E110" s="322"/>
      <c r="F110" s="311"/>
      <c r="G110" s="322"/>
      <c r="H110" s="322"/>
      <c r="I110" s="311"/>
      <c r="J110" s="322"/>
      <c r="K110" s="311"/>
      <c r="L110" s="322"/>
      <c r="M110" s="322">
        <v>404916.08333333331</v>
      </c>
      <c r="N110" s="311">
        <v>0.35905532327070533</v>
      </c>
      <c r="O110" s="322">
        <v>53173997.571923882</v>
      </c>
      <c r="P110" s="311">
        <v>0.43203514691082417</v>
      </c>
      <c r="Q110" s="322"/>
      <c r="R110" s="322">
        <v>205472.16666666666</v>
      </c>
      <c r="S110" s="311">
        <v>0.18220040710237426</v>
      </c>
      <c r="T110" s="322">
        <v>27330862.710092649</v>
      </c>
      <c r="U110" s="311">
        <v>0.22206141771046883</v>
      </c>
      <c r="V110" s="322"/>
      <c r="W110" s="322">
        <v>483521.75</v>
      </c>
      <c r="X110" s="311">
        <v>0.42875811902919103</v>
      </c>
      <c r="Y110" s="322">
        <v>38128430.659926884</v>
      </c>
      <c r="Z110" s="311">
        <v>0.30979092966180166</v>
      </c>
      <c r="AA110" s="322"/>
      <c r="AB110" s="322">
        <v>33816.166666666664</v>
      </c>
      <c r="AC110" s="311">
        <v>2.9986150597729321E-2</v>
      </c>
      <c r="AD110" s="322">
        <v>4444652.9525135374</v>
      </c>
      <c r="AE110" s="311">
        <v>3.6112505716905392E-2</v>
      </c>
      <c r="AF110" s="322"/>
      <c r="AG110" s="322"/>
      <c r="AH110" s="311"/>
      <c r="AI110" s="322"/>
      <c r="AJ110" s="311"/>
      <c r="AK110" s="322"/>
      <c r="AL110" s="322">
        <v>1127726.1666666667</v>
      </c>
      <c r="AM110" s="311">
        <v>1</v>
      </c>
      <c r="AN110" s="322">
        <v>123077943.89445694</v>
      </c>
      <c r="AO110" s="311">
        <v>1.0000000000000002</v>
      </c>
      <c r="AP110" s="322"/>
    </row>
    <row r="111" spans="2:42" hidden="1" outlineLevel="1" x14ac:dyDescent="0.25">
      <c r="B111" s="318">
        <v>41275</v>
      </c>
      <c r="C111" s="319"/>
      <c r="D111" s="320"/>
      <c r="E111" s="319"/>
      <c r="F111" s="320"/>
      <c r="G111" s="319"/>
      <c r="H111" s="319"/>
      <c r="I111" s="320"/>
      <c r="J111" s="319"/>
      <c r="K111" s="320"/>
      <c r="L111" s="319"/>
      <c r="M111" s="319">
        <v>407292</v>
      </c>
      <c r="N111" s="320">
        <v>0.34219173363467187</v>
      </c>
      <c r="O111" s="319">
        <v>53719709.342860401</v>
      </c>
      <c r="P111" s="320">
        <v>0.42065001039593208</v>
      </c>
      <c r="Q111" s="319">
        <v>33316246.745000001</v>
      </c>
      <c r="R111" s="319">
        <v>195551</v>
      </c>
      <c r="S111" s="320">
        <v>0.16429474603968092</v>
      </c>
      <c r="T111" s="319">
        <v>26359901.844438247</v>
      </c>
      <c r="U111" s="320">
        <v>0.20641014481535694</v>
      </c>
      <c r="V111" s="319">
        <v>16348059.301999999</v>
      </c>
      <c r="W111" s="319">
        <v>546324</v>
      </c>
      <c r="X111" s="320">
        <v>0.45900129805208173</v>
      </c>
      <c r="Y111" s="319">
        <v>42362335.767762795</v>
      </c>
      <c r="Z111" s="320">
        <v>0.33171655615954498</v>
      </c>
      <c r="AA111" s="319">
        <v>26272555.239</v>
      </c>
      <c r="AB111" s="319">
        <v>41078</v>
      </c>
      <c r="AC111" s="320">
        <v>3.4512222273565527E-2</v>
      </c>
      <c r="AD111" s="319">
        <v>5264478.8507939503</v>
      </c>
      <c r="AE111" s="320">
        <v>4.1223288629166001E-2</v>
      </c>
      <c r="AF111" s="319">
        <v>3264959.5189999999</v>
      </c>
      <c r="AG111" s="319"/>
      <c r="AH111" s="320"/>
      <c r="AI111" s="319"/>
      <c r="AJ111" s="320"/>
      <c r="AK111" s="319"/>
      <c r="AL111" s="319">
        <v>1190245</v>
      </c>
      <c r="AM111" s="320">
        <v>1</v>
      </c>
      <c r="AN111" s="319">
        <v>127706425.80585539</v>
      </c>
      <c r="AO111" s="320">
        <v>1</v>
      </c>
      <c r="AP111" s="319">
        <v>79201820.804999992</v>
      </c>
    </row>
    <row r="112" spans="2:42" hidden="1" outlineLevel="1" x14ac:dyDescent="0.25">
      <c r="B112" s="318">
        <v>41306</v>
      </c>
      <c r="C112" s="319"/>
      <c r="D112" s="320"/>
      <c r="E112" s="319"/>
      <c r="F112" s="320"/>
      <c r="G112" s="319"/>
      <c r="H112" s="319"/>
      <c r="I112" s="320"/>
      <c r="J112" s="319"/>
      <c r="K112" s="320"/>
      <c r="L112" s="319"/>
      <c r="M112" s="319">
        <v>407384</v>
      </c>
      <c r="N112" s="320">
        <v>0.34100270787208131</v>
      </c>
      <c r="O112" s="319">
        <v>53351826.813027143</v>
      </c>
      <c r="P112" s="320">
        <v>0.42121555459190874</v>
      </c>
      <c r="Q112" s="319">
        <v>33126898.195</v>
      </c>
      <c r="R112" s="319">
        <v>195641</v>
      </c>
      <c r="S112" s="320">
        <v>0.16376222623078437</v>
      </c>
      <c r="T112" s="319">
        <v>26230302.779622834</v>
      </c>
      <c r="U112" s="320">
        <v>0.20708965732612422</v>
      </c>
      <c r="V112" s="319">
        <v>16286763.204</v>
      </c>
      <c r="W112" s="319">
        <v>550022</v>
      </c>
      <c r="X112" s="320">
        <v>0.46039852176133056</v>
      </c>
      <c r="Y112" s="319">
        <v>41792653.037886359</v>
      </c>
      <c r="Z112" s="320">
        <v>0.32995525324583913</v>
      </c>
      <c r="AA112" s="319">
        <v>25949644.936000001</v>
      </c>
      <c r="AB112" s="319">
        <v>41618</v>
      </c>
      <c r="AC112" s="320">
        <v>3.4836544135803761E-2</v>
      </c>
      <c r="AD112" s="319">
        <v>5286795.3463658299</v>
      </c>
      <c r="AE112" s="320">
        <v>4.1739534836127828E-2</v>
      </c>
      <c r="AF112" s="319">
        <v>3282645.4440000001</v>
      </c>
      <c r="AG112" s="319"/>
      <c r="AH112" s="320"/>
      <c r="AI112" s="319"/>
      <c r="AJ112" s="320"/>
      <c r="AK112" s="319"/>
      <c r="AL112" s="319">
        <v>1194665</v>
      </c>
      <c r="AM112" s="320">
        <v>1</v>
      </c>
      <c r="AN112" s="319">
        <v>126661577.97690217</v>
      </c>
      <c r="AO112" s="320">
        <v>1</v>
      </c>
      <c r="AP112" s="319">
        <v>78645951.779000014</v>
      </c>
    </row>
    <row r="113" spans="2:42" hidden="1" outlineLevel="1" x14ac:dyDescent="0.25">
      <c r="B113" s="318">
        <v>41334</v>
      </c>
      <c r="C113" s="319"/>
      <c r="D113" s="320"/>
      <c r="E113" s="319"/>
      <c r="F113" s="320"/>
      <c r="G113" s="319"/>
      <c r="H113" s="319"/>
      <c r="I113" s="320"/>
      <c r="J113" s="319"/>
      <c r="K113" s="320"/>
      <c r="L113" s="319"/>
      <c r="M113" s="319">
        <v>407033</v>
      </c>
      <c r="N113" s="320">
        <v>0.33955975934089033</v>
      </c>
      <c r="O113" s="319">
        <v>53146621.2415912</v>
      </c>
      <c r="P113" s="320">
        <v>0.41920239906981044</v>
      </c>
      <c r="Q113" s="319">
        <v>33126135.346999999</v>
      </c>
      <c r="R113" s="319">
        <v>195663</v>
      </c>
      <c r="S113" s="320">
        <v>0.1632282424076589</v>
      </c>
      <c r="T113" s="319">
        <v>26160260.20553676</v>
      </c>
      <c r="U113" s="320">
        <v>0.20634319891382749</v>
      </c>
      <c r="V113" s="319">
        <v>16305614.544</v>
      </c>
      <c r="W113" s="319">
        <v>553656</v>
      </c>
      <c r="X113" s="320">
        <v>0.46187728787995075</v>
      </c>
      <c r="Y113" s="319">
        <v>42138652.447393551</v>
      </c>
      <c r="Z113" s="320">
        <v>0.33237530038301716</v>
      </c>
      <c r="AA113" s="319">
        <v>26264900.227000002</v>
      </c>
      <c r="AB113" s="319">
        <v>42356</v>
      </c>
      <c r="AC113" s="320">
        <v>3.5334710371499982E-2</v>
      </c>
      <c r="AD113" s="319">
        <v>5334802.6672943095</v>
      </c>
      <c r="AE113" s="320">
        <v>4.2079101633344815E-2</v>
      </c>
      <c r="AF113" s="319">
        <v>3325167.077</v>
      </c>
      <c r="AG113" s="319"/>
      <c r="AH113" s="320"/>
      <c r="AI113" s="319"/>
      <c r="AJ113" s="320"/>
      <c r="AK113" s="319"/>
      <c r="AL113" s="319">
        <v>1198708</v>
      </c>
      <c r="AM113" s="320">
        <v>0.99999999999999989</v>
      </c>
      <c r="AN113" s="319">
        <v>126780336.56181583</v>
      </c>
      <c r="AO113" s="320">
        <v>1</v>
      </c>
      <c r="AP113" s="319">
        <v>79021817.195000008</v>
      </c>
    </row>
    <row r="114" spans="2:42" hidden="1" outlineLevel="1" x14ac:dyDescent="0.25">
      <c r="B114" s="318">
        <v>41365</v>
      </c>
      <c r="C114" s="319"/>
      <c r="D114" s="320"/>
      <c r="E114" s="319"/>
      <c r="F114" s="320"/>
      <c r="G114" s="319"/>
      <c r="H114" s="319"/>
      <c r="I114" s="320"/>
      <c r="J114" s="319"/>
      <c r="K114" s="320"/>
      <c r="L114" s="319"/>
      <c r="M114" s="319">
        <v>407163</v>
      </c>
      <c r="N114" s="320">
        <v>0.33837900729259729</v>
      </c>
      <c r="O114" s="319">
        <v>53490581.390823878</v>
      </c>
      <c r="P114" s="320">
        <v>0.41932508415365366</v>
      </c>
      <c r="Q114" s="319">
        <v>33179247.028000001</v>
      </c>
      <c r="R114" s="319">
        <v>195429</v>
      </c>
      <c r="S114" s="320">
        <v>0.16241424445783384</v>
      </c>
      <c r="T114" s="319">
        <v>26023690.208813507</v>
      </c>
      <c r="U114" s="320">
        <v>0.204005748359118</v>
      </c>
      <c r="V114" s="319">
        <v>16142027.691</v>
      </c>
      <c r="W114" s="319">
        <v>557660</v>
      </c>
      <c r="X114" s="320">
        <v>0.46345182938231078</v>
      </c>
      <c r="Y114" s="319">
        <v>42621938.640317224</v>
      </c>
      <c r="Z114" s="320">
        <v>0.33412327072236381</v>
      </c>
      <c r="AA114" s="319">
        <v>26437623.114</v>
      </c>
      <c r="AB114" s="319">
        <v>43023</v>
      </c>
      <c r="AC114" s="320">
        <v>3.5754918867258109E-2</v>
      </c>
      <c r="AD114" s="319">
        <v>5427304.1126074046</v>
      </c>
      <c r="AE114" s="320">
        <v>4.2545896764864422E-2</v>
      </c>
      <c r="AF114" s="319">
        <v>3366459.2749999999</v>
      </c>
      <c r="AG114" s="319"/>
      <c r="AH114" s="320"/>
      <c r="AI114" s="319"/>
      <c r="AJ114" s="320"/>
      <c r="AK114" s="319"/>
      <c r="AL114" s="319">
        <v>1203275</v>
      </c>
      <c r="AM114" s="320">
        <v>1</v>
      </c>
      <c r="AN114" s="319">
        <v>127563514.35256203</v>
      </c>
      <c r="AO114" s="320">
        <v>0.99999999999999989</v>
      </c>
      <c r="AP114" s="319">
        <v>79125357.10800001</v>
      </c>
    </row>
    <row r="115" spans="2:42" hidden="1" outlineLevel="1" x14ac:dyDescent="0.25">
      <c r="B115" s="318">
        <v>41395</v>
      </c>
      <c r="C115" s="319"/>
      <c r="D115" s="320"/>
      <c r="E115" s="319"/>
      <c r="F115" s="320"/>
      <c r="G115" s="319"/>
      <c r="H115" s="319"/>
      <c r="I115" s="320"/>
      <c r="J115" s="319"/>
      <c r="K115" s="320"/>
      <c r="L115" s="319"/>
      <c r="M115" s="319">
        <v>403102</v>
      </c>
      <c r="N115" s="320">
        <v>0.3353312242482121</v>
      </c>
      <c r="O115" s="319">
        <v>52662315.612235509</v>
      </c>
      <c r="P115" s="320">
        <v>0.41463631646069643</v>
      </c>
      <c r="Q115" s="319">
        <v>32662696.938999999</v>
      </c>
      <c r="R115" s="319">
        <v>194785</v>
      </c>
      <c r="S115" s="320">
        <v>0.16203713331908051</v>
      </c>
      <c r="T115" s="319">
        <v>25945050.8539294</v>
      </c>
      <c r="U115" s="320">
        <v>0.20427814826204274</v>
      </c>
      <c r="V115" s="319">
        <v>16091873.729</v>
      </c>
      <c r="W115" s="319">
        <v>557865</v>
      </c>
      <c r="X115" s="320">
        <v>0.46407498205225683</v>
      </c>
      <c r="Y115" s="319">
        <v>42561258.100912519</v>
      </c>
      <c r="Z115" s="320">
        <v>0.3351057217619795</v>
      </c>
      <c r="AA115" s="319">
        <v>26397727.835000001</v>
      </c>
      <c r="AB115" s="319">
        <v>46349</v>
      </c>
      <c r="AC115" s="320">
        <v>3.8556660380450559E-2</v>
      </c>
      <c r="AD115" s="319">
        <v>5839824.8175711939</v>
      </c>
      <c r="AE115" s="320">
        <v>4.5979813515281347E-2</v>
      </c>
      <c r="AF115" s="319">
        <v>3622028.8829999999</v>
      </c>
      <c r="AG115" s="319"/>
      <c r="AH115" s="320"/>
      <c r="AI115" s="319"/>
      <c r="AJ115" s="320"/>
      <c r="AK115" s="319"/>
      <c r="AL115" s="319">
        <v>1202101</v>
      </c>
      <c r="AM115" s="320">
        <v>1</v>
      </c>
      <c r="AN115" s="319">
        <v>127008449.38464862</v>
      </c>
      <c r="AO115" s="320">
        <v>1</v>
      </c>
      <c r="AP115" s="319">
        <v>78774327.385999992</v>
      </c>
    </row>
    <row r="116" spans="2:42" hidden="1" outlineLevel="1" x14ac:dyDescent="0.25">
      <c r="B116" s="318">
        <v>41426</v>
      </c>
      <c r="C116" s="319"/>
      <c r="D116" s="320"/>
      <c r="E116" s="319"/>
      <c r="F116" s="320"/>
      <c r="G116" s="319"/>
      <c r="H116" s="319"/>
      <c r="I116" s="320"/>
      <c r="J116" s="319"/>
      <c r="K116" s="320"/>
      <c r="L116" s="319"/>
      <c r="M116" s="319">
        <v>402501</v>
      </c>
      <c r="N116" s="320">
        <v>0.33400161150190816</v>
      </c>
      <c r="O116" s="319">
        <v>52225592.888182148</v>
      </c>
      <c r="P116" s="320">
        <v>0.41328247289202441</v>
      </c>
      <c r="Q116" s="319">
        <v>32599223.427000001</v>
      </c>
      <c r="R116" s="319">
        <v>194527</v>
      </c>
      <c r="S116" s="320">
        <v>0.16142154051948115</v>
      </c>
      <c r="T116" s="319">
        <v>25766826.470988907</v>
      </c>
      <c r="U116" s="320">
        <v>0.20390343457296911</v>
      </c>
      <c r="V116" s="319">
        <v>16083657.200999999</v>
      </c>
      <c r="W116" s="319">
        <v>560838</v>
      </c>
      <c r="X116" s="320">
        <v>0.46539212521585577</v>
      </c>
      <c r="Y116" s="319">
        <v>42440277.086829931</v>
      </c>
      <c r="Z116" s="320">
        <v>0.33584726749242494</v>
      </c>
      <c r="AA116" s="319">
        <v>26491227.739999998</v>
      </c>
      <c r="AB116" s="319">
        <v>47221</v>
      </c>
      <c r="AC116" s="320">
        <v>3.9184722762754885E-2</v>
      </c>
      <c r="AD116" s="319">
        <v>5935093.9002080048</v>
      </c>
      <c r="AE116" s="320">
        <v>4.6966825042581394E-2</v>
      </c>
      <c r="AF116" s="319">
        <v>3704686.5610000002</v>
      </c>
      <c r="AG116" s="319"/>
      <c r="AH116" s="320"/>
      <c r="AI116" s="319"/>
      <c r="AJ116" s="320"/>
      <c r="AK116" s="319"/>
      <c r="AL116" s="319">
        <v>1205087</v>
      </c>
      <c r="AM116" s="320">
        <v>1</v>
      </c>
      <c r="AN116" s="319">
        <v>126367790.346209</v>
      </c>
      <c r="AO116" s="320">
        <v>0.99999999999999978</v>
      </c>
      <c r="AP116" s="319">
        <v>78878794.929000005</v>
      </c>
    </row>
    <row r="117" spans="2:42" hidden="1" outlineLevel="1" x14ac:dyDescent="0.25">
      <c r="B117" s="318">
        <v>41456</v>
      </c>
      <c r="C117" s="319"/>
      <c r="D117" s="320"/>
      <c r="E117" s="319"/>
      <c r="F117" s="320"/>
      <c r="G117" s="319"/>
      <c r="H117" s="319"/>
      <c r="I117" s="320"/>
      <c r="J117" s="319"/>
      <c r="K117" s="320"/>
      <c r="L117" s="319"/>
      <c r="M117" s="319">
        <v>400723</v>
      </c>
      <c r="N117" s="320">
        <v>0.33189440615679722</v>
      </c>
      <c r="O117" s="319">
        <v>52452741.798471749</v>
      </c>
      <c r="P117" s="320">
        <v>0.41034112445368182</v>
      </c>
      <c r="Q117" s="319">
        <v>32826371.927999999</v>
      </c>
      <c r="R117" s="319">
        <v>193707</v>
      </c>
      <c r="S117" s="320">
        <v>0.16043568682959231</v>
      </c>
      <c r="T117" s="319">
        <v>25988901.161281694</v>
      </c>
      <c r="U117" s="320">
        <v>0.20331282141187593</v>
      </c>
      <c r="V117" s="319">
        <v>16264570.855</v>
      </c>
      <c r="W117" s="319">
        <v>564939</v>
      </c>
      <c r="X117" s="320">
        <v>0.46790449742044971</v>
      </c>
      <c r="Y117" s="319">
        <v>43356162.651267692</v>
      </c>
      <c r="Z117" s="320">
        <v>0.33917800908619528</v>
      </c>
      <c r="AA117" s="319">
        <v>27133481.907000002</v>
      </c>
      <c r="AB117" s="319">
        <v>48012</v>
      </c>
      <c r="AC117" s="320">
        <v>3.976540959316073E-2</v>
      </c>
      <c r="AD117" s="319">
        <v>6029357.3824664326</v>
      </c>
      <c r="AE117" s="320">
        <v>4.7168045048246995E-2</v>
      </c>
      <c r="AF117" s="319">
        <v>3773338.0780000002</v>
      </c>
      <c r="AG117" s="319"/>
      <c r="AH117" s="320"/>
      <c r="AI117" s="319"/>
      <c r="AJ117" s="320"/>
      <c r="AK117" s="319"/>
      <c r="AL117" s="319">
        <v>1207381</v>
      </c>
      <c r="AM117" s="320">
        <v>1</v>
      </c>
      <c r="AN117" s="319">
        <v>127827162.99348757</v>
      </c>
      <c r="AO117" s="320">
        <v>1</v>
      </c>
      <c r="AP117" s="319">
        <v>79997762.767999992</v>
      </c>
    </row>
    <row r="118" spans="2:42" hidden="1" outlineLevel="1" x14ac:dyDescent="0.25">
      <c r="B118" s="318">
        <v>41487</v>
      </c>
      <c r="C118" s="319"/>
      <c r="D118" s="320"/>
      <c r="E118" s="319"/>
      <c r="F118" s="320"/>
      <c r="G118" s="319"/>
      <c r="H118" s="319"/>
      <c r="I118" s="320"/>
      <c r="J118" s="319"/>
      <c r="K118" s="320"/>
      <c r="L118" s="319"/>
      <c r="M118" s="319">
        <v>399188</v>
      </c>
      <c r="N118" s="320">
        <v>0.3300148974128766</v>
      </c>
      <c r="O118" s="319">
        <v>52444164.322940737</v>
      </c>
      <c r="P118" s="320">
        <v>0.40790726659532384</v>
      </c>
      <c r="Q118" s="319">
        <v>32899986.037999999</v>
      </c>
      <c r="R118" s="319">
        <v>192279</v>
      </c>
      <c r="S118" s="320">
        <v>0.15896002499987599</v>
      </c>
      <c r="T118" s="319">
        <v>25519292.47046598</v>
      </c>
      <c r="U118" s="320">
        <v>0.19848738122653162</v>
      </c>
      <c r="V118" s="319">
        <v>16009109.437000001</v>
      </c>
      <c r="W118" s="319">
        <v>569076</v>
      </c>
      <c r="X118" s="320">
        <v>0.47046393619079269</v>
      </c>
      <c r="Y118" s="319">
        <v>44423216.828766316</v>
      </c>
      <c r="Z118" s="320">
        <v>0.34552086364482226</v>
      </c>
      <c r="AA118" s="319">
        <v>27868176.227000002</v>
      </c>
      <c r="AB118" s="319">
        <v>49063</v>
      </c>
      <c r="AC118" s="320">
        <v>4.0561141396454711E-2</v>
      </c>
      <c r="AD118" s="319">
        <v>6182166.9397419319</v>
      </c>
      <c r="AE118" s="320">
        <v>4.8084488533322207E-2</v>
      </c>
      <c r="AF118" s="319">
        <v>3878280.9989999998</v>
      </c>
      <c r="AG118" s="319"/>
      <c r="AH118" s="320"/>
      <c r="AI118" s="319"/>
      <c r="AJ118" s="320"/>
      <c r="AK118" s="319"/>
      <c r="AL118" s="319">
        <v>1209606</v>
      </c>
      <c r="AM118" s="320">
        <v>1</v>
      </c>
      <c r="AN118" s="319">
        <v>128568840.56191498</v>
      </c>
      <c r="AO118" s="320">
        <v>1</v>
      </c>
      <c r="AP118" s="319">
        <v>80655552.701000005</v>
      </c>
    </row>
    <row r="119" spans="2:42" hidden="1" outlineLevel="1" x14ac:dyDescent="0.25">
      <c r="B119" s="318">
        <v>41518</v>
      </c>
      <c r="C119" s="319"/>
      <c r="D119" s="320"/>
      <c r="E119" s="319"/>
      <c r="F119" s="320"/>
      <c r="G119" s="319"/>
      <c r="H119" s="319"/>
      <c r="I119" s="320"/>
      <c r="J119" s="319"/>
      <c r="K119" s="320"/>
      <c r="L119" s="319"/>
      <c r="M119" s="319">
        <v>400350</v>
      </c>
      <c r="N119" s="320">
        <v>0.32974744483823965</v>
      </c>
      <c r="O119" s="319">
        <v>54189971.923300497</v>
      </c>
      <c r="P119" s="320">
        <v>0.41266316460913127</v>
      </c>
      <c r="Q119" s="319">
        <v>34177654.072999999</v>
      </c>
      <c r="R119" s="319">
        <v>189756</v>
      </c>
      <c r="S119" s="320">
        <v>0.15629213473891596</v>
      </c>
      <c r="T119" s="319">
        <v>25187500.544794623</v>
      </c>
      <c r="U119" s="320">
        <v>0.19180585105525763</v>
      </c>
      <c r="V119" s="319">
        <v>15885774.619000001</v>
      </c>
      <c r="W119" s="319">
        <v>572392</v>
      </c>
      <c r="X119" s="320">
        <v>0.47144948031934475</v>
      </c>
      <c r="Y119" s="319">
        <v>45267612.989216402</v>
      </c>
      <c r="Z119" s="320">
        <v>0.34471832642525047</v>
      </c>
      <c r="AA119" s="319">
        <v>28550315.908</v>
      </c>
      <c r="AB119" s="319">
        <v>51613</v>
      </c>
      <c r="AC119" s="320">
        <v>4.2510940103499595E-2</v>
      </c>
      <c r="AD119" s="319">
        <v>6672600.6623800024</v>
      </c>
      <c r="AE119" s="320">
        <v>5.0812657910360666E-2</v>
      </c>
      <c r="AF119" s="319">
        <v>4208414.0130000003</v>
      </c>
      <c r="AG119" s="319"/>
      <c r="AH119" s="320"/>
      <c r="AI119" s="319"/>
      <c r="AJ119" s="320"/>
      <c r="AK119" s="319"/>
      <c r="AL119" s="319">
        <v>1214111</v>
      </c>
      <c r="AM119" s="320">
        <v>1</v>
      </c>
      <c r="AN119" s="319">
        <v>131317686.11969152</v>
      </c>
      <c r="AO119" s="320">
        <v>1</v>
      </c>
      <c r="AP119" s="319">
        <v>82822158.612999991</v>
      </c>
    </row>
    <row r="120" spans="2:42" hidden="1" outlineLevel="1" x14ac:dyDescent="0.25">
      <c r="B120" s="318">
        <v>41548</v>
      </c>
      <c r="C120" s="319"/>
      <c r="D120" s="320"/>
      <c r="E120" s="319"/>
      <c r="F120" s="320"/>
      <c r="G120" s="319"/>
      <c r="H120" s="319"/>
      <c r="I120" s="320"/>
      <c r="J120" s="319"/>
      <c r="K120" s="320"/>
      <c r="L120" s="319"/>
      <c r="M120" s="319">
        <v>400134</v>
      </c>
      <c r="N120" s="320">
        <v>0.32862354489054751</v>
      </c>
      <c r="O120" s="319">
        <v>52792192.359428033</v>
      </c>
      <c r="P120" s="320">
        <v>0.40561745913669406</v>
      </c>
      <c r="Q120" s="319">
        <v>33343569.083000001</v>
      </c>
      <c r="R120" s="319">
        <v>187727</v>
      </c>
      <c r="S120" s="320">
        <v>0.15417713119022081</v>
      </c>
      <c r="T120" s="319">
        <v>24867738.145775806</v>
      </c>
      <c r="U120" s="320">
        <v>0.19106591922706637</v>
      </c>
      <c r="V120" s="319">
        <v>15706473.017000001</v>
      </c>
      <c r="W120" s="319">
        <v>576466</v>
      </c>
      <c r="X120" s="320">
        <v>0.47344214795262179</v>
      </c>
      <c r="Y120" s="319">
        <v>45454889.52017469</v>
      </c>
      <c r="Z120" s="320">
        <v>0.34924287036584356</v>
      </c>
      <c r="AA120" s="319">
        <v>28709325.776000001</v>
      </c>
      <c r="AB120" s="319">
        <v>53279</v>
      </c>
      <c r="AC120" s="320">
        <v>4.3757175966609892E-2</v>
      </c>
      <c r="AD120" s="319">
        <v>7037842.7120430842</v>
      </c>
      <c r="AE120" s="320">
        <v>5.4073751270396084E-2</v>
      </c>
      <c r="AF120" s="319">
        <v>4445104.1749999998</v>
      </c>
      <c r="AG120" s="319"/>
      <c r="AH120" s="320"/>
      <c r="AI120" s="319"/>
      <c r="AJ120" s="320"/>
      <c r="AK120" s="319"/>
      <c r="AL120" s="319">
        <v>1217606</v>
      </c>
      <c r="AM120" s="320">
        <v>1</v>
      </c>
      <c r="AN120" s="319">
        <v>130152662.7374216</v>
      </c>
      <c r="AO120" s="320">
        <v>1</v>
      </c>
      <c r="AP120" s="319">
        <v>82204472.050999999</v>
      </c>
    </row>
    <row r="121" spans="2:42" hidden="1" outlineLevel="1" x14ac:dyDescent="0.25">
      <c r="B121" s="318">
        <v>41579</v>
      </c>
      <c r="C121" s="319"/>
      <c r="D121" s="320"/>
      <c r="E121" s="319"/>
      <c r="F121" s="320"/>
      <c r="G121" s="319"/>
      <c r="H121" s="319"/>
      <c r="I121" s="320"/>
      <c r="J121" s="319"/>
      <c r="K121" s="320"/>
      <c r="L121" s="319"/>
      <c r="M121" s="319">
        <v>400749</v>
      </c>
      <c r="N121" s="320">
        <v>0.32741840868128691</v>
      </c>
      <c r="O121" s="319">
        <v>52625227.39442452</v>
      </c>
      <c r="P121" s="320">
        <v>0.4050019115285719</v>
      </c>
      <c r="Q121" s="319">
        <v>33361861.668000001</v>
      </c>
      <c r="R121" s="319">
        <v>187169</v>
      </c>
      <c r="S121" s="320">
        <v>0.15292009745368743</v>
      </c>
      <c r="T121" s="319">
        <v>24650396.874856856</v>
      </c>
      <c r="U121" s="320">
        <v>0.18970859317013949</v>
      </c>
      <c r="V121" s="319">
        <v>15627165.359999999</v>
      </c>
      <c r="W121" s="319">
        <v>582144</v>
      </c>
      <c r="X121" s="320">
        <v>0.47562105483322248</v>
      </c>
      <c r="Y121" s="319">
        <v>45806786.200496033</v>
      </c>
      <c r="Z121" s="320">
        <v>0.3525274263070835</v>
      </c>
      <c r="AA121" s="319">
        <v>29039298.077</v>
      </c>
      <c r="AB121" s="319">
        <v>53904</v>
      </c>
      <c r="AC121" s="320">
        <v>4.4040439031803172E-2</v>
      </c>
      <c r="AD121" s="319">
        <v>6855809.3173949672</v>
      </c>
      <c r="AE121" s="320">
        <v>5.276206899420504E-2</v>
      </c>
      <c r="AF121" s="319">
        <v>4346253.1830000002</v>
      </c>
      <c r="AG121" s="319"/>
      <c r="AH121" s="320"/>
      <c r="AI121" s="319"/>
      <c r="AJ121" s="320"/>
      <c r="AK121" s="319"/>
      <c r="AL121" s="319">
        <v>1223966</v>
      </c>
      <c r="AM121" s="320">
        <v>1</v>
      </c>
      <c r="AN121" s="319">
        <v>129938219.78717238</v>
      </c>
      <c r="AO121" s="320">
        <v>0.99999999999999978</v>
      </c>
      <c r="AP121" s="319">
        <v>82374578.287999988</v>
      </c>
    </row>
    <row r="122" spans="2:42" hidden="1" outlineLevel="1" x14ac:dyDescent="0.25">
      <c r="B122" s="318">
        <v>41609</v>
      </c>
      <c r="C122" s="319"/>
      <c r="D122" s="320"/>
      <c r="E122" s="319"/>
      <c r="F122" s="320"/>
      <c r="G122" s="319"/>
      <c r="H122" s="319"/>
      <c r="I122" s="320"/>
      <c r="J122" s="319"/>
      <c r="K122" s="320"/>
      <c r="L122" s="319"/>
      <c r="M122" s="319">
        <v>400768</v>
      </c>
      <c r="N122" s="320">
        <v>0.32611717069137802</v>
      </c>
      <c r="O122" s="319">
        <v>52296939.64075315</v>
      </c>
      <c r="P122" s="320">
        <v>0.40458654330121435</v>
      </c>
      <c r="Q122" s="319">
        <v>33352269.704999998</v>
      </c>
      <c r="R122" s="319">
        <v>186782</v>
      </c>
      <c r="S122" s="320">
        <v>0.15199022221354244</v>
      </c>
      <c r="T122" s="319">
        <v>24197638.588301502</v>
      </c>
      <c r="U122" s="320">
        <v>0.18720099148715677</v>
      </c>
      <c r="V122" s="319">
        <v>15431996.096999999</v>
      </c>
      <c r="W122" s="319">
        <v>586883</v>
      </c>
      <c r="X122" s="320">
        <v>0.47756463461870213</v>
      </c>
      <c r="Y122" s="319">
        <v>45921629.941854201</v>
      </c>
      <c r="Z122" s="320">
        <v>0.35526502408286564</v>
      </c>
      <c r="AA122" s="319">
        <v>29286428.568</v>
      </c>
      <c r="AB122" s="319">
        <v>54475</v>
      </c>
      <c r="AC122" s="320">
        <v>4.4327972476377403E-2</v>
      </c>
      <c r="AD122" s="319">
        <v>6843997.1093693692</v>
      </c>
      <c r="AE122" s="320">
        <v>5.294744112876313E-2</v>
      </c>
      <c r="AF122" s="319">
        <v>4364745.6050000004</v>
      </c>
      <c r="AG122" s="319"/>
      <c r="AH122" s="320"/>
      <c r="AI122" s="319"/>
      <c r="AJ122" s="320"/>
      <c r="AK122" s="319"/>
      <c r="AL122" s="319">
        <v>1228908</v>
      </c>
      <c r="AM122" s="320">
        <v>1</v>
      </c>
      <c r="AN122" s="319">
        <v>129260205.28027824</v>
      </c>
      <c r="AO122" s="320">
        <v>0.99999999999999989</v>
      </c>
      <c r="AP122" s="319">
        <v>82435439.975000009</v>
      </c>
    </row>
    <row r="123" spans="2:42" collapsed="1" x14ac:dyDescent="0.25">
      <c r="B123" s="321" t="s">
        <v>695</v>
      </c>
      <c r="C123" s="322"/>
      <c r="D123" s="311"/>
      <c r="E123" s="322"/>
      <c r="F123" s="311"/>
      <c r="G123" s="322"/>
      <c r="H123" s="322"/>
      <c r="I123" s="311"/>
      <c r="J123" s="322"/>
      <c r="K123" s="311"/>
      <c r="L123" s="322"/>
      <c r="M123" s="322">
        <v>403032.25</v>
      </c>
      <c r="N123" s="311">
        <v>0.33364381709034413</v>
      </c>
      <c r="O123" s="322">
        <v>52949823.727336586</v>
      </c>
      <c r="P123" s="311">
        <v>0.41282311609527739</v>
      </c>
      <c r="Q123" s="322"/>
      <c r="R123" s="322">
        <v>192418</v>
      </c>
      <c r="S123" s="311">
        <v>0.15929017094014147</v>
      </c>
      <c r="T123" s="322">
        <v>25574791.679067176</v>
      </c>
      <c r="U123" s="311">
        <v>0.19939377416641593</v>
      </c>
      <c r="V123" s="322"/>
      <c r="W123" s="322">
        <v>564855.41666666663</v>
      </c>
      <c r="X123" s="311">
        <v>0.46760654344862829</v>
      </c>
      <c r="Y123" s="322">
        <v>43678951.101073138</v>
      </c>
      <c r="Z123" s="311">
        <v>0.34054278998494536</v>
      </c>
      <c r="AA123" s="322"/>
      <c r="AB123" s="322">
        <v>47665.916666666664</v>
      </c>
      <c r="AC123" s="311">
        <v>3.9459468520886151E-2</v>
      </c>
      <c r="AD123" s="322">
        <v>6059172.8181863734</v>
      </c>
      <c r="AE123" s="311">
        <v>4.724031975336139E-2</v>
      </c>
      <c r="AF123" s="322"/>
      <c r="AG123" s="322"/>
      <c r="AH123" s="311"/>
      <c r="AI123" s="322"/>
      <c r="AJ123" s="311"/>
      <c r="AK123" s="322"/>
      <c r="AL123" s="322">
        <v>1207971.5833333333</v>
      </c>
      <c r="AM123" s="311">
        <v>1</v>
      </c>
      <c r="AN123" s="322">
        <v>128262739.32566327</v>
      </c>
      <c r="AO123" s="311">
        <v>1</v>
      </c>
      <c r="AP123" s="322"/>
    </row>
    <row r="124" spans="2:42" hidden="1" outlineLevel="1" x14ac:dyDescent="0.25">
      <c r="B124" s="318">
        <v>41640</v>
      </c>
      <c r="C124" s="319"/>
      <c r="D124" s="320"/>
      <c r="E124" s="319"/>
      <c r="F124" s="320"/>
      <c r="G124" s="319"/>
      <c r="H124" s="319"/>
      <c r="I124" s="320"/>
      <c r="J124" s="319"/>
      <c r="K124" s="320"/>
      <c r="L124" s="319"/>
      <c r="M124" s="319">
        <v>398815</v>
      </c>
      <c r="N124" s="320">
        <v>0.32310345889173525</v>
      </c>
      <c r="O124" s="319">
        <v>51868876.787309594</v>
      </c>
      <c r="P124" s="320">
        <v>0.40037192448340064</v>
      </c>
      <c r="Q124" s="319">
        <v>33138486.980999999</v>
      </c>
      <c r="R124" s="319">
        <v>185913</v>
      </c>
      <c r="S124" s="320">
        <v>0.1506190422951473</v>
      </c>
      <c r="T124" s="319">
        <v>24619397.941930775</v>
      </c>
      <c r="U124" s="320">
        <v>0.19003526477066729</v>
      </c>
      <c r="V124" s="319">
        <v>15729077.796</v>
      </c>
      <c r="W124" s="319">
        <v>594176</v>
      </c>
      <c r="X124" s="320">
        <v>0.48137688098606041</v>
      </c>
      <c r="Y124" s="319">
        <v>46084409.730322488</v>
      </c>
      <c r="Z124" s="320">
        <v>0.35572206215433272</v>
      </c>
      <c r="AA124" s="319">
        <v>29442851.021000002</v>
      </c>
      <c r="AB124" s="319">
        <v>55422</v>
      </c>
      <c r="AC124" s="320">
        <v>4.4900617827057031E-2</v>
      </c>
      <c r="AD124" s="319">
        <v>6979048.854994433</v>
      </c>
      <c r="AE124" s="320">
        <v>5.387074859159928E-2</v>
      </c>
      <c r="AF124" s="319">
        <v>4458841.8710000003</v>
      </c>
      <c r="AG124" s="319"/>
      <c r="AH124" s="320"/>
      <c r="AI124" s="319"/>
      <c r="AJ124" s="320"/>
      <c r="AK124" s="319"/>
      <c r="AL124" s="319">
        <v>1234326</v>
      </c>
      <c r="AM124" s="320">
        <v>1</v>
      </c>
      <c r="AN124" s="319">
        <v>129551733.3145573</v>
      </c>
      <c r="AO124" s="320">
        <v>0.99999999999999978</v>
      </c>
      <c r="AP124" s="319">
        <v>82769257.669</v>
      </c>
    </row>
    <row r="125" spans="2:42" hidden="1" outlineLevel="1" x14ac:dyDescent="0.25">
      <c r="B125" s="318">
        <v>41671</v>
      </c>
      <c r="C125" s="319"/>
      <c r="D125" s="320"/>
      <c r="E125" s="319"/>
      <c r="F125" s="320"/>
      <c r="G125" s="319"/>
      <c r="H125" s="319"/>
      <c r="I125" s="320"/>
      <c r="J125" s="319"/>
      <c r="K125" s="320"/>
      <c r="L125" s="319"/>
      <c r="M125" s="319">
        <v>397052</v>
      </c>
      <c r="N125" s="320">
        <v>0.32181176558313246</v>
      </c>
      <c r="O125" s="319">
        <v>51281515.167866722</v>
      </c>
      <c r="P125" s="320">
        <v>0.39973542737393591</v>
      </c>
      <c r="Q125" s="319">
        <v>32922676.230999999</v>
      </c>
      <c r="R125" s="319">
        <v>183701</v>
      </c>
      <c r="S125" s="320">
        <v>0.14889017848893096</v>
      </c>
      <c r="T125" s="319">
        <v>23999204.496212572</v>
      </c>
      <c r="U125" s="320">
        <v>0.18707193487799387</v>
      </c>
      <c r="V125" s="319">
        <v>15407462.842</v>
      </c>
      <c r="W125" s="319">
        <v>595309</v>
      </c>
      <c r="X125" s="320">
        <v>0.48249962311618882</v>
      </c>
      <c r="Y125" s="319">
        <v>45634170.45015227</v>
      </c>
      <c r="Z125" s="320">
        <v>0.35571481396432958</v>
      </c>
      <c r="AA125" s="319">
        <v>29297087.145</v>
      </c>
      <c r="AB125" s="319">
        <v>57740</v>
      </c>
      <c r="AC125" s="320">
        <v>4.6798432811747753E-2</v>
      </c>
      <c r="AD125" s="319">
        <v>7373751.9627565034</v>
      </c>
      <c r="AE125" s="320">
        <v>5.7477823783740709E-2</v>
      </c>
      <c r="AF125" s="319">
        <v>4733940.6349999998</v>
      </c>
      <c r="AG125" s="319"/>
      <c r="AH125" s="320"/>
      <c r="AI125" s="319"/>
      <c r="AJ125" s="320"/>
      <c r="AK125" s="319"/>
      <c r="AL125" s="319">
        <v>1233802</v>
      </c>
      <c r="AM125" s="320">
        <v>1</v>
      </c>
      <c r="AN125" s="319">
        <v>128288642.07698806</v>
      </c>
      <c r="AO125" s="320">
        <v>1</v>
      </c>
      <c r="AP125" s="319">
        <v>82361166.853</v>
      </c>
    </row>
    <row r="126" spans="2:42" hidden="1" outlineLevel="1" x14ac:dyDescent="0.25">
      <c r="B126" s="318">
        <v>41699</v>
      </c>
      <c r="C126" s="319"/>
      <c r="D126" s="320"/>
      <c r="E126" s="319"/>
      <c r="F126" s="320"/>
      <c r="G126" s="319"/>
      <c r="H126" s="319"/>
      <c r="I126" s="320"/>
      <c r="J126" s="319"/>
      <c r="K126" s="320"/>
      <c r="L126" s="319"/>
      <c r="M126" s="319">
        <v>397518</v>
      </c>
      <c r="N126" s="320">
        <v>0.32096211607402386</v>
      </c>
      <c r="O126" s="319">
        <v>51016007.560082741</v>
      </c>
      <c r="P126" s="320">
        <v>0.39854143172092427</v>
      </c>
      <c r="Q126" s="319">
        <v>33026458.544</v>
      </c>
      <c r="R126" s="319">
        <v>183770</v>
      </c>
      <c r="S126" s="320">
        <v>0.1483787100733133</v>
      </c>
      <c r="T126" s="319">
        <v>24063500.526065663</v>
      </c>
      <c r="U126" s="320">
        <v>0.18798613240325993</v>
      </c>
      <c r="V126" s="319">
        <v>15578094.809</v>
      </c>
      <c r="W126" s="319">
        <v>598940</v>
      </c>
      <c r="X126" s="320">
        <v>0.48359332106062075</v>
      </c>
      <c r="Y126" s="319">
        <v>45571835.705892041</v>
      </c>
      <c r="Z126" s="320">
        <v>0.35601109371380796</v>
      </c>
      <c r="AA126" s="319">
        <v>29502040.921999998</v>
      </c>
      <c r="AB126" s="319">
        <v>58292</v>
      </c>
      <c r="AC126" s="320">
        <v>4.7065852792042118E-2</v>
      </c>
      <c r="AD126" s="319">
        <v>7355441.7002300853</v>
      </c>
      <c r="AE126" s="320">
        <v>5.7461342162007732E-2</v>
      </c>
      <c r="AF126" s="319">
        <v>4761724.8389999997</v>
      </c>
      <c r="AG126" s="319"/>
      <c r="AH126" s="320"/>
      <c r="AI126" s="319"/>
      <c r="AJ126" s="320"/>
      <c r="AK126" s="319"/>
      <c r="AL126" s="319">
        <v>1238520</v>
      </c>
      <c r="AM126" s="320">
        <v>1</v>
      </c>
      <c r="AN126" s="319">
        <v>128006785.49227054</v>
      </c>
      <c r="AO126" s="320">
        <v>0.99999999999999989</v>
      </c>
      <c r="AP126" s="319">
        <v>82868319.114000008</v>
      </c>
    </row>
    <row r="127" spans="2:42" hidden="1" outlineLevel="1" x14ac:dyDescent="0.25">
      <c r="B127" s="318">
        <v>41730</v>
      </c>
      <c r="C127" s="319"/>
      <c r="D127" s="320"/>
      <c r="E127" s="319"/>
      <c r="F127" s="320"/>
      <c r="G127" s="319"/>
      <c r="H127" s="319"/>
      <c r="I127" s="320"/>
      <c r="J127" s="319"/>
      <c r="K127" s="320"/>
      <c r="L127" s="319"/>
      <c r="M127" s="319">
        <v>398547</v>
      </c>
      <c r="N127" s="320">
        <v>0.32072809971093613</v>
      </c>
      <c r="O127" s="319">
        <v>50765749.768553808</v>
      </c>
      <c r="P127" s="320">
        <v>0.39942317306162328</v>
      </c>
      <c r="Q127" s="319">
        <v>33068525.473999999</v>
      </c>
      <c r="R127" s="319">
        <v>183522</v>
      </c>
      <c r="S127" s="320">
        <v>0.14768813293074701</v>
      </c>
      <c r="T127" s="319">
        <v>23697558.320378911</v>
      </c>
      <c r="U127" s="320">
        <v>0.1864515737735013</v>
      </c>
      <c r="V127" s="319">
        <v>15436456.953</v>
      </c>
      <c r="W127" s="319">
        <v>602259</v>
      </c>
      <c r="X127" s="320">
        <v>0.48466400350224365</v>
      </c>
      <c r="Y127" s="319">
        <v>45456382.412863746</v>
      </c>
      <c r="Z127" s="320">
        <v>0.35764925332581837</v>
      </c>
      <c r="AA127" s="319">
        <v>29610033.272999998</v>
      </c>
      <c r="AB127" s="319">
        <v>58304</v>
      </c>
      <c r="AC127" s="320">
        <v>4.6919763856073236E-2</v>
      </c>
      <c r="AD127" s="319">
        <v>7177967.3016520888</v>
      </c>
      <c r="AE127" s="320">
        <v>5.6475999839057052E-2</v>
      </c>
      <c r="AF127" s="319">
        <v>4675687.7549999999</v>
      </c>
      <c r="AG127" s="319"/>
      <c r="AH127" s="320"/>
      <c r="AI127" s="319"/>
      <c r="AJ127" s="320"/>
      <c r="AK127" s="319"/>
      <c r="AL127" s="319">
        <v>1242632</v>
      </c>
      <c r="AM127" s="320">
        <v>1</v>
      </c>
      <c r="AN127" s="319">
        <v>127097657.80344856</v>
      </c>
      <c r="AO127" s="320">
        <v>1.0000000000000002</v>
      </c>
      <c r="AP127" s="319">
        <v>82790703.454999998</v>
      </c>
    </row>
    <row r="128" spans="2:42" hidden="1" outlineLevel="1" x14ac:dyDescent="0.25">
      <c r="B128" s="318">
        <v>41760</v>
      </c>
      <c r="C128" s="319"/>
      <c r="D128" s="320"/>
      <c r="E128" s="319"/>
      <c r="F128" s="320"/>
      <c r="G128" s="319"/>
      <c r="H128" s="319"/>
      <c r="I128" s="320"/>
      <c r="J128" s="319"/>
      <c r="K128" s="320"/>
      <c r="L128" s="319"/>
      <c r="M128" s="319">
        <v>398953</v>
      </c>
      <c r="N128" s="320">
        <v>0.31997411032306755</v>
      </c>
      <c r="O128" s="319">
        <v>50670421.179138713</v>
      </c>
      <c r="P128" s="320">
        <v>0.39885789458751864</v>
      </c>
      <c r="Q128" s="319">
        <v>33117869.868000001</v>
      </c>
      <c r="R128" s="319">
        <v>183558</v>
      </c>
      <c r="S128" s="320">
        <v>0.14721986735951761</v>
      </c>
      <c r="T128" s="319">
        <v>23518585.022117838</v>
      </c>
      <c r="U128" s="320">
        <v>0.18512917570658569</v>
      </c>
      <c r="V128" s="319">
        <v>15371599.843</v>
      </c>
      <c r="W128" s="319">
        <v>605684</v>
      </c>
      <c r="X128" s="320">
        <v>0.48577952550028913</v>
      </c>
      <c r="Y128" s="319">
        <v>45649727.441182189</v>
      </c>
      <c r="Z128" s="320">
        <v>0.35933694159187757</v>
      </c>
      <c r="AA128" s="319">
        <v>29836375.892000001</v>
      </c>
      <c r="AB128" s="319">
        <v>58634</v>
      </c>
      <c r="AC128" s="320">
        <v>4.7026496817125688E-2</v>
      </c>
      <c r="AD128" s="319">
        <v>7200048.5071281902</v>
      </c>
      <c r="AE128" s="320">
        <v>5.6675988114018097E-2</v>
      </c>
      <c r="AF128" s="319">
        <v>4705906.6009999998</v>
      </c>
      <c r="AG128" s="319"/>
      <c r="AH128" s="320"/>
      <c r="AI128" s="319"/>
      <c r="AJ128" s="320"/>
      <c r="AK128" s="319"/>
      <c r="AL128" s="319">
        <v>1246829</v>
      </c>
      <c r="AM128" s="320">
        <v>1</v>
      </c>
      <c r="AN128" s="319">
        <v>127038782.14956693</v>
      </c>
      <c r="AO128" s="320">
        <v>1</v>
      </c>
      <c r="AP128" s="319">
        <v>83031752.203999996</v>
      </c>
    </row>
    <row r="129" spans="2:42" hidden="1" outlineLevel="1" x14ac:dyDescent="0.25">
      <c r="B129" s="318">
        <v>41791</v>
      </c>
      <c r="C129" s="319"/>
      <c r="D129" s="320"/>
      <c r="E129" s="319"/>
      <c r="F129" s="320"/>
      <c r="G129" s="319"/>
      <c r="H129" s="319"/>
      <c r="I129" s="320"/>
      <c r="J129" s="319"/>
      <c r="K129" s="320"/>
      <c r="L129" s="319"/>
      <c r="M129" s="319">
        <v>400312</v>
      </c>
      <c r="N129" s="320">
        <v>0.31937910032415651</v>
      </c>
      <c r="O129" s="319">
        <v>51101779.885391966</v>
      </c>
      <c r="P129" s="320">
        <v>0.39677082868933</v>
      </c>
      <c r="Q129" s="319">
        <v>33417094.261</v>
      </c>
      <c r="R129" s="319">
        <v>183898</v>
      </c>
      <c r="S129" s="320">
        <v>0.14671850404537393</v>
      </c>
      <c r="T129" s="319">
        <v>23730339.909221645</v>
      </c>
      <c r="U129" s="320">
        <v>0.18425007214969596</v>
      </c>
      <c r="V129" s="319">
        <v>15518031.023</v>
      </c>
      <c r="W129" s="319">
        <v>609869</v>
      </c>
      <c r="X129" s="320">
        <v>0.48656900751312221</v>
      </c>
      <c r="Y129" s="319">
        <v>46639276.633664481</v>
      </c>
      <c r="Z129" s="320">
        <v>0.36212250299132653</v>
      </c>
      <c r="AA129" s="319">
        <v>30498920.136</v>
      </c>
      <c r="AB129" s="319">
        <v>59328</v>
      </c>
      <c r="AC129" s="320">
        <v>4.7333388117347358E-2</v>
      </c>
      <c r="AD129" s="319">
        <v>7322799.5921265781</v>
      </c>
      <c r="AE129" s="320">
        <v>5.6856596169647569E-2</v>
      </c>
      <c r="AF129" s="319">
        <v>4788613.7189999996</v>
      </c>
      <c r="AG129" s="319"/>
      <c r="AH129" s="320"/>
      <c r="AI129" s="319"/>
      <c r="AJ129" s="320"/>
      <c r="AK129" s="319"/>
      <c r="AL129" s="319">
        <v>1253407</v>
      </c>
      <c r="AM129" s="320">
        <v>0.99999999999999989</v>
      </c>
      <c r="AN129" s="319">
        <v>128794196.02040467</v>
      </c>
      <c r="AO129" s="320">
        <v>1</v>
      </c>
      <c r="AP129" s="319">
        <v>84222659.138999999</v>
      </c>
    </row>
    <row r="130" spans="2:42" hidden="1" outlineLevel="1" x14ac:dyDescent="0.25">
      <c r="B130" s="318">
        <v>41821</v>
      </c>
      <c r="C130" s="319"/>
      <c r="D130" s="320"/>
      <c r="E130" s="319"/>
      <c r="F130" s="320"/>
      <c r="G130" s="319"/>
      <c r="H130" s="319"/>
      <c r="I130" s="320"/>
      <c r="J130" s="319"/>
      <c r="K130" s="320"/>
      <c r="L130" s="319"/>
      <c r="M130" s="319">
        <v>400926</v>
      </c>
      <c r="N130" s="320">
        <v>0.31831119431602467</v>
      </c>
      <c r="O130" s="319">
        <v>53184157.982734762</v>
      </c>
      <c r="P130" s="320">
        <v>0.39815688110510805</v>
      </c>
      <c r="Q130" s="319">
        <v>34859602.413000003</v>
      </c>
      <c r="R130" s="319">
        <v>181885</v>
      </c>
      <c r="S130" s="320">
        <v>0.1444057795657307</v>
      </c>
      <c r="T130" s="319">
        <v>24320476.794330969</v>
      </c>
      <c r="U130" s="320">
        <v>0.18207236054321849</v>
      </c>
      <c r="V130" s="319">
        <v>15940877.579</v>
      </c>
      <c r="W130" s="319">
        <v>615089</v>
      </c>
      <c r="X130" s="320">
        <v>0.48834376967482601</v>
      </c>
      <c r="Y130" s="319">
        <v>48174697.150838099</v>
      </c>
      <c r="Z130" s="320">
        <v>0.36065414765027609</v>
      </c>
      <c r="AA130" s="319">
        <v>31576146.971999999</v>
      </c>
      <c r="AB130" s="319">
        <v>61641</v>
      </c>
      <c r="AC130" s="320">
        <v>4.8939256443418677E-2</v>
      </c>
      <c r="AD130" s="319">
        <v>7896553.6253458699</v>
      </c>
      <c r="AE130" s="320">
        <v>5.9116610701397357E-2</v>
      </c>
      <c r="AF130" s="319">
        <v>5175802.9129999997</v>
      </c>
      <c r="AG130" s="319"/>
      <c r="AH130" s="320"/>
      <c r="AI130" s="319"/>
      <c r="AJ130" s="320"/>
      <c r="AK130" s="319"/>
      <c r="AL130" s="319">
        <v>1259541</v>
      </c>
      <c r="AM130" s="320">
        <v>1</v>
      </c>
      <c r="AN130" s="319">
        <v>133575885.5532497</v>
      </c>
      <c r="AO130" s="320">
        <v>1</v>
      </c>
      <c r="AP130" s="319">
        <v>87552429.877000004</v>
      </c>
    </row>
    <row r="131" spans="2:42" hidden="1" outlineLevel="1" x14ac:dyDescent="0.25">
      <c r="B131" s="318">
        <v>41852</v>
      </c>
      <c r="C131" s="319"/>
      <c r="D131" s="320"/>
      <c r="E131" s="319"/>
      <c r="F131" s="320"/>
      <c r="G131" s="319"/>
      <c r="H131" s="319"/>
      <c r="I131" s="320"/>
      <c r="J131" s="319"/>
      <c r="K131" s="320"/>
      <c r="L131" s="319"/>
      <c r="M131" s="319">
        <v>400933</v>
      </c>
      <c r="N131" s="320">
        <v>0.31729574531059818</v>
      </c>
      <c r="O131" s="319">
        <v>52848436.394927107</v>
      </c>
      <c r="P131" s="320">
        <v>0.39154771441023173</v>
      </c>
      <c r="Q131" s="319">
        <v>34752019.269000001</v>
      </c>
      <c r="R131" s="319">
        <v>181876</v>
      </c>
      <c r="S131" s="320">
        <v>0.14393547294463252</v>
      </c>
      <c r="T131" s="319">
        <v>24139085.947665147</v>
      </c>
      <c r="U131" s="320">
        <v>0.17884358697256908</v>
      </c>
      <c r="V131" s="319">
        <v>15873354.771</v>
      </c>
      <c r="W131" s="319">
        <v>618705</v>
      </c>
      <c r="X131" s="320">
        <v>0.48963907710862825</v>
      </c>
      <c r="Y131" s="319">
        <v>50120694.473887682</v>
      </c>
      <c r="Z131" s="320">
        <v>0.37133820231222608</v>
      </c>
      <c r="AA131" s="319">
        <v>32958313.603</v>
      </c>
      <c r="AB131" s="319">
        <v>62080</v>
      </c>
      <c r="AC131" s="320">
        <v>4.9129704636141039E-2</v>
      </c>
      <c r="AD131" s="319">
        <v>7864953.629758019</v>
      </c>
      <c r="AE131" s="320">
        <v>5.8270496304973142E-2</v>
      </c>
      <c r="AF131" s="319">
        <v>5171827.943</v>
      </c>
      <c r="AG131" s="319"/>
      <c r="AH131" s="320"/>
      <c r="AI131" s="319"/>
      <c r="AJ131" s="320"/>
      <c r="AK131" s="319"/>
      <c r="AL131" s="319">
        <v>1263594</v>
      </c>
      <c r="AM131" s="320">
        <v>1</v>
      </c>
      <c r="AN131" s="319">
        <v>134973170.44623795</v>
      </c>
      <c r="AO131" s="320">
        <v>1</v>
      </c>
      <c r="AP131" s="319">
        <v>88755515.58600001</v>
      </c>
    </row>
    <row r="132" spans="2:42" hidden="1" outlineLevel="1" x14ac:dyDescent="0.25">
      <c r="B132" s="318">
        <v>41883</v>
      </c>
      <c r="C132" s="319"/>
      <c r="D132" s="320"/>
      <c r="E132" s="319"/>
      <c r="F132" s="320"/>
      <c r="G132" s="319"/>
      <c r="H132" s="319"/>
      <c r="I132" s="320"/>
      <c r="J132" s="319"/>
      <c r="K132" s="320"/>
      <c r="L132" s="319"/>
      <c r="M132" s="319">
        <v>400274</v>
      </c>
      <c r="N132" s="320">
        <v>0.31579578527647534</v>
      </c>
      <c r="O132" s="319">
        <v>52436167.741000608</v>
      </c>
      <c r="P132" s="320">
        <v>0.38969173880847258</v>
      </c>
      <c r="Q132" s="319">
        <v>34769477.424999997</v>
      </c>
      <c r="R132" s="319">
        <v>182362</v>
      </c>
      <c r="S132" s="320">
        <v>0.14387432357482274</v>
      </c>
      <c r="T132" s="319">
        <v>24067829.051057793</v>
      </c>
      <c r="U132" s="320">
        <v>0.17886574393799906</v>
      </c>
      <c r="V132" s="319">
        <v>15958943.51</v>
      </c>
      <c r="W132" s="319">
        <v>622608</v>
      </c>
      <c r="X132" s="320">
        <v>0.49120597960251172</v>
      </c>
      <c r="Y132" s="319">
        <v>50322125.823691681</v>
      </c>
      <c r="Z132" s="320">
        <v>0.37398073805915671</v>
      </c>
      <c r="AA132" s="319">
        <v>33367694.344999999</v>
      </c>
      <c r="AB132" s="319">
        <v>62265</v>
      </c>
      <c r="AC132" s="320">
        <v>4.9123911546190203E-2</v>
      </c>
      <c r="AD132" s="319">
        <v>7731946.0293031354</v>
      </c>
      <c r="AE132" s="320">
        <v>5.7461779194371523E-2</v>
      </c>
      <c r="AF132" s="319">
        <v>5126914.0080000004</v>
      </c>
      <c r="AG132" s="319"/>
      <c r="AH132" s="320"/>
      <c r="AI132" s="319"/>
      <c r="AJ132" s="320"/>
      <c r="AK132" s="319"/>
      <c r="AL132" s="319">
        <v>1267509</v>
      </c>
      <c r="AM132" s="320">
        <v>1</v>
      </c>
      <c r="AN132" s="319">
        <v>134558068.64505324</v>
      </c>
      <c r="AO132" s="320">
        <v>0.99999999999999989</v>
      </c>
      <c r="AP132" s="319">
        <v>89223029.288000003</v>
      </c>
    </row>
    <row r="133" spans="2:42" hidden="1" outlineLevel="1" x14ac:dyDescent="0.25">
      <c r="B133" s="318">
        <v>41913</v>
      </c>
      <c r="C133" s="319"/>
      <c r="D133" s="320"/>
      <c r="E133" s="319"/>
      <c r="F133" s="320"/>
      <c r="G133" s="319"/>
      <c r="H133" s="319"/>
      <c r="I133" s="320"/>
      <c r="J133" s="319"/>
      <c r="K133" s="320"/>
      <c r="L133" s="319"/>
      <c r="M133" s="319">
        <v>400436</v>
      </c>
      <c r="N133" s="320">
        <v>0.31502388821276206</v>
      </c>
      <c r="O133" s="319">
        <v>51852855.006244645</v>
      </c>
      <c r="P133" s="320">
        <v>0.38861087863556643</v>
      </c>
      <c r="Q133" s="319">
        <v>34740593.515000001</v>
      </c>
      <c r="R133" s="319">
        <v>181608</v>
      </c>
      <c r="S133" s="320">
        <v>0.14287141588304569</v>
      </c>
      <c r="T133" s="319">
        <v>23758300.955990069</v>
      </c>
      <c r="U133" s="320">
        <v>0.17805642926090801</v>
      </c>
      <c r="V133" s="319">
        <v>15917686.23</v>
      </c>
      <c r="W133" s="319">
        <v>627020</v>
      </c>
      <c r="X133" s="320">
        <v>0.49327802292292916</v>
      </c>
      <c r="Y133" s="319">
        <v>50123482.982043192</v>
      </c>
      <c r="Z133" s="320">
        <v>0.37565011144672489</v>
      </c>
      <c r="AA133" s="319">
        <v>33581941.585000001</v>
      </c>
      <c r="AB133" s="319">
        <v>62065</v>
      </c>
      <c r="AC133" s="320">
        <v>4.8826672981263114E-2</v>
      </c>
      <c r="AD133" s="319">
        <v>7696661.7653234228</v>
      </c>
      <c r="AE133" s="320">
        <v>5.7682580656800826E-2</v>
      </c>
      <c r="AF133" s="319">
        <v>5156641.7659999998</v>
      </c>
      <c r="AG133" s="319"/>
      <c r="AH133" s="320"/>
      <c r="AI133" s="319"/>
      <c r="AJ133" s="320"/>
      <c r="AK133" s="319"/>
      <c r="AL133" s="319">
        <v>1271129</v>
      </c>
      <c r="AM133" s="320">
        <v>1</v>
      </c>
      <c r="AN133" s="319">
        <v>133431300.70960131</v>
      </c>
      <c r="AO133" s="320">
        <v>1.0000000000000002</v>
      </c>
      <c r="AP133" s="319">
        <v>89396863.096000016</v>
      </c>
    </row>
    <row r="134" spans="2:42" hidden="1" outlineLevel="1" x14ac:dyDescent="0.25">
      <c r="B134" s="318">
        <v>41944</v>
      </c>
      <c r="C134" s="319"/>
      <c r="D134" s="320"/>
      <c r="E134" s="319"/>
      <c r="F134" s="320"/>
      <c r="G134" s="319"/>
      <c r="H134" s="319"/>
      <c r="I134" s="320"/>
      <c r="J134" s="319"/>
      <c r="K134" s="320"/>
      <c r="L134" s="319"/>
      <c r="M134" s="319">
        <v>400577</v>
      </c>
      <c r="N134" s="320">
        <v>0.31431855810048415</v>
      </c>
      <c r="O134" s="319">
        <v>51955093.699817732</v>
      </c>
      <c r="P134" s="320">
        <v>0.38847796971910786</v>
      </c>
      <c r="Q134" s="319">
        <v>34817718.362999998</v>
      </c>
      <c r="R134" s="319">
        <v>181221</v>
      </c>
      <c r="S134" s="320">
        <v>0.14219768837833385</v>
      </c>
      <c r="T134" s="319">
        <v>23749278.01589781</v>
      </c>
      <c r="U134" s="320">
        <v>0.17757780130695808</v>
      </c>
      <c r="V134" s="319">
        <v>15915584.294</v>
      </c>
      <c r="W134" s="319">
        <v>630203</v>
      </c>
      <c r="X134" s="320">
        <v>0.49449793240899853</v>
      </c>
      <c r="Y134" s="319">
        <v>50283542.540187061</v>
      </c>
      <c r="Z134" s="320">
        <v>0.37597946852254044</v>
      </c>
      <c r="AA134" s="319">
        <v>33697527.957000002</v>
      </c>
      <c r="AB134" s="319">
        <v>62429</v>
      </c>
      <c r="AC134" s="320">
        <v>4.8985821112183484E-2</v>
      </c>
      <c r="AD134" s="319">
        <v>7752214.5276788296</v>
      </c>
      <c r="AE134" s="320">
        <v>5.7964760451393614E-2</v>
      </c>
      <c r="AF134" s="319">
        <v>5195148.4040000001</v>
      </c>
      <c r="AG134" s="319"/>
      <c r="AH134" s="320"/>
      <c r="AI134" s="319"/>
      <c r="AJ134" s="320"/>
      <c r="AK134" s="319"/>
      <c r="AL134" s="319">
        <v>1274430</v>
      </c>
      <c r="AM134" s="320">
        <v>1</v>
      </c>
      <c r="AN134" s="319">
        <v>133740128.78358144</v>
      </c>
      <c r="AO134" s="320">
        <v>1</v>
      </c>
      <c r="AP134" s="319">
        <v>89625979.017999992</v>
      </c>
    </row>
    <row r="135" spans="2:42" hidden="1" outlineLevel="1" x14ac:dyDescent="0.25">
      <c r="B135" s="318">
        <v>41974</v>
      </c>
      <c r="C135" s="319"/>
      <c r="D135" s="320"/>
      <c r="E135" s="319"/>
      <c r="F135" s="320"/>
      <c r="G135" s="319"/>
      <c r="H135" s="319"/>
      <c r="I135" s="320"/>
      <c r="J135" s="319"/>
      <c r="K135" s="320"/>
      <c r="L135" s="319"/>
      <c r="M135" s="319">
        <v>401656</v>
      </c>
      <c r="N135" s="320">
        <v>0.31339515054290323</v>
      </c>
      <c r="O135" s="319">
        <v>52357679.379926004</v>
      </c>
      <c r="P135" s="320">
        <v>0.38721997630686905</v>
      </c>
      <c r="Q135" s="319">
        <v>34942479.743000001</v>
      </c>
      <c r="R135" s="319">
        <v>181546</v>
      </c>
      <c r="S135" s="320">
        <v>0.14165264803827632</v>
      </c>
      <c r="T135" s="319">
        <v>23733426.426082622</v>
      </c>
      <c r="U135" s="320">
        <v>0.17552452528887313</v>
      </c>
      <c r="V135" s="319">
        <v>15839219.422</v>
      </c>
      <c r="W135" s="319">
        <v>635745</v>
      </c>
      <c r="X135" s="320">
        <v>0.49604487417565785</v>
      </c>
      <c r="Y135" s="319">
        <v>51370762.963690199</v>
      </c>
      <c r="Z135" s="320">
        <v>0.37992107085808774</v>
      </c>
      <c r="AA135" s="319">
        <v>34283831.244999997</v>
      </c>
      <c r="AB135" s="319">
        <v>62681</v>
      </c>
      <c r="AC135" s="320">
        <v>4.8907327243162602E-2</v>
      </c>
      <c r="AD135" s="319">
        <v>7752434.6846067319</v>
      </c>
      <c r="AE135" s="320">
        <v>5.733442754617004E-2</v>
      </c>
      <c r="AF135" s="319">
        <v>5173821.5889999997</v>
      </c>
      <c r="AG135" s="319"/>
      <c r="AH135" s="320"/>
      <c r="AI135" s="319"/>
      <c r="AJ135" s="320"/>
      <c r="AK135" s="319"/>
      <c r="AL135" s="319">
        <v>1281628</v>
      </c>
      <c r="AM135" s="320">
        <v>1</v>
      </c>
      <c r="AN135" s="319">
        <v>135214303.45430556</v>
      </c>
      <c r="AO135" s="320">
        <v>1</v>
      </c>
      <c r="AP135" s="319">
        <v>90239351.998999998</v>
      </c>
    </row>
    <row r="136" spans="2:42" collapsed="1" x14ac:dyDescent="0.25">
      <c r="B136" s="321" t="s">
        <v>696</v>
      </c>
      <c r="C136" s="322"/>
      <c r="D136" s="311"/>
      <c r="E136" s="322"/>
      <c r="F136" s="311"/>
      <c r="G136" s="322"/>
      <c r="H136" s="322"/>
      <c r="I136" s="311"/>
      <c r="J136" s="322"/>
      <c r="K136" s="311"/>
      <c r="L136" s="322"/>
      <c r="M136" s="322">
        <v>399666.58333333331</v>
      </c>
      <c r="N136" s="311">
        <v>0.31830414471771307</v>
      </c>
      <c r="O136" s="322">
        <v>51778228.379416198</v>
      </c>
      <c r="P136" s="311">
        <v>0.39468355634842245</v>
      </c>
      <c r="Q136" s="322"/>
      <c r="R136" s="322">
        <v>182905</v>
      </c>
      <c r="S136" s="311">
        <v>0.14566997096436421</v>
      </c>
      <c r="T136" s="322">
        <v>23949748.617245987</v>
      </c>
      <c r="U136" s="311">
        <v>0.18255881388292369</v>
      </c>
      <c r="V136" s="322"/>
      <c r="W136" s="322">
        <v>612967.25</v>
      </c>
      <c r="X136" s="311">
        <v>0.48818196063314928</v>
      </c>
      <c r="Y136" s="322">
        <v>47952592.35903459</v>
      </c>
      <c r="Z136" s="311">
        <v>0.36552234946520107</v>
      </c>
      <c r="AA136" s="322"/>
      <c r="AB136" s="322">
        <v>60073.416666666664</v>
      </c>
      <c r="AC136" s="311">
        <v>4.7843923684773436E-2</v>
      </c>
      <c r="AD136" s="322">
        <v>7508651.8484086581</v>
      </c>
      <c r="AE136" s="311">
        <v>5.723528030345288E-2</v>
      </c>
      <c r="AF136" s="322"/>
      <c r="AG136" s="322"/>
      <c r="AH136" s="311"/>
      <c r="AI136" s="322"/>
      <c r="AJ136" s="311"/>
      <c r="AK136" s="322"/>
      <c r="AL136" s="322">
        <v>1255612.25</v>
      </c>
      <c r="AM136" s="311">
        <v>1</v>
      </c>
      <c r="AN136" s="322">
        <v>131189221.20410542</v>
      </c>
      <c r="AO136" s="311">
        <v>1</v>
      </c>
      <c r="AP136" s="322"/>
    </row>
    <row r="137" spans="2:42" hidden="1" outlineLevel="1" x14ac:dyDescent="0.25">
      <c r="B137" s="318">
        <v>42005</v>
      </c>
      <c r="C137" s="319"/>
      <c r="D137" s="320"/>
      <c r="E137" s="319"/>
      <c r="F137" s="320"/>
      <c r="G137" s="319"/>
      <c r="H137" s="319"/>
      <c r="I137" s="320"/>
      <c r="J137" s="319"/>
      <c r="K137" s="320"/>
      <c r="L137" s="319"/>
      <c r="M137" s="319">
        <v>398501</v>
      </c>
      <c r="N137" s="320">
        <v>0.30985395301894963</v>
      </c>
      <c r="O137" s="319">
        <v>51868328.993403412</v>
      </c>
      <c r="P137" s="320">
        <v>0.38335243987502327</v>
      </c>
      <c r="Q137" s="319">
        <v>34642699.799999997</v>
      </c>
      <c r="R137" s="319">
        <v>180092</v>
      </c>
      <c r="S137" s="320">
        <v>0.14003030885013759</v>
      </c>
      <c r="T137" s="319">
        <v>23623184.769055527</v>
      </c>
      <c r="U137" s="320">
        <v>0.17459605301700895</v>
      </c>
      <c r="V137" s="319">
        <v>15777853.540999999</v>
      </c>
      <c r="W137" s="319">
        <v>643828</v>
      </c>
      <c r="X137" s="320">
        <v>0.50060765434537002</v>
      </c>
      <c r="Y137" s="319">
        <v>51911328.081987634</v>
      </c>
      <c r="Z137" s="320">
        <v>0.38367024084993534</v>
      </c>
      <c r="AA137" s="319">
        <v>34671418.761</v>
      </c>
      <c r="AB137" s="319">
        <v>63672</v>
      </c>
      <c r="AC137" s="320">
        <v>4.9508083785542722E-2</v>
      </c>
      <c r="AD137" s="319">
        <v>7899098.6109552681</v>
      </c>
      <c r="AE137" s="320">
        <v>5.8381266258032458E-2</v>
      </c>
      <c r="AF137" s="319">
        <v>5275784.0319999997</v>
      </c>
      <c r="AG137" s="319"/>
      <c r="AH137" s="320"/>
      <c r="AI137" s="319"/>
      <c r="AJ137" s="320"/>
      <c r="AK137" s="319"/>
      <c r="AL137" s="319">
        <v>1286093</v>
      </c>
      <c r="AM137" s="320">
        <v>1</v>
      </c>
      <c r="AN137" s="319">
        <v>135301940.45540184</v>
      </c>
      <c r="AO137" s="320">
        <v>0.99999999999999989</v>
      </c>
      <c r="AP137" s="319">
        <v>90367756.134000003</v>
      </c>
    </row>
    <row r="138" spans="2:42" hidden="1" outlineLevel="1" x14ac:dyDescent="0.25">
      <c r="B138" s="318">
        <v>42036</v>
      </c>
      <c r="C138" s="319"/>
      <c r="D138" s="320"/>
      <c r="E138" s="319"/>
      <c r="F138" s="320"/>
      <c r="G138" s="319"/>
      <c r="H138" s="319"/>
      <c r="I138" s="320"/>
      <c r="J138" s="319"/>
      <c r="K138" s="320"/>
      <c r="L138" s="319"/>
      <c r="M138" s="319">
        <v>398712</v>
      </c>
      <c r="N138" s="320">
        <v>0.30927614340300563</v>
      </c>
      <c r="O138" s="319">
        <v>51573920.523919217</v>
      </c>
      <c r="P138" s="320">
        <v>0.3863394060858214</v>
      </c>
      <c r="Q138" s="319">
        <v>34567232.512999997</v>
      </c>
      <c r="R138" s="319">
        <v>179970</v>
      </c>
      <c r="S138" s="320">
        <v>0.13960058269688128</v>
      </c>
      <c r="T138" s="319">
        <v>23426066.536254935</v>
      </c>
      <c r="U138" s="320">
        <v>0.17548428625561285</v>
      </c>
      <c r="V138" s="319">
        <v>15701235.83</v>
      </c>
      <c r="W138" s="319">
        <v>646800</v>
      </c>
      <c r="X138" s="320">
        <v>0.50171504633184871</v>
      </c>
      <c r="Y138" s="319">
        <v>50651215.231189638</v>
      </c>
      <c r="Z138" s="320">
        <v>0.37942743563323461</v>
      </c>
      <c r="AA138" s="319">
        <v>33948792.648999996</v>
      </c>
      <c r="AB138" s="319">
        <v>63696</v>
      </c>
      <c r="AC138" s="320">
        <v>4.9408227568264428E-2</v>
      </c>
      <c r="AD138" s="319">
        <v>7842610.9503084524</v>
      </c>
      <c r="AE138" s="320">
        <v>5.8748872025331092E-2</v>
      </c>
      <c r="AF138" s="319">
        <v>5256481.4440000001</v>
      </c>
      <c r="AG138" s="319"/>
      <c r="AH138" s="320"/>
      <c r="AI138" s="319"/>
      <c r="AJ138" s="320"/>
      <c r="AK138" s="319"/>
      <c r="AL138" s="319">
        <v>1289178</v>
      </c>
      <c r="AM138" s="320">
        <v>1</v>
      </c>
      <c r="AN138" s="319">
        <v>133493813.24167225</v>
      </c>
      <c r="AO138" s="320">
        <v>1</v>
      </c>
      <c r="AP138" s="319">
        <v>89473742.43599999</v>
      </c>
    </row>
    <row r="139" spans="2:42" hidden="1" outlineLevel="1" x14ac:dyDescent="0.25">
      <c r="B139" s="318">
        <v>42064</v>
      </c>
      <c r="C139" s="319"/>
      <c r="D139" s="320"/>
      <c r="E139" s="319"/>
      <c r="F139" s="320"/>
      <c r="G139" s="319"/>
      <c r="H139" s="319"/>
      <c r="I139" s="320"/>
      <c r="J139" s="319"/>
      <c r="K139" s="320"/>
      <c r="L139" s="319"/>
      <c r="M139" s="319">
        <v>398938</v>
      </c>
      <c r="N139" s="320">
        <v>0.30834667262329407</v>
      </c>
      <c r="O139" s="319">
        <v>51306983.393326268</v>
      </c>
      <c r="P139" s="320">
        <v>0.3849983636859951</v>
      </c>
      <c r="Q139" s="319">
        <v>34604552.240000002</v>
      </c>
      <c r="R139" s="319">
        <v>180298</v>
      </c>
      <c r="S139" s="320">
        <v>0.13935571036259939</v>
      </c>
      <c r="T139" s="319">
        <v>23344108.224574018</v>
      </c>
      <c r="U139" s="320">
        <v>0.1751699841573382</v>
      </c>
      <c r="V139" s="319">
        <v>15744687.353</v>
      </c>
      <c r="W139" s="319">
        <v>650698</v>
      </c>
      <c r="X139" s="320">
        <v>0.5029367049081116</v>
      </c>
      <c r="Y139" s="319">
        <v>50772717.969837055</v>
      </c>
      <c r="Z139" s="320">
        <v>0.38098933216214781</v>
      </c>
      <c r="AA139" s="319">
        <v>34244211.122000001</v>
      </c>
      <c r="AB139" s="319">
        <v>63863</v>
      </c>
      <c r="AC139" s="320">
        <v>4.936091210599499E-2</v>
      </c>
      <c r="AD139" s="319">
        <v>7841648.7433330705</v>
      </c>
      <c r="AE139" s="320">
        <v>5.8842319994518909E-2</v>
      </c>
      <c r="AF139" s="319">
        <v>5288885.17</v>
      </c>
      <c r="AG139" s="319"/>
      <c r="AH139" s="320"/>
      <c r="AI139" s="319"/>
      <c r="AJ139" s="320"/>
      <c r="AK139" s="319"/>
      <c r="AL139" s="319">
        <v>1293797</v>
      </c>
      <c r="AM139" s="320">
        <v>1</v>
      </c>
      <c r="AN139" s="319">
        <v>133265458.33107041</v>
      </c>
      <c r="AO139" s="320">
        <v>1</v>
      </c>
      <c r="AP139" s="319">
        <v>89882335.885000005</v>
      </c>
    </row>
    <row r="140" spans="2:42" hidden="1" outlineLevel="1" x14ac:dyDescent="0.25">
      <c r="B140" s="318">
        <v>42095</v>
      </c>
      <c r="C140" s="319"/>
      <c r="D140" s="320"/>
      <c r="E140" s="319"/>
      <c r="F140" s="320"/>
      <c r="G140" s="319"/>
      <c r="H140" s="319"/>
      <c r="I140" s="320"/>
      <c r="J140" s="319"/>
      <c r="K140" s="320"/>
      <c r="L140" s="319"/>
      <c r="M140" s="319">
        <v>399217</v>
      </c>
      <c r="N140" s="320">
        <v>0.30746865947986712</v>
      </c>
      <c r="O140" s="319">
        <v>50957435.551078975</v>
      </c>
      <c r="P140" s="320">
        <v>0.38342163555207426</v>
      </c>
      <c r="Q140" s="319">
        <v>34566362.949000001</v>
      </c>
      <c r="R140" s="319">
        <v>180102</v>
      </c>
      <c r="S140" s="320">
        <v>0.13871082771936824</v>
      </c>
      <c r="T140" s="319">
        <v>23307673.18812101</v>
      </c>
      <c r="U140" s="320">
        <v>0.17537511607593764</v>
      </c>
      <c r="V140" s="319">
        <v>15810479.515000001</v>
      </c>
      <c r="W140" s="319">
        <v>654785</v>
      </c>
      <c r="X140" s="320">
        <v>0.5043018363384445</v>
      </c>
      <c r="Y140" s="319">
        <v>50864716.361559026</v>
      </c>
      <c r="Z140" s="320">
        <v>0.38272398381767397</v>
      </c>
      <c r="AA140" s="319">
        <v>34503468.002999999</v>
      </c>
      <c r="AB140" s="319">
        <v>64295</v>
      </c>
      <c r="AC140" s="320">
        <v>4.9518676462320131E-2</v>
      </c>
      <c r="AD140" s="319">
        <v>7772001.0512975892</v>
      </c>
      <c r="AE140" s="320">
        <v>5.8479264554314188E-2</v>
      </c>
      <c r="AF140" s="319">
        <v>5272043.3490000004</v>
      </c>
      <c r="AG140" s="319"/>
      <c r="AH140" s="320"/>
      <c r="AI140" s="319"/>
      <c r="AJ140" s="320"/>
      <c r="AK140" s="319"/>
      <c r="AL140" s="319">
        <v>1298399</v>
      </c>
      <c r="AM140" s="320">
        <v>1</v>
      </c>
      <c r="AN140" s="319">
        <v>132901826.15205659</v>
      </c>
      <c r="AO140" s="320">
        <v>1</v>
      </c>
      <c r="AP140" s="319">
        <v>90152353.816000015</v>
      </c>
    </row>
    <row r="141" spans="2:42" hidden="1" outlineLevel="1" x14ac:dyDescent="0.25">
      <c r="B141" s="318">
        <v>42125</v>
      </c>
      <c r="C141" s="319"/>
      <c r="D141" s="320"/>
      <c r="E141" s="319"/>
      <c r="F141" s="320"/>
      <c r="G141" s="319"/>
      <c r="H141" s="319"/>
      <c r="I141" s="320"/>
      <c r="J141" s="319"/>
      <c r="K141" s="320"/>
      <c r="L141" s="319"/>
      <c r="M141" s="319">
        <v>399583</v>
      </c>
      <c r="N141" s="320">
        <v>0.30704795715284661</v>
      </c>
      <c r="O141" s="319">
        <v>50965948.342223667</v>
      </c>
      <c r="P141" s="320">
        <v>0.38335771605815666</v>
      </c>
      <c r="Q141" s="319">
        <v>34633217.473999999</v>
      </c>
      <c r="R141" s="319">
        <v>179949</v>
      </c>
      <c r="S141" s="320">
        <v>0.13827658544456994</v>
      </c>
      <c r="T141" s="319">
        <v>23298011.232833438</v>
      </c>
      <c r="U141" s="320">
        <v>0.17524391609361784</v>
      </c>
      <c r="V141" s="319">
        <v>15831846.869999999</v>
      </c>
      <c r="W141" s="319">
        <v>657398</v>
      </c>
      <c r="X141" s="320">
        <v>0.50515840998332528</v>
      </c>
      <c r="Y141" s="319">
        <v>50914749.91844067</v>
      </c>
      <c r="Z141" s="320">
        <v>0.38297260969899632</v>
      </c>
      <c r="AA141" s="319">
        <v>34598426.281000003</v>
      </c>
      <c r="AB141" s="319">
        <v>64440</v>
      </c>
      <c r="AC141" s="320">
        <v>4.9517047419258164E-2</v>
      </c>
      <c r="AD141" s="319">
        <v>7767482.0329875341</v>
      </c>
      <c r="AE141" s="320">
        <v>5.8425758149229193E-2</v>
      </c>
      <c r="AF141" s="319">
        <v>5278286.841</v>
      </c>
      <c r="AG141" s="319"/>
      <c r="AH141" s="320"/>
      <c r="AI141" s="319"/>
      <c r="AJ141" s="320"/>
      <c r="AK141" s="319"/>
      <c r="AL141" s="319">
        <v>1301370</v>
      </c>
      <c r="AM141" s="320">
        <v>1</v>
      </c>
      <c r="AN141" s="319">
        <v>132946191.52648531</v>
      </c>
      <c r="AO141" s="320">
        <v>1</v>
      </c>
      <c r="AP141" s="319">
        <v>90341777.466000006</v>
      </c>
    </row>
    <row r="142" spans="2:42" hidden="1" outlineLevel="1" x14ac:dyDescent="0.25">
      <c r="B142" s="318">
        <v>42156</v>
      </c>
      <c r="C142" s="319"/>
      <c r="D142" s="320"/>
      <c r="E142" s="319"/>
      <c r="F142" s="320"/>
      <c r="G142" s="319"/>
      <c r="H142" s="319"/>
      <c r="I142" s="320"/>
      <c r="J142" s="319"/>
      <c r="K142" s="320"/>
      <c r="L142" s="319"/>
      <c r="M142" s="319">
        <v>399338</v>
      </c>
      <c r="N142" s="320">
        <v>0.3059121296827565</v>
      </c>
      <c r="O142" s="319">
        <v>50651027.532543764</v>
      </c>
      <c r="P142" s="320">
        <v>0.38150052045364141</v>
      </c>
      <c r="Q142" s="319">
        <v>34585973.230999999</v>
      </c>
      <c r="R142" s="319">
        <v>179401</v>
      </c>
      <c r="S142" s="320">
        <v>0.13742980126413262</v>
      </c>
      <c r="T142" s="319">
        <v>23140628.996422827</v>
      </c>
      <c r="U142" s="320">
        <v>0.17429383836463647</v>
      </c>
      <c r="V142" s="319">
        <v>15801084.676999999</v>
      </c>
      <c r="W142" s="319">
        <v>661536</v>
      </c>
      <c r="X142" s="320">
        <v>0.50676841828679464</v>
      </c>
      <c r="Y142" s="319">
        <v>51155919.38237597</v>
      </c>
      <c r="Z142" s="320">
        <v>0.38530333577382481</v>
      </c>
      <c r="AA142" s="319">
        <v>34930727.855999999</v>
      </c>
      <c r="AB142" s="319">
        <v>65126</v>
      </c>
      <c r="AC142" s="320">
        <v>4.9889650766316254E-2</v>
      </c>
      <c r="AD142" s="319">
        <v>7820336.1017648941</v>
      </c>
      <c r="AE142" s="320">
        <v>5.8902305407897315E-2</v>
      </c>
      <c r="AF142" s="319">
        <v>5339949.6169999996</v>
      </c>
      <c r="AG142" s="319"/>
      <c r="AH142" s="320"/>
      <c r="AI142" s="319"/>
      <c r="AJ142" s="320"/>
      <c r="AK142" s="319"/>
      <c r="AL142" s="319">
        <v>1305401</v>
      </c>
      <c r="AM142" s="320">
        <v>1</v>
      </c>
      <c r="AN142" s="319">
        <v>132767912.01310745</v>
      </c>
      <c r="AO142" s="320">
        <v>1</v>
      </c>
      <c r="AP142" s="319">
        <v>90657735.380999997</v>
      </c>
    </row>
    <row r="143" spans="2:42" hidden="1" outlineLevel="1" x14ac:dyDescent="0.25">
      <c r="B143" s="318">
        <v>42186</v>
      </c>
      <c r="C143" s="319"/>
      <c r="D143" s="320"/>
      <c r="E143" s="319"/>
      <c r="F143" s="320"/>
      <c r="G143" s="319"/>
      <c r="H143" s="319"/>
      <c r="I143" s="320"/>
      <c r="J143" s="319"/>
      <c r="K143" s="320"/>
      <c r="L143" s="319"/>
      <c r="M143" s="319">
        <v>399884</v>
      </c>
      <c r="N143" s="320">
        <v>0.30448445346318287</v>
      </c>
      <c r="O143" s="319">
        <v>52682523.68909514</v>
      </c>
      <c r="P143" s="320">
        <v>0.37475226226590308</v>
      </c>
      <c r="Q143" s="319">
        <v>36125219.817000002</v>
      </c>
      <c r="R143" s="319">
        <v>179707</v>
      </c>
      <c r="S143" s="320">
        <v>0.13683465124513158</v>
      </c>
      <c r="T143" s="319">
        <v>24324653.662109718</v>
      </c>
      <c r="U143" s="320">
        <v>0.1730311752433584</v>
      </c>
      <c r="V143" s="319">
        <v>16679790.545</v>
      </c>
      <c r="W143" s="319">
        <v>668244</v>
      </c>
      <c r="X143" s="320">
        <v>0.50882233127619803</v>
      </c>
      <c r="Y143" s="319">
        <v>55339951.806479856</v>
      </c>
      <c r="Z143" s="320">
        <v>0.39365563152505423</v>
      </c>
      <c r="AA143" s="319">
        <v>37947459.303000003</v>
      </c>
      <c r="AB143" s="319">
        <v>65480</v>
      </c>
      <c r="AC143" s="320">
        <v>4.9858564015487529E-2</v>
      </c>
      <c r="AD143" s="319">
        <v>8232472.3383953534</v>
      </c>
      <c r="AE143" s="320">
        <v>5.8560930965684294E-2</v>
      </c>
      <c r="AF143" s="319">
        <v>5645133.3770000003</v>
      </c>
      <c r="AG143" s="319"/>
      <c r="AH143" s="320"/>
      <c r="AI143" s="319"/>
      <c r="AJ143" s="320"/>
      <c r="AK143" s="319"/>
      <c r="AL143" s="319">
        <v>1313315</v>
      </c>
      <c r="AM143" s="320">
        <v>1</v>
      </c>
      <c r="AN143" s="319">
        <v>140579601.49608007</v>
      </c>
      <c r="AO143" s="320">
        <v>1</v>
      </c>
      <c r="AP143" s="319">
        <v>96397603.042000011</v>
      </c>
    </row>
    <row r="144" spans="2:42" hidden="1" outlineLevel="1" x14ac:dyDescent="0.25">
      <c r="B144" s="318">
        <v>42217</v>
      </c>
      <c r="C144" s="319"/>
      <c r="D144" s="320"/>
      <c r="E144" s="319"/>
      <c r="F144" s="320"/>
      <c r="G144" s="319"/>
      <c r="H144" s="319"/>
      <c r="I144" s="320"/>
      <c r="J144" s="319"/>
      <c r="K144" s="320"/>
      <c r="L144" s="319"/>
      <c r="M144" s="319">
        <v>399355</v>
      </c>
      <c r="N144" s="320">
        <v>0.30360058872005086</v>
      </c>
      <c r="O144" s="319">
        <v>52127029.507911116</v>
      </c>
      <c r="P144" s="320">
        <v>0.37509368627352208</v>
      </c>
      <c r="Q144" s="319">
        <v>35985813.306999996</v>
      </c>
      <c r="R144" s="319">
        <v>179457</v>
      </c>
      <c r="S144" s="320">
        <v>0.13642811746424652</v>
      </c>
      <c r="T144" s="319">
        <v>23972462.810175944</v>
      </c>
      <c r="U144" s="320">
        <v>0.17250013149433621</v>
      </c>
      <c r="V144" s="319">
        <v>16549352.214</v>
      </c>
      <c r="W144" s="319">
        <v>670971</v>
      </c>
      <c r="X144" s="320">
        <v>0.51009049746236113</v>
      </c>
      <c r="Y144" s="319">
        <v>54783469.263129495</v>
      </c>
      <c r="Z144" s="320">
        <v>0.39420879391642299</v>
      </c>
      <c r="AA144" s="319">
        <v>37819682.338</v>
      </c>
      <c r="AB144" s="319">
        <v>65613</v>
      </c>
      <c r="AC144" s="320">
        <v>4.98807963533415E-2</v>
      </c>
      <c r="AD144" s="319">
        <v>8087731.3829395231</v>
      </c>
      <c r="AE144" s="320">
        <v>5.8197388315718815E-2</v>
      </c>
      <c r="AF144" s="319">
        <v>5583352.7130000005</v>
      </c>
      <c r="AG144" s="319"/>
      <c r="AH144" s="320"/>
      <c r="AI144" s="319"/>
      <c r="AJ144" s="320"/>
      <c r="AK144" s="319"/>
      <c r="AL144" s="319">
        <v>1315396</v>
      </c>
      <c r="AM144" s="320">
        <v>1</v>
      </c>
      <c r="AN144" s="319">
        <v>138970692.96415606</v>
      </c>
      <c r="AO144" s="320">
        <v>1</v>
      </c>
      <c r="AP144" s="319">
        <v>95938200.571999997</v>
      </c>
    </row>
    <row r="145" spans="2:42" hidden="1" outlineLevel="1" x14ac:dyDescent="0.25">
      <c r="B145" s="318">
        <v>42248</v>
      </c>
      <c r="C145" s="319"/>
      <c r="D145" s="320"/>
      <c r="E145" s="319"/>
      <c r="F145" s="320"/>
      <c r="G145" s="319"/>
      <c r="H145" s="319"/>
      <c r="I145" s="320"/>
      <c r="J145" s="319"/>
      <c r="K145" s="320"/>
      <c r="L145" s="319"/>
      <c r="M145" s="319">
        <v>399289</v>
      </c>
      <c r="N145" s="320">
        <v>0.30274441238063898</v>
      </c>
      <c r="O145" s="319">
        <v>52088097.158605598</v>
      </c>
      <c r="P145" s="320">
        <v>0.37349786872812074</v>
      </c>
      <c r="Q145" s="319">
        <v>36142935.524999999</v>
      </c>
      <c r="R145" s="319">
        <v>179362</v>
      </c>
      <c r="S145" s="320">
        <v>0.13599383727930439</v>
      </c>
      <c r="T145" s="319">
        <v>24009979.895861622</v>
      </c>
      <c r="U145" s="320">
        <v>0.17216363830690964</v>
      </c>
      <c r="V145" s="319">
        <v>16660066.362</v>
      </c>
      <c r="W145" s="319">
        <v>674715</v>
      </c>
      <c r="X145" s="320">
        <v>0.51157481473169264</v>
      </c>
      <c r="Y145" s="319">
        <v>55272941.582026049</v>
      </c>
      <c r="Z145" s="320">
        <v>0.3963348059415519</v>
      </c>
      <c r="AA145" s="319">
        <v>38352838.226999998</v>
      </c>
      <c r="AB145" s="319">
        <v>65532</v>
      </c>
      <c r="AC145" s="320">
        <v>4.9686935608363951E-2</v>
      </c>
      <c r="AD145" s="319">
        <v>8089207.2972775558</v>
      </c>
      <c r="AE145" s="320">
        <v>5.8003687023417641E-2</v>
      </c>
      <c r="AF145" s="319">
        <v>5612946.4069999997</v>
      </c>
      <c r="AG145" s="319"/>
      <c r="AH145" s="320"/>
      <c r="AI145" s="319"/>
      <c r="AJ145" s="320"/>
      <c r="AK145" s="319"/>
      <c r="AL145" s="319">
        <v>1318898</v>
      </c>
      <c r="AM145" s="320">
        <v>0.99999999999999989</v>
      </c>
      <c r="AN145" s="319">
        <v>139460225.93377084</v>
      </c>
      <c r="AO145" s="320">
        <v>0.99999999999999989</v>
      </c>
      <c r="AP145" s="319">
        <v>96768786.520999998</v>
      </c>
    </row>
    <row r="146" spans="2:42" hidden="1" outlineLevel="1" x14ac:dyDescent="0.25">
      <c r="B146" s="318">
        <v>42278</v>
      </c>
      <c r="C146" s="319"/>
      <c r="D146" s="320"/>
      <c r="E146" s="319"/>
      <c r="F146" s="320"/>
      <c r="G146" s="319"/>
      <c r="H146" s="319"/>
      <c r="I146" s="320"/>
      <c r="J146" s="319"/>
      <c r="K146" s="320"/>
      <c r="L146" s="319"/>
      <c r="M146" s="319">
        <v>399179</v>
      </c>
      <c r="N146" s="320">
        <v>0.30167767913621329</v>
      </c>
      <c r="O146" s="319">
        <v>51856209.058790252</v>
      </c>
      <c r="P146" s="320">
        <v>0.37219717869381969</v>
      </c>
      <c r="Q146" s="319">
        <v>36128802.527999997</v>
      </c>
      <c r="R146" s="319">
        <v>179490</v>
      </c>
      <c r="S146" s="320">
        <v>0.13564873560021676</v>
      </c>
      <c r="T146" s="319">
        <v>23906739.393573001</v>
      </c>
      <c r="U146" s="320">
        <v>0.17159027078065878</v>
      </c>
      <c r="V146" s="319">
        <v>16656093.5</v>
      </c>
      <c r="W146" s="319">
        <v>679171</v>
      </c>
      <c r="X146" s="320">
        <v>0.51328033543002294</v>
      </c>
      <c r="Y146" s="319">
        <v>55541669.704386391</v>
      </c>
      <c r="Z146" s="320">
        <v>0.39864951833405154</v>
      </c>
      <c r="AA146" s="319">
        <v>38696504.299999997</v>
      </c>
      <c r="AB146" s="319">
        <v>65357</v>
      </c>
      <c r="AC146" s="320">
        <v>4.9393249833547086E-2</v>
      </c>
      <c r="AD146" s="319">
        <v>8019944.2721576588</v>
      </c>
      <c r="AE146" s="320">
        <v>5.7563032191469972E-2</v>
      </c>
      <c r="AF146" s="319">
        <v>5587585.1349999998</v>
      </c>
      <c r="AG146" s="319"/>
      <c r="AH146" s="320"/>
      <c r="AI146" s="319"/>
      <c r="AJ146" s="320"/>
      <c r="AK146" s="319"/>
      <c r="AL146" s="319">
        <v>1323197</v>
      </c>
      <c r="AM146" s="320">
        <v>1</v>
      </c>
      <c r="AN146" s="319">
        <v>139324562.42890731</v>
      </c>
      <c r="AO146" s="320">
        <v>1</v>
      </c>
      <c r="AP146" s="319">
        <v>97068985.463</v>
      </c>
    </row>
    <row r="147" spans="2:42" hidden="1" outlineLevel="1" x14ac:dyDescent="0.25">
      <c r="B147" s="318">
        <v>42309</v>
      </c>
      <c r="C147" s="319"/>
      <c r="D147" s="320"/>
      <c r="E147" s="319"/>
      <c r="F147" s="320"/>
      <c r="G147" s="319"/>
      <c r="H147" s="319"/>
      <c r="I147" s="320"/>
      <c r="J147" s="319"/>
      <c r="K147" s="320"/>
      <c r="L147" s="319"/>
      <c r="M147" s="319">
        <v>399281</v>
      </c>
      <c r="N147" s="320">
        <v>0.30120207449316361</v>
      </c>
      <c r="O147" s="319">
        <v>51857552.228462383</v>
      </c>
      <c r="P147" s="320">
        <v>0.37198648411545787</v>
      </c>
      <c r="Q147" s="319">
        <v>36120436.370999999</v>
      </c>
      <c r="R147" s="319">
        <v>179523</v>
      </c>
      <c r="S147" s="320">
        <v>0.13542517680339464</v>
      </c>
      <c r="T147" s="319">
        <v>23853991.466163192</v>
      </c>
      <c r="U147" s="320">
        <v>0.17111032118380579</v>
      </c>
      <c r="V147" s="319">
        <v>16615064.613</v>
      </c>
      <c r="W147" s="319">
        <v>681546</v>
      </c>
      <c r="X147" s="320">
        <v>0.51413182461103257</v>
      </c>
      <c r="Y147" s="319">
        <v>55678217.87481048</v>
      </c>
      <c r="Z147" s="320">
        <v>0.39939302221244288</v>
      </c>
      <c r="AA147" s="319">
        <v>38781651.651000001</v>
      </c>
      <c r="AB147" s="319">
        <v>65275</v>
      </c>
      <c r="AC147" s="320">
        <v>4.9240924092409238E-2</v>
      </c>
      <c r="AD147" s="319">
        <v>8017325.6309869001</v>
      </c>
      <c r="AE147" s="320">
        <v>5.7510172488293529E-2</v>
      </c>
      <c r="AF147" s="319">
        <v>5584322.5889999997</v>
      </c>
      <c r="AG147" s="319"/>
      <c r="AH147" s="320"/>
      <c r="AI147" s="319"/>
      <c r="AJ147" s="320"/>
      <c r="AK147" s="319"/>
      <c r="AL147" s="319">
        <v>1325625</v>
      </c>
      <c r="AM147" s="320">
        <v>1</v>
      </c>
      <c r="AN147" s="319">
        <v>139407087.20042294</v>
      </c>
      <c r="AO147" s="320">
        <v>1</v>
      </c>
      <c r="AP147" s="319">
        <v>97101475.223999992</v>
      </c>
    </row>
    <row r="148" spans="2:42" hidden="1" outlineLevel="1" x14ac:dyDescent="0.25">
      <c r="B148" s="318">
        <v>42339</v>
      </c>
      <c r="C148" s="319"/>
      <c r="D148" s="320"/>
      <c r="E148" s="319"/>
      <c r="F148" s="320"/>
      <c r="G148" s="319"/>
      <c r="H148" s="319"/>
      <c r="I148" s="320"/>
      <c r="J148" s="319"/>
      <c r="K148" s="320"/>
      <c r="L148" s="319"/>
      <c r="M148" s="319">
        <v>399514</v>
      </c>
      <c r="N148" s="320">
        <v>0.30018153020344007</v>
      </c>
      <c r="O148" s="319">
        <v>51872100.182370834</v>
      </c>
      <c r="P148" s="320">
        <v>0.37071823113938573</v>
      </c>
      <c r="Q148" s="319">
        <v>36134185.236000001</v>
      </c>
      <c r="R148" s="319">
        <v>179778</v>
      </c>
      <c r="S148" s="320">
        <v>0.13507920908131893</v>
      </c>
      <c r="T148" s="319">
        <v>23895604.078668863</v>
      </c>
      <c r="U148" s="320">
        <v>0.17077650692581478</v>
      </c>
      <c r="V148" s="319">
        <v>16645714.768999999</v>
      </c>
      <c r="W148" s="319">
        <v>686489</v>
      </c>
      <c r="X148" s="320">
        <v>0.51580499929371526</v>
      </c>
      <c r="Y148" s="319">
        <v>56176325.482585214</v>
      </c>
      <c r="Z148" s="320">
        <v>0.40147956110503003</v>
      </c>
      <c r="AA148" s="319">
        <v>39132515.239</v>
      </c>
      <c r="AB148" s="319">
        <v>65127</v>
      </c>
      <c r="AC148" s="320">
        <v>4.8934261421525758E-2</v>
      </c>
      <c r="AD148" s="319">
        <v>7979221.4624036485</v>
      </c>
      <c r="AE148" s="320">
        <v>5.7025700829769342E-2</v>
      </c>
      <c r="AF148" s="319">
        <v>5558338.0149999997</v>
      </c>
      <c r="AG148" s="319"/>
      <c r="AH148" s="320"/>
      <c r="AI148" s="319"/>
      <c r="AJ148" s="320"/>
      <c r="AK148" s="319"/>
      <c r="AL148" s="319">
        <v>1330908</v>
      </c>
      <c r="AM148" s="320">
        <v>1</v>
      </c>
      <c r="AN148" s="319">
        <v>139923251.20602858</v>
      </c>
      <c r="AO148" s="320">
        <v>0.99999999999999989</v>
      </c>
      <c r="AP148" s="319">
        <v>97470753.259000003</v>
      </c>
    </row>
    <row r="149" spans="2:42" collapsed="1" x14ac:dyDescent="0.25">
      <c r="B149" s="321" t="s">
        <v>697</v>
      </c>
      <c r="C149" s="322"/>
      <c r="D149" s="311"/>
      <c r="E149" s="322"/>
      <c r="F149" s="311"/>
      <c r="G149" s="322"/>
      <c r="H149" s="322"/>
      <c r="I149" s="311"/>
      <c r="J149" s="322"/>
      <c r="K149" s="311"/>
      <c r="L149" s="322"/>
      <c r="M149" s="322">
        <v>399232.58333333331</v>
      </c>
      <c r="N149" s="311">
        <v>0.30511527600062083</v>
      </c>
      <c r="O149" s="322">
        <v>51650596.346810877</v>
      </c>
      <c r="P149" s="311">
        <v>0.37831352867133206</v>
      </c>
      <c r="Q149" s="322"/>
      <c r="R149" s="322">
        <v>179760.75</v>
      </c>
      <c r="S149" s="311">
        <v>0.13738295204360684</v>
      </c>
      <c r="T149" s="322">
        <v>23675258.687817842</v>
      </c>
      <c r="U149" s="311">
        <v>0.17340885275079695</v>
      </c>
      <c r="V149" s="322"/>
      <c r="W149" s="322">
        <v>664681.75</v>
      </c>
      <c r="X149" s="311">
        <v>0.5079859812807338</v>
      </c>
      <c r="Y149" s="322">
        <v>53255268.554900624</v>
      </c>
      <c r="Z149" s="311">
        <v>0.39006691098132612</v>
      </c>
      <c r="AA149" s="322"/>
      <c r="AB149" s="322">
        <v>64789.666666666664</v>
      </c>
      <c r="AC149" s="311">
        <v>4.9515790675038564E-2</v>
      </c>
      <c r="AD149" s="322">
        <v>7947423.3229006222</v>
      </c>
      <c r="AE149" s="311">
        <v>5.821070759654489E-2</v>
      </c>
      <c r="AF149" s="322"/>
      <c r="AG149" s="322"/>
      <c r="AH149" s="311"/>
      <c r="AI149" s="322"/>
      <c r="AJ149" s="311"/>
      <c r="AK149" s="322"/>
      <c r="AL149" s="322">
        <v>1308464.75</v>
      </c>
      <c r="AM149" s="311">
        <v>1</v>
      </c>
      <c r="AN149" s="322">
        <v>136528546.91242996</v>
      </c>
      <c r="AO149" s="311">
        <v>1</v>
      </c>
      <c r="AP149" s="322"/>
    </row>
    <row r="150" spans="2:42" hidden="1" outlineLevel="1" x14ac:dyDescent="0.25">
      <c r="B150" s="318">
        <v>42370</v>
      </c>
      <c r="C150" s="319"/>
      <c r="D150" s="320"/>
      <c r="E150" s="319"/>
      <c r="F150" s="320"/>
      <c r="G150" s="319"/>
      <c r="H150" s="319"/>
      <c r="I150" s="320"/>
      <c r="J150" s="319"/>
      <c r="K150" s="320"/>
      <c r="L150" s="319"/>
      <c r="M150" s="319">
        <v>399298</v>
      </c>
      <c r="N150" s="320">
        <v>0.29925676328918782</v>
      </c>
      <c r="O150" s="319">
        <v>51585039.941738784</v>
      </c>
      <c r="P150" s="320">
        <v>0.369512080011213</v>
      </c>
      <c r="Q150" s="319">
        <v>36103351.443000004</v>
      </c>
      <c r="R150" s="319">
        <v>179950</v>
      </c>
      <c r="S150" s="320">
        <v>0.13486482415110856</v>
      </c>
      <c r="T150" s="319">
        <v>23818293.719768513</v>
      </c>
      <c r="U150" s="320">
        <v>0.1706143344010177</v>
      </c>
      <c r="V150" s="319">
        <v>16669953.729</v>
      </c>
      <c r="W150" s="319">
        <v>689781</v>
      </c>
      <c r="X150" s="320">
        <v>0.51696134074896261</v>
      </c>
      <c r="Y150" s="319">
        <v>56206602.980580799</v>
      </c>
      <c r="Z150" s="320">
        <v>0.402617092109957</v>
      </c>
      <c r="AA150" s="319">
        <v>39337892.208999999</v>
      </c>
      <c r="AB150" s="319">
        <v>65270</v>
      </c>
      <c r="AC150" s="320">
        <v>4.8917071810741071E-2</v>
      </c>
      <c r="AD150" s="319">
        <v>7993185.2373736445</v>
      </c>
      <c r="AE150" s="320">
        <v>5.7256493477812358E-2</v>
      </c>
      <c r="AF150" s="319">
        <v>5594272.6050000004</v>
      </c>
      <c r="AG150" s="319"/>
      <c r="AH150" s="320"/>
      <c r="AI150" s="319"/>
      <c r="AJ150" s="320"/>
      <c r="AK150" s="319"/>
      <c r="AL150" s="319">
        <v>1334299</v>
      </c>
      <c r="AM150" s="320">
        <v>1</v>
      </c>
      <c r="AN150" s="319">
        <v>139603121.87946174</v>
      </c>
      <c r="AO150" s="320">
        <v>1</v>
      </c>
      <c r="AP150" s="319">
        <v>97705469.986000016</v>
      </c>
    </row>
    <row r="151" spans="2:42" hidden="1" outlineLevel="1" x14ac:dyDescent="0.25">
      <c r="B151" s="318">
        <v>42401</v>
      </c>
      <c r="C151" s="319"/>
      <c r="D151" s="320"/>
      <c r="E151" s="319"/>
      <c r="F151" s="320"/>
      <c r="G151" s="319"/>
      <c r="H151" s="319"/>
      <c r="I151" s="320"/>
      <c r="J151" s="319"/>
      <c r="K151" s="320"/>
      <c r="L151" s="319"/>
      <c r="M151" s="319">
        <v>399535</v>
      </c>
      <c r="N151" s="320">
        <v>0.29858269717249392</v>
      </c>
      <c r="O151" s="319">
        <v>51558527.004822753</v>
      </c>
      <c r="P151" s="320">
        <v>0.37102686461921619</v>
      </c>
      <c r="Q151" s="319">
        <v>36185100.533</v>
      </c>
      <c r="R151" s="319">
        <v>180257</v>
      </c>
      <c r="S151" s="320">
        <v>0.13471065424611672</v>
      </c>
      <c r="T151" s="319">
        <v>23838255.121965431</v>
      </c>
      <c r="U151" s="320">
        <v>0.17154549537593428</v>
      </c>
      <c r="V151" s="319">
        <v>16730300.654999999</v>
      </c>
      <c r="W151" s="319">
        <v>693110</v>
      </c>
      <c r="X151" s="320">
        <v>0.51797878342880421</v>
      </c>
      <c r="Y151" s="319">
        <v>55630572.642511442</v>
      </c>
      <c r="Z151" s="320">
        <v>0.40033022942241681</v>
      </c>
      <c r="AA151" s="319">
        <v>39042966.909999996</v>
      </c>
      <c r="AB151" s="319">
        <v>65203</v>
      </c>
      <c r="AC151" s="320">
        <v>4.8727865152585183E-2</v>
      </c>
      <c r="AD151" s="319">
        <v>7934353.72514355</v>
      </c>
      <c r="AE151" s="320">
        <v>5.7097410582432714E-2</v>
      </c>
      <c r="AF151" s="319">
        <v>5568533.5460000001</v>
      </c>
      <c r="AG151" s="319"/>
      <c r="AH151" s="320"/>
      <c r="AI151" s="319"/>
      <c r="AJ151" s="320"/>
      <c r="AK151" s="319"/>
      <c r="AL151" s="319">
        <v>1338105</v>
      </c>
      <c r="AM151" s="320">
        <v>1</v>
      </c>
      <c r="AN151" s="319">
        <v>138961708.49444318</v>
      </c>
      <c r="AO151" s="320">
        <v>0.99999999999999989</v>
      </c>
      <c r="AP151" s="319">
        <v>97526901.643999994</v>
      </c>
    </row>
    <row r="152" spans="2:42" hidden="1" outlineLevel="1" x14ac:dyDescent="0.25">
      <c r="B152" s="318">
        <v>42430</v>
      </c>
      <c r="C152" s="319"/>
      <c r="D152" s="320"/>
      <c r="E152" s="319"/>
      <c r="F152" s="320"/>
      <c r="G152" s="319"/>
      <c r="H152" s="319"/>
      <c r="I152" s="320"/>
      <c r="J152" s="319"/>
      <c r="K152" s="320"/>
      <c r="L152" s="319"/>
      <c r="M152" s="319">
        <v>398717</v>
      </c>
      <c r="N152" s="320">
        <v>0.29784072811371098</v>
      </c>
      <c r="O152" s="319">
        <v>51019181.579763219</v>
      </c>
      <c r="P152" s="320">
        <v>0.37056776129568919</v>
      </c>
      <c r="Q152" s="319">
        <v>35942409.026000001</v>
      </c>
      <c r="R152" s="319">
        <v>180056</v>
      </c>
      <c r="S152" s="320">
        <v>0.13450143871779319</v>
      </c>
      <c r="T152" s="319">
        <v>23482962.496934962</v>
      </c>
      <c r="U152" s="320">
        <v>0.17056386581731214</v>
      </c>
      <c r="V152" s="319">
        <v>16543468.889</v>
      </c>
      <c r="W152" s="319">
        <v>694882</v>
      </c>
      <c r="X152" s="320">
        <v>0.51907533622371693</v>
      </c>
      <c r="Y152" s="319">
        <v>55321951.782199167</v>
      </c>
      <c r="Z152" s="320">
        <v>0.40182008389113699</v>
      </c>
      <c r="AA152" s="319">
        <v>38973659.660999998</v>
      </c>
      <c r="AB152" s="319">
        <v>65037</v>
      </c>
      <c r="AC152" s="320">
        <v>4.8582496944778931E-2</v>
      </c>
      <c r="AD152" s="319">
        <v>7854317.9388242448</v>
      </c>
      <c r="AE152" s="320">
        <v>5.7048288995861632E-2</v>
      </c>
      <c r="AF152" s="319">
        <v>5533273.9419999998</v>
      </c>
      <c r="AG152" s="319"/>
      <c r="AH152" s="320"/>
      <c r="AI152" s="319"/>
      <c r="AJ152" s="320"/>
      <c r="AK152" s="319"/>
      <c r="AL152" s="319">
        <v>1338692</v>
      </c>
      <c r="AM152" s="320">
        <v>1</v>
      </c>
      <c r="AN152" s="319">
        <v>137678413.79772159</v>
      </c>
      <c r="AO152" s="320">
        <v>1</v>
      </c>
      <c r="AP152" s="319">
        <v>96992811.518000007</v>
      </c>
    </row>
    <row r="153" spans="2:42" hidden="1" outlineLevel="1" x14ac:dyDescent="0.25">
      <c r="B153" s="318">
        <v>42461</v>
      </c>
      <c r="C153" s="319"/>
      <c r="D153" s="320"/>
      <c r="E153" s="319"/>
      <c r="F153" s="320"/>
      <c r="G153" s="319"/>
      <c r="H153" s="319"/>
      <c r="I153" s="320"/>
      <c r="J153" s="319"/>
      <c r="K153" s="320"/>
      <c r="L153" s="319"/>
      <c r="M153" s="319">
        <v>399208</v>
      </c>
      <c r="N153" s="320">
        <v>0.29716928111337987</v>
      </c>
      <c r="O153" s="319">
        <v>51175965.205594897</v>
      </c>
      <c r="P153" s="320">
        <v>0.36991823816218206</v>
      </c>
      <c r="Q153" s="319">
        <v>36170375.527999997</v>
      </c>
      <c r="R153" s="319">
        <v>180600</v>
      </c>
      <c r="S153" s="320">
        <v>0.13443811789612534</v>
      </c>
      <c r="T153" s="319">
        <v>23754967.142444052</v>
      </c>
      <c r="U153" s="320">
        <v>0.17170942565774472</v>
      </c>
      <c r="V153" s="319">
        <v>16789640.971999999</v>
      </c>
      <c r="W153" s="319">
        <v>698498</v>
      </c>
      <c r="X153" s="320">
        <v>0.5199598918837639</v>
      </c>
      <c r="Y153" s="319">
        <v>55518993.088832565</v>
      </c>
      <c r="Z153" s="320">
        <v>0.4013112019568516</v>
      </c>
      <c r="AA153" s="319">
        <v>39239960.026000001</v>
      </c>
      <c r="AB153" s="319">
        <v>65063</v>
      </c>
      <c r="AC153" s="320">
        <v>4.8432709106730913E-2</v>
      </c>
      <c r="AD153" s="319">
        <v>7894065.0077358419</v>
      </c>
      <c r="AE153" s="320">
        <v>5.7061134223221711E-2</v>
      </c>
      <c r="AF153" s="319">
        <v>5579402.2570000002</v>
      </c>
      <c r="AG153" s="319"/>
      <c r="AH153" s="320"/>
      <c r="AI153" s="319"/>
      <c r="AJ153" s="320"/>
      <c r="AK153" s="319"/>
      <c r="AL153" s="319">
        <v>1343369</v>
      </c>
      <c r="AM153" s="320">
        <v>1</v>
      </c>
      <c r="AN153" s="319">
        <v>138343990.44460735</v>
      </c>
      <c r="AO153" s="320">
        <v>1</v>
      </c>
      <c r="AP153" s="319">
        <v>97779378.782999992</v>
      </c>
    </row>
    <row r="154" spans="2:42" hidden="1" outlineLevel="1" x14ac:dyDescent="0.25">
      <c r="B154" s="318">
        <v>42491</v>
      </c>
      <c r="C154" s="319"/>
      <c r="D154" s="320"/>
      <c r="E154" s="319"/>
      <c r="F154" s="320"/>
      <c r="G154" s="319"/>
      <c r="H154" s="319"/>
      <c r="I154" s="320"/>
      <c r="J154" s="319"/>
      <c r="K154" s="320"/>
      <c r="L154" s="319"/>
      <c r="M154" s="319">
        <v>399462</v>
      </c>
      <c r="N154" s="320">
        <v>0.29632272651743535</v>
      </c>
      <c r="O154" s="319">
        <v>51066117.008042298</v>
      </c>
      <c r="P154" s="320">
        <v>0.36804661406566547</v>
      </c>
      <c r="Q154" s="319">
        <v>36173747.001000002</v>
      </c>
      <c r="R154" s="319">
        <v>180821</v>
      </c>
      <c r="S154" s="320">
        <v>0.13413383934293921</v>
      </c>
      <c r="T154" s="319">
        <v>23493977.064139586</v>
      </c>
      <c r="U154" s="320">
        <v>0.16932712365875008</v>
      </c>
      <c r="V154" s="319">
        <v>16642447.716</v>
      </c>
      <c r="W154" s="319">
        <v>702762</v>
      </c>
      <c r="X154" s="320">
        <v>0.5213120445320103</v>
      </c>
      <c r="Y154" s="319">
        <v>56345411.082327969</v>
      </c>
      <c r="Z154" s="320">
        <v>0.40609584166587187</v>
      </c>
      <c r="AA154" s="319">
        <v>39913444.854999997</v>
      </c>
      <c r="AB154" s="319">
        <v>65019</v>
      </c>
      <c r="AC154" s="320">
        <v>4.8231389607615069E-2</v>
      </c>
      <c r="AD154" s="319">
        <v>7843541.994532207</v>
      </c>
      <c r="AE154" s="320">
        <v>5.6530420609712716E-2</v>
      </c>
      <c r="AF154" s="319">
        <v>5556136.2470000004</v>
      </c>
      <c r="AG154" s="319"/>
      <c r="AH154" s="320"/>
      <c r="AI154" s="319"/>
      <c r="AJ154" s="320"/>
      <c r="AK154" s="319"/>
      <c r="AL154" s="319">
        <v>1348064</v>
      </c>
      <c r="AM154" s="320">
        <v>0.99999999999999989</v>
      </c>
      <c r="AN154" s="319">
        <v>138749047.14904204</v>
      </c>
      <c r="AO154" s="320">
        <v>1.0000000000000002</v>
      </c>
      <c r="AP154" s="319">
        <v>98285775.818999991</v>
      </c>
    </row>
    <row r="155" spans="2:42" hidden="1" outlineLevel="1" x14ac:dyDescent="0.25">
      <c r="B155" s="318">
        <v>42522</v>
      </c>
      <c r="C155" s="319"/>
      <c r="D155" s="320"/>
      <c r="E155" s="319"/>
      <c r="F155" s="320"/>
      <c r="G155" s="319"/>
      <c r="H155" s="319"/>
      <c r="I155" s="320"/>
      <c r="J155" s="319"/>
      <c r="K155" s="320"/>
      <c r="L155" s="319"/>
      <c r="M155" s="319">
        <v>399721</v>
      </c>
      <c r="N155" s="320">
        <v>0.29575925558709232</v>
      </c>
      <c r="O155" s="319">
        <v>50723536.934075937</v>
      </c>
      <c r="P155" s="320">
        <v>0.36841563381648229</v>
      </c>
      <c r="Q155" s="319">
        <v>36092681.343999997</v>
      </c>
      <c r="R155" s="319">
        <v>181197</v>
      </c>
      <c r="S155" s="320">
        <v>0.13407023857794403</v>
      </c>
      <c r="T155" s="319">
        <v>23629730.461041115</v>
      </c>
      <c r="U155" s="320">
        <v>0.17162766342637922</v>
      </c>
      <c r="V155" s="319">
        <v>16813897.124000002</v>
      </c>
      <c r="W155" s="319">
        <v>705597</v>
      </c>
      <c r="X155" s="320">
        <v>0.52208126034030133</v>
      </c>
      <c r="Y155" s="319">
        <v>55536343.176917724</v>
      </c>
      <c r="Z155" s="320">
        <v>0.40337204990191711</v>
      </c>
      <c r="AA155" s="319">
        <v>39517266.706</v>
      </c>
      <c r="AB155" s="319">
        <v>64993</v>
      </c>
      <c r="AC155" s="320">
        <v>4.8089245494662258E-2</v>
      </c>
      <c r="AD155" s="319">
        <v>7790586.1357484935</v>
      </c>
      <c r="AE155" s="320">
        <v>5.6584652855221254E-2</v>
      </c>
      <c r="AF155" s="319">
        <v>5543445.1119999997</v>
      </c>
      <c r="AG155" s="319"/>
      <c r="AH155" s="320"/>
      <c r="AI155" s="319"/>
      <c r="AJ155" s="320"/>
      <c r="AK155" s="319"/>
      <c r="AL155" s="319">
        <v>1351508</v>
      </c>
      <c r="AM155" s="320">
        <v>1</v>
      </c>
      <c r="AN155" s="319">
        <v>137680196.70778328</v>
      </c>
      <c r="AO155" s="320">
        <v>0.99999999999999989</v>
      </c>
      <c r="AP155" s="319">
        <v>97967290.285999998</v>
      </c>
    </row>
    <row r="156" spans="2:42" hidden="1" outlineLevel="1" x14ac:dyDescent="0.25">
      <c r="B156" s="318">
        <v>42552</v>
      </c>
      <c r="C156" s="319"/>
      <c r="D156" s="320"/>
      <c r="E156" s="319"/>
      <c r="F156" s="320"/>
      <c r="G156" s="319"/>
      <c r="H156" s="319"/>
      <c r="I156" s="320"/>
      <c r="J156" s="319"/>
      <c r="K156" s="320"/>
      <c r="L156" s="319"/>
      <c r="M156" s="319">
        <v>399646</v>
      </c>
      <c r="N156" s="320">
        <v>0.29512269148090081</v>
      </c>
      <c r="O156" s="319">
        <v>52709784.631202728</v>
      </c>
      <c r="P156" s="320">
        <v>0.36413976180336727</v>
      </c>
      <c r="Q156" s="319">
        <v>37596745.829999998</v>
      </c>
      <c r="R156" s="319">
        <v>181484</v>
      </c>
      <c r="S156" s="320">
        <v>0.13401872292158512</v>
      </c>
      <c r="T156" s="319">
        <v>24432830.360673741</v>
      </c>
      <c r="U156" s="320">
        <v>0.16879152684776974</v>
      </c>
      <c r="V156" s="319">
        <v>17427407.822000001</v>
      </c>
      <c r="W156" s="319">
        <v>708121</v>
      </c>
      <c r="X156" s="320">
        <v>0.52291922204687891</v>
      </c>
      <c r="Y156" s="319">
        <v>59490252.137660697</v>
      </c>
      <c r="Z156" s="320">
        <v>0.41098187736108244</v>
      </c>
      <c r="AA156" s="319">
        <v>42433106.199000001</v>
      </c>
      <c r="AB156" s="319">
        <v>64918</v>
      </c>
      <c r="AC156" s="320">
        <v>4.7939363550635113E-2</v>
      </c>
      <c r="AD156" s="319">
        <v>8118654.5668646945</v>
      </c>
      <c r="AE156" s="320">
        <v>5.6086833987780471E-2</v>
      </c>
      <c r="AF156" s="319">
        <v>5790860.1670000004</v>
      </c>
      <c r="AG156" s="319"/>
      <c r="AH156" s="320"/>
      <c r="AI156" s="319"/>
      <c r="AJ156" s="320"/>
      <c r="AK156" s="319"/>
      <c r="AL156" s="319">
        <v>1354169</v>
      </c>
      <c r="AM156" s="320">
        <v>1</v>
      </c>
      <c r="AN156" s="319">
        <v>144751521.69640186</v>
      </c>
      <c r="AO156" s="320">
        <v>1</v>
      </c>
      <c r="AP156" s="319">
        <v>103248120.01799999</v>
      </c>
    </row>
    <row r="157" spans="2:42" hidden="1" outlineLevel="1" x14ac:dyDescent="0.25">
      <c r="B157" s="318">
        <v>42583</v>
      </c>
      <c r="C157" s="319"/>
      <c r="D157" s="320"/>
      <c r="E157" s="319"/>
      <c r="F157" s="320"/>
      <c r="G157" s="319"/>
      <c r="H157" s="319"/>
      <c r="I157" s="320"/>
      <c r="J157" s="319"/>
      <c r="K157" s="320"/>
      <c r="L157" s="319"/>
      <c r="M157" s="319">
        <v>399449</v>
      </c>
      <c r="N157" s="320">
        <v>0.29425860936031284</v>
      </c>
      <c r="O157" s="319">
        <v>52691397.866006553</v>
      </c>
      <c r="P157" s="320">
        <v>0.36295523378433653</v>
      </c>
      <c r="Q157" s="319">
        <v>37601987.855999999</v>
      </c>
      <c r="R157" s="319">
        <v>181484</v>
      </c>
      <c r="S157" s="320">
        <v>0.13369223470617528</v>
      </c>
      <c r="T157" s="319">
        <v>24348105.31329862</v>
      </c>
      <c r="U157" s="320">
        <v>0.16771755189845219</v>
      </c>
      <c r="V157" s="319">
        <v>17375457.805</v>
      </c>
      <c r="W157" s="319">
        <v>711670</v>
      </c>
      <c r="X157" s="320">
        <v>0.52425972908544971</v>
      </c>
      <c r="Y157" s="319">
        <v>60035791.124680929</v>
      </c>
      <c r="Z157" s="320">
        <v>0.41354576810618282</v>
      </c>
      <c r="AA157" s="319">
        <v>42843142.908</v>
      </c>
      <c r="AB157" s="319">
        <v>64873</v>
      </c>
      <c r="AC157" s="320">
        <v>4.7789426848062137E-2</v>
      </c>
      <c r="AD157" s="319">
        <v>8097974.9078173591</v>
      </c>
      <c r="AE157" s="320">
        <v>5.5781446211028395E-2</v>
      </c>
      <c r="AF157" s="319">
        <v>5778931.0300000003</v>
      </c>
      <c r="AG157" s="319"/>
      <c r="AH157" s="320"/>
      <c r="AI157" s="319"/>
      <c r="AJ157" s="320"/>
      <c r="AK157" s="319"/>
      <c r="AL157" s="319">
        <v>1357476</v>
      </c>
      <c r="AM157" s="320">
        <v>0.99999999999999989</v>
      </c>
      <c r="AN157" s="319">
        <v>145173269.21180347</v>
      </c>
      <c r="AO157" s="320">
        <v>1</v>
      </c>
      <c r="AP157" s="319">
        <v>103599519.59900001</v>
      </c>
    </row>
    <row r="158" spans="2:42" hidden="1" outlineLevel="1" x14ac:dyDescent="0.25">
      <c r="B158" s="318">
        <v>42614</v>
      </c>
      <c r="C158" s="319"/>
      <c r="D158" s="320"/>
      <c r="E158" s="319"/>
      <c r="F158" s="320"/>
      <c r="G158" s="319"/>
      <c r="H158" s="319"/>
      <c r="I158" s="320"/>
      <c r="J158" s="319"/>
      <c r="K158" s="320"/>
      <c r="L158" s="319"/>
      <c r="M158" s="319">
        <v>399070</v>
      </c>
      <c r="N158" s="320">
        <v>0.29345540113243623</v>
      </c>
      <c r="O158" s="319">
        <v>52535413.665921815</v>
      </c>
      <c r="P158" s="320">
        <v>0.36204289080456298</v>
      </c>
      <c r="Q158" s="319">
        <v>37581915.934</v>
      </c>
      <c r="R158" s="319">
        <v>181431</v>
      </c>
      <c r="S158" s="320">
        <v>0.13341495698213104</v>
      </c>
      <c r="T158" s="319">
        <v>24339498.574381221</v>
      </c>
      <c r="U158" s="320">
        <v>0.16773337849090864</v>
      </c>
      <c r="V158" s="319">
        <v>17411588.212000001</v>
      </c>
      <c r="W158" s="319">
        <v>714716</v>
      </c>
      <c r="X158" s="320">
        <v>0.52556511508199133</v>
      </c>
      <c r="Y158" s="319">
        <v>60197621.638426647</v>
      </c>
      <c r="Z158" s="320">
        <v>0.41484628057040512</v>
      </c>
      <c r="AA158" s="319">
        <v>43063179.634000003</v>
      </c>
      <c r="AB158" s="319">
        <v>64683</v>
      </c>
      <c r="AC158" s="320">
        <v>4.7564526803441427E-2</v>
      </c>
      <c r="AD158" s="319">
        <v>8035725.3918033438</v>
      </c>
      <c r="AE158" s="320">
        <v>5.5377450134123055E-2</v>
      </c>
      <c r="AF158" s="319">
        <v>5748464.4179999996</v>
      </c>
      <c r="AG158" s="319"/>
      <c r="AH158" s="320"/>
      <c r="AI158" s="319"/>
      <c r="AJ158" s="320"/>
      <c r="AK158" s="319"/>
      <c r="AL158" s="319">
        <v>1359900</v>
      </c>
      <c r="AM158" s="320">
        <v>1</v>
      </c>
      <c r="AN158" s="319">
        <v>145108259.27053306</v>
      </c>
      <c r="AO158" s="320">
        <v>0.99999999999999978</v>
      </c>
      <c r="AP158" s="319">
        <v>103805148.198</v>
      </c>
    </row>
    <row r="159" spans="2:42" hidden="1" outlineLevel="1" x14ac:dyDescent="0.25">
      <c r="B159" s="318">
        <v>42644</v>
      </c>
      <c r="C159" s="319"/>
      <c r="D159" s="320"/>
      <c r="E159" s="319"/>
      <c r="F159" s="320"/>
      <c r="G159" s="319"/>
      <c r="H159" s="319"/>
      <c r="I159" s="320"/>
      <c r="J159" s="319"/>
      <c r="K159" s="320"/>
      <c r="L159" s="319"/>
      <c r="M159" s="319">
        <v>398626</v>
      </c>
      <c r="N159" s="320">
        <v>0.29252982163889674</v>
      </c>
      <c r="O159" s="319">
        <v>52332139.219169416</v>
      </c>
      <c r="P159" s="320">
        <v>0.36109326551902943</v>
      </c>
      <c r="Q159" s="319">
        <v>37498569.123000003</v>
      </c>
      <c r="R159" s="319">
        <v>181586</v>
      </c>
      <c r="S159" s="320">
        <v>0.13325603496039071</v>
      </c>
      <c r="T159" s="319">
        <v>24341235.439697213</v>
      </c>
      <c r="U159" s="320">
        <v>0.1679552245108335</v>
      </c>
      <c r="V159" s="319">
        <v>17441700.517000001</v>
      </c>
      <c r="W159" s="319">
        <v>717878</v>
      </c>
      <c r="X159" s="320">
        <v>0.52681140542385074</v>
      </c>
      <c r="Y159" s="319">
        <v>60240304.53813947</v>
      </c>
      <c r="Z159" s="320">
        <v>0.41565983363373826</v>
      </c>
      <c r="AA159" s="319">
        <v>43165161.169</v>
      </c>
      <c r="AB159" s="319">
        <v>64595</v>
      </c>
      <c r="AC159" s="320">
        <v>4.7402737976861856E-2</v>
      </c>
      <c r="AD159" s="319">
        <v>8013253.0290714754</v>
      </c>
      <c r="AE159" s="320">
        <v>5.5291676336398719E-2</v>
      </c>
      <c r="AF159" s="319">
        <v>5741892.5939999996</v>
      </c>
      <c r="AG159" s="319"/>
      <c r="AH159" s="320"/>
      <c r="AI159" s="319"/>
      <c r="AJ159" s="320"/>
      <c r="AK159" s="319"/>
      <c r="AL159" s="319">
        <v>1362685</v>
      </c>
      <c r="AM159" s="320">
        <v>1</v>
      </c>
      <c r="AN159" s="319">
        <v>144926932.22607759</v>
      </c>
      <c r="AO159" s="320">
        <v>0.99999999999999989</v>
      </c>
      <c r="AP159" s="319">
        <v>103847323.403</v>
      </c>
    </row>
    <row r="160" spans="2:42" hidden="1" outlineLevel="1" x14ac:dyDescent="0.25">
      <c r="B160" s="318">
        <v>42675</v>
      </c>
      <c r="C160" s="319"/>
      <c r="D160" s="320"/>
      <c r="E160" s="319"/>
      <c r="F160" s="320"/>
      <c r="G160" s="319"/>
      <c r="H160" s="319"/>
      <c r="I160" s="320"/>
      <c r="J160" s="319"/>
      <c r="K160" s="320"/>
      <c r="L160" s="319"/>
      <c r="M160" s="319">
        <v>399214</v>
      </c>
      <c r="N160" s="320">
        <v>0.29169793370826991</v>
      </c>
      <c r="O160" s="319">
        <v>52674215.802847102</v>
      </c>
      <c r="P160" s="320">
        <v>0.36011258479024516</v>
      </c>
      <c r="Q160" s="319">
        <v>37763975.307999998</v>
      </c>
      <c r="R160" s="319">
        <v>181722</v>
      </c>
      <c r="S160" s="320">
        <v>0.13278074393516817</v>
      </c>
      <c r="T160" s="319">
        <v>24379361.869467255</v>
      </c>
      <c r="U160" s="320">
        <v>0.16667196434799253</v>
      </c>
      <c r="V160" s="319">
        <v>17478411.508000001</v>
      </c>
      <c r="W160" s="319">
        <v>723119</v>
      </c>
      <c r="X160" s="320">
        <v>0.52836904047751443</v>
      </c>
      <c r="Y160" s="319">
        <v>61213179.755587049</v>
      </c>
      <c r="Z160" s="320">
        <v>0.41849007240128433</v>
      </c>
      <c r="AA160" s="319">
        <v>43885855.225000001</v>
      </c>
      <c r="AB160" s="319">
        <v>64532</v>
      </c>
      <c r="AC160" s="320">
        <v>4.7152281879047513E-2</v>
      </c>
      <c r="AD160" s="319">
        <v>8004764.3894442851</v>
      </c>
      <c r="AE160" s="320">
        <v>5.4725378460477841E-2</v>
      </c>
      <c r="AF160" s="319">
        <v>5738893.6909999996</v>
      </c>
      <c r="AG160" s="319"/>
      <c r="AH160" s="320"/>
      <c r="AI160" s="319"/>
      <c r="AJ160" s="320"/>
      <c r="AK160" s="319"/>
      <c r="AL160" s="319">
        <v>1368587</v>
      </c>
      <c r="AM160" s="320">
        <v>1</v>
      </c>
      <c r="AN160" s="319">
        <v>146271521.81734571</v>
      </c>
      <c r="AO160" s="320">
        <v>0.99999999999999989</v>
      </c>
      <c r="AP160" s="319">
        <v>104867135.73200001</v>
      </c>
    </row>
    <row r="161" spans="2:42" hidden="1" outlineLevel="1" x14ac:dyDescent="0.25">
      <c r="B161" s="318">
        <v>42705</v>
      </c>
      <c r="C161" s="319"/>
      <c r="D161" s="320"/>
      <c r="E161" s="319"/>
      <c r="F161" s="320"/>
      <c r="G161" s="319"/>
      <c r="H161" s="319"/>
      <c r="I161" s="320"/>
      <c r="J161" s="319"/>
      <c r="K161" s="320"/>
      <c r="L161" s="319"/>
      <c r="M161" s="319">
        <v>398651</v>
      </c>
      <c r="N161" s="320">
        <v>0.29085683809168039</v>
      </c>
      <c r="O161" s="319">
        <v>52346517.688605458</v>
      </c>
      <c r="P161" s="320">
        <v>0.35938110050103417</v>
      </c>
      <c r="Q161" s="319">
        <v>37452392.572999999</v>
      </c>
      <c r="R161" s="319">
        <v>181321</v>
      </c>
      <c r="S161" s="320">
        <v>0.13229228758894768</v>
      </c>
      <c r="T161" s="319">
        <v>24218793.18574395</v>
      </c>
      <c r="U161" s="320">
        <v>0.16627231250941846</v>
      </c>
      <c r="V161" s="319">
        <v>17327833.638</v>
      </c>
      <c r="W161" s="319">
        <v>725754</v>
      </c>
      <c r="X161" s="320">
        <v>0.52951206361551695</v>
      </c>
      <c r="Y161" s="319">
        <v>61041233.152174354</v>
      </c>
      <c r="Z161" s="320">
        <v>0.41907401895702007</v>
      </c>
      <c r="AA161" s="319">
        <v>43673205.556000002</v>
      </c>
      <c r="AB161" s="319">
        <v>64883</v>
      </c>
      <c r="AC161" s="320">
        <v>4.7338810703855004E-2</v>
      </c>
      <c r="AD161" s="319">
        <v>8050858.7017391184</v>
      </c>
      <c r="AE161" s="320">
        <v>5.5272568032527163E-2</v>
      </c>
      <c r="AF161" s="319">
        <v>5760152.4220000003</v>
      </c>
      <c r="AG161" s="319"/>
      <c r="AH161" s="320"/>
      <c r="AI161" s="319"/>
      <c r="AJ161" s="320"/>
      <c r="AK161" s="319"/>
      <c r="AL161" s="319">
        <v>1370609</v>
      </c>
      <c r="AM161" s="320">
        <v>1</v>
      </c>
      <c r="AN161" s="319">
        <v>145657402.7282629</v>
      </c>
      <c r="AO161" s="320">
        <v>0.99999999999999989</v>
      </c>
      <c r="AP161" s="319">
        <v>104213584.189</v>
      </c>
    </row>
    <row r="162" spans="2:42" collapsed="1" x14ac:dyDescent="0.25">
      <c r="B162" s="321" t="s">
        <v>698</v>
      </c>
      <c r="C162" s="322"/>
      <c r="D162" s="311"/>
      <c r="E162" s="322"/>
      <c r="F162" s="311"/>
      <c r="G162" s="322"/>
      <c r="H162" s="322"/>
      <c r="I162" s="311"/>
      <c r="J162" s="322"/>
      <c r="K162" s="311"/>
      <c r="L162" s="322"/>
      <c r="M162" s="322">
        <v>399216.41666666669</v>
      </c>
      <c r="N162" s="311">
        <v>0.29521540119980549</v>
      </c>
      <c r="O162" s="322">
        <v>51868153.045649253</v>
      </c>
      <c r="P162" s="311">
        <v>0.36550347534017941</v>
      </c>
      <c r="Q162" s="322"/>
      <c r="R162" s="322">
        <v>180992.41666666666</v>
      </c>
      <c r="S162" s="311">
        <v>0.13384156229473454</v>
      </c>
      <c r="T162" s="322">
        <v>24006500.895796303</v>
      </c>
      <c r="U162" s="311">
        <v>0.16916853585374944</v>
      </c>
      <c r="V162" s="322"/>
      <c r="W162" s="322">
        <v>707157.33333333337</v>
      </c>
      <c r="X162" s="311">
        <v>0.52293374509619894</v>
      </c>
      <c r="Y162" s="322">
        <v>58064854.758336574</v>
      </c>
      <c r="Z162" s="311">
        <v>0.40917027044738713</v>
      </c>
      <c r="AA162" s="322"/>
      <c r="AB162" s="322">
        <v>64922.416666666664</v>
      </c>
      <c r="AC162" s="311">
        <v>4.8009291409260947E-2</v>
      </c>
      <c r="AD162" s="322">
        <v>7969273.4188415213</v>
      </c>
      <c r="AE162" s="311">
        <v>5.6157718358684015E-2</v>
      </c>
      <c r="AF162" s="322"/>
      <c r="AG162" s="322"/>
      <c r="AH162" s="311"/>
      <c r="AI162" s="322"/>
      <c r="AJ162" s="311"/>
      <c r="AK162" s="322"/>
      <c r="AL162" s="322">
        <v>1352288.5833333335</v>
      </c>
      <c r="AM162" s="311">
        <v>0.99999999999999989</v>
      </c>
      <c r="AN162" s="322">
        <v>141908782.11862364</v>
      </c>
      <c r="AO162" s="311">
        <v>0.99999999999999989</v>
      </c>
      <c r="AP162" s="322"/>
    </row>
    <row r="163" spans="2:42" hidden="1" outlineLevel="1" x14ac:dyDescent="0.25">
      <c r="B163" s="318">
        <v>42736</v>
      </c>
      <c r="C163" s="319"/>
      <c r="D163" s="320"/>
      <c r="E163" s="319"/>
      <c r="F163" s="320"/>
      <c r="G163" s="319"/>
      <c r="H163" s="319"/>
      <c r="I163" s="320"/>
      <c r="J163" s="319"/>
      <c r="K163" s="320"/>
      <c r="L163" s="319"/>
      <c r="M163" s="319">
        <v>399136</v>
      </c>
      <c r="N163" s="320">
        <v>0.29047106503970965</v>
      </c>
      <c r="O163" s="319">
        <v>57535691.654107794</v>
      </c>
      <c r="P163" s="320">
        <v>0.35963613566129071</v>
      </c>
      <c r="Q163" s="319">
        <v>41387425.368000001</v>
      </c>
      <c r="R163" s="319">
        <v>181456</v>
      </c>
      <c r="S163" s="320">
        <v>0.13205453173315751</v>
      </c>
      <c r="T163" s="319">
        <v>26641845.902404062</v>
      </c>
      <c r="U163" s="320">
        <v>0.16652916184314473</v>
      </c>
      <c r="V163" s="319">
        <v>19164406.949000001</v>
      </c>
      <c r="W163" s="319">
        <v>728656</v>
      </c>
      <c r="X163" s="320">
        <v>0.53027911380475501</v>
      </c>
      <c r="Y163" s="319">
        <v>66944478.472872317</v>
      </c>
      <c r="Z163" s="320">
        <v>0.41844727767560203</v>
      </c>
      <c r="AA163" s="319">
        <v>48155493.171999998</v>
      </c>
      <c r="AB163" s="319">
        <v>64851</v>
      </c>
      <c r="AC163" s="320">
        <v>4.7195289422377863E-2</v>
      </c>
      <c r="AD163" s="319">
        <v>8861050.0446422547</v>
      </c>
      <c r="AE163" s="320">
        <v>5.5387424819962651E-2</v>
      </c>
      <c r="AF163" s="319">
        <v>6374061.6799999997</v>
      </c>
      <c r="AG163" s="319"/>
      <c r="AH163" s="320"/>
      <c r="AI163" s="319"/>
      <c r="AJ163" s="320"/>
      <c r="AK163" s="319"/>
      <c r="AL163" s="319">
        <v>1374099</v>
      </c>
      <c r="AM163" s="320">
        <v>1</v>
      </c>
      <c r="AN163" s="319">
        <v>159983066.07402641</v>
      </c>
      <c r="AO163" s="320">
        <v>1</v>
      </c>
      <c r="AP163" s="319">
        <v>115081387.169</v>
      </c>
    </row>
    <row r="164" spans="2:42" hidden="1" outlineLevel="1" x14ac:dyDescent="0.25">
      <c r="B164" s="318">
        <v>42767</v>
      </c>
      <c r="C164" s="319"/>
      <c r="D164" s="320"/>
      <c r="E164" s="319"/>
      <c r="F164" s="320"/>
      <c r="G164" s="319"/>
      <c r="H164" s="319"/>
      <c r="I164" s="320"/>
      <c r="J164" s="319"/>
      <c r="K164" s="320"/>
      <c r="L164" s="319"/>
      <c r="M164" s="319">
        <v>399559</v>
      </c>
      <c r="N164" s="320">
        <v>0.29025631041724631</v>
      </c>
      <c r="O164" s="319">
        <v>57440739.53308551</v>
      </c>
      <c r="P164" s="320">
        <v>0.36057309167696394</v>
      </c>
      <c r="Q164" s="319">
        <v>41418038.376000002</v>
      </c>
      <c r="R164" s="319">
        <v>181490</v>
      </c>
      <c r="S164" s="320">
        <v>0.13184190013896829</v>
      </c>
      <c r="T164" s="319">
        <v>26474744.273859285</v>
      </c>
      <c r="U164" s="320">
        <v>0.16619006774249409</v>
      </c>
      <c r="V164" s="319">
        <v>19089795.557</v>
      </c>
      <c r="W164" s="319">
        <v>730826</v>
      </c>
      <c r="X164" s="320">
        <v>0.53090246576098765</v>
      </c>
      <c r="Y164" s="319">
        <v>66572696.688757263</v>
      </c>
      <c r="Z164" s="320">
        <v>0.41789717997122311</v>
      </c>
      <c r="AA164" s="319">
        <v>48002698.583999999</v>
      </c>
      <c r="AB164" s="319">
        <v>64698</v>
      </c>
      <c r="AC164" s="320">
        <v>4.6999323682797786E-2</v>
      </c>
      <c r="AD164" s="319">
        <v>8815829.8671856076</v>
      </c>
      <c r="AE164" s="320">
        <v>5.5339660609318789E-2</v>
      </c>
      <c r="AF164" s="319">
        <v>6356714.4630000005</v>
      </c>
      <c r="AG164" s="319"/>
      <c r="AH164" s="320"/>
      <c r="AI164" s="319"/>
      <c r="AJ164" s="320"/>
      <c r="AK164" s="319"/>
      <c r="AL164" s="319">
        <v>1376573</v>
      </c>
      <c r="AM164" s="320">
        <v>1</v>
      </c>
      <c r="AN164" s="319">
        <v>159304010.36288768</v>
      </c>
      <c r="AO164" s="320">
        <v>1</v>
      </c>
      <c r="AP164" s="319">
        <v>114867246.97999999</v>
      </c>
    </row>
    <row r="165" spans="2:42" hidden="1" outlineLevel="1" x14ac:dyDescent="0.25">
      <c r="B165" s="318">
        <v>42795</v>
      </c>
      <c r="C165" s="319"/>
      <c r="D165" s="320"/>
      <c r="E165" s="319"/>
      <c r="F165" s="320"/>
      <c r="G165" s="319"/>
      <c r="H165" s="319"/>
      <c r="I165" s="320"/>
      <c r="J165" s="319"/>
      <c r="K165" s="320"/>
      <c r="L165" s="319"/>
      <c r="M165" s="319">
        <v>399302</v>
      </c>
      <c r="N165" s="320">
        <v>0.28970931266029887</v>
      </c>
      <c r="O165" s="319">
        <v>57118385.888080209</v>
      </c>
      <c r="P165" s="320">
        <v>0.36023205079881748</v>
      </c>
      <c r="Q165" s="319">
        <v>41343034.450999998</v>
      </c>
      <c r="R165" s="319">
        <v>181740</v>
      </c>
      <c r="S165" s="320">
        <v>0.1318595210714765</v>
      </c>
      <c r="T165" s="319">
        <v>26465592.009368464</v>
      </c>
      <c r="U165" s="320">
        <v>0.16691218312471881</v>
      </c>
      <c r="V165" s="319">
        <v>19156141.498</v>
      </c>
      <c r="W165" s="319">
        <v>732688</v>
      </c>
      <c r="X165" s="320">
        <v>0.53159397367017702</v>
      </c>
      <c r="Y165" s="319">
        <v>66225084.787359163</v>
      </c>
      <c r="Z165" s="320">
        <v>0.41766583099916432</v>
      </c>
      <c r="AA165" s="319">
        <v>47934582.171999998</v>
      </c>
      <c r="AB165" s="319">
        <v>64555</v>
      </c>
      <c r="AC165" s="320">
        <v>4.6837192598047576E-2</v>
      </c>
      <c r="AD165" s="319">
        <v>8750914.8669389635</v>
      </c>
      <c r="AE165" s="320">
        <v>5.5189935077299454E-2</v>
      </c>
      <c r="AF165" s="319">
        <v>6334026.5870000003</v>
      </c>
      <c r="AG165" s="319"/>
      <c r="AH165" s="320"/>
      <c r="AI165" s="319"/>
      <c r="AJ165" s="320"/>
      <c r="AK165" s="319"/>
      <c r="AL165" s="319">
        <v>1378285</v>
      </c>
      <c r="AM165" s="320">
        <v>0.99999999999999989</v>
      </c>
      <c r="AN165" s="319">
        <v>158559977.55174679</v>
      </c>
      <c r="AO165" s="320">
        <v>1</v>
      </c>
      <c r="AP165" s="319">
        <v>114767784.70799999</v>
      </c>
    </row>
    <row r="166" spans="2:42" hidden="1" outlineLevel="1" x14ac:dyDescent="0.25">
      <c r="B166" s="318">
        <v>42826</v>
      </c>
      <c r="C166" s="319"/>
      <c r="D166" s="320"/>
      <c r="E166" s="319"/>
      <c r="F166" s="320"/>
      <c r="G166" s="319"/>
      <c r="H166" s="319"/>
      <c r="I166" s="320"/>
      <c r="J166" s="319"/>
      <c r="K166" s="320"/>
      <c r="L166" s="319"/>
      <c r="M166" s="319">
        <v>399802</v>
      </c>
      <c r="N166" s="320">
        <v>0.28894902004998402</v>
      </c>
      <c r="O166" s="319">
        <v>57180771.099080972</v>
      </c>
      <c r="P166" s="320">
        <v>0.35956410699698188</v>
      </c>
      <c r="Q166" s="319">
        <v>41487280.736000001</v>
      </c>
      <c r="R166" s="319">
        <v>181857</v>
      </c>
      <c r="S166" s="320">
        <v>0.1314335644624838</v>
      </c>
      <c r="T166" s="319">
        <v>26335075.975749455</v>
      </c>
      <c r="U166" s="320">
        <v>0.16560021653975587</v>
      </c>
      <c r="V166" s="319">
        <v>19107309.489</v>
      </c>
      <c r="W166" s="319">
        <v>737384</v>
      </c>
      <c r="X166" s="320">
        <v>0.53292976073290632</v>
      </c>
      <c r="Y166" s="319">
        <v>66778303.926970795</v>
      </c>
      <c r="Z166" s="320">
        <v>0.41991530993292631</v>
      </c>
      <c r="AA166" s="319">
        <v>48450732.454999998</v>
      </c>
      <c r="AB166" s="319">
        <v>64599</v>
      </c>
      <c r="AC166" s="320">
        <v>4.6687654754625836E-2</v>
      </c>
      <c r="AD166" s="319">
        <v>8733877.6205355041</v>
      </c>
      <c r="AE166" s="320">
        <v>5.4920366530336044E-2</v>
      </c>
      <c r="AF166" s="319">
        <v>6336830.1229999997</v>
      </c>
      <c r="AG166" s="319"/>
      <c r="AH166" s="320"/>
      <c r="AI166" s="319"/>
      <c r="AJ166" s="320"/>
      <c r="AK166" s="319"/>
      <c r="AL166" s="319">
        <v>1383642</v>
      </c>
      <c r="AM166" s="320">
        <v>1</v>
      </c>
      <c r="AN166" s="319">
        <v>159028028.62233672</v>
      </c>
      <c r="AO166" s="320">
        <v>1</v>
      </c>
      <c r="AP166" s="319">
        <v>115382152.803</v>
      </c>
    </row>
    <row r="167" spans="2:42" hidden="1" outlineLevel="1" x14ac:dyDescent="0.25">
      <c r="B167" s="318">
        <v>42856</v>
      </c>
      <c r="C167" s="319"/>
      <c r="D167" s="320"/>
      <c r="E167" s="319"/>
      <c r="F167" s="320"/>
      <c r="G167" s="319"/>
      <c r="H167" s="319"/>
      <c r="I167" s="320"/>
      <c r="J167" s="319"/>
      <c r="K167" s="320"/>
      <c r="L167" s="319"/>
      <c r="M167" s="319">
        <v>400546</v>
      </c>
      <c r="N167" s="320">
        <v>0.28826524553707977</v>
      </c>
      <c r="O167" s="319">
        <v>57265570.681923427</v>
      </c>
      <c r="P167" s="320">
        <v>0.35874386662098345</v>
      </c>
      <c r="Q167" s="319">
        <v>41601521.114</v>
      </c>
      <c r="R167" s="319">
        <v>182262</v>
      </c>
      <c r="S167" s="320">
        <v>0.13117045278714362</v>
      </c>
      <c r="T167" s="319">
        <v>26440663.152618974</v>
      </c>
      <c r="U167" s="320">
        <v>0.16563924226092946</v>
      </c>
      <c r="V167" s="319">
        <v>19208257.131000001</v>
      </c>
      <c r="W167" s="319">
        <v>742094</v>
      </c>
      <c r="X167" s="320">
        <v>0.53407076620811011</v>
      </c>
      <c r="Y167" s="319">
        <v>67203079.738086209</v>
      </c>
      <c r="Z167" s="320">
        <v>0.42099803401923519</v>
      </c>
      <c r="AA167" s="319">
        <v>48820788.954999998</v>
      </c>
      <c r="AB167" s="319">
        <v>64603</v>
      </c>
      <c r="AC167" s="320">
        <v>4.649353546766654E-2</v>
      </c>
      <c r="AD167" s="319">
        <v>8718699.6427863948</v>
      </c>
      <c r="AE167" s="320">
        <v>5.4618857098851899E-2</v>
      </c>
      <c r="AF167" s="319">
        <v>6333843.5810000002</v>
      </c>
      <c r="AG167" s="319"/>
      <c r="AH167" s="320"/>
      <c r="AI167" s="319"/>
      <c r="AJ167" s="320"/>
      <c r="AK167" s="319"/>
      <c r="AL167" s="319">
        <v>1389505</v>
      </c>
      <c r="AM167" s="320">
        <v>1</v>
      </c>
      <c r="AN167" s="319">
        <v>159628013.215415</v>
      </c>
      <c r="AO167" s="320">
        <v>1</v>
      </c>
      <c r="AP167" s="319">
        <v>115964410.781</v>
      </c>
    </row>
    <row r="168" spans="2:42" hidden="1" outlineLevel="1" x14ac:dyDescent="0.25">
      <c r="B168" s="318">
        <v>42887</v>
      </c>
      <c r="C168" s="319"/>
      <c r="D168" s="320"/>
      <c r="E168" s="319"/>
      <c r="F168" s="320"/>
      <c r="G168" s="319"/>
      <c r="H168" s="319"/>
      <c r="I168" s="320"/>
      <c r="J168" s="319"/>
      <c r="K168" s="320"/>
      <c r="L168" s="319"/>
      <c r="M168" s="319">
        <v>399677</v>
      </c>
      <c r="N168" s="320">
        <v>0.28701129153178201</v>
      </c>
      <c r="O168" s="319">
        <v>56994953.059592709</v>
      </c>
      <c r="P168" s="320">
        <v>0.35686450931130348</v>
      </c>
      <c r="Q168" s="319">
        <v>41243517.208999999</v>
      </c>
      <c r="R168" s="319">
        <v>181925</v>
      </c>
      <c r="S168" s="320">
        <v>0.13064181629645799</v>
      </c>
      <c r="T168" s="319">
        <v>26348324.562797654</v>
      </c>
      <c r="U168" s="320">
        <v>0.16497569366267223</v>
      </c>
      <c r="V168" s="319">
        <v>19066557.988000002</v>
      </c>
      <c r="W168" s="319">
        <v>746120</v>
      </c>
      <c r="X168" s="320">
        <v>0.53579481640848292</v>
      </c>
      <c r="Y168" s="319">
        <v>67599845.975640237</v>
      </c>
      <c r="Z168" s="320">
        <v>0.42326529926944623</v>
      </c>
      <c r="AA168" s="319">
        <v>48917584.122000001</v>
      </c>
      <c r="AB168" s="319">
        <v>64826</v>
      </c>
      <c r="AC168" s="320">
        <v>4.65520757632771E-2</v>
      </c>
      <c r="AD168" s="319">
        <v>8767219.0459735878</v>
      </c>
      <c r="AE168" s="320">
        <v>5.4894497756577974E-2</v>
      </c>
      <c r="AF168" s="319">
        <v>6344262.6090000002</v>
      </c>
      <c r="AG168" s="319"/>
      <c r="AH168" s="320"/>
      <c r="AI168" s="319"/>
      <c r="AJ168" s="320"/>
      <c r="AK168" s="319"/>
      <c r="AL168" s="319">
        <v>1392548</v>
      </c>
      <c r="AM168" s="320">
        <v>1</v>
      </c>
      <c r="AN168" s="319">
        <v>159710342.6440042</v>
      </c>
      <c r="AO168" s="320">
        <v>0.99999999999999989</v>
      </c>
      <c r="AP168" s="319">
        <v>115571921.928</v>
      </c>
    </row>
    <row r="169" spans="2:42" hidden="1" outlineLevel="1" x14ac:dyDescent="0.25">
      <c r="B169" s="318">
        <v>42917</v>
      </c>
      <c r="C169" s="319"/>
      <c r="D169" s="320"/>
      <c r="E169" s="319"/>
      <c r="F169" s="320"/>
      <c r="G169" s="319"/>
      <c r="H169" s="319"/>
      <c r="I169" s="320"/>
      <c r="J169" s="319"/>
      <c r="K169" s="320"/>
      <c r="L169" s="319"/>
      <c r="M169" s="319">
        <v>399610</v>
      </c>
      <c r="N169" s="320">
        <v>0.28596863726759369</v>
      </c>
      <c r="O169" s="319">
        <v>58381467.086761586</v>
      </c>
      <c r="P169" s="320">
        <v>0.35354722808794919</v>
      </c>
      <c r="Q169" s="319">
        <v>42348706.178999998</v>
      </c>
      <c r="R169" s="319">
        <v>182161</v>
      </c>
      <c r="S169" s="320">
        <v>0.1303579313162887</v>
      </c>
      <c r="T169" s="319">
        <v>27091951.381828971</v>
      </c>
      <c r="U169" s="320">
        <v>0.16406378243809261</v>
      </c>
      <c r="V169" s="319">
        <v>19651940.010000002</v>
      </c>
      <c r="W169" s="319">
        <v>750847</v>
      </c>
      <c r="X169" s="320">
        <v>0.5373206210716972</v>
      </c>
      <c r="Y169" s="319">
        <v>70716523.31645596</v>
      </c>
      <c r="Z169" s="320">
        <v>0.42824601789116618</v>
      </c>
      <c r="AA169" s="319">
        <v>51296300.305</v>
      </c>
      <c r="AB169" s="319">
        <v>64773</v>
      </c>
      <c r="AC169" s="320">
        <v>4.6352810344420424E-2</v>
      </c>
      <c r="AD169" s="319">
        <v>8940661.5646097474</v>
      </c>
      <c r="AE169" s="320">
        <v>5.414297158279207E-2</v>
      </c>
      <c r="AF169" s="319">
        <v>6485370.5899999999</v>
      </c>
      <c r="AG169" s="319"/>
      <c r="AH169" s="320"/>
      <c r="AI169" s="319"/>
      <c r="AJ169" s="320"/>
      <c r="AK169" s="319"/>
      <c r="AL169" s="319">
        <v>1397391</v>
      </c>
      <c r="AM169" s="320">
        <v>1</v>
      </c>
      <c r="AN169" s="319">
        <v>165130603.34965625</v>
      </c>
      <c r="AO169" s="320">
        <v>1.0000000000000002</v>
      </c>
      <c r="AP169" s="319">
        <v>119782317.08399999</v>
      </c>
    </row>
    <row r="170" spans="2:42" hidden="1" outlineLevel="1" x14ac:dyDescent="0.25">
      <c r="B170" s="318">
        <v>42948</v>
      </c>
      <c r="C170" s="319"/>
      <c r="D170" s="320"/>
      <c r="E170" s="319"/>
      <c r="F170" s="320"/>
      <c r="G170" s="319"/>
      <c r="H170" s="319"/>
      <c r="I170" s="320"/>
      <c r="J170" s="319"/>
      <c r="K170" s="320"/>
      <c r="L170" s="319"/>
      <c r="M170" s="319">
        <v>399317</v>
      </c>
      <c r="N170" s="320">
        <v>0.28499395493104912</v>
      </c>
      <c r="O170" s="319">
        <v>57901604.841987804</v>
      </c>
      <c r="P170" s="320">
        <v>0.35299224172439864</v>
      </c>
      <c r="Q170" s="319">
        <v>42085519.921999998</v>
      </c>
      <c r="R170" s="319">
        <v>182240</v>
      </c>
      <c r="S170" s="320">
        <v>0.13006533242169602</v>
      </c>
      <c r="T170" s="319">
        <v>26863007.179688804</v>
      </c>
      <c r="U170" s="320">
        <v>0.16376805357458254</v>
      </c>
      <c r="V170" s="319">
        <v>19525255.421</v>
      </c>
      <c r="W170" s="319">
        <v>754760</v>
      </c>
      <c r="X170" s="320">
        <v>0.53867488091856497</v>
      </c>
      <c r="Y170" s="319">
        <v>70369400.484067738</v>
      </c>
      <c r="Z170" s="320">
        <v>0.42900110443329609</v>
      </c>
      <c r="AA170" s="319">
        <v>51147680.864</v>
      </c>
      <c r="AB170" s="319">
        <v>64825</v>
      </c>
      <c r="AC170" s="320">
        <v>4.626583172868988E-2</v>
      </c>
      <c r="AD170" s="319">
        <v>8896801.7669243403</v>
      </c>
      <c r="AE170" s="320">
        <v>5.4238600267722696E-2</v>
      </c>
      <c r="AF170" s="319">
        <v>6466600.1749999998</v>
      </c>
      <c r="AG170" s="319"/>
      <c r="AH170" s="320"/>
      <c r="AI170" s="319"/>
      <c r="AJ170" s="320"/>
      <c r="AK170" s="319"/>
      <c r="AL170" s="319">
        <v>1401142</v>
      </c>
      <c r="AM170" s="320">
        <v>1</v>
      </c>
      <c r="AN170" s="319">
        <v>164030814.27266869</v>
      </c>
      <c r="AO170" s="320">
        <v>0.99999999999999989</v>
      </c>
      <c r="AP170" s="319">
        <v>119225056.38199998</v>
      </c>
    </row>
    <row r="171" spans="2:42" hidden="1" outlineLevel="1" x14ac:dyDescent="0.25">
      <c r="B171" s="318">
        <v>42979</v>
      </c>
      <c r="C171" s="319"/>
      <c r="D171" s="320"/>
      <c r="E171" s="319"/>
      <c r="F171" s="320"/>
      <c r="G171" s="319"/>
      <c r="H171" s="319"/>
      <c r="I171" s="320"/>
      <c r="J171" s="319"/>
      <c r="K171" s="320"/>
      <c r="L171" s="319"/>
      <c r="M171" s="319">
        <v>399078</v>
      </c>
      <c r="N171" s="320">
        <v>0.28408778661275513</v>
      </c>
      <c r="O171" s="319">
        <v>57932812.565193035</v>
      </c>
      <c r="P171" s="320">
        <v>0.35202085895742752</v>
      </c>
      <c r="Q171" s="319">
        <v>42044545.755000003</v>
      </c>
      <c r="R171" s="319">
        <v>182297</v>
      </c>
      <c r="S171" s="320">
        <v>0.12976999793560512</v>
      </c>
      <c r="T171" s="319">
        <v>26869444.092973731</v>
      </c>
      <c r="U171" s="320">
        <v>0.16326852383825174</v>
      </c>
      <c r="V171" s="319">
        <v>19500409.552999999</v>
      </c>
      <c r="W171" s="319">
        <v>758672</v>
      </c>
      <c r="X171" s="320">
        <v>0.54006848096129612</v>
      </c>
      <c r="Y171" s="319">
        <v>70899584.833988056</v>
      </c>
      <c r="Z171" s="320">
        <v>0.43081168767526268</v>
      </c>
      <c r="AA171" s="319">
        <v>51455137.538999997</v>
      </c>
      <c r="AB171" s="319">
        <v>64723</v>
      </c>
      <c r="AC171" s="320">
        <v>4.6073734490343618E-2</v>
      </c>
      <c r="AD171" s="319">
        <v>8870260.1065157205</v>
      </c>
      <c r="AE171" s="320">
        <v>5.3898929529058025E-2</v>
      </c>
      <c r="AF171" s="319">
        <v>6437561.727</v>
      </c>
      <c r="AG171" s="319"/>
      <c r="AH171" s="320"/>
      <c r="AI171" s="319"/>
      <c r="AJ171" s="320"/>
      <c r="AK171" s="319"/>
      <c r="AL171" s="319">
        <v>1404770</v>
      </c>
      <c r="AM171" s="320">
        <v>0.99999999999999989</v>
      </c>
      <c r="AN171" s="319">
        <v>164572101.59867054</v>
      </c>
      <c r="AO171" s="320">
        <v>1</v>
      </c>
      <c r="AP171" s="319">
        <v>119437654.574</v>
      </c>
    </row>
    <row r="172" spans="2:42" hidden="1" outlineLevel="1" x14ac:dyDescent="0.25">
      <c r="B172" s="318">
        <v>43009</v>
      </c>
      <c r="C172" s="319"/>
      <c r="D172" s="320"/>
      <c r="E172" s="319"/>
      <c r="F172" s="320"/>
      <c r="G172" s="319"/>
      <c r="H172" s="319"/>
      <c r="I172" s="320"/>
      <c r="J172" s="319"/>
      <c r="K172" s="320"/>
      <c r="L172" s="319"/>
      <c r="M172" s="319">
        <v>398759</v>
      </c>
      <c r="N172" s="320">
        <v>0.28281161235506008</v>
      </c>
      <c r="O172" s="319">
        <v>57615075.77468925</v>
      </c>
      <c r="P172" s="320">
        <v>0.35027750543288588</v>
      </c>
      <c r="Q172" s="319">
        <v>42059289.792000003</v>
      </c>
      <c r="R172" s="319">
        <v>182240</v>
      </c>
      <c r="S172" s="320">
        <v>0.12924996861659838</v>
      </c>
      <c r="T172" s="319">
        <v>26717713.011432748</v>
      </c>
      <c r="U172" s="320">
        <v>0.1624334210912855</v>
      </c>
      <c r="V172" s="319">
        <v>19504062.418000001</v>
      </c>
      <c r="W172" s="319">
        <v>764318</v>
      </c>
      <c r="X172" s="320">
        <v>0.54207680812720171</v>
      </c>
      <c r="Y172" s="319">
        <v>71317239.848770991</v>
      </c>
      <c r="Z172" s="320">
        <v>0.43358139397884082</v>
      </c>
      <c r="AA172" s="319">
        <v>52061937.221000001</v>
      </c>
      <c r="AB172" s="319">
        <v>64664</v>
      </c>
      <c r="AC172" s="320">
        <v>4.5861610901139806E-2</v>
      </c>
      <c r="AD172" s="319">
        <v>8834058.6418118272</v>
      </c>
      <c r="AE172" s="320">
        <v>5.3707679496987779E-2</v>
      </c>
      <c r="AF172" s="319">
        <v>6448906.4270000001</v>
      </c>
      <c r="AG172" s="319"/>
      <c r="AH172" s="320"/>
      <c r="AI172" s="319"/>
      <c r="AJ172" s="320"/>
      <c r="AK172" s="319"/>
      <c r="AL172" s="319">
        <v>1409981</v>
      </c>
      <c r="AM172" s="320">
        <v>1</v>
      </c>
      <c r="AN172" s="319">
        <v>164484087.27670482</v>
      </c>
      <c r="AO172" s="320">
        <v>1</v>
      </c>
      <c r="AP172" s="319">
        <v>120074195.85800001</v>
      </c>
    </row>
    <row r="173" spans="2:42" hidden="1" outlineLevel="1" x14ac:dyDescent="0.25">
      <c r="B173" s="318">
        <v>43040</v>
      </c>
      <c r="C173" s="319"/>
      <c r="D173" s="320"/>
      <c r="E173" s="319"/>
      <c r="F173" s="320"/>
      <c r="G173" s="319"/>
      <c r="H173" s="319"/>
      <c r="I173" s="320"/>
      <c r="J173" s="319"/>
      <c r="K173" s="320"/>
      <c r="L173" s="319"/>
      <c r="M173" s="319">
        <v>399090</v>
      </c>
      <c r="N173" s="320">
        <v>0.28204638934825932</v>
      </c>
      <c r="O173" s="319">
        <v>57593232.212620877</v>
      </c>
      <c r="P173" s="320">
        <v>0.34950038715995851</v>
      </c>
      <c r="Q173" s="319">
        <v>42079328.888999999</v>
      </c>
      <c r="R173" s="319">
        <v>182220</v>
      </c>
      <c r="S173" s="320">
        <v>0.12877920535979306</v>
      </c>
      <c r="T173" s="319">
        <v>26755369.937192459</v>
      </c>
      <c r="U173" s="320">
        <v>0.16236303802389329</v>
      </c>
      <c r="V173" s="319">
        <v>19548269.265000001</v>
      </c>
      <c r="W173" s="319">
        <v>769106</v>
      </c>
      <c r="X173" s="320">
        <v>0.54354549180907152</v>
      </c>
      <c r="Y173" s="319">
        <v>71627112.991875112</v>
      </c>
      <c r="Z173" s="320">
        <v>0.43466398325052857</v>
      </c>
      <c r="AA173" s="319">
        <v>52332899.703000002</v>
      </c>
      <c r="AB173" s="319">
        <v>64564</v>
      </c>
      <c r="AC173" s="320">
        <v>4.5628913482876086E-2</v>
      </c>
      <c r="AD173" s="319">
        <v>8811605.0688088834</v>
      </c>
      <c r="AE173" s="320">
        <v>5.3472591565619516E-2</v>
      </c>
      <c r="AF173" s="319">
        <v>6438020.8140000002</v>
      </c>
      <c r="AG173" s="319"/>
      <c r="AH173" s="320"/>
      <c r="AI173" s="319"/>
      <c r="AJ173" s="320"/>
      <c r="AK173" s="319"/>
      <c r="AL173" s="319">
        <v>1414980</v>
      </c>
      <c r="AM173" s="320">
        <v>1</v>
      </c>
      <c r="AN173" s="319">
        <v>164787320.21049735</v>
      </c>
      <c r="AO173" s="320">
        <v>1</v>
      </c>
      <c r="AP173" s="319">
        <v>120398518.67099999</v>
      </c>
    </row>
    <row r="174" spans="2:42" hidden="1" outlineLevel="1" x14ac:dyDescent="0.25">
      <c r="B174" s="318">
        <v>43070</v>
      </c>
      <c r="C174" s="319"/>
      <c r="D174" s="320"/>
      <c r="E174" s="319"/>
      <c r="F174" s="320"/>
      <c r="G174" s="319"/>
      <c r="H174" s="319"/>
      <c r="I174" s="320"/>
      <c r="J174" s="319"/>
      <c r="K174" s="320"/>
      <c r="L174" s="319"/>
      <c r="M174" s="319">
        <v>399510</v>
      </c>
      <c r="N174" s="320">
        <v>0.28127811830705085</v>
      </c>
      <c r="O174" s="319">
        <v>57602597.689892404</v>
      </c>
      <c r="P174" s="320">
        <v>0.34881836328481952</v>
      </c>
      <c r="Q174" s="319">
        <v>42148329.884999998</v>
      </c>
      <c r="R174" s="319">
        <v>182304</v>
      </c>
      <c r="S174" s="320">
        <v>0.12835254706978197</v>
      </c>
      <c r="T174" s="319">
        <v>26653330.714034602</v>
      </c>
      <c r="U174" s="320">
        <v>0.16140194311740119</v>
      </c>
      <c r="V174" s="319">
        <v>19502477.675000001</v>
      </c>
      <c r="W174" s="319">
        <v>774083</v>
      </c>
      <c r="X174" s="320">
        <v>0.54499914809010253</v>
      </c>
      <c r="Y174" s="319">
        <v>72109640.373714387</v>
      </c>
      <c r="Z174" s="320">
        <v>0.43666722927375284</v>
      </c>
      <c r="AA174" s="319">
        <v>52763261.245999999</v>
      </c>
      <c r="AB174" s="319">
        <v>64441</v>
      </c>
      <c r="AC174" s="320">
        <v>4.5370186533064662E-2</v>
      </c>
      <c r="AD174" s="319">
        <v>8770799.4669924006</v>
      </c>
      <c r="AE174" s="320">
        <v>5.3112464324026415E-2</v>
      </c>
      <c r="AF174" s="319">
        <v>6417671.4960000003</v>
      </c>
      <c r="AG174" s="319"/>
      <c r="AH174" s="320"/>
      <c r="AI174" s="319"/>
      <c r="AJ174" s="320"/>
      <c r="AK174" s="319"/>
      <c r="AL174" s="319">
        <v>1420338</v>
      </c>
      <c r="AM174" s="320">
        <v>1</v>
      </c>
      <c r="AN174" s="319">
        <v>165136368.24463379</v>
      </c>
      <c r="AO174" s="320">
        <v>1</v>
      </c>
      <c r="AP174" s="319">
        <v>120831740.302</v>
      </c>
    </row>
    <row r="175" spans="2:42" collapsed="1" x14ac:dyDescent="0.25">
      <c r="B175" s="321" t="s">
        <v>699</v>
      </c>
      <c r="C175" s="322"/>
      <c r="D175" s="311"/>
      <c r="E175" s="322"/>
      <c r="F175" s="311"/>
      <c r="G175" s="322"/>
      <c r="H175" s="322"/>
      <c r="I175" s="311"/>
      <c r="J175" s="322"/>
      <c r="K175" s="311"/>
      <c r="L175" s="322"/>
      <c r="M175" s="322">
        <v>399448.83333333331</v>
      </c>
      <c r="N175" s="311">
        <v>0.28628759977003276</v>
      </c>
      <c r="O175" s="322">
        <v>57546908.5072513</v>
      </c>
      <c r="P175" s="311">
        <v>0.35516302154967599</v>
      </c>
      <c r="Q175" s="322"/>
      <c r="R175" s="322">
        <v>182016</v>
      </c>
      <c r="S175" s="311">
        <v>0.13045206146905494</v>
      </c>
      <c r="T175" s="322">
        <v>26638088.516162436</v>
      </c>
      <c r="U175" s="311">
        <v>0.16440264561763285</v>
      </c>
      <c r="V175" s="322"/>
      <c r="W175" s="322">
        <v>749129.5</v>
      </c>
      <c r="X175" s="311">
        <v>0.53690602794414999</v>
      </c>
      <c r="Y175" s="322">
        <v>69030249.286546528</v>
      </c>
      <c r="Z175" s="311">
        <v>0.42603490875357664</v>
      </c>
      <c r="AA175" s="322"/>
      <c r="AB175" s="322">
        <v>64676.833333333336</v>
      </c>
      <c r="AC175" s="311">
        <v>4.635431081676239E-2</v>
      </c>
      <c r="AD175" s="322">
        <v>8814314.8086437713</v>
      </c>
      <c r="AE175" s="311">
        <v>5.4399424079114689E-2</v>
      </c>
      <c r="AF175" s="322"/>
      <c r="AG175" s="322"/>
      <c r="AH175" s="311"/>
      <c r="AI175" s="322"/>
      <c r="AJ175" s="311"/>
      <c r="AK175" s="322"/>
      <c r="AL175" s="322">
        <v>1395271.1666666665</v>
      </c>
      <c r="AM175" s="311">
        <v>1</v>
      </c>
      <c r="AN175" s="322">
        <v>162029561.118604</v>
      </c>
      <c r="AO175" s="311">
        <v>1</v>
      </c>
      <c r="AP175" s="322"/>
    </row>
    <row r="176" spans="2:42" hidden="1" outlineLevel="1" x14ac:dyDescent="0.25">
      <c r="B176" s="318">
        <v>43101</v>
      </c>
      <c r="C176" s="319"/>
      <c r="D176" s="320"/>
      <c r="E176" s="319"/>
      <c r="F176" s="320"/>
      <c r="G176" s="319"/>
      <c r="H176" s="319"/>
      <c r="I176" s="320"/>
      <c r="J176" s="319"/>
      <c r="K176" s="320"/>
      <c r="L176" s="319"/>
      <c r="M176" s="319">
        <v>399710</v>
      </c>
      <c r="N176" s="320">
        <v>0.28044117337524294</v>
      </c>
      <c r="O176" s="319">
        <v>57290443.451341003</v>
      </c>
      <c r="P176" s="320">
        <v>0.3475940286873494</v>
      </c>
      <c r="Q176" s="319">
        <v>42112974.873999998</v>
      </c>
      <c r="R176" s="319">
        <v>182398</v>
      </c>
      <c r="S176" s="320">
        <v>0.12797255295413565</v>
      </c>
      <c r="T176" s="319">
        <v>26558861.917339195</v>
      </c>
      <c r="U176" s="320">
        <v>0.16113859930303723</v>
      </c>
      <c r="V176" s="319">
        <v>19522849.138999999</v>
      </c>
      <c r="W176" s="319">
        <v>778728</v>
      </c>
      <c r="X176" s="320">
        <v>0.54636459948501703</v>
      </c>
      <c r="Y176" s="319">
        <v>72231346.482738122</v>
      </c>
      <c r="Z176" s="320">
        <v>0.43824385375496799</v>
      </c>
      <c r="AA176" s="319">
        <v>53095711.890000001</v>
      </c>
      <c r="AB176" s="319">
        <v>64454</v>
      </c>
      <c r="AC176" s="320">
        <v>4.5221674185604334E-2</v>
      </c>
      <c r="AD176" s="319">
        <v>8739335.6141087916</v>
      </c>
      <c r="AE176" s="320">
        <v>5.3023518254645331E-2</v>
      </c>
      <c r="AF176" s="319">
        <v>6424097.9639999997</v>
      </c>
      <c r="AG176" s="319"/>
      <c r="AH176" s="320"/>
      <c r="AI176" s="319"/>
      <c r="AJ176" s="320"/>
      <c r="AK176" s="319"/>
      <c r="AL176" s="319">
        <v>1425290</v>
      </c>
      <c r="AM176" s="320">
        <v>0.99999999999999989</v>
      </c>
      <c r="AN176" s="319">
        <v>164819987.46552712</v>
      </c>
      <c r="AO176" s="320">
        <v>1</v>
      </c>
      <c r="AP176" s="319">
        <v>121155633.867</v>
      </c>
    </row>
    <row r="177" spans="2:42" hidden="1" outlineLevel="1" x14ac:dyDescent="0.25">
      <c r="B177" s="318">
        <v>43132</v>
      </c>
      <c r="C177" s="319"/>
      <c r="D177" s="320"/>
      <c r="E177" s="319"/>
      <c r="F177" s="320"/>
      <c r="G177" s="319"/>
      <c r="H177" s="319"/>
      <c r="I177" s="320"/>
      <c r="J177" s="319"/>
      <c r="K177" s="320"/>
      <c r="L177" s="319"/>
      <c r="M177" s="319">
        <v>400174</v>
      </c>
      <c r="N177" s="320">
        <v>0.2797472743491014</v>
      </c>
      <c r="O177" s="319">
        <v>57371171.143795498</v>
      </c>
      <c r="P177" s="320">
        <v>0.34786388153891989</v>
      </c>
      <c r="Q177" s="319">
        <v>42191282.222000003</v>
      </c>
      <c r="R177" s="319">
        <v>182540</v>
      </c>
      <c r="S177" s="320">
        <v>0.1276071595348148</v>
      </c>
      <c r="T177" s="319">
        <v>26586856.152288802</v>
      </c>
      <c r="U177" s="320">
        <v>0.16120652227703916</v>
      </c>
      <c r="V177" s="319">
        <v>19552216.364999998</v>
      </c>
      <c r="W177" s="319">
        <v>783247</v>
      </c>
      <c r="X177" s="320">
        <v>0.54753985364394153</v>
      </c>
      <c r="Y177" s="319">
        <v>72226411.778966382</v>
      </c>
      <c r="Z177" s="320">
        <v>0.43793702394685718</v>
      </c>
      <c r="AA177" s="319">
        <v>53115961.597000003</v>
      </c>
      <c r="AB177" s="319">
        <v>64523</v>
      </c>
      <c r="AC177" s="320">
        <v>4.5105712472142297E-2</v>
      </c>
      <c r="AD177" s="319">
        <v>8739757.3951041792</v>
      </c>
      <c r="AE177" s="320">
        <v>5.299257223718383E-2</v>
      </c>
      <c r="AF177" s="319">
        <v>6427297.2549999999</v>
      </c>
      <c r="AG177" s="319"/>
      <c r="AH177" s="320"/>
      <c r="AI177" s="319"/>
      <c r="AJ177" s="320"/>
      <c r="AK177" s="319"/>
      <c r="AL177" s="319">
        <v>1430484</v>
      </c>
      <c r="AM177" s="320">
        <v>1</v>
      </c>
      <c r="AN177" s="319">
        <v>164924196.47015485</v>
      </c>
      <c r="AO177" s="320">
        <v>1</v>
      </c>
      <c r="AP177" s="319">
        <v>121286757.439</v>
      </c>
    </row>
    <row r="178" spans="2:42" hidden="1" outlineLevel="1" x14ac:dyDescent="0.25">
      <c r="B178" s="318">
        <v>43160</v>
      </c>
      <c r="C178" s="319"/>
      <c r="D178" s="320"/>
      <c r="E178" s="319"/>
      <c r="F178" s="320"/>
      <c r="G178" s="319"/>
      <c r="H178" s="319"/>
      <c r="I178" s="320"/>
      <c r="J178" s="319"/>
      <c r="K178" s="320"/>
      <c r="L178" s="319"/>
      <c r="M178" s="319">
        <v>400670</v>
      </c>
      <c r="N178" s="320">
        <v>0.27826064008211632</v>
      </c>
      <c r="O178" s="319">
        <v>57438386.605902217</v>
      </c>
      <c r="P178" s="320">
        <v>0.34479091822043401</v>
      </c>
      <c r="Q178" s="319">
        <v>42327151.605999999</v>
      </c>
      <c r="R178" s="319">
        <v>182850</v>
      </c>
      <c r="S178" s="320">
        <v>0.12698719155168833</v>
      </c>
      <c r="T178" s="319">
        <v>26621442.596397452</v>
      </c>
      <c r="U178" s="320">
        <v>0.15980308952865435</v>
      </c>
      <c r="V178" s="319">
        <v>19617713.925000001</v>
      </c>
      <c r="W178" s="319">
        <v>791363</v>
      </c>
      <c r="X178" s="320">
        <v>0.54959237007338657</v>
      </c>
      <c r="Y178" s="319">
        <v>73666643.744462684</v>
      </c>
      <c r="Z178" s="320">
        <v>0.4422058355006247</v>
      </c>
      <c r="AA178" s="319">
        <v>54285981.593999997</v>
      </c>
      <c r="AB178" s="319">
        <v>65026</v>
      </c>
      <c r="AC178" s="320">
        <v>4.5159798292808778E-2</v>
      </c>
      <c r="AD178" s="319">
        <v>8862562.8154276628</v>
      </c>
      <c r="AE178" s="320">
        <v>5.3200156750286921E-2</v>
      </c>
      <c r="AF178" s="319">
        <v>6530946.6730000004</v>
      </c>
      <c r="AG178" s="319"/>
      <c r="AH178" s="320"/>
      <c r="AI178" s="319"/>
      <c r="AJ178" s="320"/>
      <c r="AK178" s="319"/>
      <c r="AL178" s="319">
        <v>1439909</v>
      </c>
      <c r="AM178" s="320">
        <v>1</v>
      </c>
      <c r="AN178" s="319">
        <v>166589035.76219001</v>
      </c>
      <c r="AO178" s="320">
        <v>1</v>
      </c>
      <c r="AP178" s="319">
        <v>122761793.79800001</v>
      </c>
    </row>
    <row r="179" spans="2:42" hidden="1" outlineLevel="1" x14ac:dyDescent="0.25">
      <c r="B179" s="318">
        <v>43191</v>
      </c>
      <c r="C179" s="319"/>
      <c r="D179" s="320"/>
      <c r="E179" s="319"/>
      <c r="F179" s="320"/>
      <c r="G179" s="319"/>
      <c r="H179" s="319"/>
      <c r="I179" s="320"/>
      <c r="J179" s="319"/>
      <c r="K179" s="320"/>
      <c r="L179" s="319"/>
      <c r="M179" s="319">
        <v>401455</v>
      </c>
      <c r="N179" s="320">
        <v>0.27670750771283709</v>
      </c>
      <c r="O179" s="319">
        <v>57346630.481303789</v>
      </c>
      <c r="P179" s="320">
        <v>0.34337694172419087</v>
      </c>
      <c r="Q179" s="319">
        <v>42393135.082000002</v>
      </c>
      <c r="R179" s="319">
        <v>182960</v>
      </c>
      <c r="S179" s="320">
        <v>0.12610729872872595</v>
      </c>
      <c r="T179" s="319">
        <v>26429200.429105237</v>
      </c>
      <c r="U179" s="320">
        <v>0.15825128589761744</v>
      </c>
      <c r="V179" s="319">
        <v>19537619.813000001</v>
      </c>
      <c r="W179" s="319">
        <v>800876</v>
      </c>
      <c r="X179" s="320">
        <v>0.55201305737137685</v>
      </c>
      <c r="Y179" s="319">
        <v>74381877.805859208</v>
      </c>
      <c r="Z179" s="320">
        <v>0.44537964142470959</v>
      </c>
      <c r="AA179" s="319">
        <v>54986334.280000001</v>
      </c>
      <c r="AB179" s="319">
        <v>65537</v>
      </c>
      <c r="AC179" s="320">
        <v>4.5172136187060077E-2</v>
      </c>
      <c r="AD179" s="319">
        <v>8850099.651266424</v>
      </c>
      <c r="AE179" s="320">
        <v>5.2992130953482E-2</v>
      </c>
      <c r="AF179" s="319">
        <v>6542380.3779999996</v>
      </c>
      <c r="AG179" s="319"/>
      <c r="AH179" s="320"/>
      <c r="AI179" s="319"/>
      <c r="AJ179" s="320"/>
      <c r="AK179" s="319"/>
      <c r="AL179" s="319">
        <v>1450828</v>
      </c>
      <c r="AM179" s="320">
        <v>1</v>
      </c>
      <c r="AN179" s="319">
        <v>167007808.36753467</v>
      </c>
      <c r="AO179" s="320">
        <v>0.99999999999999978</v>
      </c>
      <c r="AP179" s="319">
        <v>123459469.55300002</v>
      </c>
    </row>
    <row r="180" spans="2:42" hidden="1" outlineLevel="1" x14ac:dyDescent="0.25">
      <c r="B180" s="318">
        <v>43221</v>
      </c>
      <c r="C180" s="319"/>
      <c r="D180" s="320"/>
      <c r="E180" s="319"/>
      <c r="F180" s="320"/>
      <c r="G180" s="319"/>
      <c r="H180" s="319"/>
      <c r="I180" s="320"/>
      <c r="J180" s="319"/>
      <c r="K180" s="320"/>
      <c r="L180" s="319"/>
      <c r="M180" s="319">
        <v>402013</v>
      </c>
      <c r="N180" s="320">
        <v>0.27551063765628897</v>
      </c>
      <c r="O180" s="319">
        <v>57250356.809236728</v>
      </c>
      <c r="P180" s="320">
        <v>0.34253059651078199</v>
      </c>
      <c r="Q180" s="319">
        <v>42440351.505999997</v>
      </c>
      <c r="R180" s="319">
        <v>183081</v>
      </c>
      <c r="S180" s="320">
        <v>0.1254704774540899</v>
      </c>
      <c r="T180" s="319">
        <v>26390946.645684492</v>
      </c>
      <c r="U180" s="320">
        <v>0.15789782284067916</v>
      </c>
      <c r="V180" s="319">
        <v>19563913.914999999</v>
      </c>
      <c r="W180" s="319">
        <v>807792</v>
      </c>
      <c r="X180" s="320">
        <v>0.55360221936516729</v>
      </c>
      <c r="Y180" s="319">
        <v>74558117.313882306</v>
      </c>
      <c r="Z180" s="320">
        <v>0.44608344509260101</v>
      </c>
      <c r="AA180" s="319">
        <v>55270794.502999999</v>
      </c>
      <c r="AB180" s="319">
        <v>66270</v>
      </c>
      <c r="AC180" s="320">
        <v>4.5416665524453864E-2</v>
      </c>
      <c r="AD180" s="319">
        <v>8939974.6382710971</v>
      </c>
      <c r="AE180" s="320">
        <v>5.3488135555937809E-2</v>
      </c>
      <c r="AF180" s="319">
        <v>6627306.5750000002</v>
      </c>
      <c r="AG180" s="319"/>
      <c r="AH180" s="320"/>
      <c r="AI180" s="319"/>
      <c r="AJ180" s="320"/>
      <c r="AK180" s="319"/>
      <c r="AL180" s="319">
        <v>1459156</v>
      </c>
      <c r="AM180" s="320">
        <v>1</v>
      </c>
      <c r="AN180" s="319">
        <v>167139395.40707463</v>
      </c>
      <c r="AO180" s="320">
        <v>1</v>
      </c>
      <c r="AP180" s="319">
        <v>123902366.499</v>
      </c>
    </row>
    <row r="181" spans="2:42" hidden="1" outlineLevel="1" x14ac:dyDescent="0.25">
      <c r="B181" s="318">
        <v>43252</v>
      </c>
      <c r="C181" s="319"/>
      <c r="D181" s="320"/>
      <c r="E181" s="319"/>
      <c r="F181" s="320"/>
      <c r="G181" s="319"/>
      <c r="H181" s="319"/>
      <c r="I181" s="320"/>
      <c r="J181" s="319"/>
      <c r="K181" s="320"/>
      <c r="L181" s="319"/>
      <c r="M181" s="319">
        <v>402451</v>
      </c>
      <c r="N181" s="320">
        <v>0.27433306794199924</v>
      </c>
      <c r="O181" s="319">
        <v>57224436.227187343</v>
      </c>
      <c r="P181" s="320">
        <v>0.34123406467540313</v>
      </c>
      <c r="Q181" s="319">
        <v>42464860.903999999</v>
      </c>
      <c r="R181" s="319">
        <v>183271</v>
      </c>
      <c r="S181" s="320">
        <v>0.12492774448267777</v>
      </c>
      <c r="T181" s="319">
        <v>26448134.547946207</v>
      </c>
      <c r="U181" s="320">
        <v>0.15771242234781263</v>
      </c>
      <c r="V181" s="319">
        <v>19626516.726</v>
      </c>
      <c r="W181" s="319">
        <v>814687</v>
      </c>
      <c r="X181" s="320">
        <v>0.55533613811982963</v>
      </c>
      <c r="Y181" s="319">
        <v>75111351.119357944</v>
      </c>
      <c r="Z181" s="320">
        <v>0.44789522336163834</v>
      </c>
      <c r="AA181" s="319">
        <v>55738304.960000001</v>
      </c>
      <c r="AB181" s="319">
        <v>66607</v>
      </c>
      <c r="AC181" s="320">
        <v>4.5403049455493324E-2</v>
      </c>
      <c r="AD181" s="319">
        <v>8914564.7194453273</v>
      </c>
      <c r="AE181" s="320">
        <v>5.3158289615145939E-2</v>
      </c>
      <c r="AF181" s="319">
        <v>6615281.4390000002</v>
      </c>
      <c r="AG181" s="319"/>
      <c r="AH181" s="320"/>
      <c r="AI181" s="319"/>
      <c r="AJ181" s="320"/>
      <c r="AK181" s="319"/>
      <c r="AL181" s="319">
        <v>1467016</v>
      </c>
      <c r="AM181" s="320">
        <v>1</v>
      </c>
      <c r="AN181" s="319">
        <v>167698486.61393681</v>
      </c>
      <c r="AO181" s="320">
        <v>1</v>
      </c>
      <c r="AP181" s="319">
        <v>124444964.029</v>
      </c>
    </row>
    <row r="182" spans="2:42" hidden="1" outlineLevel="1" x14ac:dyDescent="0.25">
      <c r="B182" s="318">
        <v>43282</v>
      </c>
      <c r="C182" s="319"/>
      <c r="D182" s="320"/>
      <c r="E182" s="319"/>
      <c r="F182" s="320"/>
      <c r="G182" s="319"/>
      <c r="H182" s="319"/>
      <c r="I182" s="320"/>
      <c r="J182" s="319"/>
      <c r="K182" s="320"/>
      <c r="L182" s="319"/>
      <c r="M182" s="319">
        <v>402868</v>
      </c>
      <c r="N182" s="320">
        <v>0.27314547694418889</v>
      </c>
      <c r="O182" s="319">
        <v>58454444.909082308</v>
      </c>
      <c r="P182" s="320">
        <v>0.33798067304836188</v>
      </c>
      <c r="Q182" s="319">
        <v>43531265.906000003</v>
      </c>
      <c r="R182" s="319">
        <v>183335</v>
      </c>
      <c r="S182" s="320">
        <v>0.12430157276220218</v>
      </c>
      <c r="T182" s="319">
        <v>26950157.528471082</v>
      </c>
      <c r="U182" s="320">
        <v>0.15582446115773119</v>
      </c>
      <c r="V182" s="319">
        <v>20069893.322999999</v>
      </c>
      <c r="W182" s="319">
        <v>821872</v>
      </c>
      <c r="X182" s="320">
        <v>0.55723120085753741</v>
      </c>
      <c r="Y182" s="319">
        <v>78423084.340158552</v>
      </c>
      <c r="Z182" s="320">
        <v>0.45343834620345475</v>
      </c>
      <c r="AA182" s="319">
        <v>58401993.943999998</v>
      </c>
      <c r="AB182" s="319">
        <v>66846</v>
      </c>
      <c r="AC182" s="320">
        <v>4.5321749436071493E-2</v>
      </c>
      <c r="AD182" s="319">
        <v>9124347.3781524245</v>
      </c>
      <c r="AE182" s="320">
        <v>5.2756519590452251E-2</v>
      </c>
      <c r="AF182" s="319">
        <v>6794939.0769999996</v>
      </c>
      <c r="AG182" s="319"/>
      <c r="AH182" s="320"/>
      <c r="AI182" s="319"/>
      <c r="AJ182" s="320"/>
      <c r="AK182" s="319"/>
      <c r="AL182" s="319">
        <v>1474921</v>
      </c>
      <c r="AM182" s="320">
        <v>0.99999999999999989</v>
      </c>
      <c r="AN182" s="319">
        <v>172952034.15586436</v>
      </c>
      <c r="AO182" s="320">
        <v>1</v>
      </c>
      <c r="AP182" s="319">
        <v>128798092.25</v>
      </c>
    </row>
    <row r="183" spans="2:42" hidden="1" outlineLevel="1" x14ac:dyDescent="0.25">
      <c r="B183" s="318">
        <v>43313</v>
      </c>
      <c r="C183" s="319"/>
      <c r="D183" s="320"/>
      <c r="E183" s="319"/>
      <c r="F183" s="320"/>
      <c r="G183" s="319"/>
      <c r="H183" s="319"/>
      <c r="I183" s="320"/>
      <c r="J183" s="319"/>
      <c r="K183" s="320"/>
      <c r="L183" s="319"/>
      <c r="M183" s="319">
        <v>403017</v>
      </c>
      <c r="N183" s="320">
        <v>0.272088171752633</v>
      </c>
      <c r="O183" s="319">
        <v>58394805.139284149</v>
      </c>
      <c r="P183" s="320">
        <v>0.33715840929354535</v>
      </c>
      <c r="Q183" s="319">
        <v>43561591.549999997</v>
      </c>
      <c r="R183" s="319">
        <v>183284</v>
      </c>
      <c r="S183" s="320">
        <v>0.12374021064002161</v>
      </c>
      <c r="T183" s="319">
        <v>26880841.263921041</v>
      </c>
      <c r="U183" s="320">
        <v>0.15520390314512517</v>
      </c>
      <c r="V183" s="319">
        <v>20052678.057</v>
      </c>
      <c r="W183" s="319">
        <v>827986</v>
      </c>
      <c r="X183" s="320">
        <v>0.55899675938428306</v>
      </c>
      <c r="Y183" s="319">
        <v>78840356.947771594</v>
      </c>
      <c r="Z183" s="320">
        <v>0.45520640531709888</v>
      </c>
      <c r="AA183" s="319">
        <v>58813646.501999997</v>
      </c>
      <c r="AB183" s="319">
        <v>66913</v>
      </c>
      <c r="AC183" s="320">
        <v>4.5174858223062379E-2</v>
      </c>
      <c r="AD183" s="319">
        <v>9080937.7000856251</v>
      </c>
      <c r="AE183" s="320">
        <v>5.2431282244230618E-2</v>
      </c>
      <c r="AF183" s="319">
        <v>6774234.4210000001</v>
      </c>
      <c r="AG183" s="319"/>
      <c r="AH183" s="320"/>
      <c r="AI183" s="319"/>
      <c r="AJ183" s="320"/>
      <c r="AK183" s="319"/>
      <c r="AL183" s="319">
        <v>1481200</v>
      </c>
      <c r="AM183" s="320">
        <v>1</v>
      </c>
      <c r="AN183" s="319">
        <v>173196941.05106241</v>
      </c>
      <c r="AO183" s="320">
        <v>1</v>
      </c>
      <c r="AP183" s="319">
        <v>129202150.53</v>
      </c>
    </row>
    <row r="184" spans="2:42" hidden="1" outlineLevel="1" x14ac:dyDescent="0.25">
      <c r="B184" s="318">
        <v>43344</v>
      </c>
      <c r="C184" s="319"/>
      <c r="D184" s="320"/>
      <c r="E184" s="319"/>
      <c r="F184" s="320"/>
      <c r="G184" s="319"/>
      <c r="H184" s="319"/>
      <c r="I184" s="320"/>
      <c r="J184" s="319"/>
      <c r="K184" s="320"/>
      <c r="L184" s="319"/>
      <c r="M184" s="319">
        <v>403054</v>
      </c>
      <c r="N184" s="320">
        <v>0.2712004225584298</v>
      </c>
      <c r="O184" s="319">
        <v>58217850.406042658</v>
      </c>
      <c r="P184" s="320">
        <v>0.33632845295438341</v>
      </c>
      <c r="Q184" s="319">
        <v>43577194.887000002</v>
      </c>
      <c r="R184" s="319">
        <v>183113</v>
      </c>
      <c r="S184" s="320">
        <v>0.12321009833903586</v>
      </c>
      <c r="T184" s="319">
        <v>26780439.411943361</v>
      </c>
      <c r="U184" s="320">
        <v>0.15471240683119819</v>
      </c>
      <c r="V184" s="319">
        <v>20045680.478999998</v>
      </c>
      <c r="W184" s="319">
        <v>833175</v>
      </c>
      <c r="X184" s="320">
        <v>0.56061324801421086</v>
      </c>
      <c r="Y184" s="319">
        <v>79084529.987819165</v>
      </c>
      <c r="Z184" s="320">
        <v>0.45687666992024517</v>
      </c>
      <c r="AA184" s="319">
        <v>59196310.956</v>
      </c>
      <c r="AB184" s="319">
        <v>66843</v>
      </c>
      <c r="AC184" s="320">
        <v>4.4976231088323458E-2</v>
      </c>
      <c r="AD184" s="319">
        <v>9015381.950972164</v>
      </c>
      <c r="AE184" s="320">
        <v>5.2082470294173247E-2</v>
      </c>
      <c r="AF184" s="319">
        <v>6748188.9749999996</v>
      </c>
      <c r="AG184" s="319"/>
      <c r="AH184" s="320"/>
      <c r="AI184" s="319"/>
      <c r="AJ184" s="320"/>
      <c r="AK184" s="319"/>
      <c r="AL184" s="319">
        <v>1486185</v>
      </c>
      <c r="AM184" s="320">
        <v>1</v>
      </c>
      <c r="AN184" s="319">
        <v>173098201.75677735</v>
      </c>
      <c r="AO184" s="320">
        <v>1</v>
      </c>
      <c r="AP184" s="319">
        <v>129567375.29699999</v>
      </c>
    </row>
    <row r="185" spans="2:42" hidden="1" outlineLevel="1" x14ac:dyDescent="0.25">
      <c r="B185" s="318">
        <v>43374</v>
      </c>
      <c r="C185" s="319"/>
      <c r="D185" s="320"/>
      <c r="E185" s="319"/>
      <c r="F185" s="320"/>
      <c r="G185" s="319"/>
      <c r="H185" s="319"/>
      <c r="I185" s="320"/>
      <c r="J185" s="319"/>
      <c r="K185" s="320"/>
      <c r="L185" s="319"/>
      <c r="M185" s="319">
        <v>403364</v>
      </c>
      <c r="N185" s="320">
        <v>0.27008166782614401</v>
      </c>
      <c r="O185" s="319">
        <v>58122996.869570598</v>
      </c>
      <c r="P185" s="320">
        <v>0.33492968794201716</v>
      </c>
      <c r="Q185" s="319">
        <v>43665677.762999997</v>
      </c>
      <c r="R185" s="319">
        <v>183057</v>
      </c>
      <c r="S185" s="320">
        <v>0.12257003566815691</v>
      </c>
      <c r="T185" s="319">
        <v>26697033.740343176</v>
      </c>
      <c r="U185" s="320">
        <v>0.15383978220696146</v>
      </c>
      <c r="V185" s="319">
        <v>20056503.197000001</v>
      </c>
      <c r="W185" s="319">
        <v>840165</v>
      </c>
      <c r="X185" s="320">
        <v>0.56255185006384378</v>
      </c>
      <c r="Y185" s="319">
        <v>79702948.014598027</v>
      </c>
      <c r="Z185" s="320">
        <v>0.45928264102575606</v>
      </c>
      <c r="AA185" s="319">
        <v>59877904.310000002</v>
      </c>
      <c r="AB185" s="319">
        <v>66903</v>
      </c>
      <c r="AC185" s="320">
        <v>4.4796446441855278E-2</v>
      </c>
      <c r="AD185" s="319">
        <v>9014927.8737405315</v>
      </c>
      <c r="AE185" s="320">
        <v>5.1947888825265506E-2</v>
      </c>
      <c r="AF185" s="319">
        <v>6772584.9800000004</v>
      </c>
      <c r="AG185" s="319"/>
      <c r="AH185" s="320"/>
      <c r="AI185" s="319"/>
      <c r="AJ185" s="320"/>
      <c r="AK185" s="319"/>
      <c r="AL185" s="319">
        <v>1493489</v>
      </c>
      <c r="AM185" s="320">
        <v>1</v>
      </c>
      <c r="AN185" s="319">
        <v>173537906.4982523</v>
      </c>
      <c r="AO185" s="320">
        <v>1.0000000000000002</v>
      </c>
      <c r="AP185" s="319">
        <v>130372670.25</v>
      </c>
    </row>
    <row r="186" spans="2:42" hidden="1" outlineLevel="1" x14ac:dyDescent="0.25">
      <c r="B186" s="318">
        <v>43405</v>
      </c>
      <c r="C186" s="319"/>
      <c r="D186" s="320"/>
      <c r="E186" s="319"/>
      <c r="F186" s="320"/>
      <c r="G186" s="319"/>
      <c r="H186" s="319"/>
      <c r="I186" s="320"/>
      <c r="J186" s="319"/>
      <c r="K186" s="320"/>
      <c r="L186" s="319"/>
      <c r="M186" s="319">
        <v>403867</v>
      </c>
      <c r="N186" s="320">
        <v>0.26913808798382505</v>
      </c>
      <c r="O186" s="319">
        <v>58115226.707902983</v>
      </c>
      <c r="P186" s="320">
        <v>0.3337707751954741</v>
      </c>
      <c r="Q186" s="319">
        <v>43657533.101000004</v>
      </c>
      <c r="R186" s="319">
        <v>182917</v>
      </c>
      <c r="S186" s="320">
        <v>0.12189639569397186</v>
      </c>
      <c r="T186" s="319">
        <v>26664654.024003681</v>
      </c>
      <c r="U186" s="320">
        <v>0.15314200336244319</v>
      </c>
      <c r="V186" s="319">
        <v>20031118.892999999</v>
      </c>
      <c r="W186" s="319">
        <v>846814</v>
      </c>
      <c r="X186" s="320">
        <v>0.56431919626494575</v>
      </c>
      <c r="Y186" s="319">
        <v>80310500.69798328</v>
      </c>
      <c r="Z186" s="320">
        <v>0.46124397327107625</v>
      </c>
      <c r="AA186" s="319">
        <v>60331147.983000003</v>
      </c>
      <c r="AB186" s="319">
        <v>66996</v>
      </c>
      <c r="AC186" s="320">
        <v>4.4646320057257327E-2</v>
      </c>
      <c r="AD186" s="319">
        <v>9026800.2612499762</v>
      </c>
      <c r="AE186" s="320">
        <v>5.1843248171006384E-2</v>
      </c>
      <c r="AF186" s="319">
        <v>6781145.898</v>
      </c>
      <c r="AG186" s="319"/>
      <c r="AH186" s="320"/>
      <c r="AI186" s="319"/>
      <c r="AJ186" s="320"/>
      <c r="AK186" s="319"/>
      <c r="AL186" s="319">
        <v>1500594</v>
      </c>
      <c r="AM186" s="320">
        <v>1</v>
      </c>
      <c r="AN186" s="319">
        <v>174117181.69113994</v>
      </c>
      <c r="AO186" s="320">
        <v>0.99999999999999989</v>
      </c>
      <c r="AP186" s="319">
        <v>130800945.875</v>
      </c>
    </row>
    <row r="187" spans="2:42" hidden="1" outlineLevel="1" x14ac:dyDescent="0.25">
      <c r="B187" s="318">
        <v>43435</v>
      </c>
      <c r="C187" s="319"/>
      <c r="D187" s="320"/>
      <c r="E187" s="319"/>
      <c r="F187" s="320"/>
      <c r="G187" s="319"/>
      <c r="H187" s="319"/>
      <c r="I187" s="320"/>
      <c r="J187" s="319"/>
      <c r="K187" s="320"/>
      <c r="L187" s="319"/>
      <c r="M187" s="319">
        <v>404348</v>
      </c>
      <c r="N187" s="320">
        <v>0.26820784403207232</v>
      </c>
      <c r="O187" s="319">
        <v>58283208.399676345</v>
      </c>
      <c r="P187" s="320">
        <v>0.33237553991652674</v>
      </c>
      <c r="Q187" s="319">
        <v>43739459.228</v>
      </c>
      <c r="R187" s="319">
        <v>182911</v>
      </c>
      <c r="S187" s="320">
        <v>0.12132659234063327</v>
      </c>
      <c r="T187" s="319">
        <v>26797097.823695164</v>
      </c>
      <c r="U187" s="320">
        <v>0.15281759707305551</v>
      </c>
      <c r="V187" s="319">
        <v>20110261.598000001</v>
      </c>
      <c r="W187" s="319">
        <v>853431</v>
      </c>
      <c r="X187" s="320">
        <v>0.56608883570621227</v>
      </c>
      <c r="Y187" s="319">
        <v>81246416.804557219</v>
      </c>
      <c r="Z187" s="320">
        <v>0.46332936008800496</v>
      </c>
      <c r="AA187" s="319">
        <v>60972524.211000003</v>
      </c>
      <c r="AB187" s="319">
        <v>66902</v>
      </c>
      <c r="AC187" s="320">
        <v>4.4376727921082097E-2</v>
      </c>
      <c r="AD187" s="319">
        <v>9026759.404363608</v>
      </c>
      <c r="AE187" s="320">
        <v>5.1477502922412904E-2</v>
      </c>
      <c r="AF187" s="319">
        <v>6774259.4440000001</v>
      </c>
      <c r="AG187" s="319"/>
      <c r="AH187" s="320"/>
      <c r="AI187" s="319"/>
      <c r="AJ187" s="320"/>
      <c r="AK187" s="319"/>
      <c r="AL187" s="319">
        <v>1507592</v>
      </c>
      <c r="AM187" s="320">
        <v>0.99999999999999989</v>
      </c>
      <c r="AN187" s="319">
        <v>175353482.43229231</v>
      </c>
      <c r="AO187" s="320">
        <v>1</v>
      </c>
      <c r="AP187" s="319">
        <v>131596504.48100001</v>
      </c>
    </row>
    <row r="188" spans="2:42" collapsed="1" x14ac:dyDescent="0.25">
      <c r="B188" s="321" t="s">
        <v>700</v>
      </c>
      <c r="C188" s="322"/>
      <c r="D188" s="311"/>
      <c r="E188" s="322"/>
      <c r="F188" s="311"/>
      <c r="G188" s="322"/>
      <c r="H188" s="322"/>
      <c r="I188" s="311"/>
      <c r="J188" s="322"/>
      <c r="K188" s="311"/>
      <c r="L188" s="322"/>
      <c r="M188" s="322">
        <v>402249.25</v>
      </c>
      <c r="N188" s="311">
        <v>0.27400142274382938</v>
      </c>
      <c r="O188" s="322">
        <v>57792496.429193795</v>
      </c>
      <c r="P188" s="311">
        <v>0.33988344323735409</v>
      </c>
      <c r="Q188" s="322"/>
      <c r="R188" s="322">
        <v>182976.41666666666</v>
      </c>
      <c r="S188" s="311">
        <v>0.12463863759903691</v>
      </c>
      <c r="T188" s="322">
        <v>26650472.173428241</v>
      </c>
      <c r="U188" s="311">
        <v>0.15673408843488582</v>
      </c>
      <c r="V188" s="322"/>
      <c r="W188" s="322">
        <v>816678</v>
      </c>
      <c r="X188" s="311">
        <v>0.55629919489864832</v>
      </c>
      <c r="Y188" s="322">
        <v>76648632.086512864</v>
      </c>
      <c r="Z188" s="311">
        <v>0.45077826020052675</v>
      </c>
      <c r="AA188" s="322"/>
      <c r="AB188" s="322">
        <v>66151.666666666672</v>
      </c>
      <c r="AC188" s="311">
        <v>4.5060744758485496E-2</v>
      </c>
      <c r="AD188" s="322">
        <v>8944620.7835156508</v>
      </c>
      <c r="AE188" s="311">
        <v>5.2604208127233328E-2</v>
      </c>
      <c r="AF188" s="322"/>
      <c r="AG188" s="322"/>
      <c r="AH188" s="311"/>
      <c r="AI188" s="322"/>
      <c r="AJ188" s="311"/>
      <c r="AK188" s="322"/>
      <c r="AL188" s="322">
        <v>1468055.3333333333</v>
      </c>
      <c r="AM188" s="311">
        <v>1</v>
      </c>
      <c r="AN188" s="322">
        <v>170036221.47265056</v>
      </c>
      <c r="AO188" s="311">
        <v>1</v>
      </c>
      <c r="AP188" s="322"/>
    </row>
    <row r="189" spans="2:42" hidden="1" outlineLevel="1" x14ac:dyDescent="0.25">
      <c r="B189" s="318">
        <v>43466</v>
      </c>
      <c r="C189" s="319"/>
      <c r="D189" s="320"/>
      <c r="E189" s="319"/>
      <c r="F189" s="320"/>
      <c r="G189" s="319"/>
      <c r="H189" s="319"/>
      <c r="I189" s="320"/>
      <c r="J189" s="319"/>
      <c r="K189" s="320"/>
      <c r="L189" s="319"/>
      <c r="M189" s="319">
        <v>404952</v>
      </c>
      <c r="N189" s="320">
        <v>0.26742796914902256</v>
      </c>
      <c r="O189" s="319">
        <v>58356822.253529347</v>
      </c>
      <c r="P189" s="320">
        <v>0.33165858890406485</v>
      </c>
      <c r="Q189" s="319">
        <v>43843638.549999997</v>
      </c>
      <c r="R189" s="319">
        <v>182878</v>
      </c>
      <c r="S189" s="320">
        <v>0.12077157821676385</v>
      </c>
      <c r="T189" s="319">
        <v>26691755.078831457</v>
      </c>
      <c r="U189" s="320">
        <v>0.1516969136249148</v>
      </c>
      <c r="V189" s="319">
        <v>20053587.853999998</v>
      </c>
      <c r="W189" s="319">
        <v>859411</v>
      </c>
      <c r="X189" s="320">
        <v>0.567550076044397</v>
      </c>
      <c r="Y189" s="319">
        <v>81844165.775573507</v>
      </c>
      <c r="Z189" s="320">
        <v>0.46514391090778445</v>
      </c>
      <c r="AA189" s="319">
        <v>61489743.325999998</v>
      </c>
      <c r="AB189" s="319">
        <v>67006</v>
      </c>
      <c r="AC189" s="320">
        <v>4.4250376589816585E-2</v>
      </c>
      <c r="AD189" s="319">
        <v>9061760.1249356084</v>
      </c>
      <c r="AE189" s="320">
        <v>5.1500586563236021E-2</v>
      </c>
      <c r="AF189" s="319">
        <v>6808124.915</v>
      </c>
      <c r="AG189" s="319"/>
      <c r="AH189" s="320"/>
      <c r="AI189" s="319"/>
      <c r="AJ189" s="320"/>
      <c r="AK189" s="319"/>
      <c r="AL189" s="319">
        <v>1514247</v>
      </c>
      <c r="AM189" s="320">
        <v>1</v>
      </c>
      <c r="AN189" s="319">
        <v>175954503.23286989</v>
      </c>
      <c r="AO189" s="320">
        <v>1.0000000000000002</v>
      </c>
      <c r="AP189" s="319">
        <v>132195094.645</v>
      </c>
    </row>
    <row r="190" spans="2:42" hidden="1" outlineLevel="1" x14ac:dyDescent="0.25">
      <c r="B190" s="318">
        <v>43497</v>
      </c>
      <c r="C190" s="319"/>
      <c r="D190" s="320"/>
      <c r="E190" s="319"/>
      <c r="F190" s="320"/>
      <c r="G190" s="319"/>
      <c r="H190" s="319"/>
      <c r="I190" s="320"/>
      <c r="J190" s="319"/>
      <c r="K190" s="320"/>
      <c r="L190" s="319"/>
      <c r="M190" s="319">
        <v>405530</v>
      </c>
      <c r="N190" s="320">
        <v>0.26675288078376791</v>
      </c>
      <c r="O190" s="319">
        <v>58337345.402706206</v>
      </c>
      <c r="P190" s="320">
        <v>0.33205456454160376</v>
      </c>
      <c r="Q190" s="319">
        <v>43849256.023000002</v>
      </c>
      <c r="R190" s="319">
        <v>182940</v>
      </c>
      <c r="S190" s="320">
        <v>0.12033578776066504</v>
      </c>
      <c r="T190" s="319">
        <v>26690953.580336008</v>
      </c>
      <c r="U190" s="320">
        <v>0.15192417322279281</v>
      </c>
      <c r="V190" s="319">
        <v>20062250.844000001</v>
      </c>
      <c r="W190" s="319">
        <v>864545</v>
      </c>
      <c r="X190" s="320">
        <v>0.5686875676699692</v>
      </c>
      <c r="Y190" s="319">
        <v>81577313.605818972</v>
      </c>
      <c r="Z190" s="320">
        <v>0.46433582397113116</v>
      </c>
      <c r="AA190" s="319">
        <v>61317574.278999999</v>
      </c>
      <c r="AB190" s="319">
        <v>67231</v>
      </c>
      <c r="AC190" s="320">
        <v>4.4223763785597857E-2</v>
      </c>
      <c r="AD190" s="319">
        <v>9080409.0240024384</v>
      </c>
      <c r="AE190" s="320">
        <v>5.1685438264472472E-2</v>
      </c>
      <c r="AF190" s="319">
        <v>6825287.9409999996</v>
      </c>
      <c r="AG190" s="319"/>
      <c r="AH190" s="320"/>
      <c r="AI190" s="319"/>
      <c r="AJ190" s="320"/>
      <c r="AK190" s="319"/>
      <c r="AL190" s="319">
        <v>1520246</v>
      </c>
      <c r="AM190" s="320">
        <v>1</v>
      </c>
      <c r="AN190" s="319">
        <v>175686021.6128636</v>
      </c>
      <c r="AO190" s="320">
        <v>1.0000000000000002</v>
      </c>
      <c r="AP190" s="319">
        <v>132054369.087</v>
      </c>
    </row>
    <row r="191" spans="2:42" hidden="1" outlineLevel="1" x14ac:dyDescent="0.25">
      <c r="B191" s="318">
        <v>43525</v>
      </c>
      <c r="C191" s="319"/>
      <c r="D191" s="320"/>
      <c r="E191" s="319"/>
      <c r="F191" s="320"/>
      <c r="G191" s="319"/>
      <c r="H191" s="319"/>
      <c r="I191" s="320"/>
      <c r="J191" s="319"/>
      <c r="K191" s="320"/>
      <c r="L191" s="319"/>
      <c r="M191" s="319">
        <v>406038</v>
      </c>
      <c r="N191" s="320">
        <v>0.26571237298861144</v>
      </c>
      <c r="O191" s="319">
        <v>58175785.960243009</v>
      </c>
      <c r="P191" s="320">
        <v>0.33060033547456974</v>
      </c>
      <c r="Q191" s="319">
        <v>43935210.077</v>
      </c>
      <c r="R191" s="319">
        <v>183105</v>
      </c>
      <c r="S191" s="320">
        <v>0.11982441066126741</v>
      </c>
      <c r="T191" s="319">
        <v>26567830.551997438</v>
      </c>
      <c r="U191" s="320">
        <v>0.15097920119763153</v>
      </c>
      <c r="V191" s="319">
        <v>20064416.789999999</v>
      </c>
      <c r="W191" s="319">
        <v>871259</v>
      </c>
      <c r="X191" s="320">
        <v>0.57015426235397826</v>
      </c>
      <c r="Y191" s="319">
        <v>82124071.7776732</v>
      </c>
      <c r="Z191" s="320">
        <v>0.46669323382739897</v>
      </c>
      <c r="AA191" s="319">
        <v>62021308.115999997</v>
      </c>
      <c r="AB191" s="319">
        <v>67709</v>
      </c>
      <c r="AC191" s="320">
        <v>4.4308953996142951E-2</v>
      </c>
      <c r="AD191" s="319">
        <v>9102447.6046337895</v>
      </c>
      <c r="AE191" s="320">
        <v>5.1727229500399763E-2</v>
      </c>
      <c r="AF191" s="319">
        <v>6874302.4460000005</v>
      </c>
      <c r="AG191" s="319"/>
      <c r="AH191" s="320"/>
      <c r="AI191" s="319"/>
      <c r="AJ191" s="320"/>
      <c r="AK191" s="319"/>
      <c r="AL191" s="319">
        <v>1528111</v>
      </c>
      <c r="AM191" s="320">
        <v>1</v>
      </c>
      <c r="AN191" s="319">
        <v>175970135.89454743</v>
      </c>
      <c r="AO191" s="320">
        <v>1</v>
      </c>
      <c r="AP191" s="319">
        <v>132895237.42899999</v>
      </c>
    </row>
    <row r="192" spans="2:42" hidden="1" outlineLevel="1" x14ac:dyDescent="0.25">
      <c r="B192" s="318">
        <v>43556</v>
      </c>
      <c r="C192" s="319"/>
      <c r="D192" s="320"/>
      <c r="E192" s="319"/>
      <c r="F192" s="320"/>
      <c r="G192" s="319"/>
      <c r="H192" s="319"/>
      <c r="I192" s="320"/>
      <c r="J192" s="319"/>
      <c r="K192" s="320"/>
      <c r="L192" s="319"/>
      <c r="M192" s="319">
        <v>406470</v>
      </c>
      <c r="N192" s="320">
        <v>0.26479561025723874</v>
      </c>
      <c r="O192" s="319">
        <v>58005374.928309657</v>
      </c>
      <c r="P192" s="320">
        <v>0.32959812906610336</v>
      </c>
      <c r="Q192" s="319">
        <v>43920676.696999997</v>
      </c>
      <c r="R192" s="319">
        <v>183115</v>
      </c>
      <c r="S192" s="320">
        <v>0.11929059505561118</v>
      </c>
      <c r="T192" s="319">
        <v>26446477.922062788</v>
      </c>
      <c r="U192" s="320">
        <v>0.15027417121728998</v>
      </c>
      <c r="V192" s="319">
        <v>20024820.252</v>
      </c>
      <c r="W192" s="319">
        <v>877406</v>
      </c>
      <c r="X192" s="320">
        <v>0.57158771179512102</v>
      </c>
      <c r="Y192" s="319">
        <v>82446353.355888397</v>
      </c>
      <c r="Z192" s="320">
        <v>0.46847665148288276</v>
      </c>
      <c r="AA192" s="319">
        <v>62426967.071000002</v>
      </c>
      <c r="AB192" s="319">
        <v>68042</v>
      </c>
      <c r="AC192" s="320">
        <v>4.432608289202903E-2</v>
      </c>
      <c r="AD192" s="319">
        <v>9089973.9835491404</v>
      </c>
      <c r="AE192" s="320">
        <v>5.1651048233723733E-2</v>
      </c>
      <c r="AF192" s="319">
        <v>6882772.6569999997</v>
      </c>
      <c r="AG192" s="319"/>
      <c r="AH192" s="320"/>
      <c r="AI192" s="319"/>
      <c r="AJ192" s="320"/>
      <c r="AK192" s="319"/>
      <c r="AL192" s="319">
        <v>1535033</v>
      </c>
      <c r="AM192" s="320">
        <v>0.99999999999999989</v>
      </c>
      <c r="AN192" s="319">
        <v>175988180.18981001</v>
      </c>
      <c r="AO192" s="320">
        <v>0.99999999999999978</v>
      </c>
      <c r="AP192" s="319">
        <v>133255236.67700002</v>
      </c>
    </row>
    <row r="193" spans="2:42" hidden="1" outlineLevel="1" x14ac:dyDescent="0.25">
      <c r="B193" s="318">
        <v>43586</v>
      </c>
      <c r="C193" s="319"/>
      <c r="D193" s="320"/>
      <c r="E193" s="319"/>
      <c r="F193" s="320"/>
      <c r="G193" s="319"/>
      <c r="H193" s="319"/>
      <c r="I193" s="320"/>
      <c r="J193" s="319"/>
      <c r="K193" s="320"/>
      <c r="L193" s="319"/>
      <c r="M193" s="319">
        <v>406993</v>
      </c>
      <c r="N193" s="320">
        <v>0.26389047384391939</v>
      </c>
      <c r="O193" s="319">
        <v>57747229.548310004</v>
      </c>
      <c r="P193" s="320">
        <v>0.32873382655854316</v>
      </c>
      <c r="Q193" s="319">
        <v>43989505.774999999</v>
      </c>
      <c r="R193" s="319">
        <v>183188</v>
      </c>
      <c r="S193" s="320">
        <v>0.11877739450683404</v>
      </c>
      <c r="T193" s="319">
        <v>26322967.928719725</v>
      </c>
      <c r="U193" s="320">
        <v>0.14984701502167708</v>
      </c>
      <c r="V193" s="319">
        <v>20051773.197999999</v>
      </c>
      <c r="W193" s="319">
        <v>883647</v>
      </c>
      <c r="X193" s="320">
        <v>0.57294849184324503</v>
      </c>
      <c r="Y193" s="319">
        <v>82507996.195783764</v>
      </c>
      <c r="Z193" s="320">
        <v>0.46968780187847969</v>
      </c>
      <c r="AA193" s="319">
        <v>62851257.169</v>
      </c>
      <c r="AB193" s="319">
        <v>68452</v>
      </c>
      <c r="AC193" s="320">
        <v>4.4383639806001504E-2</v>
      </c>
      <c r="AD193" s="319">
        <v>9087420.5198470168</v>
      </c>
      <c r="AE193" s="320">
        <v>5.1731356541300275E-2</v>
      </c>
      <c r="AF193" s="319">
        <v>6922429.7089999998</v>
      </c>
      <c r="AG193" s="319"/>
      <c r="AH193" s="320"/>
      <c r="AI193" s="319"/>
      <c r="AJ193" s="320"/>
      <c r="AK193" s="319"/>
      <c r="AL193" s="319">
        <v>1542280</v>
      </c>
      <c r="AM193" s="320">
        <v>0.99999999999999989</v>
      </c>
      <c r="AN193" s="319">
        <v>175665614.19266048</v>
      </c>
      <c r="AO193" s="320">
        <v>1.0000000000000002</v>
      </c>
      <c r="AP193" s="319">
        <v>133814965.851</v>
      </c>
    </row>
    <row r="194" spans="2:42" hidden="1" outlineLevel="1" x14ac:dyDescent="0.25">
      <c r="B194" s="318">
        <v>43617</v>
      </c>
      <c r="C194" s="319"/>
      <c r="D194" s="320"/>
      <c r="E194" s="319"/>
      <c r="F194" s="320"/>
      <c r="G194" s="319"/>
      <c r="H194" s="319"/>
      <c r="I194" s="320"/>
      <c r="J194" s="319"/>
      <c r="K194" s="320"/>
      <c r="L194" s="319"/>
      <c r="M194" s="319">
        <v>406862</v>
      </c>
      <c r="N194" s="320">
        <v>0.2630198585934202</v>
      </c>
      <c r="O194" s="319">
        <v>57667418.471309446</v>
      </c>
      <c r="P194" s="320">
        <v>0.32756836601443395</v>
      </c>
      <c r="Q194" s="319">
        <v>43950137.347999997</v>
      </c>
      <c r="R194" s="319">
        <v>183151</v>
      </c>
      <c r="S194" s="320">
        <v>0.11839972796978707</v>
      </c>
      <c r="T194" s="319">
        <v>26293374.995639063</v>
      </c>
      <c r="U194" s="320">
        <v>0.14935431674666208</v>
      </c>
      <c r="V194" s="319">
        <v>20039000.756999999</v>
      </c>
      <c r="W194" s="319">
        <v>888301</v>
      </c>
      <c r="X194" s="320">
        <v>0.57425073712559482</v>
      </c>
      <c r="Y194" s="319">
        <v>83014835.042097852</v>
      </c>
      <c r="Z194" s="320">
        <v>0.47154935300644296</v>
      </c>
      <c r="AA194" s="319">
        <v>63268193.700000003</v>
      </c>
      <c r="AB194" s="319">
        <v>68573</v>
      </c>
      <c r="AC194" s="320">
        <v>4.4329676311197906E-2</v>
      </c>
      <c r="AD194" s="319">
        <v>9071341.9996027723</v>
      </c>
      <c r="AE194" s="320">
        <v>5.15279642324609E-2</v>
      </c>
      <c r="AF194" s="319">
        <v>6913552.5290000001</v>
      </c>
      <c r="AG194" s="319"/>
      <c r="AH194" s="320"/>
      <c r="AI194" s="319"/>
      <c r="AJ194" s="320"/>
      <c r="AK194" s="319"/>
      <c r="AL194" s="319">
        <v>1546887</v>
      </c>
      <c r="AM194" s="320">
        <v>1</v>
      </c>
      <c r="AN194" s="319">
        <v>176046970.50864914</v>
      </c>
      <c r="AO194" s="320">
        <v>0.99999999999999989</v>
      </c>
      <c r="AP194" s="319">
        <v>134170884.33400001</v>
      </c>
    </row>
    <row r="195" spans="2:42" hidden="1" outlineLevel="1" x14ac:dyDescent="0.25">
      <c r="B195" s="318">
        <v>43647</v>
      </c>
      <c r="C195" s="319"/>
      <c r="D195" s="320"/>
      <c r="E195" s="319"/>
      <c r="F195" s="320"/>
      <c r="G195" s="319"/>
      <c r="H195" s="319"/>
      <c r="I195" s="320"/>
      <c r="J195" s="319"/>
      <c r="K195" s="320"/>
      <c r="L195" s="319"/>
      <c r="M195" s="319">
        <v>407080</v>
      </c>
      <c r="N195" s="320">
        <v>0.26146863827945055</v>
      </c>
      <c r="O195" s="319">
        <v>59140621.452809602</v>
      </c>
      <c r="P195" s="320">
        <v>0.32487821502891195</v>
      </c>
      <c r="Q195" s="319">
        <v>45173691.493000001</v>
      </c>
      <c r="R195" s="319">
        <v>183153</v>
      </c>
      <c r="S195" s="320">
        <v>0.11763969123218092</v>
      </c>
      <c r="T195" s="319">
        <v>26896869.101321869</v>
      </c>
      <c r="U195" s="320">
        <v>0.14775304365843142</v>
      </c>
      <c r="V195" s="319">
        <v>20544776.789000001</v>
      </c>
      <c r="W195" s="319">
        <v>897298</v>
      </c>
      <c r="X195" s="320">
        <v>0.57633704969753963</v>
      </c>
      <c r="Y195" s="319">
        <v>86669519.126671016</v>
      </c>
      <c r="Z195" s="320">
        <v>0.47610319235070131</v>
      </c>
      <c r="AA195" s="319">
        <v>66201233.986000001</v>
      </c>
      <c r="AB195" s="319">
        <v>69367</v>
      </c>
      <c r="AC195" s="320">
        <v>4.455462079082894E-2</v>
      </c>
      <c r="AD195" s="319">
        <v>9332347.5828000866</v>
      </c>
      <c r="AE195" s="320">
        <v>5.1265548961955273E-2</v>
      </c>
      <c r="AF195" s="319">
        <v>7128376.068</v>
      </c>
      <c r="AG195" s="319"/>
      <c r="AH195" s="320"/>
      <c r="AI195" s="319"/>
      <c r="AJ195" s="320"/>
      <c r="AK195" s="319"/>
      <c r="AL195" s="319">
        <v>1556898</v>
      </c>
      <c r="AM195" s="320">
        <v>1</v>
      </c>
      <c r="AN195" s="319">
        <v>182039357.26360258</v>
      </c>
      <c r="AO195" s="320">
        <v>0.99999999999999989</v>
      </c>
      <c r="AP195" s="319">
        <v>139048078.336</v>
      </c>
    </row>
    <row r="196" spans="2:42" hidden="1" outlineLevel="1" x14ac:dyDescent="0.25">
      <c r="B196" s="318">
        <v>43678</v>
      </c>
      <c r="C196" s="319"/>
      <c r="D196" s="320"/>
      <c r="E196" s="319"/>
      <c r="F196" s="320"/>
      <c r="G196" s="319"/>
      <c r="H196" s="319"/>
      <c r="I196" s="320"/>
      <c r="J196" s="319"/>
      <c r="K196" s="320"/>
      <c r="L196" s="319"/>
      <c r="M196" s="319">
        <v>406828</v>
      </c>
      <c r="N196" s="320">
        <v>0.26131248458439532</v>
      </c>
      <c r="O196" s="319">
        <v>58959236.223238476</v>
      </c>
      <c r="P196" s="320">
        <v>0.32440783689136204</v>
      </c>
      <c r="Q196" s="319">
        <v>45119452.409000002</v>
      </c>
      <c r="R196" s="319">
        <v>182738</v>
      </c>
      <c r="S196" s="320">
        <v>0.11737569884074653</v>
      </c>
      <c r="T196" s="319">
        <v>26740409.484896488</v>
      </c>
      <c r="U196" s="320">
        <v>0.14713213661281119</v>
      </c>
      <c r="V196" s="319">
        <v>20463505.134</v>
      </c>
      <c r="W196" s="319">
        <v>898613</v>
      </c>
      <c r="X196" s="320">
        <v>0.57719428286606922</v>
      </c>
      <c r="Y196" s="319">
        <v>86790422.902612463</v>
      </c>
      <c r="Z196" s="320">
        <v>0.47754169084072523</v>
      </c>
      <c r="AA196" s="319">
        <v>66417691.384000003</v>
      </c>
      <c r="AB196" s="319">
        <v>68685</v>
      </c>
      <c r="AC196" s="320">
        <v>4.4117533708788952E-2</v>
      </c>
      <c r="AD196" s="319">
        <v>9254111.1483340189</v>
      </c>
      <c r="AE196" s="320">
        <v>5.0918335655101531E-2</v>
      </c>
      <c r="AF196" s="319">
        <v>7081849.3300000001</v>
      </c>
      <c r="AG196" s="319"/>
      <c r="AH196" s="320"/>
      <c r="AI196" s="319"/>
      <c r="AJ196" s="320"/>
      <c r="AK196" s="319"/>
      <c r="AL196" s="319">
        <v>1556864</v>
      </c>
      <c r="AM196" s="320">
        <v>1</v>
      </c>
      <c r="AN196" s="319">
        <v>181744179.75908145</v>
      </c>
      <c r="AO196" s="320">
        <v>1</v>
      </c>
      <c r="AP196" s="319">
        <v>139082498.257</v>
      </c>
    </row>
    <row r="197" spans="2:42" hidden="1" outlineLevel="1" x14ac:dyDescent="0.25">
      <c r="B197" s="318">
        <v>43709</v>
      </c>
      <c r="C197" s="319"/>
      <c r="D197" s="320"/>
      <c r="E197" s="319"/>
      <c r="F197" s="320"/>
      <c r="G197" s="319"/>
      <c r="H197" s="319"/>
      <c r="I197" s="320"/>
      <c r="J197" s="319"/>
      <c r="K197" s="320"/>
      <c r="L197" s="319"/>
      <c r="M197" s="319">
        <v>406809</v>
      </c>
      <c r="N197" s="320">
        <v>0.26013733003202405</v>
      </c>
      <c r="O197" s="319">
        <v>58995354.921463653</v>
      </c>
      <c r="P197" s="320">
        <v>0.3223902275888747</v>
      </c>
      <c r="Q197" s="319">
        <v>45152557.960000001</v>
      </c>
      <c r="R197" s="319">
        <v>182386</v>
      </c>
      <c r="S197" s="320">
        <v>0.11662821391665558</v>
      </c>
      <c r="T197" s="319">
        <v>26751571.439886045</v>
      </c>
      <c r="U197" s="320">
        <v>0.14618854681603352</v>
      </c>
      <c r="V197" s="319">
        <v>20474525.182</v>
      </c>
      <c r="W197" s="319">
        <v>905524</v>
      </c>
      <c r="X197" s="320">
        <v>0.57904470068242975</v>
      </c>
      <c r="Y197" s="319">
        <v>87839749.789650574</v>
      </c>
      <c r="Z197" s="320">
        <v>0.48001536669681727</v>
      </c>
      <c r="AA197" s="319">
        <v>67228841.980000004</v>
      </c>
      <c r="AB197" s="319">
        <v>69105</v>
      </c>
      <c r="AC197" s="320">
        <v>4.4189755368890617E-2</v>
      </c>
      <c r="AD197" s="319">
        <v>9406944.2285137065</v>
      </c>
      <c r="AE197" s="320">
        <v>5.1405858898274509E-2</v>
      </c>
      <c r="AF197" s="319">
        <v>7199678.6030000001</v>
      </c>
      <c r="AG197" s="319"/>
      <c r="AH197" s="320"/>
      <c r="AI197" s="319"/>
      <c r="AJ197" s="320"/>
      <c r="AK197" s="319"/>
      <c r="AL197" s="319">
        <v>1563824</v>
      </c>
      <c r="AM197" s="320">
        <v>1</v>
      </c>
      <c r="AN197" s="319">
        <v>182993620.37951398</v>
      </c>
      <c r="AO197" s="320">
        <v>1</v>
      </c>
      <c r="AP197" s="319">
        <v>140055603.72500002</v>
      </c>
    </row>
    <row r="198" spans="2:42" hidden="1" outlineLevel="1" x14ac:dyDescent="0.25">
      <c r="B198" s="318">
        <v>43739</v>
      </c>
      <c r="C198" s="319"/>
      <c r="D198" s="320"/>
      <c r="E198" s="319"/>
      <c r="F198" s="320"/>
      <c r="G198" s="319"/>
      <c r="H198" s="319"/>
      <c r="I198" s="320"/>
      <c r="J198" s="319"/>
      <c r="K198" s="320"/>
      <c r="L198" s="319"/>
      <c r="M198" s="319">
        <v>406611</v>
      </c>
      <c r="N198" s="320">
        <v>0.25908856307227651</v>
      </c>
      <c r="O198" s="319">
        <v>58496991.090412483</v>
      </c>
      <c r="P198" s="320">
        <v>0.32148327168663382</v>
      </c>
      <c r="Q198" s="319">
        <v>45134308.623000003</v>
      </c>
      <c r="R198" s="319">
        <v>182277</v>
      </c>
      <c r="S198" s="320">
        <v>0.1161451264504043</v>
      </c>
      <c r="T198" s="319">
        <v>26605155.475648459</v>
      </c>
      <c r="U198" s="320">
        <v>0.14621457046950337</v>
      </c>
      <c r="V198" s="319">
        <v>20527642.120000001</v>
      </c>
      <c r="W198" s="319">
        <v>911097</v>
      </c>
      <c r="X198" s="320">
        <v>0.58054212146120465</v>
      </c>
      <c r="Y198" s="319">
        <v>87595163.489999786</v>
      </c>
      <c r="Z198" s="320">
        <v>0.48139877312948026</v>
      </c>
      <c r="AA198" s="319">
        <v>67585478.657000005</v>
      </c>
      <c r="AB198" s="319">
        <v>69405</v>
      </c>
      <c r="AC198" s="320">
        <v>4.4224189016114544E-2</v>
      </c>
      <c r="AD198" s="319">
        <v>9262363.2529520448</v>
      </c>
      <c r="AE198" s="320">
        <v>5.0903384714382556E-2</v>
      </c>
      <c r="AF198" s="319">
        <v>7146527.6050000004</v>
      </c>
      <c r="AG198" s="319"/>
      <c r="AH198" s="320"/>
      <c r="AI198" s="319"/>
      <c r="AJ198" s="320"/>
      <c r="AK198" s="319"/>
      <c r="AL198" s="319">
        <v>1569390</v>
      </c>
      <c r="AM198" s="320">
        <v>1</v>
      </c>
      <c r="AN198" s="319">
        <v>181959673.30901277</v>
      </c>
      <c r="AO198" s="320">
        <v>1</v>
      </c>
      <c r="AP198" s="319">
        <v>140393957.005</v>
      </c>
    </row>
    <row r="199" spans="2:42" hidden="1" outlineLevel="1" x14ac:dyDescent="0.25">
      <c r="B199" s="318">
        <v>43770</v>
      </c>
      <c r="C199" s="319"/>
      <c r="D199" s="320"/>
      <c r="E199" s="319"/>
      <c r="F199" s="320"/>
      <c r="G199" s="319"/>
      <c r="H199" s="319"/>
      <c r="I199" s="320"/>
      <c r="J199" s="319"/>
      <c r="K199" s="320"/>
      <c r="L199" s="319"/>
      <c r="M199" s="319">
        <v>407082</v>
      </c>
      <c r="N199" s="320">
        <v>0.25870359048925168</v>
      </c>
      <c r="O199" s="319">
        <v>58513115.202376552</v>
      </c>
      <c r="P199" s="320">
        <v>0.3209827704344444</v>
      </c>
      <c r="Q199" s="319">
        <v>45185052.594999999</v>
      </c>
      <c r="R199" s="319">
        <v>182107</v>
      </c>
      <c r="S199" s="320">
        <v>0.11573033136622635</v>
      </c>
      <c r="T199" s="319">
        <v>26582862.519882027</v>
      </c>
      <c r="U199" s="320">
        <v>0.14582441608515023</v>
      </c>
      <c r="V199" s="319">
        <v>20527842.978999998</v>
      </c>
      <c r="W199" s="319">
        <v>915536</v>
      </c>
      <c r="X199" s="320">
        <v>0.58182982893413981</v>
      </c>
      <c r="Y199" s="319">
        <v>88010091.879018202</v>
      </c>
      <c r="Z199" s="320">
        <v>0.48279301178567013</v>
      </c>
      <c r="AA199" s="319">
        <v>67963235.535999998</v>
      </c>
      <c r="AB199" s="319">
        <v>68821</v>
      </c>
      <c r="AC199" s="320">
        <v>4.3736249210382154E-2</v>
      </c>
      <c r="AD199" s="319">
        <v>9187562.9297781102</v>
      </c>
      <c r="AE199" s="320">
        <v>5.0399801694735277E-2</v>
      </c>
      <c r="AF199" s="319">
        <v>7094828.4460000005</v>
      </c>
      <c r="AG199" s="319"/>
      <c r="AH199" s="320"/>
      <c r="AI199" s="319"/>
      <c r="AJ199" s="320"/>
      <c r="AK199" s="319"/>
      <c r="AL199" s="319">
        <v>1573546</v>
      </c>
      <c r="AM199" s="320">
        <v>1</v>
      </c>
      <c r="AN199" s="319">
        <v>182293632.53105488</v>
      </c>
      <c r="AO199" s="320">
        <v>1</v>
      </c>
      <c r="AP199" s="319">
        <v>140770959.55599999</v>
      </c>
    </row>
    <row r="200" spans="2:42" hidden="1" outlineLevel="1" x14ac:dyDescent="0.25">
      <c r="B200" s="318">
        <v>43800</v>
      </c>
      <c r="C200" s="319"/>
      <c r="D200" s="320"/>
      <c r="E200" s="319"/>
      <c r="F200" s="320"/>
      <c r="G200" s="319"/>
      <c r="H200" s="319"/>
      <c r="I200" s="320"/>
      <c r="J200" s="319"/>
      <c r="K200" s="320"/>
      <c r="L200" s="319"/>
      <c r="M200" s="319">
        <v>407066</v>
      </c>
      <c r="N200" s="320">
        <v>0.25904934758149506</v>
      </c>
      <c r="O200" s="319">
        <v>75437642.158387139</v>
      </c>
      <c r="P200" s="320">
        <v>0.30351466915028957</v>
      </c>
      <c r="Q200" s="319">
        <v>58312359.814000003</v>
      </c>
      <c r="R200" s="319">
        <v>181957</v>
      </c>
      <c r="S200" s="320">
        <v>0.11579410252363521</v>
      </c>
      <c r="T200" s="319">
        <v>32565292.511958752</v>
      </c>
      <c r="U200" s="320">
        <v>0.13102270563808519</v>
      </c>
      <c r="V200" s="319">
        <v>25172566.375</v>
      </c>
      <c r="W200" s="319">
        <v>914029</v>
      </c>
      <c r="X200" s="320">
        <v>0.58167131649552239</v>
      </c>
      <c r="Y200" s="319">
        <v>129057551.40082644</v>
      </c>
      <c r="Z200" s="320">
        <v>0.51924820148177597</v>
      </c>
      <c r="AA200" s="319">
        <v>99759883.245000005</v>
      </c>
      <c r="AB200" s="319">
        <v>68332</v>
      </c>
      <c r="AC200" s="320">
        <v>4.3485233399347324E-2</v>
      </c>
      <c r="AD200" s="319">
        <v>11486453.586077407</v>
      </c>
      <c r="AE200" s="320">
        <v>4.6214423729849227E-2</v>
      </c>
      <c r="AF200" s="319">
        <v>8878885.8629999999</v>
      </c>
      <c r="AG200" s="319"/>
      <c r="AH200" s="320"/>
      <c r="AI200" s="319"/>
      <c r="AJ200" s="320"/>
      <c r="AK200" s="319"/>
      <c r="AL200" s="319">
        <v>1571384</v>
      </c>
      <c r="AM200" s="320">
        <v>0.99999999999999989</v>
      </c>
      <c r="AN200" s="319">
        <v>248546939.65724975</v>
      </c>
      <c r="AO200" s="320">
        <v>0.99999999999999989</v>
      </c>
      <c r="AP200" s="319">
        <v>192123695.29700002</v>
      </c>
    </row>
    <row r="201" spans="2:42" collapsed="1" x14ac:dyDescent="0.25">
      <c r="B201" s="321" t="s">
        <v>701</v>
      </c>
      <c r="C201" s="322"/>
      <c r="D201" s="311"/>
      <c r="E201" s="322"/>
      <c r="F201" s="311"/>
      <c r="G201" s="322"/>
      <c r="H201" s="322"/>
      <c r="I201" s="311"/>
      <c r="J201" s="322"/>
      <c r="K201" s="311"/>
      <c r="L201" s="322"/>
      <c r="M201" s="322">
        <v>406526.75</v>
      </c>
      <c r="N201" s="311">
        <v>0.26257587313650943</v>
      </c>
      <c r="O201" s="322">
        <v>59819411.46775797</v>
      </c>
      <c r="P201" s="311">
        <v>0.32409434205743742</v>
      </c>
      <c r="Q201" s="322"/>
      <c r="R201" s="322">
        <v>182749.58333333334</v>
      </c>
      <c r="S201" s="311">
        <v>0.1180380661520633</v>
      </c>
      <c r="T201" s="322">
        <v>27096293.382598344</v>
      </c>
      <c r="U201" s="311">
        <v>0.14680444291501898</v>
      </c>
      <c r="V201" s="322"/>
      <c r="W201" s="322">
        <v>890555.5</v>
      </c>
      <c r="X201" s="311">
        <v>0.5752103348402553</v>
      </c>
      <c r="Y201" s="322">
        <v>88289769.528467849</v>
      </c>
      <c r="Z201" s="311">
        <v>0.47834330134047431</v>
      </c>
      <c r="AA201" s="322"/>
      <c r="AB201" s="322">
        <v>68394</v>
      </c>
      <c r="AC201" s="311">
        <v>4.4175725871171891E-2</v>
      </c>
      <c r="AD201" s="322">
        <v>9368594.6654188447</v>
      </c>
      <c r="AE201" s="311">
        <v>5.0757913687069237E-2</v>
      </c>
      <c r="AF201" s="322"/>
      <c r="AG201" s="322"/>
      <c r="AH201" s="311"/>
      <c r="AI201" s="322"/>
      <c r="AJ201" s="311"/>
      <c r="AK201" s="322"/>
      <c r="AL201" s="322">
        <v>1548225.8333333335</v>
      </c>
      <c r="AM201" s="311">
        <v>1</v>
      </c>
      <c r="AN201" s="322">
        <v>184574069.04424301</v>
      </c>
      <c r="AO201" s="311">
        <v>1</v>
      </c>
      <c r="AP201" s="322"/>
    </row>
    <row r="202" spans="2:42" hidden="1" outlineLevel="1" x14ac:dyDescent="0.25">
      <c r="B202" s="318">
        <v>43831</v>
      </c>
      <c r="C202" s="319"/>
      <c r="D202" s="320"/>
      <c r="E202" s="319"/>
      <c r="F202" s="320"/>
      <c r="G202" s="319"/>
      <c r="H202" s="319"/>
      <c r="I202" s="320"/>
      <c r="J202" s="319"/>
      <c r="K202" s="320"/>
      <c r="L202" s="319"/>
      <c r="M202" s="319">
        <v>407818</v>
      </c>
      <c r="N202" s="320">
        <v>0.25605353404834286</v>
      </c>
      <c r="O202" s="319">
        <v>78922283.633776411</v>
      </c>
      <c r="P202" s="320">
        <v>0.30799613003643972</v>
      </c>
      <c r="Q202" s="319">
        <v>61351356.659999996</v>
      </c>
      <c r="R202" s="319">
        <v>182081</v>
      </c>
      <c r="S202" s="320">
        <v>0.11432178945769024</v>
      </c>
      <c r="T202" s="319">
        <v>33560529.044716425</v>
      </c>
      <c r="U202" s="320">
        <v>0.13097078026419992</v>
      </c>
      <c r="V202" s="319">
        <v>26088753.294</v>
      </c>
      <c r="W202" s="319">
        <v>933220</v>
      </c>
      <c r="X202" s="320">
        <v>0.58593362491257017</v>
      </c>
      <c r="Y202" s="319">
        <v>132057775.01710087</v>
      </c>
      <c r="Z202" s="320">
        <v>0.51535867658399759</v>
      </c>
      <c r="AA202" s="319">
        <v>102656984.59</v>
      </c>
      <c r="AB202" s="319">
        <v>69587</v>
      </c>
      <c r="AC202" s="320">
        <v>4.3691051581396689E-2</v>
      </c>
      <c r="AD202" s="319">
        <v>11703812.597484443</v>
      </c>
      <c r="AE202" s="320">
        <v>4.56744131153628E-2</v>
      </c>
      <c r="AF202" s="319">
        <v>9098124.7359999996</v>
      </c>
      <c r="AG202" s="319"/>
      <c r="AH202" s="320"/>
      <c r="AI202" s="319"/>
      <c r="AJ202" s="320"/>
      <c r="AK202" s="319"/>
      <c r="AL202" s="319">
        <v>1592706</v>
      </c>
      <c r="AM202" s="320">
        <v>1</v>
      </c>
      <c r="AN202" s="319">
        <v>256244400.29307815</v>
      </c>
      <c r="AO202" s="320">
        <v>1</v>
      </c>
      <c r="AP202" s="319">
        <v>199195219.28</v>
      </c>
    </row>
    <row r="203" spans="2:42" hidden="1" outlineLevel="1" x14ac:dyDescent="0.25">
      <c r="B203" s="318">
        <v>43862</v>
      </c>
      <c r="C203" s="319"/>
      <c r="D203" s="320"/>
      <c r="E203" s="319"/>
      <c r="F203" s="320"/>
      <c r="G203" s="319"/>
      <c r="H203" s="319"/>
      <c r="I203" s="320"/>
      <c r="J203" s="319"/>
      <c r="K203" s="320"/>
      <c r="L203" s="319"/>
      <c r="M203" s="319">
        <v>409007</v>
      </c>
      <c r="N203" s="320">
        <v>0.25456148955133218</v>
      </c>
      <c r="O203" s="319">
        <v>76497370.914965495</v>
      </c>
      <c r="P203" s="320">
        <v>0.3051950051048265</v>
      </c>
      <c r="Q203" s="319">
        <v>59732945.196999997</v>
      </c>
      <c r="R203" s="319">
        <v>182190</v>
      </c>
      <c r="S203" s="320">
        <v>0.11339306608776184</v>
      </c>
      <c r="T203" s="319">
        <v>32124194.606860857</v>
      </c>
      <c r="U203" s="320">
        <v>0.12816314625933523</v>
      </c>
      <c r="V203" s="319">
        <v>25084166.07</v>
      </c>
      <c r="W203" s="319">
        <v>945855</v>
      </c>
      <c r="X203" s="320">
        <v>0.58868982120006574</v>
      </c>
      <c r="Y203" s="319">
        <v>130512548.48105425</v>
      </c>
      <c r="Z203" s="320">
        <v>0.520694730073747</v>
      </c>
      <c r="AA203" s="319">
        <v>101910677.618</v>
      </c>
      <c r="AB203" s="319">
        <v>69659</v>
      </c>
      <c r="AC203" s="320">
        <v>4.3355000771762457E-2</v>
      </c>
      <c r="AD203" s="319">
        <v>11516661.778922426</v>
      </c>
      <c r="AE203" s="320">
        <v>4.5947038550068257E-2</v>
      </c>
      <c r="AF203" s="319">
        <v>8992781.3029999994</v>
      </c>
      <c r="AG203" s="319">
        <v>1</v>
      </c>
      <c r="AH203" s="320">
        <v>6.2238907781855119E-7</v>
      </c>
      <c r="AI203" s="319">
        <v>20.055077220410105</v>
      </c>
      <c r="AJ203" s="320">
        <v>8.0012022915984052E-8</v>
      </c>
      <c r="AK203" s="319">
        <v>15.66</v>
      </c>
      <c r="AL203" s="319">
        <v>1606712</v>
      </c>
      <c r="AM203" s="320">
        <v>1</v>
      </c>
      <c r="AN203" s="319">
        <v>250650795.83688027</v>
      </c>
      <c r="AO203" s="320">
        <v>0.99999999999999989</v>
      </c>
      <c r="AP203" s="319">
        <v>195720585.84799999</v>
      </c>
    </row>
    <row r="204" spans="2:42" hidden="1" outlineLevel="1" x14ac:dyDescent="0.25">
      <c r="B204" s="318">
        <v>43891</v>
      </c>
      <c r="C204" s="319"/>
      <c r="D204" s="320"/>
      <c r="E204" s="319"/>
      <c r="F204" s="320"/>
      <c r="G204" s="319"/>
      <c r="H204" s="319"/>
      <c r="I204" s="320"/>
      <c r="J204" s="319"/>
      <c r="K204" s="320"/>
      <c r="L204" s="319"/>
      <c r="M204" s="319">
        <v>409402</v>
      </c>
      <c r="N204" s="320">
        <v>0.25176291600789846</v>
      </c>
      <c r="O204" s="319">
        <v>76322315.356525064</v>
      </c>
      <c r="P204" s="320">
        <v>0.30284486375512759</v>
      </c>
      <c r="Q204" s="319">
        <v>59793272.899999999</v>
      </c>
      <c r="R204" s="319">
        <v>182484</v>
      </c>
      <c r="S204" s="320">
        <v>0.11221905111549367</v>
      </c>
      <c r="T204" s="319">
        <v>32069755.526293311</v>
      </c>
      <c r="U204" s="320">
        <v>0.12725191443226075</v>
      </c>
      <c r="V204" s="319">
        <v>25124442.767000001</v>
      </c>
      <c r="W204" s="319">
        <v>963962</v>
      </c>
      <c r="X204" s="320">
        <v>0.59279115402661886</v>
      </c>
      <c r="Y204" s="319">
        <v>132093464.23627964</v>
      </c>
      <c r="Z204" s="320">
        <v>0.52414325997198485</v>
      </c>
      <c r="AA204" s="319">
        <v>103486123.53399999</v>
      </c>
      <c r="AB204" s="319">
        <v>70292</v>
      </c>
      <c r="AC204" s="320">
        <v>4.3226263897165128E-2</v>
      </c>
      <c r="AD204" s="319">
        <v>11532308.639494102</v>
      </c>
      <c r="AE204" s="320">
        <v>4.5759885852455155E-2</v>
      </c>
      <c r="AF204" s="319">
        <v>9034768.8540000003</v>
      </c>
      <c r="AG204" s="319">
        <v>1</v>
      </c>
      <c r="AH204" s="320">
        <v>6.1495282389411496E-7</v>
      </c>
      <c r="AI204" s="319">
        <v>19.150376652052202</v>
      </c>
      <c r="AJ204" s="320">
        <v>7.5988171754989851E-8</v>
      </c>
      <c r="AK204" s="319">
        <v>15.003</v>
      </c>
      <c r="AL204" s="319">
        <v>1626141</v>
      </c>
      <c r="AM204" s="320">
        <v>1</v>
      </c>
      <c r="AN204" s="319">
        <v>252017862.90896875</v>
      </c>
      <c r="AO204" s="320">
        <v>1.0000000000000002</v>
      </c>
      <c r="AP204" s="319">
        <v>197438623.05799997</v>
      </c>
    </row>
    <row r="205" spans="2:42" hidden="1" outlineLevel="1" x14ac:dyDescent="0.25">
      <c r="B205" s="318">
        <v>43922</v>
      </c>
      <c r="C205" s="319"/>
      <c r="D205" s="320"/>
      <c r="E205" s="319"/>
      <c r="F205" s="320"/>
      <c r="G205" s="319"/>
      <c r="H205" s="319"/>
      <c r="I205" s="320"/>
      <c r="J205" s="319"/>
      <c r="K205" s="320"/>
      <c r="L205" s="319"/>
      <c r="M205" s="319">
        <v>409488</v>
      </c>
      <c r="N205" s="320">
        <v>0.24914727682260071</v>
      </c>
      <c r="O205" s="319">
        <v>76378916.982964396</v>
      </c>
      <c r="P205" s="320">
        <v>0.30091142109817437</v>
      </c>
      <c r="Q205" s="319">
        <v>59813276.497000001</v>
      </c>
      <c r="R205" s="319">
        <v>182549</v>
      </c>
      <c r="S205" s="320">
        <v>0.11106939943707493</v>
      </c>
      <c r="T205" s="319">
        <v>32098773.576202814</v>
      </c>
      <c r="U205" s="320">
        <v>0.12646012739979073</v>
      </c>
      <c r="V205" s="319">
        <v>25136947.405999999</v>
      </c>
      <c r="W205" s="319">
        <v>980826</v>
      </c>
      <c r="X205" s="320">
        <v>0.59676993449577076</v>
      </c>
      <c r="Y205" s="319">
        <v>133793823.2787116</v>
      </c>
      <c r="Z205" s="320">
        <v>0.52710998122603325</v>
      </c>
      <c r="AA205" s="319">
        <v>104775601.193</v>
      </c>
      <c r="AB205" s="319">
        <v>70693</v>
      </c>
      <c r="AC205" s="320">
        <v>4.3012172372377491E-2</v>
      </c>
      <c r="AD205" s="319">
        <v>11553542.384542855</v>
      </c>
      <c r="AE205" s="320">
        <v>4.5517702986364705E-2</v>
      </c>
      <c r="AF205" s="319">
        <v>9047722.2310000006</v>
      </c>
      <c r="AG205" s="319">
        <v>2</v>
      </c>
      <c r="AH205" s="320">
        <v>1.2168721760960063E-6</v>
      </c>
      <c r="AI205" s="319">
        <v>194.7574846877859</v>
      </c>
      <c r="AJ205" s="320">
        <v>7.6728963700779931E-7</v>
      </c>
      <c r="AK205" s="319">
        <v>152.517</v>
      </c>
      <c r="AL205" s="319">
        <v>1643558</v>
      </c>
      <c r="AM205" s="320">
        <v>1</v>
      </c>
      <c r="AN205" s="319">
        <v>253825250.97990635</v>
      </c>
      <c r="AO205" s="320">
        <v>1</v>
      </c>
      <c r="AP205" s="319">
        <v>198773699.84400001</v>
      </c>
    </row>
    <row r="206" spans="2:42" hidden="1" outlineLevel="1" x14ac:dyDescent="0.25">
      <c r="B206" s="318">
        <v>43952</v>
      </c>
      <c r="C206" s="319"/>
      <c r="D206" s="320"/>
      <c r="E206" s="319"/>
      <c r="F206" s="320"/>
      <c r="G206" s="319"/>
      <c r="H206" s="319"/>
      <c r="I206" s="320"/>
      <c r="J206" s="319"/>
      <c r="K206" s="320"/>
      <c r="L206" s="319"/>
      <c r="M206" s="319">
        <v>409485</v>
      </c>
      <c r="N206" s="320">
        <v>0.24864017079381964</v>
      </c>
      <c r="O206" s="319">
        <v>76436522.055525586</v>
      </c>
      <c r="P206" s="320">
        <v>0.30037030197778125</v>
      </c>
      <c r="Q206" s="319">
        <v>59828618.972000003</v>
      </c>
      <c r="R206" s="319">
        <v>182513</v>
      </c>
      <c r="S206" s="320">
        <v>0.11082228529028514</v>
      </c>
      <c r="T206" s="319">
        <v>32103731.993296839</v>
      </c>
      <c r="U206" s="320">
        <v>0.12615707012984426</v>
      </c>
      <c r="V206" s="319">
        <v>25128327.366999999</v>
      </c>
      <c r="W206" s="319">
        <v>983844</v>
      </c>
      <c r="X206" s="320">
        <v>0.59739218822295004</v>
      </c>
      <c r="Y206" s="319">
        <v>134329489.71428266</v>
      </c>
      <c r="Z206" s="320">
        <v>0.52787055591945986</v>
      </c>
      <c r="AA206" s="319">
        <v>105142772.59999999</v>
      </c>
      <c r="AB206" s="319">
        <v>71054</v>
      </c>
      <c r="AC206" s="320">
        <v>4.3144141288652973E-2</v>
      </c>
      <c r="AD206" s="319">
        <v>11604360.954000901</v>
      </c>
      <c r="AE206" s="320">
        <v>4.5601308252622812E-2</v>
      </c>
      <c r="AF206" s="319">
        <v>9082999.4780000001</v>
      </c>
      <c r="AG206" s="319">
        <v>2</v>
      </c>
      <c r="AH206" s="320">
        <v>1.2144042921905304E-6</v>
      </c>
      <c r="AI206" s="319">
        <v>194.34718592665951</v>
      </c>
      <c r="AJ206" s="320">
        <v>7.63720291759438E-7</v>
      </c>
      <c r="AK206" s="319">
        <v>152.12</v>
      </c>
      <c r="AL206" s="319">
        <v>1646898</v>
      </c>
      <c r="AM206" s="320">
        <v>1</v>
      </c>
      <c r="AN206" s="319">
        <v>254474299.06429192</v>
      </c>
      <c r="AO206" s="320">
        <v>0.99999999999999989</v>
      </c>
      <c r="AP206" s="319">
        <v>199182870.537</v>
      </c>
    </row>
    <row r="207" spans="2:42" hidden="1" outlineLevel="1" x14ac:dyDescent="0.25">
      <c r="B207" s="318">
        <v>43983</v>
      </c>
      <c r="C207" s="319"/>
      <c r="D207" s="320"/>
      <c r="E207" s="319"/>
      <c r="F207" s="320"/>
      <c r="G207" s="319"/>
      <c r="H207" s="319"/>
      <c r="I207" s="320"/>
      <c r="J207" s="319"/>
      <c r="K207" s="320"/>
      <c r="L207" s="319"/>
      <c r="M207" s="319">
        <v>409330</v>
      </c>
      <c r="N207" s="320">
        <v>0.24734021500646253</v>
      </c>
      <c r="O207" s="319">
        <v>76474073.478792042</v>
      </c>
      <c r="P207" s="320">
        <v>0.29893775853080767</v>
      </c>
      <c r="Q207" s="319">
        <v>59814978.178000003</v>
      </c>
      <c r="R207" s="319">
        <v>182392</v>
      </c>
      <c r="S207" s="320">
        <v>0.11021150781877388</v>
      </c>
      <c r="T207" s="319">
        <v>32105222.547068633</v>
      </c>
      <c r="U207" s="320">
        <v>0.12549956905349152</v>
      </c>
      <c r="V207" s="319">
        <v>25111427.947999999</v>
      </c>
      <c r="W207" s="319">
        <v>991698</v>
      </c>
      <c r="X207" s="320">
        <v>0.59923972477335863</v>
      </c>
      <c r="Y207" s="319">
        <v>135576823.69779733</v>
      </c>
      <c r="Z207" s="320">
        <v>0.52997087694283251</v>
      </c>
      <c r="AA207" s="319">
        <v>106042798.324</v>
      </c>
      <c r="AB207" s="319">
        <v>71502</v>
      </c>
      <c r="AC207" s="320">
        <v>4.3205531120103786E-2</v>
      </c>
      <c r="AD207" s="319">
        <v>11662652.146469682</v>
      </c>
      <c r="AE207" s="320">
        <v>4.558939955195427E-2</v>
      </c>
      <c r="AF207" s="319">
        <v>9122062.5749999993</v>
      </c>
      <c r="AG207" s="319">
        <v>5</v>
      </c>
      <c r="AH207" s="320">
        <v>3.021281301229601E-6</v>
      </c>
      <c r="AI207" s="319">
        <v>612.92301424781124</v>
      </c>
      <c r="AJ207" s="320">
        <v>2.3959209140598425E-6</v>
      </c>
      <c r="AK207" s="319">
        <v>479.404</v>
      </c>
      <c r="AL207" s="319">
        <v>1654927</v>
      </c>
      <c r="AM207" s="320">
        <v>1</v>
      </c>
      <c r="AN207" s="319">
        <v>255819384.79314193</v>
      </c>
      <c r="AO207" s="320">
        <v>1</v>
      </c>
      <c r="AP207" s="319">
        <v>200091746.42899999</v>
      </c>
    </row>
    <row r="208" spans="2:42" hidden="1" outlineLevel="1" x14ac:dyDescent="0.25">
      <c r="B208" s="318">
        <v>44013</v>
      </c>
      <c r="C208" s="319"/>
      <c r="D208" s="320"/>
      <c r="E208" s="319"/>
      <c r="F208" s="320"/>
      <c r="G208" s="319"/>
      <c r="H208" s="319"/>
      <c r="I208" s="320"/>
      <c r="J208" s="319"/>
      <c r="K208" s="320"/>
      <c r="L208" s="319"/>
      <c r="M208" s="319">
        <v>409166</v>
      </c>
      <c r="N208" s="320">
        <v>0.24686371954144209</v>
      </c>
      <c r="O208" s="319">
        <v>78367945.876593053</v>
      </c>
      <c r="P208" s="320">
        <v>0.29716532188930195</v>
      </c>
      <c r="Q208" s="319">
        <v>61357788.971000001</v>
      </c>
      <c r="R208" s="319">
        <v>182185</v>
      </c>
      <c r="S208" s="320">
        <v>0.10991838702301175</v>
      </c>
      <c r="T208" s="319">
        <v>32871882.308837883</v>
      </c>
      <c r="U208" s="320">
        <v>0.12464769081475544</v>
      </c>
      <c r="V208" s="319">
        <v>25736874.881999999</v>
      </c>
      <c r="W208" s="319">
        <v>994436</v>
      </c>
      <c r="X208" s="320">
        <v>0.59997695264492534</v>
      </c>
      <c r="Y208" s="319">
        <v>140494640.25001404</v>
      </c>
      <c r="Z208" s="320">
        <v>0.53274504679963841</v>
      </c>
      <c r="AA208" s="319">
        <v>109999571.78399999</v>
      </c>
      <c r="AB208" s="319">
        <v>71666</v>
      </c>
      <c r="AC208" s="320">
        <v>4.3238527455010896E-2</v>
      </c>
      <c r="AD208" s="319">
        <v>11983453.863338707</v>
      </c>
      <c r="AE208" s="320">
        <v>4.5440350449561358E-2</v>
      </c>
      <c r="AF208" s="319">
        <v>9382384.9159999993</v>
      </c>
      <c r="AG208" s="319">
        <v>4</v>
      </c>
      <c r="AH208" s="320">
        <v>2.4133356099132588E-6</v>
      </c>
      <c r="AI208" s="319">
        <v>419.32449011506787</v>
      </c>
      <c r="AJ208" s="320">
        <v>1.5900467428013791E-6</v>
      </c>
      <c r="AK208" s="319">
        <v>328.30799999999999</v>
      </c>
      <c r="AL208" s="319">
        <v>1657457</v>
      </c>
      <c r="AM208" s="320">
        <v>1</v>
      </c>
      <c r="AN208" s="319">
        <v>263718341.62327382</v>
      </c>
      <c r="AO208" s="320">
        <v>1</v>
      </c>
      <c r="AP208" s="319">
        <v>206476948.861</v>
      </c>
    </row>
    <row r="209" spans="2:42" hidden="1" outlineLevel="1" x14ac:dyDescent="0.25">
      <c r="B209" s="318">
        <v>44044</v>
      </c>
      <c r="C209" s="319"/>
      <c r="D209" s="320"/>
      <c r="E209" s="319"/>
      <c r="F209" s="320"/>
      <c r="G209" s="319"/>
      <c r="H209" s="319"/>
      <c r="I209" s="320"/>
      <c r="J209" s="319"/>
      <c r="K209" s="320"/>
      <c r="L209" s="319"/>
      <c r="M209" s="319">
        <v>408248</v>
      </c>
      <c r="N209" s="320">
        <v>0.24574363320724552</v>
      </c>
      <c r="O209" s="319">
        <v>78118895.443889901</v>
      </c>
      <c r="P209" s="320">
        <v>0.29592355196117764</v>
      </c>
      <c r="Q209" s="319">
        <v>61243590.041000001</v>
      </c>
      <c r="R209" s="319">
        <v>181973</v>
      </c>
      <c r="S209" s="320">
        <v>0.10953808999829047</v>
      </c>
      <c r="T209" s="319">
        <v>32799154.235208996</v>
      </c>
      <c r="U209" s="320">
        <v>0.12424704890479492</v>
      </c>
      <c r="V209" s="319">
        <v>25713855.07</v>
      </c>
      <c r="W209" s="319">
        <v>999278</v>
      </c>
      <c r="X209" s="320">
        <v>0.60151233148495498</v>
      </c>
      <c r="Y209" s="319">
        <v>141092874.75578538</v>
      </c>
      <c r="Z209" s="320">
        <v>0.53447638265872699</v>
      </c>
      <c r="AA209" s="319">
        <v>110613880.677</v>
      </c>
      <c r="AB209" s="319">
        <v>71773</v>
      </c>
      <c r="AC209" s="320">
        <v>4.3203537521760385E-2</v>
      </c>
      <c r="AD209" s="319">
        <v>11972049.373522142</v>
      </c>
      <c r="AE209" s="320">
        <v>4.5351529290527957E-2</v>
      </c>
      <c r="AF209" s="319">
        <v>9385837.8259999994</v>
      </c>
      <c r="AG209" s="319">
        <v>4</v>
      </c>
      <c r="AH209" s="320">
        <v>2.4077877486943769E-6</v>
      </c>
      <c r="AI209" s="319">
        <v>392.59204268080856</v>
      </c>
      <c r="AJ209" s="320">
        <v>1.4871847724120116E-6</v>
      </c>
      <c r="AK209" s="319">
        <v>307.78399999999999</v>
      </c>
      <c r="AL209" s="319">
        <v>1661276</v>
      </c>
      <c r="AM209" s="320">
        <v>1</v>
      </c>
      <c r="AN209" s="319">
        <v>263983366.4004491</v>
      </c>
      <c r="AO209" s="320">
        <v>1</v>
      </c>
      <c r="AP209" s="319">
        <v>206957471.398</v>
      </c>
    </row>
    <row r="210" spans="2:42" hidden="1" outlineLevel="1" x14ac:dyDescent="0.25">
      <c r="B210" s="318">
        <v>44075</v>
      </c>
      <c r="C210" s="319"/>
      <c r="D210" s="320"/>
      <c r="E210" s="319"/>
      <c r="F210" s="320"/>
      <c r="G210" s="319"/>
      <c r="H210" s="319"/>
      <c r="I210" s="320"/>
      <c r="J210" s="319"/>
      <c r="K210" s="320"/>
      <c r="L210" s="319"/>
      <c r="M210" s="319">
        <v>407886</v>
      </c>
      <c r="N210" s="320">
        <v>0.24452893441915341</v>
      </c>
      <c r="O210" s="319">
        <v>77568675.435409918</v>
      </c>
      <c r="P210" s="320">
        <v>0.29481665048623656</v>
      </c>
      <c r="Q210" s="319">
        <v>61198526.460000001</v>
      </c>
      <c r="R210" s="319">
        <v>181745</v>
      </c>
      <c r="S210" s="320">
        <v>0.10895669668978351</v>
      </c>
      <c r="T210" s="319">
        <v>32549854.210629117</v>
      </c>
      <c r="U210" s="320">
        <v>0.12371281239917034</v>
      </c>
      <c r="V210" s="319">
        <v>25680509.600000001</v>
      </c>
      <c r="W210" s="319">
        <v>1006541</v>
      </c>
      <c r="X210" s="320">
        <v>0.60342448178949282</v>
      </c>
      <c r="Y210" s="319">
        <v>141094837.50304383</v>
      </c>
      <c r="Z210" s="320">
        <v>0.53626166954706345</v>
      </c>
      <c r="AA210" s="319">
        <v>111318081.65899999</v>
      </c>
      <c r="AB210" s="319">
        <v>71871</v>
      </c>
      <c r="AC210" s="320">
        <v>4.3086889585911198E-2</v>
      </c>
      <c r="AD210" s="319">
        <v>11894385.575704901</v>
      </c>
      <c r="AE210" s="320">
        <v>4.520720374993463E-2</v>
      </c>
      <c r="AF210" s="319">
        <v>9384185.9010000005</v>
      </c>
      <c r="AG210" s="319">
        <v>5</v>
      </c>
      <c r="AH210" s="320">
        <v>2.9975156590218029E-6</v>
      </c>
      <c r="AI210" s="319">
        <v>437.76403672139992</v>
      </c>
      <c r="AJ210" s="320">
        <v>1.6638175949904301E-6</v>
      </c>
      <c r="AK210" s="319">
        <v>345.37799999999999</v>
      </c>
      <c r="AL210" s="319">
        <v>1668048</v>
      </c>
      <c r="AM210" s="320">
        <v>1</v>
      </c>
      <c r="AN210" s="319">
        <v>263108190.48882449</v>
      </c>
      <c r="AO210" s="320">
        <v>1</v>
      </c>
      <c r="AP210" s="319">
        <v>207581648.99799997</v>
      </c>
    </row>
    <row r="211" spans="2:42" hidden="1" outlineLevel="1" x14ac:dyDescent="0.25">
      <c r="B211" s="318">
        <v>44105</v>
      </c>
      <c r="C211" s="319"/>
      <c r="D211" s="320"/>
      <c r="E211" s="319"/>
      <c r="F211" s="320"/>
      <c r="G211" s="319"/>
      <c r="H211" s="319"/>
      <c r="I211" s="320"/>
      <c r="J211" s="319"/>
      <c r="K211" s="320"/>
      <c r="L211" s="319"/>
      <c r="M211" s="319">
        <v>406826</v>
      </c>
      <c r="N211" s="320">
        <v>0.24278176221559408</v>
      </c>
      <c r="O211" s="319">
        <v>76863685.71448046</v>
      </c>
      <c r="P211" s="320">
        <v>0.29331428304788115</v>
      </c>
      <c r="Q211" s="319">
        <v>61058773.178000003</v>
      </c>
      <c r="R211" s="319">
        <v>181526</v>
      </c>
      <c r="S211" s="320">
        <v>0.10832936480939746</v>
      </c>
      <c r="T211" s="319">
        <v>32288870.983150277</v>
      </c>
      <c r="U211" s="320">
        <v>0.12321536437933318</v>
      </c>
      <c r="V211" s="319">
        <v>25649548.693999998</v>
      </c>
      <c r="W211" s="319">
        <v>1015105</v>
      </c>
      <c r="X211" s="320">
        <v>0.60578473532630817</v>
      </c>
      <c r="Y211" s="319">
        <v>141073137.76489136</v>
      </c>
      <c r="Z211" s="320">
        <v>0.53833960570835171</v>
      </c>
      <c r="AA211" s="319">
        <v>112065309.388</v>
      </c>
      <c r="AB211" s="319">
        <v>72224</v>
      </c>
      <c r="AC211" s="320">
        <v>4.3101153796116932E-2</v>
      </c>
      <c r="AD211" s="319">
        <v>11826182.218237696</v>
      </c>
      <c r="AE211" s="320">
        <v>4.5129089586221867E-2</v>
      </c>
      <c r="AF211" s="319">
        <v>9394451.6309999991</v>
      </c>
      <c r="AG211" s="319">
        <v>5</v>
      </c>
      <c r="AH211" s="320">
        <v>2.9838525833598895E-6</v>
      </c>
      <c r="AI211" s="319">
        <v>434.2935854343404</v>
      </c>
      <c r="AJ211" s="320">
        <v>1.6572782121996151E-6</v>
      </c>
      <c r="AK211" s="319">
        <v>344.99299999999999</v>
      </c>
      <c r="AL211" s="319">
        <v>1675686</v>
      </c>
      <c r="AM211" s="320">
        <v>1</v>
      </c>
      <c r="AN211" s="319">
        <v>262052310.97434521</v>
      </c>
      <c r="AO211" s="320">
        <v>1</v>
      </c>
      <c r="AP211" s="319">
        <v>208168427.884</v>
      </c>
    </row>
    <row r="212" spans="2:42" hidden="1" outlineLevel="1" x14ac:dyDescent="0.25">
      <c r="B212" s="318">
        <v>44136</v>
      </c>
      <c r="C212" s="319"/>
      <c r="D212" s="320"/>
      <c r="E212" s="319"/>
      <c r="F212" s="320"/>
      <c r="G212" s="319"/>
      <c r="H212" s="319"/>
      <c r="I212" s="320"/>
      <c r="J212" s="319"/>
      <c r="K212" s="320"/>
      <c r="L212" s="319"/>
      <c r="M212" s="319">
        <v>406489</v>
      </c>
      <c r="N212" s="320">
        <v>0.24108509614899878</v>
      </c>
      <c r="O212" s="319">
        <v>76922213.407384887</v>
      </c>
      <c r="P212" s="320">
        <v>0.29162810687250468</v>
      </c>
      <c r="Q212" s="319">
        <v>61021409.009000003</v>
      </c>
      <c r="R212" s="319">
        <v>181372</v>
      </c>
      <c r="S212" s="320">
        <v>0.10757015825455597</v>
      </c>
      <c r="T212" s="319">
        <v>32305793.858501621</v>
      </c>
      <c r="U212" s="320">
        <v>0.12247798245316391</v>
      </c>
      <c r="V212" s="319">
        <v>25627773.475000001</v>
      </c>
      <c r="W212" s="319">
        <v>1025590</v>
      </c>
      <c r="X212" s="320">
        <v>0.60826852327972381</v>
      </c>
      <c r="Y212" s="319">
        <v>142682758.25284055</v>
      </c>
      <c r="Z212" s="320">
        <v>0.54094000717650115</v>
      </c>
      <c r="AA212" s="319">
        <v>113188408.96799999</v>
      </c>
      <c r="AB212" s="319">
        <v>72626</v>
      </c>
      <c r="AC212" s="320">
        <v>4.3073849951455474E-2</v>
      </c>
      <c r="AD212" s="319">
        <v>11857023.093650559</v>
      </c>
      <c r="AE212" s="320">
        <v>4.4952440196071017E-2</v>
      </c>
      <c r="AF212" s="319">
        <v>9406024.9149999991</v>
      </c>
      <c r="AG212" s="319">
        <v>4</v>
      </c>
      <c r="AH212" s="320">
        <v>2.3723652659629045E-6</v>
      </c>
      <c r="AI212" s="319">
        <v>385.97243392221901</v>
      </c>
      <c r="AJ212" s="320">
        <v>1.4633017593186328E-6</v>
      </c>
      <c r="AK212" s="319">
        <v>306.18700000000001</v>
      </c>
      <c r="AL212" s="319">
        <v>1686081</v>
      </c>
      <c r="AM212" s="320">
        <v>1</v>
      </c>
      <c r="AN212" s="319">
        <v>263768174.58481154</v>
      </c>
      <c r="AO212" s="320">
        <v>1</v>
      </c>
      <c r="AP212" s="319">
        <v>209243922.55399999</v>
      </c>
    </row>
    <row r="213" spans="2:42" hidden="1" outlineLevel="1" x14ac:dyDescent="0.25">
      <c r="B213" s="318">
        <v>44166</v>
      </c>
      <c r="C213" s="319"/>
      <c r="D213" s="320"/>
      <c r="E213" s="319"/>
      <c r="F213" s="320"/>
      <c r="G213" s="319"/>
      <c r="H213" s="319"/>
      <c r="I213" s="320"/>
      <c r="J213" s="319"/>
      <c r="K213" s="320"/>
      <c r="L213" s="319"/>
      <c r="M213" s="319">
        <v>407108</v>
      </c>
      <c r="N213" s="320">
        <v>0.24004872816769943</v>
      </c>
      <c r="O213" s="319">
        <v>76827903.133276865</v>
      </c>
      <c r="P213" s="320">
        <v>0.29072688085151249</v>
      </c>
      <c r="Q213" s="319">
        <v>61152513.534000002</v>
      </c>
      <c r="R213" s="319">
        <v>181176</v>
      </c>
      <c r="S213" s="320">
        <v>0.10682931402603514</v>
      </c>
      <c r="T213" s="319">
        <v>32179883.12442553</v>
      </c>
      <c r="U213" s="320">
        <v>0.12177290626689301</v>
      </c>
      <c r="V213" s="319">
        <v>25614140.931000002</v>
      </c>
      <c r="W213" s="319">
        <v>1034956</v>
      </c>
      <c r="X213" s="320">
        <v>0.61025543961191997</v>
      </c>
      <c r="Y213" s="319">
        <v>143455031.09900206</v>
      </c>
      <c r="Z213" s="320">
        <v>0.54285268805943965</v>
      </c>
      <c r="AA213" s="319">
        <v>114185541.62</v>
      </c>
      <c r="AB213" s="319">
        <v>72694</v>
      </c>
      <c r="AC213" s="320">
        <v>4.2863569975099339E-2</v>
      </c>
      <c r="AD213" s="319">
        <v>11798058.932809653</v>
      </c>
      <c r="AE213" s="320">
        <v>4.4645405298747706E-2</v>
      </c>
      <c r="AF213" s="319">
        <v>9390871.4039999992</v>
      </c>
      <c r="AG213" s="319">
        <v>5</v>
      </c>
      <c r="AH213" s="320">
        <v>2.9482192460931674E-6</v>
      </c>
      <c r="AI213" s="319">
        <v>560.10830003020044</v>
      </c>
      <c r="AJ213" s="320">
        <v>2.1195234070665688E-6</v>
      </c>
      <c r="AK213" s="319">
        <v>445.82799999999997</v>
      </c>
      <c r="AL213" s="319">
        <v>1695939</v>
      </c>
      <c r="AM213" s="320">
        <v>0.99999999999999989</v>
      </c>
      <c r="AN213" s="319">
        <v>264261436.39781415</v>
      </c>
      <c r="AO213" s="320">
        <v>1</v>
      </c>
      <c r="AP213" s="319">
        <v>210343513.31700003</v>
      </c>
    </row>
    <row r="214" spans="2:42" collapsed="1" x14ac:dyDescent="0.25">
      <c r="B214" s="321" t="s">
        <v>702</v>
      </c>
      <c r="C214" s="322"/>
      <c r="D214" s="311"/>
      <c r="E214" s="322"/>
      <c r="F214" s="311"/>
      <c r="G214" s="322"/>
      <c r="H214" s="322"/>
      <c r="I214" s="311"/>
      <c r="J214" s="322"/>
      <c r="K214" s="311"/>
      <c r="L214" s="322"/>
      <c r="M214" s="322">
        <v>408354.41666666669</v>
      </c>
      <c r="N214" s="311">
        <v>0.24729477952301426</v>
      </c>
      <c r="O214" s="322">
        <v>77141733.452798679</v>
      </c>
      <c r="P214" s="311">
        <v>0.29823563890904287</v>
      </c>
      <c r="Q214" s="322"/>
      <c r="R214" s="322">
        <v>182015.5</v>
      </c>
      <c r="S214" s="311">
        <v>0.11022651183668566</v>
      </c>
      <c r="T214" s="322">
        <v>32421470.501266029</v>
      </c>
      <c r="U214" s="311">
        <v>0.12534379947829605</v>
      </c>
      <c r="V214" s="322"/>
      <c r="W214" s="322">
        <v>989609.25</v>
      </c>
      <c r="X214" s="311">
        <v>0.59929608032732717</v>
      </c>
      <c r="Y214" s="322">
        <v>137354767.00423363</v>
      </c>
      <c r="Z214" s="311">
        <v>0.53102367371320935</v>
      </c>
      <c r="AA214" s="322"/>
      <c r="AB214" s="322">
        <v>71303.416666666672</v>
      </c>
      <c r="AC214" s="311">
        <v>4.3180536279627084E-2</v>
      </c>
      <c r="AD214" s="322">
        <v>11742040.963181509</v>
      </c>
      <c r="AE214" s="311">
        <v>4.5395597583937131E-2</v>
      </c>
      <c r="AF214" s="322"/>
      <c r="AG214" s="322">
        <v>3.4545454545454546</v>
      </c>
      <c r="AH214" s="311">
        <v>2.0920333457085975E-6</v>
      </c>
      <c r="AI214" s="322">
        <v>333.7534570580687</v>
      </c>
      <c r="AJ214" s="311">
        <v>1.2903155146846617E-6</v>
      </c>
      <c r="AK214" s="322"/>
      <c r="AL214" s="322">
        <v>1651286.0378787881</v>
      </c>
      <c r="AM214" s="311">
        <v>0.99999999999999978</v>
      </c>
      <c r="AN214" s="322">
        <v>258660345.67493689</v>
      </c>
      <c r="AO214" s="311">
        <v>1</v>
      </c>
      <c r="AP214" s="322"/>
    </row>
    <row r="215" spans="2:42" hidden="1" outlineLevel="1" x14ac:dyDescent="0.25">
      <c r="B215" s="318">
        <v>44197</v>
      </c>
      <c r="C215" s="319"/>
      <c r="D215" s="320"/>
      <c r="E215" s="319"/>
      <c r="F215" s="320"/>
      <c r="G215" s="319"/>
      <c r="H215" s="319"/>
      <c r="I215" s="320"/>
      <c r="J215" s="319"/>
      <c r="K215" s="320"/>
      <c r="L215" s="319"/>
      <c r="M215" s="319">
        <v>408308</v>
      </c>
      <c r="N215" s="320">
        <v>0.23923310972926701</v>
      </c>
      <c r="O215" s="319">
        <v>83492650.575419873</v>
      </c>
      <c r="P215" s="320">
        <v>0.28375939391942173</v>
      </c>
      <c r="Q215" s="319">
        <v>66924148.736000001</v>
      </c>
      <c r="R215" s="319">
        <v>181008</v>
      </c>
      <c r="S215" s="320">
        <v>0.10605500437384319</v>
      </c>
      <c r="T215" s="319">
        <v>35753747.154039875</v>
      </c>
      <c r="U215" s="320">
        <v>0.12151322964186041</v>
      </c>
      <c r="V215" s="319">
        <v>28658679.248</v>
      </c>
      <c r="W215" s="319">
        <v>1044504</v>
      </c>
      <c r="X215" s="320">
        <v>0.61198884186608715</v>
      </c>
      <c r="Y215" s="319">
        <v>161731542.83110303</v>
      </c>
      <c r="Z215" s="320">
        <v>0.54966328479356708</v>
      </c>
      <c r="AA215" s="319">
        <v>129637108.81299999</v>
      </c>
      <c r="AB215" s="319">
        <v>72911</v>
      </c>
      <c r="AC215" s="320">
        <v>4.271952855067887E-2</v>
      </c>
      <c r="AD215" s="319">
        <v>13258838.525760658</v>
      </c>
      <c r="AE215" s="320">
        <v>4.506169055858128E-2</v>
      </c>
      <c r="AF215" s="319">
        <v>10627719.630999999</v>
      </c>
      <c r="AG215" s="319">
        <v>6</v>
      </c>
      <c r="AH215" s="320">
        <v>3.5154801237683369E-6</v>
      </c>
      <c r="AI215" s="319">
        <v>706.48967484321611</v>
      </c>
      <c r="AJ215" s="320">
        <v>2.4010865694430275E-6</v>
      </c>
      <c r="AK215" s="319">
        <v>566.29200000000003</v>
      </c>
      <c r="AL215" s="319">
        <v>1706737</v>
      </c>
      <c r="AM215" s="320">
        <v>1</v>
      </c>
      <c r="AN215" s="319">
        <v>294237485.57599831</v>
      </c>
      <c r="AO215" s="320">
        <v>0.99999999999999989</v>
      </c>
      <c r="AP215" s="319">
        <v>235848222.72</v>
      </c>
    </row>
    <row r="216" spans="2:42" hidden="1" outlineLevel="1" x14ac:dyDescent="0.25">
      <c r="B216" s="318">
        <v>44228</v>
      </c>
      <c r="C216" s="319"/>
      <c r="D216" s="320"/>
      <c r="E216" s="319"/>
      <c r="F216" s="320"/>
      <c r="G216" s="319"/>
      <c r="H216" s="319"/>
      <c r="I216" s="320"/>
      <c r="J216" s="319"/>
      <c r="K216" s="320"/>
      <c r="L216" s="319"/>
      <c r="M216" s="319">
        <v>408052</v>
      </c>
      <c r="N216" s="320">
        <v>0.23801210557291488</v>
      </c>
      <c r="O216" s="319">
        <v>83294282.440071136</v>
      </c>
      <c r="P216" s="320">
        <v>0.28327527171594585</v>
      </c>
      <c r="Q216" s="319">
        <v>66888862.207000002</v>
      </c>
      <c r="R216" s="319">
        <v>180639</v>
      </c>
      <c r="S216" s="320">
        <v>0.10536468082152708</v>
      </c>
      <c r="T216" s="319">
        <v>35618139.865141839</v>
      </c>
      <c r="U216" s="320">
        <v>0.12113362349419383</v>
      </c>
      <c r="V216" s="319">
        <v>28602885.813000001</v>
      </c>
      <c r="W216" s="319">
        <v>1052693</v>
      </c>
      <c r="X216" s="320">
        <v>0.61402389267021962</v>
      </c>
      <c r="Y216" s="319">
        <v>161894750.43340269</v>
      </c>
      <c r="Z216" s="320">
        <v>0.55058736416156129</v>
      </c>
      <c r="AA216" s="319">
        <v>130008391.171</v>
      </c>
      <c r="AB216" s="319">
        <v>73029</v>
      </c>
      <c r="AC216" s="320">
        <v>4.2596987780685797E-2</v>
      </c>
      <c r="AD216" s="319">
        <v>13232420.028990908</v>
      </c>
      <c r="AE216" s="320">
        <v>4.5002097015108426E-2</v>
      </c>
      <c r="AF216" s="319">
        <v>10626197.789999999</v>
      </c>
      <c r="AG216" s="319">
        <v>4</v>
      </c>
      <c r="AH216" s="320">
        <v>2.3331546525728571E-6</v>
      </c>
      <c r="AI216" s="319">
        <v>483.28814757281123</v>
      </c>
      <c r="AJ216" s="320">
        <v>1.6436131906086605E-6</v>
      </c>
      <c r="AK216" s="319">
        <v>388.101</v>
      </c>
      <c r="AL216" s="319">
        <v>1714417</v>
      </c>
      <c r="AM216" s="320">
        <v>1</v>
      </c>
      <c r="AN216" s="319">
        <v>294040076.05575413</v>
      </c>
      <c r="AO216" s="320">
        <v>1</v>
      </c>
      <c r="AP216" s="319">
        <v>236126725.08200002</v>
      </c>
    </row>
    <row r="217" spans="2:42" hidden="1" outlineLevel="1" x14ac:dyDescent="0.25">
      <c r="B217" s="318">
        <v>44256</v>
      </c>
      <c r="C217" s="319"/>
      <c r="D217" s="320"/>
      <c r="E217" s="319"/>
      <c r="F217" s="320"/>
      <c r="G217" s="319"/>
      <c r="H217" s="319"/>
      <c r="I217" s="320"/>
      <c r="J217" s="319"/>
      <c r="K217" s="320"/>
      <c r="L217" s="319"/>
      <c r="M217" s="319">
        <v>408360</v>
      </c>
      <c r="N217" s="320">
        <v>0.23711256401621164</v>
      </c>
      <c r="O217" s="319">
        <v>83039249.505537286</v>
      </c>
      <c r="P217" s="320">
        <v>0.28212473428605123</v>
      </c>
      <c r="Q217" s="319">
        <v>66934359.487999998</v>
      </c>
      <c r="R217" s="319">
        <v>180566</v>
      </c>
      <c r="S217" s="320">
        <v>0.10484490947730254</v>
      </c>
      <c r="T217" s="319">
        <v>35466145.105291821</v>
      </c>
      <c r="U217" s="320">
        <v>0.12049575138939293</v>
      </c>
      <c r="V217" s="319">
        <v>28587730.745000001</v>
      </c>
      <c r="W217" s="319">
        <v>1060194</v>
      </c>
      <c r="X217" s="320">
        <v>0.61559731044814248</v>
      </c>
      <c r="Y217" s="319">
        <v>162633698.22507328</v>
      </c>
      <c r="Z217" s="320">
        <v>0.55254580419403998</v>
      </c>
      <c r="AA217" s="319">
        <v>131092013.55599999</v>
      </c>
      <c r="AB217" s="319">
        <v>73094</v>
      </c>
      <c r="AC217" s="320">
        <v>4.2441732182880235E-2</v>
      </c>
      <c r="AD217" s="319">
        <v>13195647.467176117</v>
      </c>
      <c r="AE217" s="320">
        <v>4.4832034942237996E-2</v>
      </c>
      <c r="AF217" s="319">
        <v>10636442.604</v>
      </c>
      <c r="AG217" s="319">
        <v>6</v>
      </c>
      <c r="AH217" s="320">
        <v>3.4838754630651138E-6</v>
      </c>
      <c r="AI217" s="319">
        <v>493.06693267749205</v>
      </c>
      <c r="AJ217" s="320">
        <v>1.6751882777745932E-6</v>
      </c>
      <c r="AK217" s="319">
        <v>397.44</v>
      </c>
      <c r="AL217" s="319">
        <v>1722220</v>
      </c>
      <c r="AM217" s="320">
        <v>1</v>
      </c>
      <c r="AN217" s="319">
        <v>294335233.37001121</v>
      </c>
      <c r="AO217" s="320">
        <v>0.99999999999999989</v>
      </c>
      <c r="AP217" s="319">
        <v>237250943.83299997</v>
      </c>
    </row>
    <row r="218" spans="2:42" hidden="1" outlineLevel="1" x14ac:dyDescent="0.25">
      <c r="B218" s="318">
        <v>44287</v>
      </c>
      <c r="C218" s="319"/>
      <c r="D218" s="320"/>
      <c r="E218" s="319"/>
      <c r="F218" s="320"/>
      <c r="G218" s="319"/>
      <c r="H218" s="319"/>
      <c r="I218" s="320"/>
      <c r="J218" s="319"/>
      <c r="K218" s="320"/>
      <c r="L218" s="319"/>
      <c r="M218" s="319">
        <v>408797</v>
      </c>
      <c r="N218" s="320">
        <v>0.23586909861339339</v>
      </c>
      <c r="O218" s="319">
        <v>82803709.884491086</v>
      </c>
      <c r="P218" s="320">
        <v>0.28078174105248893</v>
      </c>
      <c r="Q218" s="319">
        <v>66996108.122000001</v>
      </c>
      <c r="R218" s="319">
        <v>180965</v>
      </c>
      <c r="S218" s="320">
        <v>0.10441380790605786</v>
      </c>
      <c r="T218" s="319">
        <v>35410610.863880835</v>
      </c>
      <c r="U218" s="320">
        <v>0.12007496987710295</v>
      </c>
      <c r="V218" s="319">
        <v>28650565.504999999</v>
      </c>
      <c r="W218" s="319">
        <v>1068719</v>
      </c>
      <c r="X218" s="320">
        <v>0.61663316316168459</v>
      </c>
      <c r="Y218" s="319">
        <v>163374799.96570271</v>
      </c>
      <c r="Z218" s="320">
        <v>0.55399282039975284</v>
      </c>
      <c r="AA218" s="319">
        <v>132185813.633</v>
      </c>
      <c r="AB218" s="319">
        <v>74665</v>
      </c>
      <c r="AC218" s="320">
        <v>4.308046841823452E-2</v>
      </c>
      <c r="AD218" s="319">
        <v>13314355.93740572</v>
      </c>
      <c r="AE218" s="320">
        <v>4.5148074238609913E-2</v>
      </c>
      <c r="AF218" s="319">
        <v>10772585.324999999</v>
      </c>
      <c r="AG218" s="319">
        <v>6</v>
      </c>
      <c r="AH218" s="320">
        <v>3.4619006296043278E-6</v>
      </c>
      <c r="AI218" s="319">
        <v>706.12802558037038</v>
      </c>
      <c r="AJ218" s="320">
        <v>2.3944320454360204E-6</v>
      </c>
      <c r="AK218" s="319">
        <v>571.32500000000005</v>
      </c>
      <c r="AL218" s="319">
        <v>1733152</v>
      </c>
      <c r="AM218" s="320">
        <v>1</v>
      </c>
      <c r="AN218" s="319">
        <v>294904182.77950591</v>
      </c>
      <c r="AO218" s="320">
        <v>1</v>
      </c>
      <c r="AP218" s="319">
        <v>238605643.90999997</v>
      </c>
    </row>
    <row r="219" spans="2:42" hidden="1" outlineLevel="1" x14ac:dyDescent="0.25">
      <c r="B219" s="318">
        <v>44317</v>
      </c>
      <c r="C219" s="319"/>
      <c r="D219" s="320"/>
      <c r="E219" s="319"/>
      <c r="F219" s="320"/>
      <c r="G219" s="319"/>
      <c r="H219" s="319"/>
      <c r="I219" s="320"/>
      <c r="J219" s="319"/>
      <c r="K219" s="320"/>
      <c r="L219" s="319"/>
      <c r="M219" s="319">
        <v>408904</v>
      </c>
      <c r="N219" s="320">
        <v>0.23449355564794769</v>
      </c>
      <c r="O219" s="319">
        <v>82596084.969962358</v>
      </c>
      <c r="P219" s="320">
        <v>0.27940555047642207</v>
      </c>
      <c r="Q219" s="319">
        <v>67007658.256999999</v>
      </c>
      <c r="R219" s="319">
        <v>180572</v>
      </c>
      <c r="S219" s="320">
        <v>0.10355235050393542</v>
      </c>
      <c r="T219" s="319">
        <v>35238555.295044027</v>
      </c>
      <c r="U219" s="320">
        <v>0.11920477760884483</v>
      </c>
      <c r="V219" s="319">
        <v>28587953.914999999</v>
      </c>
      <c r="W219" s="319">
        <v>1076768</v>
      </c>
      <c r="X219" s="320">
        <v>0.61749250906797037</v>
      </c>
      <c r="Y219" s="319">
        <v>164242748.86925089</v>
      </c>
      <c r="Z219" s="320">
        <v>0.55559940493865645</v>
      </c>
      <c r="AA219" s="319">
        <v>133245080.45900001</v>
      </c>
      <c r="AB219" s="319">
        <v>77523</v>
      </c>
      <c r="AC219" s="320">
        <v>4.4456997032300612E-2</v>
      </c>
      <c r="AD219" s="319">
        <v>13535459.340800203</v>
      </c>
      <c r="AE219" s="320">
        <v>4.5787672253991982E-2</v>
      </c>
      <c r="AF219" s="319">
        <v>10980901.022</v>
      </c>
      <c r="AG219" s="319">
        <v>8</v>
      </c>
      <c r="AH219" s="320">
        <v>4.5877478459090196E-6</v>
      </c>
      <c r="AI219" s="319">
        <v>767.03517662563854</v>
      </c>
      <c r="AJ219" s="320">
        <v>2.5947220844402674E-6</v>
      </c>
      <c r="AK219" s="319">
        <v>622.27200000000005</v>
      </c>
      <c r="AL219" s="319">
        <v>1743775</v>
      </c>
      <c r="AM219" s="320">
        <v>1</v>
      </c>
      <c r="AN219" s="319">
        <v>295613615.51023418</v>
      </c>
      <c r="AO219" s="320">
        <v>0.99999999999999978</v>
      </c>
      <c r="AP219" s="319">
        <v>239822215.92500001</v>
      </c>
    </row>
    <row r="220" spans="2:42" hidden="1" outlineLevel="1" x14ac:dyDescent="0.25">
      <c r="B220" s="318">
        <v>44348</v>
      </c>
      <c r="C220" s="319"/>
      <c r="D220" s="320"/>
      <c r="E220" s="319"/>
      <c r="F220" s="320"/>
      <c r="G220" s="319"/>
      <c r="H220" s="319"/>
      <c r="I220" s="320"/>
      <c r="J220" s="319"/>
      <c r="K220" s="320"/>
      <c r="L220" s="319"/>
      <c r="M220" s="319">
        <v>408641</v>
      </c>
      <c r="N220" s="320">
        <v>0.23314477088664287</v>
      </c>
      <c r="O220" s="319">
        <v>82468880.480566755</v>
      </c>
      <c r="P220" s="320">
        <v>0.27771686886511859</v>
      </c>
      <c r="Q220" s="319">
        <v>66957803.270000003</v>
      </c>
      <c r="R220" s="319">
        <v>180850</v>
      </c>
      <c r="S220" s="320">
        <v>0.10318159904378015</v>
      </c>
      <c r="T220" s="319">
        <v>35263803.997982427</v>
      </c>
      <c r="U220" s="320">
        <v>0.11875210592801329</v>
      </c>
      <c r="V220" s="319">
        <v>28631246.561000001</v>
      </c>
      <c r="W220" s="319">
        <v>1083928</v>
      </c>
      <c r="X220" s="320">
        <v>0.61842092501148205</v>
      </c>
      <c r="Y220" s="319">
        <v>165506800.05265334</v>
      </c>
      <c r="Z220" s="320">
        <v>0.55734999697660803</v>
      </c>
      <c r="AA220" s="319">
        <v>134377618.48100001</v>
      </c>
      <c r="AB220" s="319">
        <v>79307</v>
      </c>
      <c r="AC220" s="320">
        <v>4.524757022596114E-2</v>
      </c>
      <c r="AD220" s="319">
        <v>13712625.441460023</v>
      </c>
      <c r="AE220" s="320">
        <v>4.6177750677964223E-2</v>
      </c>
      <c r="AF220" s="319">
        <v>11133499.948999999</v>
      </c>
      <c r="AG220" s="319">
        <v>9</v>
      </c>
      <c r="AH220" s="320">
        <v>5.134832133779493E-6</v>
      </c>
      <c r="AI220" s="319">
        <v>973.27925976676011</v>
      </c>
      <c r="AJ220" s="320">
        <v>3.2775522958321049E-6</v>
      </c>
      <c r="AK220" s="319">
        <v>790.221</v>
      </c>
      <c r="AL220" s="319">
        <v>1752735</v>
      </c>
      <c r="AM220" s="320">
        <v>1</v>
      </c>
      <c r="AN220" s="319">
        <v>296953083.25192231</v>
      </c>
      <c r="AO220" s="320">
        <v>0.99999999999999989</v>
      </c>
      <c r="AP220" s="319">
        <v>241100958.48199999</v>
      </c>
    </row>
    <row r="221" spans="2:42" hidden="1" outlineLevel="1" x14ac:dyDescent="0.25">
      <c r="B221" s="318">
        <v>44378</v>
      </c>
      <c r="C221" s="319"/>
      <c r="D221" s="320"/>
      <c r="E221" s="319"/>
      <c r="F221" s="320"/>
      <c r="G221" s="319"/>
      <c r="H221" s="319"/>
      <c r="I221" s="320"/>
      <c r="J221" s="319"/>
      <c r="K221" s="320"/>
      <c r="L221" s="319"/>
      <c r="M221" s="319">
        <v>408548</v>
      </c>
      <c r="N221" s="320">
        <v>0.23197691518875649</v>
      </c>
      <c r="O221" s="319">
        <v>84822651.386734843</v>
      </c>
      <c r="P221" s="320">
        <v>0.27455465223323067</v>
      </c>
      <c r="Q221" s="319">
        <v>69426016.715000004</v>
      </c>
      <c r="R221" s="319">
        <v>180980</v>
      </c>
      <c r="S221" s="320">
        <v>0.10276193277377725</v>
      </c>
      <c r="T221" s="319">
        <v>36306558.588783793</v>
      </c>
      <c r="U221" s="320">
        <v>0.11751736598848919</v>
      </c>
      <c r="V221" s="319">
        <v>29716351.732000001</v>
      </c>
      <c r="W221" s="319">
        <v>1090775</v>
      </c>
      <c r="X221" s="320">
        <v>0.61935101790980707</v>
      </c>
      <c r="Y221" s="319">
        <v>173470414.88989592</v>
      </c>
      <c r="Z221" s="320">
        <v>0.56149045867125391</v>
      </c>
      <c r="AA221" s="319">
        <v>141982828.016</v>
      </c>
      <c r="AB221" s="319">
        <v>80846</v>
      </c>
      <c r="AC221" s="320">
        <v>4.5905023853623585E-2</v>
      </c>
      <c r="AD221" s="319">
        <v>14345757.622015567</v>
      </c>
      <c r="AE221" s="320">
        <v>4.6434465682720485E-2</v>
      </c>
      <c r="AF221" s="319">
        <v>11741778.784</v>
      </c>
      <c r="AG221" s="319">
        <v>9</v>
      </c>
      <c r="AH221" s="320">
        <v>5.1102740356061181E-6</v>
      </c>
      <c r="AI221" s="319">
        <v>944.58000953624196</v>
      </c>
      <c r="AJ221" s="320">
        <v>3.0574243057113617E-6</v>
      </c>
      <c r="AK221" s="319">
        <v>773.12400000000002</v>
      </c>
      <c r="AL221" s="319">
        <v>1761158</v>
      </c>
      <c r="AM221" s="320">
        <v>1</v>
      </c>
      <c r="AN221" s="319">
        <v>308946327.06743968</v>
      </c>
      <c r="AO221" s="320">
        <v>1</v>
      </c>
      <c r="AP221" s="319">
        <v>252867748.37100002</v>
      </c>
    </row>
    <row r="222" spans="2:42" hidden="1" outlineLevel="1" x14ac:dyDescent="0.25">
      <c r="B222" s="318">
        <v>44409</v>
      </c>
      <c r="C222" s="319"/>
      <c r="D222" s="320"/>
      <c r="E222" s="319"/>
      <c r="F222" s="320"/>
      <c r="G222" s="319"/>
      <c r="H222" s="319"/>
      <c r="I222" s="320"/>
      <c r="J222" s="319"/>
      <c r="K222" s="320"/>
      <c r="L222" s="319"/>
      <c r="M222" s="319">
        <v>409302</v>
      </c>
      <c r="N222" s="320">
        <v>0.23134418624105121</v>
      </c>
      <c r="O222" s="319">
        <v>84729855.499273017</v>
      </c>
      <c r="P222" s="320">
        <v>0.2731007062074049</v>
      </c>
      <c r="Q222" s="319">
        <v>69599247.892000005</v>
      </c>
      <c r="R222" s="319">
        <v>181161</v>
      </c>
      <c r="S222" s="320">
        <v>0.10239516084361933</v>
      </c>
      <c r="T222" s="319">
        <v>36239863.51247929</v>
      </c>
      <c r="U222" s="320">
        <v>0.11680808682841405</v>
      </c>
      <c r="V222" s="319">
        <v>29768341.151000001</v>
      </c>
      <c r="W222" s="319">
        <v>1097020</v>
      </c>
      <c r="X222" s="320">
        <v>0.62005365033681248</v>
      </c>
      <c r="Y222" s="319">
        <v>174830178.21901706</v>
      </c>
      <c r="Z222" s="320">
        <v>0.56351146660918916</v>
      </c>
      <c r="AA222" s="319">
        <v>143609933.49000001</v>
      </c>
      <c r="AB222" s="319">
        <v>81743</v>
      </c>
      <c r="AC222" s="320">
        <v>4.6202480847643668E-2</v>
      </c>
      <c r="AD222" s="319">
        <v>14450534.411554866</v>
      </c>
      <c r="AE222" s="320">
        <v>4.6576866319616231E-2</v>
      </c>
      <c r="AF222" s="319">
        <v>11870034.721000001</v>
      </c>
      <c r="AG222" s="319">
        <v>8</v>
      </c>
      <c r="AH222" s="320">
        <v>4.5217308733610138E-6</v>
      </c>
      <c r="AI222" s="319">
        <v>891.67327853534755</v>
      </c>
      <c r="AJ222" s="320">
        <v>2.874035375598685E-6</v>
      </c>
      <c r="AK222" s="319">
        <v>732.44299999999998</v>
      </c>
      <c r="AL222" s="319">
        <v>1769234</v>
      </c>
      <c r="AM222" s="320">
        <v>1</v>
      </c>
      <c r="AN222" s="319">
        <v>310251323.31560278</v>
      </c>
      <c r="AO222" s="320">
        <v>0.99999999999999989</v>
      </c>
      <c r="AP222" s="319">
        <v>254848289.697</v>
      </c>
    </row>
    <row r="223" spans="2:42" hidden="1" outlineLevel="1" x14ac:dyDescent="0.25">
      <c r="B223" s="318">
        <v>44440</v>
      </c>
      <c r="C223" s="319"/>
      <c r="D223" s="320"/>
      <c r="E223" s="319"/>
      <c r="F223" s="320"/>
      <c r="G223" s="319"/>
      <c r="H223" s="319"/>
      <c r="I223" s="320"/>
      <c r="J223" s="319"/>
      <c r="K223" s="320"/>
      <c r="L223" s="319"/>
      <c r="M223" s="319">
        <v>409787</v>
      </c>
      <c r="N223" s="320">
        <v>0.23001763636751452</v>
      </c>
      <c r="O223" s="319">
        <v>83833401.130563736</v>
      </c>
      <c r="P223" s="320">
        <v>0.27124837567998134</v>
      </c>
      <c r="Q223" s="319">
        <v>69673997.915999994</v>
      </c>
      <c r="R223" s="319">
        <v>181169</v>
      </c>
      <c r="S223" s="320">
        <v>0.10169201356574571</v>
      </c>
      <c r="T223" s="319">
        <v>35820221.455703586</v>
      </c>
      <c r="U223" s="320">
        <v>0.11589863652584792</v>
      </c>
      <c r="V223" s="319">
        <v>29770210.934999999</v>
      </c>
      <c r="W223" s="319">
        <v>1108270</v>
      </c>
      <c r="X223" s="320">
        <v>0.62208329170282439</v>
      </c>
      <c r="Y223" s="319">
        <v>175053701.68304625</v>
      </c>
      <c r="Z223" s="320">
        <v>0.5663975408124422</v>
      </c>
      <c r="AA223" s="319">
        <v>145487253.07300001</v>
      </c>
      <c r="AB223" s="319">
        <v>82312</v>
      </c>
      <c r="AC223" s="320">
        <v>4.6202567882053E-2</v>
      </c>
      <c r="AD223" s="319">
        <v>14356897.705115296</v>
      </c>
      <c r="AE223" s="320">
        <v>4.6452668385136155E-2</v>
      </c>
      <c r="AF223" s="319">
        <v>11932027.655999999</v>
      </c>
      <c r="AG223" s="319">
        <v>8</v>
      </c>
      <c r="AH223" s="320">
        <v>4.4904818623824473E-6</v>
      </c>
      <c r="AI223" s="319">
        <v>858.76718017307769</v>
      </c>
      <c r="AJ223" s="320">
        <v>2.7785965923825665E-6</v>
      </c>
      <c r="AK223" s="319">
        <v>713.72199999999998</v>
      </c>
      <c r="AL223" s="319">
        <v>1781546</v>
      </c>
      <c r="AM223" s="320">
        <v>1</v>
      </c>
      <c r="AN223" s="319">
        <v>309065080.74160904</v>
      </c>
      <c r="AO223" s="320">
        <v>1</v>
      </c>
      <c r="AP223" s="319">
        <v>256864203.30200002</v>
      </c>
    </row>
    <row r="224" spans="2:42" hidden="1" outlineLevel="1" x14ac:dyDescent="0.25">
      <c r="B224" s="318">
        <v>44470</v>
      </c>
      <c r="C224" s="319"/>
      <c r="D224" s="320"/>
      <c r="E224" s="319"/>
      <c r="F224" s="320"/>
      <c r="G224" s="319"/>
      <c r="H224" s="319"/>
      <c r="I224" s="320"/>
      <c r="J224" s="319"/>
      <c r="K224" s="320"/>
      <c r="L224" s="319"/>
      <c r="M224" s="319">
        <v>411102</v>
      </c>
      <c r="N224" s="320">
        <v>0.22884336413138473</v>
      </c>
      <c r="O224" s="319">
        <v>82973188.890749574</v>
      </c>
      <c r="P224" s="320">
        <v>0.2695917840516478</v>
      </c>
      <c r="Q224" s="319">
        <v>69883827.498999998</v>
      </c>
      <c r="R224" s="319">
        <v>181504</v>
      </c>
      <c r="S224" s="320">
        <v>0.1010357185401746</v>
      </c>
      <c r="T224" s="319">
        <v>35411307.283516861</v>
      </c>
      <c r="U224" s="320">
        <v>0.11505641320757699</v>
      </c>
      <c r="V224" s="319">
        <v>29825028.094000001</v>
      </c>
      <c r="W224" s="319">
        <v>1121224</v>
      </c>
      <c r="X224" s="320">
        <v>0.6241387103561834</v>
      </c>
      <c r="Y224" s="319">
        <v>175174592.78231436</v>
      </c>
      <c r="Z224" s="320">
        <v>0.56916736140980195</v>
      </c>
      <c r="AA224" s="319">
        <v>147540081.17399999</v>
      </c>
      <c r="AB224" s="319">
        <v>82592</v>
      </c>
      <c r="AC224" s="320">
        <v>4.5975527071965908E-2</v>
      </c>
      <c r="AD224" s="319">
        <v>14213166.751012255</v>
      </c>
      <c r="AE224" s="320">
        <v>4.6180616084000432E-2</v>
      </c>
      <c r="AF224" s="319">
        <v>11970981.310000001</v>
      </c>
      <c r="AG224" s="319">
        <v>12</v>
      </c>
      <c r="AH224" s="320">
        <v>6.6799002913549844E-6</v>
      </c>
      <c r="AI224" s="319">
        <v>1177.30939299543</v>
      </c>
      <c r="AJ224" s="320">
        <v>3.8252469729265236E-6</v>
      </c>
      <c r="AK224" s="319">
        <v>991.58399999999995</v>
      </c>
      <c r="AL224" s="319">
        <v>1796434</v>
      </c>
      <c r="AM224" s="320">
        <v>1</v>
      </c>
      <c r="AN224" s="319">
        <v>307773433.01698601</v>
      </c>
      <c r="AO224" s="320">
        <v>1</v>
      </c>
      <c r="AP224" s="319">
        <v>259220909.66099998</v>
      </c>
    </row>
    <row r="225" spans="2:42" hidden="1" outlineLevel="1" x14ac:dyDescent="0.25">
      <c r="B225" s="318">
        <v>44501</v>
      </c>
      <c r="C225" s="319"/>
      <c r="D225" s="320"/>
      <c r="E225" s="319"/>
      <c r="F225" s="320"/>
      <c r="G225" s="319"/>
      <c r="H225" s="319"/>
      <c r="I225" s="320"/>
      <c r="J225" s="319"/>
      <c r="K225" s="320"/>
      <c r="L225" s="319"/>
      <c r="M225" s="319">
        <v>412375</v>
      </c>
      <c r="N225" s="320">
        <v>0.22735993966105658</v>
      </c>
      <c r="O225" s="319">
        <v>82806128.676650375</v>
      </c>
      <c r="P225" s="320">
        <v>0.26786164100864363</v>
      </c>
      <c r="Q225" s="319">
        <v>70090984.503999993</v>
      </c>
      <c r="R225" s="319">
        <v>181898</v>
      </c>
      <c r="S225" s="320">
        <v>0.10028813168709759</v>
      </c>
      <c r="T225" s="319">
        <v>35313155.732349113</v>
      </c>
      <c r="U225" s="320">
        <v>0.11423115649564329</v>
      </c>
      <c r="V225" s="319">
        <v>29890708.463</v>
      </c>
      <c r="W225" s="319">
        <v>1135385</v>
      </c>
      <c r="X225" s="320">
        <v>0.62598621422750822</v>
      </c>
      <c r="Y225" s="319">
        <v>176732664.01501381</v>
      </c>
      <c r="Z225" s="320">
        <v>0.57169562397667961</v>
      </c>
      <c r="AA225" s="319">
        <v>149594801.89199999</v>
      </c>
      <c r="AB225" s="319">
        <v>84083</v>
      </c>
      <c r="AC225" s="320">
        <v>4.6358546969434665E-2</v>
      </c>
      <c r="AD225" s="319">
        <v>14284709.72685793</v>
      </c>
      <c r="AE225" s="320">
        <v>4.6208243881436808E-2</v>
      </c>
      <c r="AF225" s="319">
        <v>12091247.159</v>
      </c>
      <c r="AG225" s="319">
        <v>13</v>
      </c>
      <c r="AH225" s="320">
        <v>7.1674549029250935E-6</v>
      </c>
      <c r="AI225" s="319">
        <v>1030.8621602434671</v>
      </c>
      <c r="AJ225" s="320">
        <v>3.3346375963883576E-6</v>
      </c>
      <c r="AK225" s="319">
        <v>872.57</v>
      </c>
      <c r="AL225" s="319">
        <v>1813754</v>
      </c>
      <c r="AM225" s="320">
        <v>0.99999999999999989</v>
      </c>
      <c r="AN225" s="319">
        <v>309137689.01303154</v>
      </c>
      <c r="AO225" s="320">
        <v>0.99999999999999978</v>
      </c>
      <c r="AP225" s="319">
        <v>261668614.58799997</v>
      </c>
    </row>
    <row r="226" spans="2:42" hidden="1" outlineLevel="1" x14ac:dyDescent="0.25">
      <c r="B226" s="318">
        <v>44531</v>
      </c>
      <c r="C226" s="319"/>
      <c r="D226" s="320"/>
      <c r="E226" s="319"/>
      <c r="F226" s="320"/>
      <c r="G226" s="319"/>
      <c r="H226" s="319"/>
      <c r="I226" s="320"/>
      <c r="J226" s="319"/>
      <c r="K226" s="320"/>
      <c r="L226" s="319"/>
      <c r="M226" s="319">
        <v>413523</v>
      </c>
      <c r="N226" s="320">
        <v>0.22621880569678629</v>
      </c>
      <c r="O226" s="319">
        <v>82371545.671791047</v>
      </c>
      <c r="P226" s="320">
        <v>0.26645991864583607</v>
      </c>
      <c r="Q226" s="319">
        <v>70267951.171000004</v>
      </c>
      <c r="R226" s="319">
        <v>182087</v>
      </c>
      <c r="S226" s="320">
        <v>9.961115505766481E-2</v>
      </c>
      <c r="T226" s="319">
        <v>35077487.973264411</v>
      </c>
      <c r="U226" s="320">
        <v>0.11347054999912688</v>
      </c>
      <c r="V226" s="319">
        <v>29923236.136999998</v>
      </c>
      <c r="W226" s="319">
        <v>1147603</v>
      </c>
      <c r="X226" s="320">
        <v>0.62779913106175234</v>
      </c>
      <c r="Y226" s="319">
        <v>177473741.84053379</v>
      </c>
      <c r="Z226" s="320">
        <v>0.57410163214644594</v>
      </c>
      <c r="AA226" s="319">
        <v>151395923.484</v>
      </c>
      <c r="AB226" s="319">
        <v>84750</v>
      </c>
      <c r="AC226" s="320">
        <v>4.6362702395761873E-2</v>
      </c>
      <c r="AD226" s="319">
        <v>14208961.759593122</v>
      </c>
      <c r="AE226" s="320">
        <v>4.5963915859837667E-2</v>
      </c>
      <c r="AF226" s="319">
        <v>12121110.790999999</v>
      </c>
      <c r="AG226" s="319">
        <v>15</v>
      </c>
      <c r="AH226" s="320">
        <v>8.205788034648119E-6</v>
      </c>
      <c r="AI226" s="319">
        <v>1231.3844252294118</v>
      </c>
      <c r="AJ226" s="320">
        <v>3.9833487534123667E-6</v>
      </c>
      <c r="AK226" s="319">
        <v>1050.4459999999999</v>
      </c>
      <c r="AL226" s="319">
        <v>1827978</v>
      </c>
      <c r="AM226" s="320">
        <v>0.99999999999999989</v>
      </c>
      <c r="AN226" s="319">
        <v>309132968.62960762</v>
      </c>
      <c r="AO226" s="320">
        <v>0.99999999999999989</v>
      </c>
      <c r="AP226" s="319">
        <v>263709272.02900001</v>
      </c>
    </row>
    <row r="227" spans="2:42" collapsed="1" x14ac:dyDescent="0.25">
      <c r="B227" s="321" t="s">
        <v>703</v>
      </c>
      <c r="C227" s="322"/>
      <c r="D227" s="311"/>
      <c r="E227" s="322"/>
      <c r="F227" s="311"/>
      <c r="G227" s="322"/>
      <c r="H227" s="322"/>
      <c r="I227" s="311"/>
      <c r="J227" s="322"/>
      <c r="K227" s="311"/>
      <c r="L227" s="322"/>
      <c r="M227" s="322">
        <v>409641.58333333331</v>
      </c>
      <c r="N227" s="311">
        <v>0.23271630070150556</v>
      </c>
      <c r="O227" s="322">
        <v>83269302.425984263</v>
      </c>
      <c r="P227" s="311">
        <v>0.2756964597420884</v>
      </c>
      <c r="Q227" s="322"/>
      <c r="R227" s="322">
        <v>181116.58333333334</v>
      </c>
      <c r="S227" s="311">
        <v>0.10289185225302679</v>
      </c>
      <c r="T227" s="322">
        <v>35576633.068956494</v>
      </c>
      <c r="U227" s="311">
        <v>0.11779072840646147</v>
      </c>
      <c r="V227" s="322"/>
      <c r="W227" s="322">
        <v>1090590.25</v>
      </c>
      <c r="X227" s="311">
        <v>0.61956143830888788</v>
      </c>
      <c r="Y227" s="322">
        <v>169343302.81725058</v>
      </c>
      <c r="Z227" s="311">
        <v>0.56067899823284195</v>
      </c>
      <c r="AA227" s="322"/>
      <c r="AB227" s="322">
        <v>78904.583333333328</v>
      </c>
      <c r="AC227" s="311">
        <v>4.4825485226154822E-2</v>
      </c>
      <c r="AD227" s="322">
        <v>13842447.893145224</v>
      </c>
      <c r="AE227" s="311">
        <v>4.5830981731793452E-2</v>
      </c>
      <c r="AF227" s="322"/>
      <c r="AG227" s="322">
        <v>8.6666666666666661</v>
      </c>
      <c r="AH227" s="311">
        <v>4.923510425059911E-6</v>
      </c>
      <c r="AI227" s="322">
        <v>855.32197198160532</v>
      </c>
      <c r="AJ227" s="311">
        <v>2.8318868147665163E-6</v>
      </c>
      <c r="AK227" s="322"/>
      <c r="AL227" s="322">
        <v>1760261.6666666665</v>
      </c>
      <c r="AM227" s="311">
        <v>1</v>
      </c>
      <c r="AN227" s="322">
        <v>302032541.52730852</v>
      </c>
      <c r="AO227" s="311">
        <v>1</v>
      </c>
      <c r="AP227" s="322"/>
    </row>
    <row r="228" spans="2:42" hidden="1" outlineLevel="1" x14ac:dyDescent="0.25">
      <c r="B228" s="318">
        <v>44562</v>
      </c>
      <c r="C228" s="319"/>
      <c r="D228" s="320"/>
      <c r="E228" s="319"/>
      <c r="F228" s="320"/>
      <c r="G228" s="319"/>
      <c r="H228" s="319"/>
      <c r="I228" s="320"/>
      <c r="J228" s="319"/>
      <c r="K228" s="320"/>
      <c r="L228" s="319"/>
      <c r="M228" s="319">
        <v>414941</v>
      </c>
      <c r="N228" s="320">
        <v>0.22500393135048669</v>
      </c>
      <c r="O228" s="319">
        <v>84513781.751061961</v>
      </c>
      <c r="P228" s="320">
        <v>0.26114788278481932</v>
      </c>
      <c r="Q228" s="319">
        <v>72961356.456</v>
      </c>
      <c r="R228" s="319">
        <v>182344</v>
      </c>
      <c r="S228" s="320">
        <v>9.887698939891007E-2</v>
      </c>
      <c r="T228" s="319">
        <v>37185416.842030607</v>
      </c>
      <c r="U228" s="320">
        <v>0.11490306879617575</v>
      </c>
      <c r="V228" s="319">
        <v>32102438.170000002</v>
      </c>
      <c r="W228" s="319">
        <v>1161305</v>
      </c>
      <c r="X228" s="320">
        <v>0.6297237209554537</v>
      </c>
      <c r="Y228" s="319">
        <v>186675559.60626334</v>
      </c>
      <c r="Z228" s="320">
        <v>0.57682813558670787</v>
      </c>
      <c r="AA228" s="319">
        <v>161158355.05000001</v>
      </c>
      <c r="AB228" s="319">
        <v>85544</v>
      </c>
      <c r="AC228" s="320">
        <v>4.6386682211316865E-2</v>
      </c>
      <c r="AD228" s="319">
        <v>15248270.148949556</v>
      </c>
      <c r="AE228" s="320">
        <v>4.7117208377426577E-2</v>
      </c>
      <c r="AF228" s="319">
        <v>13163941.437999999</v>
      </c>
      <c r="AG228" s="319">
        <v>16</v>
      </c>
      <c r="AH228" s="320">
        <v>8.6760838326600331E-6</v>
      </c>
      <c r="AI228" s="319">
        <v>1198.8513446582961</v>
      </c>
      <c r="AJ228" s="320">
        <v>3.7044548704899686E-6</v>
      </c>
      <c r="AK228" s="319">
        <v>1034.9770000000001</v>
      </c>
      <c r="AL228" s="319">
        <v>1844150</v>
      </c>
      <c r="AM228" s="320">
        <v>1</v>
      </c>
      <c r="AN228" s="319">
        <v>323624227.19965011</v>
      </c>
      <c r="AO228" s="320">
        <v>1</v>
      </c>
      <c r="AP228" s="319">
        <v>279387126.09100002</v>
      </c>
    </row>
    <row r="229" spans="2:42" hidden="1" outlineLevel="1" x14ac:dyDescent="0.25">
      <c r="B229" s="318">
        <v>44593</v>
      </c>
      <c r="C229" s="319">
        <v>415749</v>
      </c>
      <c r="D229" s="320">
        <v>0.22408092911749361</v>
      </c>
      <c r="E229" s="319">
        <v>88729775.728215292</v>
      </c>
      <c r="F229" s="320">
        <v>0.23857327342571816</v>
      </c>
      <c r="G229" s="319">
        <v>76822687.174999997</v>
      </c>
      <c r="H229" s="319">
        <v>857471</v>
      </c>
      <c r="I229" s="320">
        <v>0.46216081907907502</v>
      </c>
      <c r="J229" s="319">
        <v>165605805.88598627</v>
      </c>
      <c r="K229" s="320">
        <v>0.44527464297377067</v>
      </c>
      <c r="L229" s="319">
        <v>143382341.67199999</v>
      </c>
      <c r="M229" s="319"/>
      <c r="N229" s="320"/>
      <c r="O229" s="319"/>
      <c r="P229" s="320"/>
      <c r="Q229" s="319"/>
      <c r="R229" s="319">
        <v>182599</v>
      </c>
      <c r="S229" s="320">
        <v>9.8417443159033974E-2</v>
      </c>
      <c r="T229" s="319">
        <v>39006165.907079205</v>
      </c>
      <c r="U229" s="320">
        <v>0.10487830728596512</v>
      </c>
      <c r="V229" s="319">
        <v>33771735.100000001</v>
      </c>
      <c r="W229" s="319">
        <v>313314</v>
      </c>
      <c r="X229" s="320">
        <v>0.16887038146939234</v>
      </c>
      <c r="Y229" s="319">
        <v>62461819.963986218</v>
      </c>
      <c r="Z229" s="320">
        <v>0.16794498499106933</v>
      </c>
      <c r="AA229" s="319">
        <v>54079758.638999999</v>
      </c>
      <c r="AB229" s="319">
        <v>86219</v>
      </c>
      <c r="AC229" s="320">
        <v>4.6470427175005068E-2</v>
      </c>
      <c r="AD229" s="319">
        <v>16114772.126408216</v>
      </c>
      <c r="AE229" s="320">
        <v>4.3328791323476709E-2</v>
      </c>
      <c r="AF229" s="319">
        <v>13952250.953</v>
      </c>
      <c r="AG229" s="319"/>
      <c r="AH229" s="320"/>
      <c r="AI229" s="319"/>
      <c r="AJ229" s="320"/>
      <c r="AK229" s="319"/>
      <c r="AL229" s="319">
        <v>1855352</v>
      </c>
      <c r="AM229" s="320">
        <v>1</v>
      </c>
      <c r="AN229" s="319">
        <v>371918339.6116752</v>
      </c>
      <c r="AO229" s="320">
        <v>1</v>
      </c>
      <c r="AP229" s="319">
        <v>322008773.53899997</v>
      </c>
    </row>
    <row r="230" spans="2:42" hidden="1" outlineLevel="1" x14ac:dyDescent="0.25">
      <c r="B230" s="318">
        <v>44621</v>
      </c>
      <c r="C230" s="319">
        <v>420201</v>
      </c>
      <c r="D230" s="320">
        <v>0.22056047000998871</v>
      </c>
      <c r="E230" s="319">
        <v>87939860.512524813</v>
      </c>
      <c r="F230" s="320">
        <v>0.22413112352385661</v>
      </c>
      <c r="G230" s="319">
        <v>77550773.550999999</v>
      </c>
      <c r="H230" s="319">
        <v>897756</v>
      </c>
      <c r="I230" s="320">
        <v>0.47122564038231091</v>
      </c>
      <c r="J230" s="319">
        <v>188008674.67850062</v>
      </c>
      <c r="K230" s="320">
        <v>0.47917514585916382</v>
      </c>
      <c r="L230" s="319">
        <v>165797603.847</v>
      </c>
      <c r="M230" s="319"/>
      <c r="N230" s="320"/>
      <c r="O230" s="319"/>
      <c r="P230" s="320"/>
      <c r="Q230" s="319"/>
      <c r="R230" s="319">
        <v>182858</v>
      </c>
      <c r="S230" s="320">
        <v>9.5980843513191347E-2</v>
      </c>
      <c r="T230" s="319">
        <v>38349208.893319853</v>
      </c>
      <c r="U230" s="320">
        <v>9.7740105856623197E-2</v>
      </c>
      <c r="V230" s="319">
        <v>33818689.243000001</v>
      </c>
      <c r="W230" s="319">
        <v>316664</v>
      </c>
      <c r="X230" s="320">
        <v>0.16621464650308559</v>
      </c>
      <c r="Y230" s="319">
        <v>62113520.8419367</v>
      </c>
      <c r="Z230" s="320">
        <v>0.15830788371949919</v>
      </c>
      <c r="AA230" s="319">
        <v>54775520.011</v>
      </c>
      <c r="AB230" s="319">
        <v>87672</v>
      </c>
      <c r="AC230" s="320">
        <v>4.601839959142346E-2</v>
      </c>
      <c r="AD230" s="319">
        <v>15947721.768238576</v>
      </c>
      <c r="AE230" s="320">
        <v>4.0645741040857088E-2</v>
      </c>
      <c r="AF230" s="319">
        <v>14063681.16</v>
      </c>
      <c r="AG230" s="319"/>
      <c r="AH230" s="320"/>
      <c r="AI230" s="319"/>
      <c r="AJ230" s="320"/>
      <c r="AK230" s="319"/>
      <c r="AL230" s="319">
        <v>1905151</v>
      </c>
      <c r="AM230" s="320">
        <v>1</v>
      </c>
      <c r="AN230" s="319">
        <v>392358986.69452059</v>
      </c>
      <c r="AO230" s="320">
        <v>0.99999999999999989</v>
      </c>
      <c r="AP230" s="319">
        <v>346006267.81200004</v>
      </c>
    </row>
    <row r="231" spans="2:42" hidden="1" outlineLevel="1" x14ac:dyDescent="0.25">
      <c r="B231" s="318">
        <v>44652</v>
      </c>
      <c r="C231" s="319">
        <v>422364</v>
      </c>
      <c r="D231" s="320">
        <v>0.21851921984472639</v>
      </c>
      <c r="E231" s="319">
        <v>87103228.331669092</v>
      </c>
      <c r="F231" s="320">
        <v>0.22168081950708321</v>
      </c>
      <c r="G231" s="319">
        <v>77887039.350999996</v>
      </c>
      <c r="H231" s="319">
        <v>927426</v>
      </c>
      <c r="I231" s="320">
        <v>0.47982405220074442</v>
      </c>
      <c r="J231" s="319">
        <v>191492771.4456391</v>
      </c>
      <c r="K231" s="320">
        <v>0.48735592602964106</v>
      </c>
      <c r="L231" s="319">
        <v>171231368.92500001</v>
      </c>
      <c r="M231" s="319"/>
      <c r="N231" s="320"/>
      <c r="O231" s="319"/>
      <c r="P231" s="320"/>
      <c r="Q231" s="319"/>
      <c r="R231" s="319">
        <v>182742</v>
      </c>
      <c r="S231" s="320">
        <v>9.4545556138461107E-2</v>
      </c>
      <c r="T231" s="319">
        <v>37796194.918407552</v>
      </c>
      <c r="U231" s="320">
        <v>9.619266270887121E-2</v>
      </c>
      <c r="V231" s="319">
        <v>33797067.884999998</v>
      </c>
      <c r="W231" s="319">
        <v>311879</v>
      </c>
      <c r="X231" s="320">
        <v>0.16135739733015461</v>
      </c>
      <c r="Y231" s="319">
        <v>60757395.231310718</v>
      </c>
      <c r="Z231" s="320">
        <v>0.15462973559035958</v>
      </c>
      <c r="AA231" s="319">
        <v>54328797.266000003</v>
      </c>
      <c r="AB231" s="319">
        <v>88435</v>
      </c>
      <c r="AC231" s="320">
        <v>4.5753774485913515E-2</v>
      </c>
      <c r="AD231" s="319">
        <v>15772217.7663357</v>
      </c>
      <c r="AE231" s="320">
        <v>4.0140856164044739E-2</v>
      </c>
      <c r="AF231" s="319">
        <v>14103396.273</v>
      </c>
      <c r="AG231" s="319"/>
      <c r="AH231" s="320"/>
      <c r="AI231" s="319"/>
      <c r="AJ231" s="320"/>
      <c r="AK231" s="319"/>
      <c r="AL231" s="319">
        <v>1932846</v>
      </c>
      <c r="AM231" s="320">
        <v>1</v>
      </c>
      <c r="AN231" s="319">
        <v>392921807.69336224</v>
      </c>
      <c r="AO231" s="320">
        <v>0.99999999999999967</v>
      </c>
      <c r="AP231" s="319">
        <v>351347669.70000005</v>
      </c>
    </row>
    <row r="232" spans="2:42" hidden="1" outlineLevel="1" x14ac:dyDescent="0.25">
      <c r="B232" s="318">
        <v>44682</v>
      </c>
      <c r="C232" s="319">
        <v>425810</v>
      </c>
      <c r="D232" s="320">
        <v>0.21732173834934287</v>
      </c>
      <c r="E232" s="319">
        <v>86716699.049762368</v>
      </c>
      <c r="F232" s="320">
        <v>0.21765323912180198</v>
      </c>
      <c r="G232" s="319">
        <v>78471016.553000003</v>
      </c>
      <c r="H232" s="319">
        <v>1083427</v>
      </c>
      <c r="I232" s="320">
        <v>0.55295140793925346</v>
      </c>
      <c r="J232" s="319">
        <v>221032391.24033454</v>
      </c>
      <c r="K232" s="320">
        <v>0.55477683573597769</v>
      </c>
      <c r="L232" s="319">
        <v>200014952.389</v>
      </c>
      <c r="M232" s="319"/>
      <c r="N232" s="320"/>
      <c r="O232" s="319"/>
      <c r="P232" s="320"/>
      <c r="Q232" s="319"/>
      <c r="R232" s="319">
        <v>183254</v>
      </c>
      <c r="S232" s="320">
        <v>9.3527812497288643E-2</v>
      </c>
      <c r="T232" s="319">
        <v>37451375.438383371</v>
      </c>
      <c r="U232" s="320">
        <v>9.4000501207421996E-2</v>
      </c>
      <c r="V232" s="319">
        <v>33890214.159000002</v>
      </c>
      <c r="W232" s="319">
        <v>177591</v>
      </c>
      <c r="X232" s="320">
        <v>9.0637572708950356E-2</v>
      </c>
      <c r="Y232" s="319">
        <v>37607445.910472848</v>
      </c>
      <c r="Z232" s="320">
        <v>9.4392227877760901E-2</v>
      </c>
      <c r="AA232" s="319">
        <v>34031444.265000001</v>
      </c>
      <c r="AB232" s="319">
        <v>89271</v>
      </c>
      <c r="AC232" s="320">
        <v>4.5561468505164716E-2</v>
      </c>
      <c r="AD232" s="319">
        <v>15608851.647691201</v>
      </c>
      <c r="AE232" s="320">
        <v>3.9177196057037594E-2</v>
      </c>
      <c r="AF232" s="319">
        <v>14124643.459000001</v>
      </c>
      <c r="AG232" s="319"/>
      <c r="AH232" s="320"/>
      <c r="AI232" s="319"/>
      <c r="AJ232" s="320"/>
      <c r="AK232" s="319"/>
      <c r="AL232" s="319">
        <v>1959353</v>
      </c>
      <c r="AM232" s="320">
        <v>1</v>
      </c>
      <c r="AN232" s="319">
        <v>398416763.28664428</v>
      </c>
      <c r="AO232" s="320">
        <v>1.0000000000000002</v>
      </c>
      <c r="AP232" s="319">
        <v>360532270.82499999</v>
      </c>
    </row>
    <row r="233" spans="2:42" hidden="1" outlineLevel="1" x14ac:dyDescent="0.25">
      <c r="B233" s="318">
        <v>44713</v>
      </c>
      <c r="C233" s="319">
        <v>426359</v>
      </c>
      <c r="D233" s="320">
        <v>0.2155740970702564</v>
      </c>
      <c r="E233" s="319">
        <v>86003548.964205354</v>
      </c>
      <c r="F233" s="320">
        <v>0.21594644405051636</v>
      </c>
      <c r="G233" s="319">
        <v>78551504.127000004</v>
      </c>
      <c r="H233" s="319">
        <v>1102129</v>
      </c>
      <c r="I233" s="320">
        <v>0.55725448279488554</v>
      </c>
      <c r="J233" s="319">
        <v>222719959.81024525</v>
      </c>
      <c r="K233" s="320">
        <v>0.55922789139915308</v>
      </c>
      <c r="L233" s="319">
        <v>203421696.58000001</v>
      </c>
      <c r="M233" s="319"/>
      <c r="N233" s="320"/>
      <c r="O233" s="319"/>
      <c r="P233" s="320"/>
      <c r="Q233" s="319"/>
      <c r="R233" s="319">
        <v>184170</v>
      </c>
      <c r="S233" s="320">
        <v>9.3119369961532708E-2</v>
      </c>
      <c r="T233" s="319">
        <v>37290130.168746345</v>
      </c>
      <c r="U233" s="320">
        <v>9.3631845488994558E-2</v>
      </c>
      <c r="V233" s="319">
        <v>34059010.925999999</v>
      </c>
      <c r="W233" s="319">
        <v>174924</v>
      </c>
      <c r="X233" s="320">
        <v>8.8444440848950132E-2</v>
      </c>
      <c r="Y233" s="319">
        <v>36728087.9758678</v>
      </c>
      <c r="Z233" s="320">
        <v>9.2220612878012531E-2</v>
      </c>
      <c r="AA233" s="319">
        <v>33545668.625999998</v>
      </c>
      <c r="AB233" s="319">
        <v>90202</v>
      </c>
      <c r="AC233" s="320">
        <v>4.5607609324375159E-2</v>
      </c>
      <c r="AD233" s="319">
        <v>15521598.704794787</v>
      </c>
      <c r="AE233" s="320">
        <v>3.8973206183323512E-2</v>
      </c>
      <c r="AF233" s="319">
        <v>14176681.537</v>
      </c>
      <c r="AG233" s="319"/>
      <c r="AH233" s="320"/>
      <c r="AI233" s="319"/>
      <c r="AJ233" s="320"/>
      <c r="AK233" s="319"/>
      <c r="AL233" s="319">
        <v>1977784</v>
      </c>
      <c r="AM233" s="320">
        <v>1</v>
      </c>
      <c r="AN233" s="319">
        <v>398263325.62385952</v>
      </c>
      <c r="AO233" s="320">
        <v>1</v>
      </c>
      <c r="AP233" s="319">
        <v>363754561.796</v>
      </c>
    </row>
    <row r="234" spans="2:42" hidden="1" outlineLevel="1" x14ac:dyDescent="0.25">
      <c r="B234" s="318">
        <v>44743</v>
      </c>
      <c r="C234" s="319">
        <v>427515</v>
      </c>
      <c r="D234" s="320">
        <v>0.2140233169596639</v>
      </c>
      <c r="E234" s="319">
        <v>89166968.838223517</v>
      </c>
      <c r="F234" s="320">
        <v>0.21331631981044435</v>
      </c>
      <c r="G234" s="319">
        <v>82560432.583000004</v>
      </c>
      <c r="H234" s="319">
        <v>1120062</v>
      </c>
      <c r="I234" s="320">
        <v>0.5607274234599372</v>
      </c>
      <c r="J234" s="319">
        <v>234058015.54853386</v>
      </c>
      <c r="K234" s="320">
        <v>0.55994271364696235</v>
      </c>
      <c r="L234" s="319">
        <v>216716248.90900001</v>
      </c>
      <c r="M234" s="319"/>
      <c r="N234" s="320"/>
      <c r="O234" s="319"/>
      <c r="P234" s="320"/>
      <c r="Q234" s="319"/>
      <c r="R234" s="319">
        <v>184681</v>
      </c>
      <c r="S234" s="320">
        <v>9.2455329519262927E-2</v>
      </c>
      <c r="T234" s="319">
        <v>38664569.551719777</v>
      </c>
      <c r="U234" s="320">
        <v>9.2498195142103098E-2</v>
      </c>
      <c r="V234" s="319">
        <v>35799844.151000001</v>
      </c>
      <c r="W234" s="319">
        <v>174528</v>
      </c>
      <c r="X234" s="320">
        <v>8.7372516665698799E-2</v>
      </c>
      <c r="Y234" s="319">
        <v>39953075.438405983</v>
      </c>
      <c r="Z234" s="320">
        <v>9.5580719280617607E-2</v>
      </c>
      <c r="AA234" s="319">
        <v>36992882.388999999</v>
      </c>
      <c r="AB234" s="319">
        <v>90730</v>
      </c>
      <c r="AC234" s="320">
        <v>4.5421413395437135E-2</v>
      </c>
      <c r="AD234" s="319">
        <v>16160873.20303403</v>
      </c>
      <c r="AE234" s="320">
        <v>3.8662052119872531E-2</v>
      </c>
      <c r="AF234" s="319">
        <v>14963485.918</v>
      </c>
      <c r="AG234" s="319"/>
      <c r="AH234" s="320"/>
      <c r="AI234" s="319"/>
      <c r="AJ234" s="320"/>
      <c r="AK234" s="319"/>
      <c r="AL234" s="319">
        <v>1997516</v>
      </c>
      <c r="AM234" s="320">
        <v>1</v>
      </c>
      <c r="AN234" s="319">
        <v>418003502.57991719</v>
      </c>
      <c r="AO234" s="320">
        <v>1</v>
      </c>
      <c r="AP234" s="319">
        <v>387032893.94999999</v>
      </c>
    </row>
    <row r="235" spans="2:42" hidden="1" outlineLevel="1" x14ac:dyDescent="0.25">
      <c r="B235" s="318">
        <v>44774</v>
      </c>
      <c r="C235" s="319">
        <v>432035</v>
      </c>
      <c r="D235" s="320">
        <v>0.20757560761394833</v>
      </c>
      <c r="E235" s="319">
        <v>89015621.0833406</v>
      </c>
      <c r="F235" s="320">
        <v>0.20746089589048333</v>
      </c>
      <c r="G235" s="319">
        <v>83418344.5</v>
      </c>
      <c r="H235" s="319">
        <v>1198254</v>
      </c>
      <c r="I235" s="320">
        <v>0.57571331518475133</v>
      </c>
      <c r="J235" s="319">
        <v>246231959.91279149</v>
      </c>
      <c r="K235" s="320">
        <v>0.57387121921612527</v>
      </c>
      <c r="L235" s="319">
        <v>230748965.28200001</v>
      </c>
      <c r="M235" s="319"/>
      <c r="N235" s="320"/>
      <c r="O235" s="319"/>
      <c r="P235" s="320"/>
      <c r="Q235" s="319"/>
      <c r="R235" s="319">
        <v>185109</v>
      </c>
      <c r="S235" s="320">
        <v>8.8937500780747775E-2</v>
      </c>
      <c r="T235" s="319">
        <v>38289786.302680291</v>
      </c>
      <c r="U235" s="320">
        <v>8.9238644556240393E-2</v>
      </c>
      <c r="V235" s="319">
        <v>35882135.582000002</v>
      </c>
      <c r="W235" s="319">
        <v>174548</v>
      </c>
      <c r="X235" s="320">
        <v>8.3863360972605119E-2</v>
      </c>
      <c r="Y235" s="319">
        <v>39509952.236741878</v>
      </c>
      <c r="Z235" s="320">
        <v>9.2082378214835739E-2</v>
      </c>
      <c r="AA235" s="319">
        <v>37025577.833999999</v>
      </c>
      <c r="AB235" s="319">
        <v>91392</v>
      </c>
      <c r="AC235" s="320">
        <v>4.3910215447947425E-2</v>
      </c>
      <c r="AD235" s="319">
        <v>16024485.544913085</v>
      </c>
      <c r="AE235" s="320">
        <v>3.7346862122315125E-2</v>
      </c>
      <c r="AF235" s="319">
        <v>15016870.515000001</v>
      </c>
      <c r="AG235" s="319"/>
      <c r="AH235" s="320"/>
      <c r="AI235" s="319"/>
      <c r="AJ235" s="320"/>
      <c r="AK235" s="319"/>
      <c r="AL235" s="319">
        <v>2081338</v>
      </c>
      <c r="AM235" s="320">
        <v>1</v>
      </c>
      <c r="AN235" s="319">
        <v>429071805.0804674</v>
      </c>
      <c r="AO235" s="320">
        <v>0.99999999999999989</v>
      </c>
      <c r="AP235" s="319">
        <v>402091893.713</v>
      </c>
    </row>
    <row r="236" spans="2:42" hidden="1" outlineLevel="1" x14ac:dyDescent="0.25">
      <c r="B236" s="318">
        <v>44805</v>
      </c>
      <c r="C236" s="319">
        <v>431499</v>
      </c>
      <c r="D236" s="320">
        <v>0.20403455024581138</v>
      </c>
      <c r="E236" s="319">
        <v>88129453.085210919</v>
      </c>
      <c r="F236" s="320">
        <v>0.20418217154666921</v>
      </c>
      <c r="G236" s="319">
        <v>83301888.025999993</v>
      </c>
      <c r="H236" s="319">
        <v>1232196</v>
      </c>
      <c r="I236" s="320">
        <v>0.58264458706668565</v>
      </c>
      <c r="J236" s="319">
        <v>250530822.12547624</v>
      </c>
      <c r="K236" s="320">
        <v>0.58044076651073928</v>
      </c>
      <c r="L236" s="319">
        <v>236807216.66999999</v>
      </c>
      <c r="M236" s="319"/>
      <c r="N236" s="320"/>
      <c r="O236" s="319"/>
      <c r="P236" s="320"/>
      <c r="Q236" s="319"/>
      <c r="R236" s="319">
        <v>185298</v>
      </c>
      <c r="S236" s="320">
        <v>8.7618265839430345E-2</v>
      </c>
      <c r="T236" s="319">
        <v>37998166.651935771</v>
      </c>
      <c r="U236" s="320">
        <v>8.8035814477174415E-2</v>
      </c>
      <c r="V236" s="319">
        <v>35916698.82</v>
      </c>
      <c r="W236" s="319">
        <v>173941</v>
      </c>
      <c r="X236" s="320">
        <v>8.2248101859579453E-2</v>
      </c>
      <c r="Y236" s="319">
        <v>39058566.539852425</v>
      </c>
      <c r="Z236" s="320">
        <v>9.0492595317665084E-2</v>
      </c>
      <c r="AA236" s="319">
        <v>36919012.004000001</v>
      </c>
      <c r="AB236" s="319">
        <v>91899</v>
      </c>
      <c r="AC236" s="320">
        <v>4.3454494988493179E-2</v>
      </c>
      <c r="AD236" s="319">
        <v>15904677.358014653</v>
      </c>
      <c r="AE236" s="320">
        <v>3.6848652147752077E-2</v>
      </c>
      <c r="AF236" s="319">
        <v>15033449.159</v>
      </c>
      <c r="AG236" s="319"/>
      <c r="AH236" s="320"/>
      <c r="AI236" s="319"/>
      <c r="AJ236" s="320"/>
      <c r="AK236" s="319"/>
      <c r="AL236" s="319">
        <v>2114833</v>
      </c>
      <c r="AM236" s="320">
        <v>1</v>
      </c>
      <c r="AN236" s="319">
        <v>431621685.76049</v>
      </c>
      <c r="AO236" s="320">
        <v>1</v>
      </c>
      <c r="AP236" s="319">
        <v>407978264.67899996</v>
      </c>
    </row>
    <row r="237" spans="2:42" hidden="1" outlineLevel="1" x14ac:dyDescent="0.25">
      <c r="B237" s="318">
        <v>44835</v>
      </c>
      <c r="C237" s="319">
        <v>432104</v>
      </c>
      <c r="D237" s="320">
        <v>0.20257005150697879</v>
      </c>
      <c r="E237" s="319">
        <v>87791689.393396735</v>
      </c>
      <c r="F237" s="320">
        <v>0.20286291169445311</v>
      </c>
      <c r="G237" s="319">
        <v>83411697.616999999</v>
      </c>
      <c r="H237" s="319">
        <v>1250284</v>
      </c>
      <c r="I237" s="320">
        <v>0.58613226047051514</v>
      </c>
      <c r="J237" s="319">
        <v>252604044.26693627</v>
      </c>
      <c r="K237" s="320">
        <v>0.58369980438762969</v>
      </c>
      <c r="L237" s="319">
        <v>240001443.22099999</v>
      </c>
      <c r="M237" s="319"/>
      <c r="N237" s="320"/>
      <c r="O237" s="319"/>
      <c r="P237" s="320"/>
      <c r="Q237" s="319"/>
      <c r="R237" s="319">
        <v>185393</v>
      </c>
      <c r="S237" s="320">
        <v>8.6912108101367541E-2</v>
      </c>
      <c r="T237" s="319">
        <v>37821844.219283722</v>
      </c>
      <c r="U237" s="320">
        <v>8.7396079252975573E-2</v>
      </c>
      <c r="V237" s="319">
        <v>35934884.670000002</v>
      </c>
      <c r="W237" s="319">
        <v>173208</v>
      </c>
      <c r="X237" s="320">
        <v>8.1199788665276829E-2</v>
      </c>
      <c r="Y237" s="319">
        <v>38717954.777292907</v>
      </c>
      <c r="Z237" s="320">
        <v>8.9466749019714992E-2</v>
      </c>
      <c r="AA237" s="319">
        <v>36786287.615000002</v>
      </c>
      <c r="AB237" s="319">
        <v>92120</v>
      </c>
      <c r="AC237" s="320">
        <v>4.318579125586175E-2</v>
      </c>
      <c r="AD237" s="319">
        <v>15828094.070613202</v>
      </c>
      <c r="AE237" s="320">
        <v>3.6574455645226635E-2</v>
      </c>
      <c r="AF237" s="319">
        <v>15038418.847999999</v>
      </c>
      <c r="AG237" s="319"/>
      <c r="AH237" s="320"/>
      <c r="AI237" s="319"/>
      <c r="AJ237" s="320"/>
      <c r="AK237" s="319"/>
      <c r="AL237" s="319">
        <v>2133109</v>
      </c>
      <c r="AM237" s="320">
        <v>1</v>
      </c>
      <c r="AN237" s="319">
        <v>432763626.72752285</v>
      </c>
      <c r="AO237" s="320">
        <v>1</v>
      </c>
      <c r="AP237" s="319">
        <v>411172731.97100002</v>
      </c>
    </row>
    <row r="238" spans="2:42" hidden="1" outlineLevel="1" x14ac:dyDescent="0.25">
      <c r="B238" s="318">
        <v>44866</v>
      </c>
      <c r="C238" s="319">
        <v>449028</v>
      </c>
      <c r="D238" s="320">
        <v>0.20524095110679222</v>
      </c>
      <c r="E238" s="319">
        <v>90314335.088855296</v>
      </c>
      <c r="F238" s="320">
        <v>0.2057520939666993</v>
      </c>
      <c r="G238" s="319">
        <v>86645329.694000006</v>
      </c>
      <c r="H238" s="319">
        <v>1288292</v>
      </c>
      <c r="I238" s="320">
        <v>0.58885030640243274</v>
      </c>
      <c r="J238" s="319">
        <v>257223085.70528552</v>
      </c>
      <c r="K238" s="320">
        <v>0.5859998686628104</v>
      </c>
      <c r="L238" s="319">
        <v>246773439.05500001</v>
      </c>
      <c r="M238" s="319"/>
      <c r="N238" s="320"/>
      <c r="O238" s="319"/>
      <c r="P238" s="320"/>
      <c r="Q238" s="319"/>
      <c r="R238" s="319">
        <v>185356</v>
      </c>
      <c r="S238" s="320">
        <v>8.4722203812124364E-2</v>
      </c>
      <c r="T238" s="319">
        <v>37448516.842571199</v>
      </c>
      <c r="U238" s="320">
        <v>8.5314371729865432E-2</v>
      </c>
      <c r="V238" s="319">
        <v>35927176.844999999</v>
      </c>
      <c r="W238" s="319">
        <v>172557</v>
      </c>
      <c r="X238" s="320">
        <v>7.8872058758328534E-2</v>
      </c>
      <c r="Y238" s="319">
        <v>38233406.8316397</v>
      </c>
      <c r="Z238" s="320">
        <v>8.7102490511069552E-2</v>
      </c>
      <c r="AA238" s="319">
        <v>36680180.803999998</v>
      </c>
      <c r="AB238" s="319">
        <v>92576</v>
      </c>
      <c r="AC238" s="320">
        <v>4.2314479920322112E-2</v>
      </c>
      <c r="AD238" s="319">
        <v>15727999.141539101</v>
      </c>
      <c r="AE238" s="320">
        <v>3.5831175129555339E-2</v>
      </c>
      <c r="AF238" s="319">
        <v>15089051.696</v>
      </c>
      <c r="AG238" s="319"/>
      <c r="AH238" s="320"/>
      <c r="AI238" s="319"/>
      <c r="AJ238" s="320"/>
      <c r="AK238" s="319"/>
      <c r="AL238" s="319">
        <v>2187809</v>
      </c>
      <c r="AM238" s="320">
        <v>1</v>
      </c>
      <c r="AN238" s="319">
        <v>438947343.60989082</v>
      </c>
      <c r="AO238" s="320">
        <v>1</v>
      </c>
      <c r="AP238" s="319">
        <v>421115178.09399998</v>
      </c>
    </row>
    <row r="239" spans="2:42" hidden="1" outlineLevel="1" x14ac:dyDescent="0.25">
      <c r="B239" s="318">
        <v>44896</v>
      </c>
      <c r="C239" s="319">
        <v>454908</v>
      </c>
      <c r="D239" s="320">
        <v>0.20508182841954073</v>
      </c>
      <c r="E239" s="319">
        <v>91243710.524245456</v>
      </c>
      <c r="F239" s="320">
        <v>0.20588053148810606</v>
      </c>
      <c r="G239" s="319">
        <v>87785234.466000006</v>
      </c>
      <c r="H239" s="319">
        <v>1312809</v>
      </c>
      <c r="I239" s="320">
        <v>0.59184114169376845</v>
      </c>
      <c r="J239" s="319">
        <v>260808778.17439166</v>
      </c>
      <c r="K239" s="320">
        <v>0.58848384791452835</v>
      </c>
      <c r="L239" s="319">
        <v>250923155.26499999</v>
      </c>
      <c r="M239" s="319"/>
      <c r="N239" s="320"/>
      <c r="O239" s="319"/>
      <c r="P239" s="320"/>
      <c r="Q239" s="319"/>
      <c r="R239" s="319">
        <v>185584</v>
      </c>
      <c r="S239" s="320">
        <v>8.366506204641827E-2</v>
      </c>
      <c r="T239" s="319">
        <v>37387134.825151175</v>
      </c>
      <c r="U239" s="320">
        <v>8.4359602918321328E-2</v>
      </c>
      <c r="V239" s="319">
        <v>35970023.333999999</v>
      </c>
      <c r="W239" s="319">
        <v>172179</v>
      </c>
      <c r="X239" s="320">
        <v>7.7621813939187934E-2</v>
      </c>
      <c r="Y239" s="319">
        <v>38082492.757541411</v>
      </c>
      <c r="Z239" s="320">
        <v>8.5928595015118306E-2</v>
      </c>
      <c r="AA239" s="319">
        <v>36639024.614</v>
      </c>
      <c r="AB239" s="319">
        <v>92698</v>
      </c>
      <c r="AC239" s="320">
        <v>4.1790153901084585E-2</v>
      </c>
      <c r="AD239" s="319">
        <v>15665541.4575308</v>
      </c>
      <c r="AE239" s="320">
        <v>3.534742266392582E-2</v>
      </c>
      <c r="AF239" s="319">
        <v>15071759.16</v>
      </c>
      <c r="AG239" s="319"/>
      <c r="AH239" s="320"/>
      <c r="AI239" s="319"/>
      <c r="AJ239" s="320"/>
      <c r="AK239" s="319"/>
      <c r="AL239" s="319">
        <v>2218178</v>
      </c>
      <c r="AM239" s="320">
        <v>1</v>
      </c>
      <c r="AN239" s="319">
        <v>443187657.73886055</v>
      </c>
      <c r="AO239" s="320">
        <v>0.99999999999999978</v>
      </c>
      <c r="AP239" s="319">
        <v>426389196.83900005</v>
      </c>
    </row>
    <row r="240" spans="2:42" collapsed="1" x14ac:dyDescent="0.25">
      <c r="B240" s="321" t="s">
        <v>704</v>
      </c>
      <c r="C240" s="322">
        <v>430688.36363636365</v>
      </c>
      <c r="D240" s="311">
        <v>0.17046782653232118</v>
      </c>
      <c r="E240" s="322">
        <v>88377717.327240855</v>
      </c>
      <c r="F240" s="311">
        <v>0.17341619122761037</v>
      </c>
      <c r="G240" s="322"/>
      <c r="H240" s="322">
        <v>1115464.1818181819</v>
      </c>
      <c r="I240" s="311">
        <v>0.44150427711519596</v>
      </c>
      <c r="J240" s="322">
        <v>226392391.70855644</v>
      </c>
      <c r="K240" s="311">
        <v>0.44423082514834167</v>
      </c>
      <c r="L240" s="322"/>
      <c r="M240" s="322">
        <v>414941</v>
      </c>
      <c r="N240" s="311">
        <v>0.16423496983278071</v>
      </c>
      <c r="O240" s="322">
        <v>84513781.751061961</v>
      </c>
      <c r="P240" s="311">
        <v>0.16583431413195393</v>
      </c>
      <c r="Q240" s="322"/>
      <c r="R240" s="322">
        <v>184115.66666666666</v>
      </c>
      <c r="S240" s="311">
        <v>7.2873567472827E-2</v>
      </c>
      <c r="T240" s="322">
        <v>37890709.213442408</v>
      </c>
      <c r="U240" s="311">
        <v>7.4349764549562034E-2</v>
      </c>
      <c r="V240" s="322"/>
      <c r="W240" s="322">
        <v>291386.5</v>
      </c>
      <c r="X240" s="311">
        <v>0.11533170507898607</v>
      </c>
      <c r="Y240" s="322">
        <v>56658273.175942667</v>
      </c>
      <c r="Z240" s="311">
        <v>0.11117578313687604</v>
      </c>
      <c r="AA240" s="322"/>
      <c r="AB240" s="322">
        <v>89896.5</v>
      </c>
      <c r="AC240" s="311">
        <v>3.5581321116911979E-2</v>
      </c>
      <c r="AD240" s="322">
        <v>15793758.578171909</v>
      </c>
      <c r="AE240" s="311">
        <v>3.0990769400091267E-2</v>
      </c>
      <c r="AF240" s="322"/>
      <c r="AG240" s="322">
        <v>16</v>
      </c>
      <c r="AH240" s="311">
        <v>6.3328509771858927E-6</v>
      </c>
      <c r="AI240" s="322">
        <v>1198.8513446582961</v>
      </c>
      <c r="AJ240" s="311">
        <v>2.3524055647300517E-6</v>
      </c>
      <c r="AK240" s="322"/>
      <c r="AL240" s="322">
        <v>2526508.2121212119</v>
      </c>
      <c r="AM240" s="311">
        <v>1.0000000000000002</v>
      </c>
      <c r="AN240" s="322">
        <v>509627830.60576087</v>
      </c>
      <c r="AO240" s="311">
        <v>0.99999999999999989</v>
      </c>
      <c r="AP240" s="322"/>
    </row>
    <row r="241" spans="2:42" hidden="1" outlineLevel="1" x14ac:dyDescent="0.25">
      <c r="B241" s="318">
        <v>44927</v>
      </c>
      <c r="C241" s="319">
        <v>457306</v>
      </c>
      <c r="D241" s="320">
        <v>0.20381334988895816</v>
      </c>
      <c r="E241" s="319">
        <v>91131623.714985788</v>
      </c>
      <c r="F241" s="320">
        <v>0.20500183171815831</v>
      </c>
      <c r="G241" s="319">
        <v>88383295.365999997</v>
      </c>
      <c r="H241" s="319">
        <v>1335289</v>
      </c>
      <c r="I241" s="320">
        <v>0.59511513988418485</v>
      </c>
      <c r="J241" s="319">
        <v>262904984.30600429</v>
      </c>
      <c r="K241" s="320">
        <v>0.59140835149743765</v>
      </c>
      <c r="L241" s="319">
        <v>254976351.06099999</v>
      </c>
      <c r="M241" s="319"/>
      <c r="N241" s="320"/>
      <c r="O241" s="319"/>
      <c r="P241" s="320"/>
      <c r="Q241" s="319"/>
      <c r="R241" s="319">
        <v>186106</v>
      </c>
      <c r="S241" s="320">
        <v>8.2944215239761671E-2</v>
      </c>
      <c r="T241" s="319">
        <v>37192033.753901795</v>
      </c>
      <c r="U241" s="320">
        <v>8.3663987692339001E-2</v>
      </c>
      <c r="V241" s="319">
        <v>36070404.218999997</v>
      </c>
      <c r="W241" s="319">
        <v>171688</v>
      </c>
      <c r="X241" s="320">
        <v>7.6518362793699293E-2</v>
      </c>
      <c r="Y241" s="319">
        <v>37699979.818531096</v>
      </c>
      <c r="Z241" s="320">
        <v>8.4806619299438446E-2</v>
      </c>
      <c r="AA241" s="319">
        <v>36563031.752999999</v>
      </c>
      <c r="AB241" s="319">
        <v>93360</v>
      </c>
      <c r="AC241" s="320">
        <v>4.160893219339596E-2</v>
      </c>
      <c r="AD241" s="319">
        <v>15611912.27007856</v>
      </c>
      <c r="AE241" s="320">
        <v>3.511920979262665E-2</v>
      </c>
      <c r="AF241" s="319">
        <v>15141091.502</v>
      </c>
      <c r="AG241" s="319"/>
      <c r="AH241" s="320"/>
      <c r="AI241" s="319"/>
      <c r="AJ241" s="320"/>
      <c r="AK241" s="319"/>
      <c r="AL241" s="319">
        <v>2243749</v>
      </c>
      <c r="AM241" s="320">
        <v>1</v>
      </c>
      <c r="AN241" s="319">
        <v>444540533.86350149</v>
      </c>
      <c r="AO241" s="320">
        <v>1</v>
      </c>
      <c r="AP241" s="319">
        <v>431134173.90099996</v>
      </c>
    </row>
    <row r="242" spans="2:42" hidden="1" outlineLevel="1" x14ac:dyDescent="0.25">
      <c r="B242" s="318">
        <v>44958</v>
      </c>
      <c r="C242" s="319">
        <v>459142</v>
      </c>
      <c r="D242" s="320">
        <v>0.20303144068384957</v>
      </c>
      <c r="E242" s="319">
        <v>97300907.481589749</v>
      </c>
      <c r="F242" s="320">
        <v>0.20488689956497971</v>
      </c>
      <c r="G242" s="319">
        <v>94305923.835999995</v>
      </c>
      <c r="H242" s="319">
        <v>1350704</v>
      </c>
      <c r="I242" s="320">
        <v>0.59727792068126717</v>
      </c>
      <c r="J242" s="319">
        <v>283433282.21369648</v>
      </c>
      <c r="K242" s="320">
        <v>0.59682656543853829</v>
      </c>
      <c r="L242" s="319">
        <v>274709026.01899999</v>
      </c>
      <c r="M242" s="319"/>
      <c r="N242" s="320"/>
      <c r="O242" s="319"/>
      <c r="P242" s="320"/>
      <c r="Q242" s="319"/>
      <c r="R242" s="319">
        <v>186512</v>
      </c>
      <c r="S242" s="320">
        <v>8.2475138551529048E-2</v>
      </c>
      <c r="T242" s="319">
        <v>39655717.047442719</v>
      </c>
      <c r="U242" s="320">
        <v>8.3503197721089759E-2</v>
      </c>
      <c r="V242" s="319">
        <v>38435088.924999997</v>
      </c>
      <c r="W242" s="319">
        <v>171323</v>
      </c>
      <c r="X242" s="320">
        <v>7.575860085176081E-2</v>
      </c>
      <c r="Y242" s="319">
        <v>37678576.809926599</v>
      </c>
      <c r="Z242" s="320">
        <v>7.9339925828209493E-2</v>
      </c>
      <c r="AA242" s="319">
        <v>36518806.318000004</v>
      </c>
      <c r="AB242" s="319">
        <v>93752</v>
      </c>
      <c r="AC242" s="320">
        <v>4.1456899231593416E-2</v>
      </c>
      <c r="AD242" s="319">
        <v>16832096.661019083</v>
      </c>
      <c r="AE242" s="320">
        <v>3.5443411447182743E-2</v>
      </c>
      <c r="AF242" s="319">
        <v>16313994.050000001</v>
      </c>
      <c r="AG242" s="319"/>
      <c r="AH242" s="320"/>
      <c r="AI242" s="319"/>
      <c r="AJ242" s="320"/>
      <c r="AK242" s="319"/>
      <c r="AL242" s="319">
        <v>2261433</v>
      </c>
      <c r="AM242" s="320">
        <v>1</v>
      </c>
      <c r="AN242" s="319">
        <v>474900580.21367466</v>
      </c>
      <c r="AO242" s="320">
        <v>1</v>
      </c>
      <c r="AP242" s="319">
        <v>460282839.14800006</v>
      </c>
    </row>
    <row r="243" spans="2:42" hidden="1" outlineLevel="1" x14ac:dyDescent="0.25">
      <c r="B243" s="318">
        <v>44986</v>
      </c>
      <c r="C243" s="319">
        <v>461107</v>
      </c>
      <c r="D243" s="320">
        <v>0.20229376856031409</v>
      </c>
      <c r="E243" s="319">
        <v>96653079.835018128</v>
      </c>
      <c r="F243" s="320">
        <v>0.20416426225602521</v>
      </c>
      <c r="G243" s="319">
        <v>94696215.527999997</v>
      </c>
      <c r="H243" s="319">
        <v>1365633</v>
      </c>
      <c r="I243" s="320">
        <v>0.59912134502475001</v>
      </c>
      <c r="J243" s="319">
        <v>283390546.21206403</v>
      </c>
      <c r="K243" s="320">
        <v>0.59861746668061799</v>
      </c>
      <c r="L243" s="319">
        <v>277652944.82599998</v>
      </c>
      <c r="M243" s="319"/>
      <c r="N243" s="320"/>
      <c r="O243" s="319"/>
      <c r="P243" s="320"/>
      <c r="Q243" s="319"/>
      <c r="R243" s="319">
        <v>187117</v>
      </c>
      <c r="S243" s="320">
        <v>8.209071450162389E-2</v>
      </c>
      <c r="T243" s="319">
        <v>39356071.381555133</v>
      </c>
      <c r="U243" s="320">
        <v>8.3133442748292985E-2</v>
      </c>
      <c r="V243" s="319">
        <v>38559257.751999997</v>
      </c>
      <c r="W243" s="319">
        <v>171191</v>
      </c>
      <c r="X243" s="320">
        <v>7.5103766660685536E-2</v>
      </c>
      <c r="Y243" s="319">
        <v>37276180.440940268</v>
      </c>
      <c r="Z243" s="320">
        <v>7.8740003861622623E-2</v>
      </c>
      <c r="AA243" s="319">
        <v>36521476.843999997</v>
      </c>
      <c r="AB243" s="319">
        <v>94345</v>
      </c>
      <c r="AC243" s="320">
        <v>4.1390405252626467E-2</v>
      </c>
      <c r="AD243" s="319">
        <v>16732537.330011263</v>
      </c>
      <c r="AE243" s="320">
        <v>3.5344824453441184E-2</v>
      </c>
      <c r="AF243" s="319">
        <v>16393765.869000001</v>
      </c>
      <c r="AG243" s="319"/>
      <c r="AH243" s="320"/>
      <c r="AI243" s="319"/>
      <c r="AJ243" s="320"/>
      <c r="AK243" s="319"/>
      <c r="AL243" s="319">
        <v>2279393</v>
      </c>
      <c r="AM243" s="320">
        <v>1</v>
      </c>
      <c r="AN243" s="319">
        <v>473408415.19958884</v>
      </c>
      <c r="AO243" s="320">
        <v>1</v>
      </c>
      <c r="AP243" s="319">
        <v>463823660.81899995</v>
      </c>
    </row>
    <row r="244" spans="2:42" hidden="1" outlineLevel="1" x14ac:dyDescent="0.25">
      <c r="B244" s="318">
        <v>45017</v>
      </c>
      <c r="C244" s="319">
        <v>470695</v>
      </c>
      <c r="D244" s="320">
        <v>0.20188791005834525</v>
      </c>
      <c r="E244" s="319">
        <v>98367610.149597645</v>
      </c>
      <c r="F244" s="320">
        <v>0.20423114388414487</v>
      </c>
      <c r="G244" s="319">
        <v>96673533.216999993</v>
      </c>
      <c r="H244" s="319">
        <v>1407340</v>
      </c>
      <c r="I244" s="320">
        <v>0.60362853087776924</v>
      </c>
      <c r="J244" s="319">
        <v>290014107.19071472</v>
      </c>
      <c r="K244" s="320">
        <v>0.60212820829968017</v>
      </c>
      <c r="L244" s="319">
        <v>285019513.86500001</v>
      </c>
      <c r="M244" s="319"/>
      <c r="N244" s="320"/>
      <c r="O244" s="319"/>
      <c r="P244" s="320"/>
      <c r="Q244" s="319"/>
      <c r="R244" s="319">
        <v>187578</v>
      </c>
      <c r="S244" s="320">
        <v>8.0454923874110157E-2</v>
      </c>
      <c r="T244" s="319">
        <v>39329729.689725831</v>
      </c>
      <c r="U244" s="320">
        <v>8.165650940356585E-2</v>
      </c>
      <c r="V244" s="319">
        <v>38652397.103</v>
      </c>
      <c r="W244" s="319">
        <v>171064</v>
      </c>
      <c r="X244" s="320">
        <v>7.3371829839324346E-2</v>
      </c>
      <c r="Y244" s="319">
        <v>37180493.960567765</v>
      </c>
      <c r="Z244" s="320">
        <v>7.719425937253345E-2</v>
      </c>
      <c r="AA244" s="319">
        <v>36540175.292000003</v>
      </c>
      <c r="AB244" s="319">
        <v>94790</v>
      </c>
      <c r="AC244" s="320">
        <v>4.0656805350451027E-2</v>
      </c>
      <c r="AD244" s="319">
        <v>16756490.677578283</v>
      </c>
      <c r="AE244" s="320">
        <v>3.4789879040075675E-2</v>
      </c>
      <c r="AF244" s="319">
        <v>16467912.107000001</v>
      </c>
      <c r="AG244" s="319"/>
      <c r="AH244" s="320"/>
      <c r="AI244" s="319"/>
      <c r="AJ244" s="320"/>
      <c r="AK244" s="319"/>
      <c r="AL244" s="319">
        <v>2331467</v>
      </c>
      <c r="AM244" s="320">
        <v>1</v>
      </c>
      <c r="AN244" s="319">
        <v>481648431.66818422</v>
      </c>
      <c r="AO244" s="320">
        <v>1</v>
      </c>
      <c r="AP244" s="319">
        <v>473353531.58399999</v>
      </c>
    </row>
    <row r="245" spans="2:42" hidden="1" outlineLevel="1" x14ac:dyDescent="0.25">
      <c r="B245" s="318">
        <v>45047</v>
      </c>
      <c r="C245" s="319">
        <v>475428</v>
      </c>
      <c r="D245" s="320">
        <v>0.20231168121573903</v>
      </c>
      <c r="E245" s="319">
        <v>99210621.053431019</v>
      </c>
      <c r="F245" s="320">
        <v>0.20469400468882393</v>
      </c>
      <c r="G245" s="319">
        <v>97611565.410999998</v>
      </c>
      <c r="H245" s="319">
        <v>1420853</v>
      </c>
      <c r="I245" s="320">
        <v>0.6046239581817362</v>
      </c>
      <c r="J245" s="319">
        <v>292342143.0775547</v>
      </c>
      <c r="K245" s="320">
        <v>0.60316812222786031</v>
      </c>
      <c r="L245" s="319">
        <v>287630234.73100001</v>
      </c>
      <c r="M245" s="319"/>
      <c r="N245" s="320"/>
      <c r="O245" s="319"/>
      <c r="P245" s="320"/>
      <c r="Q245" s="319"/>
      <c r="R245" s="319">
        <v>188110</v>
      </c>
      <c r="S245" s="320">
        <v>8.0047557892031329E-2</v>
      </c>
      <c r="T245" s="319">
        <v>39396779.252180211</v>
      </c>
      <c r="U245" s="320">
        <v>8.1284487803248651E-2</v>
      </c>
      <c r="V245" s="319">
        <v>38761790.362000003</v>
      </c>
      <c r="W245" s="319">
        <v>170272</v>
      </c>
      <c r="X245" s="320">
        <v>7.2456848532199025E-2</v>
      </c>
      <c r="Y245" s="319">
        <v>36946063.334411539</v>
      </c>
      <c r="Z245" s="320">
        <v>7.6228105228115406E-2</v>
      </c>
      <c r="AA245" s="319">
        <v>36350574.560999997</v>
      </c>
      <c r="AB245" s="319">
        <v>95315</v>
      </c>
      <c r="AC245" s="320">
        <v>4.0559954178294437E-2</v>
      </c>
      <c r="AD245" s="319">
        <v>16782101.37773836</v>
      </c>
      <c r="AE245" s="320">
        <v>3.4625280051951597E-2</v>
      </c>
      <c r="AF245" s="319">
        <v>16511611.045</v>
      </c>
      <c r="AG245" s="319"/>
      <c r="AH245" s="320"/>
      <c r="AI245" s="319"/>
      <c r="AJ245" s="320"/>
      <c r="AK245" s="319"/>
      <c r="AL245" s="319">
        <v>2349978</v>
      </c>
      <c r="AM245" s="320">
        <v>1</v>
      </c>
      <c r="AN245" s="319">
        <v>484677708.09531587</v>
      </c>
      <c r="AO245" s="320">
        <v>1</v>
      </c>
      <c r="AP245" s="319">
        <v>476865776.11000001</v>
      </c>
    </row>
    <row r="246" spans="2:42" hidden="1" outlineLevel="1" x14ac:dyDescent="0.25">
      <c r="B246" s="318">
        <v>45078</v>
      </c>
      <c r="C246" s="319">
        <v>475539</v>
      </c>
      <c r="D246" s="320">
        <v>0.20136007469401496</v>
      </c>
      <c r="E246" s="319">
        <v>99346836.97568427</v>
      </c>
      <c r="F246" s="320">
        <v>0.2021347643557509</v>
      </c>
      <c r="G246" s="319">
        <v>97596437.898000002</v>
      </c>
      <c r="H246" s="319">
        <v>1431559</v>
      </c>
      <c r="I246" s="320">
        <v>0.60617284211997202</v>
      </c>
      <c r="J246" s="319">
        <v>294831792.2525689</v>
      </c>
      <c r="K246" s="320">
        <v>0.59987571487699332</v>
      </c>
      <c r="L246" s="319">
        <v>289637129.66500002</v>
      </c>
      <c r="M246" s="319"/>
      <c r="N246" s="320"/>
      <c r="O246" s="319"/>
      <c r="P246" s="320"/>
      <c r="Q246" s="319"/>
      <c r="R246" s="319">
        <v>188897</v>
      </c>
      <c r="S246" s="320">
        <v>7.9985687881488882E-2</v>
      </c>
      <c r="T246" s="319">
        <v>39621731.71139802</v>
      </c>
      <c r="U246" s="320">
        <v>8.0615846932403645E-2</v>
      </c>
      <c r="V246" s="319">
        <v>38923633.566</v>
      </c>
      <c r="W246" s="319">
        <v>169773</v>
      </c>
      <c r="X246" s="320">
        <v>7.1887908165317677E-2</v>
      </c>
      <c r="Y246" s="319">
        <v>40831274.143648043</v>
      </c>
      <c r="Z246" s="320">
        <v>8.3076826888725558E-2</v>
      </c>
      <c r="AA246" s="319">
        <v>40111864.983000003</v>
      </c>
      <c r="AB246" s="319">
        <v>95867</v>
      </c>
      <c r="AC246" s="320">
        <v>4.0593487139206526E-2</v>
      </c>
      <c r="AD246" s="319">
        <v>16856493.108429972</v>
      </c>
      <c r="AE246" s="320">
        <v>3.4296846946126572E-2</v>
      </c>
      <c r="AF246" s="319">
        <v>16559497.342</v>
      </c>
      <c r="AG246" s="319"/>
      <c r="AH246" s="320"/>
      <c r="AI246" s="319"/>
      <c r="AJ246" s="320"/>
      <c r="AK246" s="319"/>
      <c r="AL246" s="319">
        <v>2361635</v>
      </c>
      <c r="AM246" s="320">
        <v>1</v>
      </c>
      <c r="AN246" s="319">
        <v>491488128.19172919</v>
      </c>
      <c r="AO246" s="320">
        <v>1</v>
      </c>
      <c r="AP246" s="319">
        <v>482828563.454</v>
      </c>
    </row>
    <row r="247" spans="2:42" hidden="1" outlineLevel="1" x14ac:dyDescent="0.25">
      <c r="B247" s="318">
        <v>45108</v>
      </c>
      <c r="C247" s="319">
        <v>477277</v>
      </c>
      <c r="D247" s="320">
        <v>0.2010089255970017</v>
      </c>
      <c r="E247" s="319">
        <v>99279812.261498392</v>
      </c>
      <c r="F247" s="320">
        <v>0.20167806453184209</v>
      </c>
      <c r="G247" s="319">
        <v>97873655.709999993</v>
      </c>
      <c r="H247" s="319">
        <v>1441966</v>
      </c>
      <c r="I247" s="320">
        <v>0.60729521097267658</v>
      </c>
      <c r="J247" s="319">
        <v>295902150.90875596</v>
      </c>
      <c r="K247" s="320">
        <v>0.6010987705023112</v>
      </c>
      <c r="L247" s="319">
        <v>291711120.13800001</v>
      </c>
      <c r="M247" s="319"/>
      <c r="N247" s="320"/>
      <c r="O247" s="319"/>
      <c r="P247" s="320"/>
      <c r="Q247" s="319"/>
      <c r="R247" s="319">
        <v>189616</v>
      </c>
      <c r="S247" s="320">
        <v>7.9858255134861042E-2</v>
      </c>
      <c r="T247" s="319">
        <v>39632644.769876823</v>
      </c>
      <c r="U247" s="320">
        <v>8.0510175305464018E-2</v>
      </c>
      <c r="V247" s="319">
        <v>39071305.038999997</v>
      </c>
      <c r="W247" s="319">
        <v>169312</v>
      </c>
      <c r="X247" s="320">
        <v>7.1307067406725128E-2</v>
      </c>
      <c r="Y247" s="319">
        <v>40612449.522894472</v>
      </c>
      <c r="Z247" s="320">
        <v>8.2500561081851428E-2</v>
      </c>
      <c r="AA247" s="319">
        <v>40037232.259000003</v>
      </c>
      <c r="AB247" s="319">
        <v>96236</v>
      </c>
      <c r="AC247" s="320">
        <v>4.0530540888735589E-2</v>
      </c>
      <c r="AD247" s="319">
        <v>16841710.049980268</v>
      </c>
      <c r="AE247" s="320">
        <v>3.4212428578531143E-2</v>
      </c>
      <c r="AF247" s="319">
        <v>16603171.313999999</v>
      </c>
      <c r="AG247" s="319"/>
      <c r="AH247" s="320"/>
      <c r="AI247" s="319"/>
      <c r="AJ247" s="320"/>
      <c r="AK247" s="319"/>
      <c r="AL247" s="319">
        <v>2374407</v>
      </c>
      <c r="AM247" s="320">
        <v>1</v>
      </c>
      <c r="AN247" s="319">
        <v>492268767.51300597</v>
      </c>
      <c r="AO247" s="320">
        <v>0.99999999999999989</v>
      </c>
      <c r="AP247" s="319">
        <v>485296484.45999998</v>
      </c>
    </row>
    <row r="248" spans="2:42" hidden="1" outlineLevel="1" x14ac:dyDescent="0.25">
      <c r="B248" s="318">
        <v>45139</v>
      </c>
      <c r="C248" s="319">
        <v>478208</v>
      </c>
      <c r="D248" s="320">
        <v>0.20048800529930152</v>
      </c>
      <c r="E248" s="319">
        <v>99308208.296080366</v>
      </c>
      <c r="F248" s="320">
        <v>0.20108635679308393</v>
      </c>
      <c r="G248" s="319">
        <v>98010765.216000006</v>
      </c>
      <c r="H248" s="319">
        <v>1451098</v>
      </c>
      <c r="I248" s="320">
        <v>0.60837071632805362</v>
      </c>
      <c r="J248" s="319">
        <v>297393772.16415507</v>
      </c>
      <c r="K248" s="320">
        <v>0.60218416184840928</v>
      </c>
      <c r="L248" s="319">
        <v>293508378.41500002</v>
      </c>
      <c r="M248" s="319"/>
      <c r="N248" s="320"/>
      <c r="O248" s="319"/>
      <c r="P248" s="320"/>
      <c r="Q248" s="319"/>
      <c r="R248" s="319">
        <v>190382</v>
      </c>
      <c r="S248" s="320">
        <v>7.981737533644695E-2</v>
      </c>
      <c r="T248" s="319">
        <v>39748393.492740959</v>
      </c>
      <c r="U248" s="320">
        <v>8.0485387592564961E-2</v>
      </c>
      <c r="V248" s="319">
        <v>39229088.200999998</v>
      </c>
      <c r="W248" s="319">
        <v>168920</v>
      </c>
      <c r="X248" s="320">
        <v>7.0819463194170762E-2</v>
      </c>
      <c r="Y248" s="319">
        <v>40528574.386511907</v>
      </c>
      <c r="Z248" s="320">
        <v>8.2065153618553821E-2</v>
      </c>
      <c r="AA248" s="319">
        <v>39999076.178000003</v>
      </c>
      <c r="AB248" s="319">
        <v>96612</v>
      </c>
      <c r="AC248" s="320">
        <v>4.0504439842027153E-2</v>
      </c>
      <c r="AD248" s="319">
        <v>16879560.411891751</v>
      </c>
      <c r="AE248" s="320">
        <v>3.4178940147388079E-2</v>
      </c>
      <c r="AF248" s="319">
        <v>16659032.127</v>
      </c>
      <c r="AG248" s="319"/>
      <c r="AH248" s="320"/>
      <c r="AI248" s="319"/>
      <c r="AJ248" s="320"/>
      <c r="AK248" s="319"/>
      <c r="AL248" s="319">
        <v>2385220</v>
      </c>
      <c r="AM248" s="320">
        <v>1</v>
      </c>
      <c r="AN248" s="319">
        <v>493858508.75138003</v>
      </c>
      <c r="AO248" s="320">
        <v>1</v>
      </c>
      <c r="AP248" s="319">
        <v>487406340.13699996</v>
      </c>
    </row>
    <row r="249" spans="2:42" hidden="1" outlineLevel="1" x14ac:dyDescent="0.25">
      <c r="B249" s="318">
        <v>45170</v>
      </c>
      <c r="C249" s="319">
        <v>482355</v>
      </c>
      <c r="D249" s="320">
        <v>0.20087997301360563</v>
      </c>
      <c r="E249" s="319">
        <v>99457086.877780393</v>
      </c>
      <c r="F249" s="320">
        <v>0.20147342867897178</v>
      </c>
      <c r="G249" s="319">
        <v>98817812.332000002</v>
      </c>
      <c r="H249" s="319">
        <v>1462419</v>
      </c>
      <c r="I249" s="320">
        <v>0.60903419525988978</v>
      </c>
      <c r="J249" s="319">
        <v>297623957.33127284</v>
      </c>
      <c r="K249" s="320">
        <v>0.60290644963513285</v>
      </c>
      <c r="L249" s="319">
        <v>295710937.09200001</v>
      </c>
      <c r="M249" s="319"/>
      <c r="N249" s="320"/>
      <c r="O249" s="319"/>
      <c r="P249" s="320"/>
      <c r="Q249" s="319"/>
      <c r="R249" s="319">
        <v>190911</v>
      </c>
      <c r="S249" s="320">
        <v>7.9506165641489088E-2</v>
      </c>
      <c r="T249" s="319">
        <v>39595192.597731844</v>
      </c>
      <c r="U249" s="320">
        <v>8.0209258709461509E-2</v>
      </c>
      <c r="V249" s="319">
        <v>39340688.876000002</v>
      </c>
      <c r="W249" s="319">
        <v>168514</v>
      </c>
      <c r="X249" s="320">
        <v>7.0178784862631752E-2</v>
      </c>
      <c r="Y249" s="319">
        <v>40170698.601273909</v>
      </c>
      <c r="Z249" s="320">
        <v>8.1375079782638915E-2</v>
      </c>
      <c r="AA249" s="319">
        <v>39912495.733000003</v>
      </c>
      <c r="AB249" s="319">
        <v>97011</v>
      </c>
      <c r="AC249" s="320">
        <v>4.0400881222383715E-2</v>
      </c>
      <c r="AD249" s="319">
        <v>16801718.560378511</v>
      </c>
      <c r="AE249" s="320">
        <v>3.4035783193795091E-2</v>
      </c>
      <c r="AF249" s="319">
        <v>16693723.129000001</v>
      </c>
      <c r="AG249" s="319"/>
      <c r="AH249" s="320"/>
      <c r="AI249" s="319"/>
      <c r="AJ249" s="320"/>
      <c r="AK249" s="319"/>
      <c r="AL249" s="319">
        <v>2401210</v>
      </c>
      <c r="AM249" s="320">
        <v>1</v>
      </c>
      <c r="AN249" s="319">
        <v>493648653.96843743</v>
      </c>
      <c r="AO249" s="320">
        <v>1.0000000000000002</v>
      </c>
      <c r="AP249" s="319">
        <v>490475657.162</v>
      </c>
    </row>
    <row r="250" spans="2:42" hidden="1" outlineLevel="1" x14ac:dyDescent="0.25">
      <c r="B250" s="318">
        <v>45200</v>
      </c>
      <c r="C250" s="319">
        <v>484370</v>
      </c>
      <c r="D250" s="320">
        <v>0.20070192012861629</v>
      </c>
      <c r="E250" s="319">
        <v>99388696.903440148</v>
      </c>
      <c r="F250" s="320">
        <v>0.20123357120848545</v>
      </c>
      <c r="G250" s="319">
        <v>99185342.364999995</v>
      </c>
      <c r="H250" s="319">
        <v>1472357</v>
      </c>
      <c r="I250" s="320">
        <v>0.61008088241387592</v>
      </c>
      <c r="J250" s="319">
        <v>298283958.34073573</v>
      </c>
      <c r="K250" s="320">
        <v>0.60393936173069707</v>
      </c>
      <c r="L250" s="319">
        <v>297673653.56199998</v>
      </c>
      <c r="M250" s="319"/>
      <c r="N250" s="320"/>
      <c r="O250" s="319"/>
      <c r="P250" s="320"/>
      <c r="Q250" s="319"/>
      <c r="R250" s="319">
        <v>192059</v>
      </c>
      <c r="S250" s="320">
        <v>7.958091970597253E-2</v>
      </c>
      <c r="T250" s="319">
        <v>39656747.99700243</v>
      </c>
      <c r="U250" s="320">
        <v>8.029352703662955E-2</v>
      </c>
      <c r="V250" s="319">
        <v>39575608.189999998</v>
      </c>
      <c r="W250" s="319">
        <v>167430</v>
      </c>
      <c r="X250" s="320">
        <v>6.9375730303557662E-2</v>
      </c>
      <c r="Y250" s="319">
        <v>39832695.155207962</v>
      </c>
      <c r="Z250" s="320">
        <v>8.0649769507783811E-2</v>
      </c>
      <c r="AA250" s="319">
        <v>39751195.351000004</v>
      </c>
      <c r="AB250" s="319">
        <v>97164</v>
      </c>
      <c r="AC250" s="320">
        <v>4.0260547447977524E-2</v>
      </c>
      <c r="AD250" s="319">
        <v>16735099.305630196</v>
      </c>
      <c r="AE250" s="320">
        <v>3.3883770516404108E-2</v>
      </c>
      <c r="AF250" s="319">
        <v>16700858.405999999</v>
      </c>
      <c r="AG250" s="319"/>
      <c r="AH250" s="320"/>
      <c r="AI250" s="319"/>
      <c r="AJ250" s="320"/>
      <c r="AK250" s="319"/>
      <c r="AL250" s="319">
        <v>2413380</v>
      </c>
      <c r="AM250" s="320">
        <v>0.99999999999999989</v>
      </c>
      <c r="AN250" s="319">
        <v>493897197.70201647</v>
      </c>
      <c r="AO250" s="320">
        <v>1</v>
      </c>
      <c r="AP250" s="319">
        <v>492886657.87400001</v>
      </c>
    </row>
    <row r="251" spans="2:42" hidden="1" outlineLevel="1" x14ac:dyDescent="0.25">
      <c r="B251" s="318">
        <v>45231</v>
      </c>
      <c r="C251" s="319">
        <v>482109</v>
      </c>
      <c r="D251" s="320">
        <v>0.19862706394633833</v>
      </c>
      <c r="E251" s="319">
        <v>98251383.79690066</v>
      </c>
      <c r="F251" s="320">
        <v>0.19928431187753889</v>
      </c>
      <c r="G251" s="319">
        <v>98781704.555000007</v>
      </c>
      <c r="H251" s="319">
        <v>1488547</v>
      </c>
      <c r="I251" s="320">
        <v>0.61327567034867647</v>
      </c>
      <c r="J251" s="319">
        <v>299332674.84894037</v>
      </c>
      <c r="K251" s="320">
        <v>0.60713960276675416</v>
      </c>
      <c r="L251" s="319">
        <v>300948350.11900002</v>
      </c>
      <c r="M251" s="319"/>
      <c r="N251" s="320"/>
      <c r="O251" s="319"/>
      <c r="P251" s="320"/>
      <c r="Q251" s="319"/>
      <c r="R251" s="319">
        <v>192258</v>
      </c>
      <c r="S251" s="320">
        <v>7.9209560618439215E-2</v>
      </c>
      <c r="T251" s="319">
        <v>39405436.805703245</v>
      </c>
      <c r="U251" s="320">
        <v>7.9926460621576864E-2</v>
      </c>
      <c r="V251" s="319">
        <v>39618131.226000004</v>
      </c>
      <c r="W251" s="319">
        <v>167010</v>
      </c>
      <c r="X251" s="320">
        <v>6.8807481191344624E-2</v>
      </c>
      <c r="Y251" s="319">
        <v>39430907.625641733</v>
      </c>
      <c r="Z251" s="320">
        <v>7.9978123352708375E-2</v>
      </c>
      <c r="AA251" s="319">
        <v>39643739.527000003</v>
      </c>
      <c r="AB251" s="319">
        <v>97283</v>
      </c>
      <c r="AC251" s="320">
        <v>4.0080223895201356E-2</v>
      </c>
      <c r="AD251" s="319">
        <v>16600762.870269923</v>
      </c>
      <c r="AE251" s="320">
        <v>3.3671501381421748E-2</v>
      </c>
      <c r="AF251" s="319">
        <v>16690366.994000001</v>
      </c>
      <c r="AG251" s="319"/>
      <c r="AH251" s="320"/>
      <c r="AI251" s="319"/>
      <c r="AJ251" s="320"/>
      <c r="AK251" s="319"/>
      <c r="AL251" s="319">
        <v>2427207</v>
      </c>
      <c r="AM251" s="320">
        <v>1</v>
      </c>
      <c r="AN251" s="319">
        <v>493021165.94745588</v>
      </c>
      <c r="AO251" s="320">
        <v>1</v>
      </c>
      <c r="AP251" s="319">
        <v>495682292.42100006</v>
      </c>
    </row>
    <row r="252" spans="2:42" hidden="1" outlineLevel="1" x14ac:dyDescent="0.25">
      <c r="B252" s="318">
        <v>45261</v>
      </c>
      <c r="C252" s="319">
        <v>470946</v>
      </c>
      <c r="D252" s="320">
        <v>0.19322772015612621</v>
      </c>
      <c r="E252" s="319">
        <v>96783985.210999995</v>
      </c>
      <c r="F252" s="320">
        <v>0.19432613345780211</v>
      </c>
      <c r="G252" s="319">
        <v>96783985.210999995</v>
      </c>
      <c r="H252" s="319">
        <v>1509752</v>
      </c>
      <c r="I252" s="320">
        <v>0.61944668170268324</v>
      </c>
      <c r="J252" s="319">
        <v>305341337.861</v>
      </c>
      <c r="K252" s="320">
        <v>0.61307458503596224</v>
      </c>
      <c r="L252" s="319">
        <v>305341337.861</v>
      </c>
      <c r="M252" s="319"/>
      <c r="N252" s="320"/>
      <c r="O252" s="319"/>
      <c r="P252" s="320"/>
      <c r="Q252" s="319"/>
      <c r="R252" s="319">
        <v>192805</v>
      </c>
      <c r="S252" s="320">
        <v>7.9107308661081982E-2</v>
      </c>
      <c r="T252" s="319">
        <v>39730090.197999999</v>
      </c>
      <c r="U252" s="320">
        <v>7.9771408392362603E-2</v>
      </c>
      <c r="V252" s="319">
        <v>39730090.197999999</v>
      </c>
      <c r="W252" s="319">
        <v>166187</v>
      </c>
      <c r="X252" s="320">
        <v>6.8186023725832989E-2</v>
      </c>
      <c r="Y252" s="319">
        <v>39489593.538000003</v>
      </c>
      <c r="Z252" s="320">
        <v>7.9288531127643364E-2</v>
      </c>
      <c r="AA252" s="319">
        <v>39489593.538000003</v>
      </c>
      <c r="AB252" s="319">
        <v>97569</v>
      </c>
      <c r="AC252" s="320">
        <v>4.0032265754275605E-2</v>
      </c>
      <c r="AD252" s="319">
        <v>16704244.153999999</v>
      </c>
      <c r="AE252" s="320">
        <v>3.3539341986229577E-2</v>
      </c>
      <c r="AF252" s="319">
        <v>16704244.153999999</v>
      </c>
      <c r="AG252" s="319"/>
      <c r="AH252" s="320"/>
      <c r="AI252" s="319"/>
      <c r="AJ252" s="320"/>
      <c r="AK252" s="319"/>
      <c r="AL252" s="319">
        <v>2437259</v>
      </c>
      <c r="AM252" s="320">
        <v>1</v>
      </c>
      <c r="AN252" s="319">
        <v>498049250.96200001</v>
      </c>
      <c r="AO252" s="320">
        <v>0.99999999999999989</v>
      </c>
      <c r="AP252" s="319">
        <v>498049250.96200001</v>
      </c>
    </row>
    <row r="253" spans="2:42" collapsed="1" x14ac:dyDescent="0.25">
      <c r="B253" s="321" t="s">
        <v>869</v>
      </c>
      <c r="C253" s="322">
        <v>472873.5</v>
      </c>
      <c r="D253" s="311">
        <v>0.20075051816050593</v>
      </c>
      <c r="E253" s="322">
        <v>97873321.046417221</v>
      </c>
      <c r="F253" s="311">
        <v>0.20196003194123269</v>
      </c>
      <c r="G253" s="322"/>
      <c r="H253" s="322">
        <v>1428126.4166666667</v>
      </c>
      <c r="I253" s="311">
        <v>0.60628713206500251</v>
      </c>
      <c r="J253" s="322">
        <v>291732892.22562194</v>
      </c>
      <c r="K253" s="311">
        <v>0.60198615518780929</v>
      </c>
      <c r="L253" s="322"/>
      <c r="M253" s="322"/>
      <c r="N253" s="311"/>
      <c r="O253" s="322"/>
      <c r="P253" s="311"/>
      <c r="Q253" s="322"/>
      <c r="R253" s="322">
        <v>189362.58333333334</v>
      </c>
      <c r="S253" s="311">
        <v>8.0390710675008553E-2</v>
      </c>
      <c r="T253" s="322">
        <v>39360047.391438253</v>
      </c>
      <c r="U253" s="311">
        <v>8.1218828005369809E-2</v>
      </c>
      <c r="V253" s="322"/>
      <c r="W253" s="322">
        <v>169390.33333333334</v>
      </c>
      <c r="X253" s="311">
        <v>7.1911826710626611E-2</v>
      </c>
      <c r="Y253" s="322">
        <v>38973123.944796264</v>
      </c>
      <c r="Z253" s="311">
        <v>8.0420417664255825E-2</v>
      </c>
      <c r="AA253" s="322"/>
      <c r="AB253" s="322">
        <v>95775.333333333328</v>
      </c>
      <c r="AC253" s="311">
        <v>4.0659812388856305E-2</v>
      </c>
      <c r="AD253" s="322">
        <v>16677893.898083851</v>
      </c>
      <c r="AE253" s="311">
        <v>3.4414567201332374E-2</v>
      </c>
      <c r="AF253" s="322"/>
      <c r="AG253" s="322"/>
      <c r="AH253" s="311"/>
      <c r="AI253" s="322"/>
      <c r="AJ253" s="311"/>
      <c r="AK253" s="322"/>
      <c r="AL253" s="322">
        <v>2355528.166666667</v>
      </c>
      <c r="AM253" s="311">
        <v>0.99999999999999989</v>
      </c>
      <c r="AN253" s="322">
        <v>484617278.50635755</v>
      </c>
      <c r="AO253" s="311">
        <v>1</v>
      </c>
      <c r="AP253" s="322"/>
    </row>
    <row r="254" spans="2:42" x14ac:dyDescent="0.25">
      <c r="B254" s="4" t="s">
        <v>788</v>
      </c>
      <c r="N254" s="226"/>
      <c r="O254" s="226"/>
      <c r="P254" s="226"/>
      <c r="Q254" s="226"/>
      <c r="R254" s="226"/>
      <c r="S254" s="226"/>
      <c r="T254" s="226"/>
      <c r="U254" s="226"/>
      <c r="V254" s="226"/>
      <c r="W254" s="226"/>
      <c r="X254" s="226"/>
      <c r="Y254" s="226"/>
      <c r="Z254" s="226"/>
    </row>
    <row r="255" spans="2:42" ht="30.75" customHeight="1" x14ac:dyDescent="0.25">
      <c r="B255" s="397" t="s">
        <v>897</v>
      </c>
      <c r="C255" s="397"/>
      <c r="D255" s="397"/>
      <c r="E255" s="397"/>
      <c r="F255" s="397"/>
      <c r="G255" s="397"/>
      <c r="H255" s="397"/>
      <c r="I255" s="397"/>
      <c r="J255" s="397"/>
      <c r="K255" s="397"/>
      <c r="L255" s="397"/>
      <c r="M255" s="397"/>
      <c r="N255" s="397"/>
      <c r="O255" s="397"/>
      <c r="P255" s="397"/>
      <c r="Q255" s="397"/>
      <c r="R255" s="397"/>
      <c r="S255" s="397"/>
      <c r="T255" s="397"/>
      <c r="U255" s="397"/>
      <c r="V255" s="397"/>
      <c r="W255" s="397"/>
      <c r="X255" s="397"/>
      <c r="Y255" s="397"/>
      <c r="Z255" s="397"/>
      <c r="AA255" s="397"/>
      <c r="AB255" s="397"/>
      <c r="AC255" s="397"/>
      <c r="AD255" s="397"/>
      <c r="AE255" s="397"/>
      <c r="AF255" s="397"/>
      <c r="AG255" s="397"/>
      <c r="AH255" s="397"/>
      <c r="AI255" s="397"/>
      <c r="AJ255" s="397"/>
      <c r="AK255" s="397"/>
      <c r="AL255" s="397"/>
      <c r="AM255" s="397"/>
      <c r="AN255" s="397"/>
      <c r="AO255" s="397"/>
      <c r="AP255" s="397"/>
    </row>
    <row r="256" spans="2:42" ht="15" customHeight="1" x14ac:dyDescent="0.25">
      <c r="B256" s="253" t="s">
        <v>929</v>
      </c>
      <c r="C256" s="255"/>
      <c r="D256" s="255"/>
      <c r="E256" s="255"/>
      <c r="F256" s="255"/>
      <c r="G256" s="255"/>
      <c r="H256" s="255"/>
      <c r="I256" s="255"/>
      <c r="J256" s="255"/>
      <c r="K256" s="255"/>
      <c r="L256" s="255"/>
      <c r="M256" s="255"/>
      <c r="N256" s="255"/>
      <c r="O256" s="255"/>
      <c r="P256" s="255"/>
    </row>
  </sheetData>
  <mergeCells count="37">
    <mergeCell ref="D7:F7"/>
    <mergeCell ref="G7:I7"/>
    <mergeCell ref="J7:L7"/>
    <mergeCell ref="B9:B14"/>
    <mergeCell ref="B15:B20"/>
    <mergeCell ref="B21:B26"/>
    <mergeCell ref="B28:L28"/>
    <mergeCell ref="AG50:AH50"/>
    <mergeCell ref="C50:D50"/>
    <mergeCell ref="E50:F50"/>
    <mergeCell ref="W50:X50"/>
    <mergeCell ref="Y50:Z50"/>
    <mergeCell ref="C49:G49"/>
    <mergeCell ref="H49:L49"/>
    <mergeCell ref="H50:I50"/>
    <mergeCell ref="J50:K50"/>
    <mergeCell ref="M50:N50"/>
    <mergeCell ref="B36:B41"/>
    <mergeCell ref="D34:F34"/>
    <mergeCell ref="G34:I34"/>
    <mergeCell ref="J34:L34"/>
    <mergeCell ref="B43:L43"/>
    <mergeCell ref="B255:AP255"/>
    <mergeCell ref="AI50:AJ50"/>
    <mergeCell ref="AL50:AM50"/>
    <mergeCell ref="AN50:AO50"/>
    <mergeCell ref="M49:Q49"/>
    <mergeCell ref="R49:V49"/>
    <mergeCell ref="W49:AA49"/>
    <mergeCell ref="AB49:AF49"/>
    <mergeCell ref="AG49:AK49"/>
    <mergeCell ref="AL49:AP49"/>
    <mergeCell ref="O50:P50"/>
    <mergeCell ref="R50:S50"/>
    <mergeCell ref="T50:U50"/>
    <mergeCell ref="AB50:AC50"/>
    <mergeCell ref="AD50:AE50"/>
  </mergeCells>
  <phoneticPr fontId="27" type="noConversion"/>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25E9A-EA4C-417A-9814-57A6EC9E6DBA}">
  <sheetPr>
    <tabColor theme="9"/>
  </sheetPr>
  <dimension ref="B2:AC113"/>
  <sheetViews>
    <sheetView showGridLines="0" workbookViewId="0"/>
  </sheetViews>
  <sheetFormatPr baseColWidth="10" defaultRowHeight="15" x14ac:dyDescent="0.25"/>
  <cols>
    <col min="1" max="1" width="7.28515625" customWidth="1"/>
    <col min="2" max="2" width="39" customWidth="1"/>
    <col min="3" max="3" width="20.42578125" customWidth="1"/>
    <col min="4" max="4" width="16.28515625" bestFit="1" customWidth="1"/>
    <col min="5" max="5" width="16.7109375" customWidth="1"/>
    <col min="6" max="6" width="19.7109375" customWidth="1"/>
    <col min="7" max="7" width="16.28515625" bestFit="1" customWidth="1"/>
    <col min="8" max="8" width="18.140625" customWidth="1"/>
    <col min="9" max="9" width="19.140625" customWidth="1"/>
    <col min="10" max="10" width="16.28515625" bestFit="1" customWidth="1"/>
    <col min="11" max="11" width="17.28515625" customWidth="1"/>
    <col min="12" max="12" width="19.140625" customWidth="1"/>
  </cols>
  <sheetData>
    <row r="2" spans="2:12" ht="23.25" x14ac:dyDescent="0.25">
      <c r="B2" s="1" t="s">
        <v>909</v>
      </c>
    </row>
    <row r="4" spans="2:12" ht="18.75" x14ac:dyDescent="0.3">
      <c r="B4" s="2" t="s">
        <v>954</v>
      </c>
      <c r="C4" s="2"/>
      <c r="D4" s="2"/>
      <c r="E4" s="2"/>
    </row>
    <row r="5" spans="2:12" x14ac:dyDescent="0.25">
      <c r="B5" s="3" t="s">
        <v>866</v>
      </c>
    </row>
    <row r="6" spans="2:12" x14ac:dyDescent="0.25">
      <c r="B6" s="3"/>
      <c r="E6" s="219"/>
    </row>
    <row r="7" spans="2:12" x14ac:dyDescent="0.25">
      <c r="B7" s="414" t="s">
        <v>521</v>
      </c>
      <c r="C7" s="413" t="s">
        <v>477</v>
      </c>
      <c r="D7" s="407" t="s">
        <v>73</v>
      </c>
      <c r="E7" s="407"/>
      <c r="F7" s="407"/>
      <c r="G7" s="407" t="s">
        <v>74</v>
      </c>
      <c r="H7" s="407"/>
      <c r="I7" s="407"/>
      <c r="J7" s="412" t="s">
        <v>25</v>
      </c>
      <c r="K7" s="412"/>
      <c r="L7" s="412"/>
    </row>
    <row r="8" spans="2:12" ht="32.25" x14ac:dyDescent="0.25">
      <c r="B8" s="414"/>
      <c r="C8" s="413"/>
      <c r="D8" s="161" t="s">
        <v>925</v>
      </c>
      <c r="E8" s="161" t="s">
        <v>932</v>
      </c>
      <c r="F8" s="161" t="s">
        <v>933</v>
      </c>
      <c r="G8" s="161" t="s">
        <v>925</v>
      </c>
      <c r="H8" s="161" t="s">
        <v>932</v>
      </c>
      <c r="I8" s="161" t="s">
        <v>933</v>
      </c>
      <c r="J8" s="299" t="s">
        <v>925</v>
      </c>
      <c r="K8" s="299" t="s">
        <v>932</v>
      </c>
      <c r="L8" s="299" t="s">
        <v>933</v>
      </c>
    </row>
    <row r="9" spans="2:12" ht="17.25" x14ac:dyDescent="0.25">
      <c r="B9" s="408" t="s">
        <v>519</v>
      </c>
      <c r="C9" s="152" t="s">
        <v>881</v>
      </c>
      <c r="D9" s="338">
        <v>3362</v>
      </c>
      <c r="E9" s="338">
        <v>2064921.7451201149</v>
      </c>
      <c r="F9" s="338">
        <v>204731.48375174645</v>
      </c>
      <c r="G9" s="338">
        <v>1444</v>
      </c>
      <c r="H9" s="338">
        <v>886848.64359233645</v>
      </c>
      <c r="I9" s="338">
        <v>204720.37017366954</v>
      </c>
      <c r="J9" s="362">
        <v>4806</v>
      </c>
      <c r="K9" s="362">
        <v>2951770.3887124509</v>
      </c>
      <c r="L9" s="362">
        <v>204728.1445909593</v>
      </c>
    </row>
    <row r="10" spans="2:12" ht="17.25" x14ac:dyDescent="0.25">
      <c r="B10" s="409"/>
      <c r="C10" s="152" t="s">
        <v>882</v>
      </c>
      <c r="D10" s="338">
        <v>10114.666666666666</v>
      </c>
      <c r="E10" s="338">
        <v>6158628.8204164887</v>
      </c>
      <c r="F10" s="338">
        <v>202960.34868232565</v>
      </c>
      <c r="G10" s="338">
        <v>8450.3333333333339</v>
      </c>
      <c r="H10" s="338">
        <v>5100433.1269252617</v>
      </c>
      <c r="I10" s="338">
        <v>201192.5812364507</v>
      </c>
      <c r="J10" s="362">
        <v>18565</v>
      </c>
      <c r="K10" s="362">
        <v>11259061.947341749</v>
      </c>
      <c r="L10" s="362">
        <v>202155.70423452283</v>
      </c>
    </row>
    <row r="11" spans="2:12" ht="17.25" x14ac:dyDescent="0.25">
      <c r="B11" s="409"/>
      <c r="C11" s="152" t="s">
        <v>898</v>
      </c>
      <c r="D11" s="338">
        <v>1321</v>
      </c>
      <c r="E11" s="338">
        <v>936963.07394271065</v>
      </c>
      <c r="F11" s="338">
        <v>236427.72494138547</v>
      </c>
      <c r="G11" s="338">
        <v>748</v>
      </c>
      <c r="H11" s="338">
        <v>535732.11291972303</v>
      </c>
      <c r="I11" s="338">
        <v>238739.80076636496</v>
      </c>
      <c r="J11" s="362">
        <v>2069</v>
      </c>
      <c r="K11" s="362">
        <v>1472695.1868624336</v>
      </c>
      <c r="L11" s="362">
        <v>237263.60349000059</v>
      </c>
    </row>
    <row r="12" spans="2:12" x14ac:dyDescent="0.25">
      <c r="B12" s="409"/>
      <c r="C12" s="152" t="s">
        <v>914</v>
      </c>
      <c r="D12" s="338">
        <v>1141.6666666666667</v>
      </c>
      <c r="E12" s="338">
        <v>705228.66042383027</v>
      </c>
      <c r="F12" s="338">
        <v>205906.17822593582</v>
      </c>
      <c r="G12" s="338">
        <v>1155</v>
      </c>
      <c r="H12" s="338">
        <v>713599.60494224878</v>
      </c>
      <c r="I12" s="338">
        <v>205945.05193138495</v>
      </c>
      <c r="J12" s="362">
        <v>2296.6666666666665</v>
      </c>
      <c r="K12" s="362">
        <v>1418828.2653660788</v>
      </c>
      <c r="L12" s="362">
        <v>205925.72791960507</v>
      </c>
    </row>
    <row r="13" spans="2:12" x14ac:dyDescent="0.25">
      <c r="B13" s="409"/>
      <c r="C13" s="152" t="s">
        <v>915</v>
      </c>
      <c r="D13" s="338">
        <v>465.66666666666669</v>
      </c>
      <c r="E13" s="338">
        <v>238494.67218004429</v>
      </c>
      <c r="F13" s="338">
        <v>170719.16405157073</v>
      </c>
      <c r="G13" s="338">
        <v>565.66666666666663</v>
      </c>
      <c r="H13" s="338">
        <v>275711.50052629859</v>
      </c>
      <c r="I13" s="338">
        <v>162469.94727536748</v>
      </c>
      <c r="J13" s="362">
        <v>1031.3333333333333</v>
      </c>
      <c r="K13" s="362">
        <v>514206.17270634294</v>
      </c>
      <c r="L13" s="362">
        <v>166194.62595550841</v>
      </c>
    </row>
    <row r="14" spans="2:12" ht="17.25" x14ac:dyDescent="0.25">
      <c r="B14" s="410"/>
      <c r="C14" s="152" t="s">
        <v>931</v>
      </c>
      <c r="D14" s="338">
        <v>16405</v>
      </c>
      <c r="E14" s="338">
        <v>10104236.972083187</v>
      </c>
      <c r="F14" s="338">
        <v>205308.07623860991</v>
      </c>
      <c r="G14" s="338">
        <v>12363</v>
      </c>
      <c r="H14" s="338">
        <v>7512324.9889058685</v>
      </c>
      <c r="I14" s="338">
        <v>202548.59901603896</v>
      </c>
      <c r="J14" s="362">
        <v>28768</v>
      </c>
      <c r="K14" s="362">
        <v>17616561.960989054</v>
      </c>
      <c r="L14" s="362">
        <v>204122.19550645456</v>
      </c>
    </row>
    <row r="15" spans="2:12" ht="17.25" x14ac:dyDescent="0.25">
      <c r="B15" s="408" t="s">
        <v>505</v>
      </c>
      <c r="C15" s="152" t="s">
        <v>881</v>
      </c>
      <c r="D15" s="338">
        <v>3727.6666666666665</v>
      </c>
      <c r="E15" s="338">
        <v>2294191.529436938</v>
      </c>
      <c r="F15" s="338">
        <v>205149.91768192238</v>
      </c>
      <c r="G15" s="338">
        <v>1636.3333333333333</v>
      </c>
      <c r="H15" s="338">
        <v>1005551.3327334248</v>
      </c>
      <c r="I15" s="338">
        <v>204838.3240442911</v>
      </c>
      <c r="J15" s="362">
        <v>5364</v>
      </c>
      <c r="K15" s="362">
        <v>3299742.8621703628</v>
      </c>
      <c r="L15" s="362">
        <v>205054.86342097705</v>
      </c>
    </row>
    <row r="16" spans="2:12" ht="17.25" x14ac:dyDescent="0.25">
      <c r="B16" s="409" t="s">
        <v>505</v>
      </c>
      <c r="C16" s="152" t="s">
        <v>882</v>
      </c>
      <c r="D16" s="338">
        <v>10913.333333333334</v>
      </c>
      <c r="E16" s="338">
        <v>6643196.5739261787</v>
      </c>
      <c r="F16" s="338">
        <v>202907.65344918077</v>
      </c>
      <c r="G16" s="338">
        <v>9961</v>
      </c>
      <c r="H16" s="338">
        <v>5973702.1447080597</v>
      </c>
      <c r="I16" s="338">
        <v>199903.02662744903</v>
      </c>
      <c r="J16" s="362">
        <v>20874.333333333332</v>
      </c>
      <c r="K16" s="362">
        <v>12616898.718634238</v>
      </c>
      <c r="L16" s="362">
        <v>201473.87890446384</v>
      </c>
    </row>
    <row r="17" spans="2:12" ht="17.25" x14ac:dyDescent="0.25">
      <c r="B17" s="409" t="s">
        <v>505</v>
      </c>
      <c r="C17" s="152" t="s">
        <v>898</v>
      </c>
      <c r="D17" s="338">
        <v>1627.3333333333333</v>
      </c>
      <c r="E17" s="338">
        <v>1156573.7413746105</v>
      </c>
      <c r="F17" s="338">
        <v>236905.723345885</v>
      </c>
      <c r="G17" s="338">
        <v>875.66666666666663</v>
      </c>
      <c r="H17" s="338">
        <v>629058.74172364315</v>
      </c>
      <c r="I17" s="338">
        <v>239458.9804810214</v>
      </c>
      <c r="J17" s="362">
        <v>2503</v>
      </c>
      <c r="K17" s="362">
        <v>1785632.4830982538</v>
      </c>
      <c r="L17" s="362">
        <v>237798.97231299159</v>
      </c>
    </row>
    <row r="18" spans="2:12" x14ac:dyDescent="0.25">
      <c r="B18" s="409" t="s">
        <v>505</v>
      </c>
      <c r="C18" s="152" t="s">
        <v>914</v>
      </c>
      <c r="D18" s="338">
        <v>1388</v>
      </c>
      <c r="E18" s="338">
        <v>857547.7979504714</v>
      </c>
      <c r="F18" s="338">
        <v>205943.27520424387</v>
      </c>
      <c r="G18" s="338">
        <v>1171.6666666666667</v>
      </c>
      <c r="H18" s="338">
        <v>723432.27136476163</v>
      </c>
      <c r="I18" s="338">
        <v>205812.87947788381</v>
      </c>
      <c r="J18" s="362">
        <v>2559.6666666666665</v>
      </c>
      <c r="K18" s="362">
        <v>1580980.069315233</v>
      </c>
      <c r="L18" s="362">
        <v>205883.58761755869</v>
      </c>
    </row>
    <row r="19" spans="2:12" x14ac:dyDescent="0.25">
      <c r="B19" s="409" t="s">
        <v>505</v>
      </c>
      <c r="C19" s="152" t="s">
        <v>915</v>
      </c>
      <c r="D19" s="338">
        <v>665.66666666666663</v>
      </c>
      <c r="E19" s="338">
        <v>344895.5606845289</v>
      </c>
      <c r="F19" s="338">
        <v>172706.84060316923</v>
      </c>
      <c r="G19" s="338">
        <v>772</v>
      </c>
      <c r="H19" s="338">
        <v>374912.04208564991</v>
      </c>
      <c r="I19" s="338">
        <v>161879.12007152414</v>
      </c>
      <c r="J19" s="362">
        <v>1437.6666666666667</v>
      </c>
      <c r="K19" s="362">
        <v>719807.60277017881</v>
      </c>
      <c r="L19" s="362">
        <v>166892.55802693689</v>
      </c>
    </row>
    <row r="20" spans="2:12" ht="17.25" x14ac:dyDescent="0.25">
      <c r="B20" s="410" t="s">
        <v>505</v>
      </c>
      <c r="C20" s="152" t="s">
        <v>931</v>
      </c>
      <c r="D20" s="338">
        <v>18322</v>
      </c>
      <c r="E20" s="338">
        <v>11296405.203372726</v>
      </c>
      <c r="F20" s="338">
        <v>205516.23191377809</v>
      </c>
      <c r="G20" s="338">
        <v>14416.666666666666</v>
      </c>
      <c r="H20" s="338">
        <v>8706656.5326155387</v>
      </c>
      <c r="I20" s="338">
        <v>201309.97763272925</v>
      </c>
      <c r="J20" s="362">
        <v>32738.666666666668</v>
      </c>
      <c r="K20" s="362">
        <v>20003061.735988267</v>
      </c>
      <c r="L20" s="362">
        <v>203663.9828132714</v>
      </c>
    </row>
    <row r="21" spans="2:12" ht="17.25" x14ac:dyDescent="0.25">
      <c r="B21" s="408" t="s">
        <v>506</v>
      </c>
      <c r="C21" s="152" t="s">
        <v>881</v>
      </c>
      <c r="D21" s="338">
        <v>7025.666666666667</v>
      </c>
      <c r="E21" s="338">
        <v>4325277.0911245765</v>
      </c>
      <c r="F21" s="338">
        <v>205213.12763318198</v>
      </c>
      <c r="G21" s="338">
        <v>2213.6666666666665</v>
      </c>
      <c r="H21" s="338">
        <v>1354141.6885918106</v>
      </c>
      <c r="I21" s="338">
        <v>203906.2925149542</v>
      </c>
      <c r="J21" s="362">
        <v>9239.3333333333339</v>
      </c>
      <c r="K21" s="362">
        <v>5679418.7797163865</v>
      </c>
      <c r="L21" s="362">
        <v>204900.02091479854</v>
      </c>
    </row>
    <row r="22" spans="2:12" ht="17.25" x14ac:dyDescent="0.25">
      <c r="B22" s="409" t="s">
        <v>506</v>
      </c>
      <c r="C22" s="152" t="s">
        <v>882</v>
      </c>
      <c r="D22" s="338">
        <v>19999.333333333332</v>
      </c>
      <c r="E22" s="338">
        <v>12149541.781871418</v>
      </c>
      <c r="F22" s="338">
        <v>202499.11300162369</v>
      </c>
      <c r="G22" s="338">
        <v>16666.333333333332</v>
      </c>
      <c r="H22" s="338">
        <v>9708162.597086437</v>
      </c>
      <c r="I22" s="338">
        <v>194167.13528443445</v>
      </c>
      <c r="J22" s="362">
        <v>36665.666666666664</v>
      </c>
      <c r="K22" s="362">
        <v>21857704.378957856</v>
      </c>
      <c r="L22" s="362">
        <v>198711.82285842212</v>
      </c>
    </row>
    <row r="23" spans="2:12" ht="17.25" x14ac:dyDescent="0.25">
      <c r="B23" s="409" t="s">
        <v>506</v>
      </c>
      <c r="C23" s="152" t="s">
        <v>898</v>
      </c>
      <c r="D23" s="338">
        <v>2536.3333333333335</v>
      </c>
      <c r="E23" s="338">
        <v>1791120.1613081302</v>
      </c>
      <c r="F23" s="338">
        <v>235394.94825970958</v>
      </c>
      <c r="G23" s="338">
        <v>1093</v>
      </c>
      <c r="H23" s="338">
        <v>791872.90428089548</v>
      </c>
      <c r="I23" s="338">
        <v>241498.29346779367</v>
      </c>
      <c r="J23" s="362">
        <v>3629.3333333333335</v>
      </c>
      <c r="K23" s="362">
        <v>2582993.0655890256</v>
      </c>
      <c r="L23" s="362">
        <v>237233.01484101996</v>
      </c>
    </row>
    <row r="24" spans="2:12" x14ac:dyDescent="0.25">
      <c r="B24" s="409" t="s">
        <v>506</v>
      </c>
      <c r="C24" s="152" t="s">
        <v>914</v>
      </c>
      <c r="D24" s="338">
        <v>2065.6666666666665</v>
      </c>
      <c r="E24" s="338">
        <v>1275809.4069452677</v>
      </c>
      <c r="F24" s="338">
        <v>205875.32789176502</v>
      </c>
      <c r="G24" s="338">
        <v>1552</v>
      </c>
      <c r="H24" s="338">
        <v>958442.35253333137</v>
      </c>
      <c r="I24" s="338">
        <v>205851.0207331038</v>
      </c>
      <c r="J24" s="362">
        <v>3617.6666666666665</v>
      </c>
      <c r="K24" s="362">
        <v>2234251.7594785993</v>
      </c>
      <c r="L24" s="362">
        <v>205864.89997960004</v>
      </c>
    </row>
    <row r="25" spans="2:12" x14ac:dyDescent="0.25">
      <c r="B25" s="409" t="s">
        <v>506</v>
      </c>
      <c r="C25" s="152" t="s">
        <v>915</v>
      </c>
      <c r="D25" s="338">
        <v>819</v>
      </c>
      <c r="E25" s="338">
        <v>416601.39261907915</v>
      </c>
      <c r="F25" s="338">
        <v>169556.9363529016</v>
      </c>
      <c r="G25" s="338">
        <v>856.33333333333337</v>
      </c>
      <c r="H25" s="338">
        <v>418654.08742730628</v>
      </c>
      <c r="I25" s="338">
        <v>162963.83317528467</v>
      </c>
      <c r="J25" s="362">
        <v>1675.3333333333333</v>
      </c>
      <c r="K25" s="362">
        <v>835255.48004638555</v>
      </c>
      <c r="L25" s="362">
        <v>166186.92400445396</v>
      </c>
    </row>
    <row r="26" spans="2:12" ht="17.25" x14ac:dyDescent="0.25">
      <c r="B26" s="410" t="s">
        <v>506</v>
      </c>
      <c r="C26" s="152" t="s">
        <v>931</v>
      </c>
      <c r="D26" s="338">
        <v>32446</v>
      </c>
      <c r="E26" s="338">
        <v>19958349.833868474</v>
      </c>
      <c r="F26" s="338">
        <v>205041.70862220789</v>
      </c>
      <c r="G26" s="338">
        <v>22381.333333333332</v>
      </c>
      <c r="H26" s="338">
        <v>13231273.62991978</v>
      </c>
      <c r="I26" s="338">
        <v>197058.16796615903</v>
      </c>
      <c r="J26" s="362">
        <v>54827.333333333336</v>
      </c>
      <c r="K26" s="362">
        <v>33189623.463788252</v>
      </c>
      <c r="L26" s="362">
        <v>201782.7085260895</v>
      </c>
    </row>
    <row r="27" spans="2:12" ht="17.25" x14ac:dyDescent="0.25">
      <c r="B27" s="408" t="s">
        <v>507</v>
      </c>
      <c r="C27" s="152" t="s">
        <v>881</v>
      </c>
      <c r="D27" s="338">
        <v>5100.666666666667</v>
      </c>
      <c r="E27" s="338">
        <v>3131588.852093373</v>
      </c>
      <c r="F27" s="338">
        <v>204652.25801159148</v>
      </c>
      <c r="G27" s="338">
        <v>1959</v>
      </c>
      <c r="H27" s="338">
        <v>1202986.6366411131</v>
      </c>
      <c r="I27" s="338">
        <v>204693.9997687788</v>
      </c>
      <c r="J27" s="362">
        <v>7059.666666666667</v>
      </c>
      <c r="K27" s="362">
        <v>4334575.4887344856</v>
      </c>
      <c r="L27" s="362">
        <v>204663.84100923015</v>
      </c>
    </row>
    <row r="28" spans="2:12" ht="17.25" x14ac:dyDescent="0.25">
      <c r="B28" s="409" t="s">
        <v>507</v>
      </c>
      <c r="C28" s="152" t="s">
        <v>882</v>
      </c>
      <c r="D28" s="338">
        <v>12052.333333333334</v>
      </c>
      <c r="E28" s="338">
        <v>7329797.4425197262</v>
      </c>
      <c r="F28" s="338">
        <v>202721.39399064431</v>
      </c>
      <c r="G28" s="338">
        <v>11380.333333333334</v>
      </c>
      <c r="H28" s="338">
        <v>6783514.4469401091</v>
      </c>
      <c r="I28" s="338">
        <v>198691.14691837115</v>
      </c>
      <c r="J28" s="362">
        <v>23432.666666666668</v>
      </c>
      <c r="K28" s="362">
        <v>14113311.889459835</v>
      </c>
      <c r="L28" s="362">
        <v>200764.05999402306</v>
      </c>
    </row>
    <row r="29" spans="2:12" ht="17.25" x14ac:dyDescent="0.25">
      <c r="B29" s="409" t="s">
        <v>507</v>
      </c>
      <c r="C29" s="152" t="s">
        <v>898</v>
      </c>
      <c r="D29" s="338">
        <v>1596.6666666666667</v>
      </c>
      <c r="E29" s="338">
        <v>1119871.3616190534</v>
      </c>
      <c r="F29" s="338">
        <v>233793.60367829923</v>
      </c>
      <c r="G29" s="338">
        <v>998.66666666666663</v>
      </c>
      <c r="H29" s="338">
        <v>716951.08074563753</v>
      </c>
      <c r="I29" s="338">
        <v>239302.76393379091</v>
      </c>
      <c r="J29" s="362">
        <v>2595.3333333333335</v>
      </c>
      <c r="K29" s="362">
        <v>1836822.4423646913</v>
      </c>
      <c r="L29" s="362">
        <v>235913.49118477921</v>
      </c>
    </row>
    <row r="30" spans="2:12" x14ac:dyDescent="0.25">
      <c r="B30" s="409" t="s">
        <v>507</v>
      </c>
      <c r="C30" s="152" t="s">
        <v>914</v>
      </c>
      <c r="D30" s="338">
        <v>1510</v>
      </c>
      <c r="E30" s="338">
        <v>932923.48750301811</v>
      </c>
      <c r="F30" s="338">
        <v>205943.37472472806</v>
      </c>
      <c r="G30" s="338">
        <v>1157.3333333333333</v>
      </c>
      <c r="H30" s="338">
        <v>714987.14077529323</v>
      </c>
      <c r="I30" s="338">
        <v>205929.47602975037</v>
      </c>
      <c r="J30" s="362">
        <v>2667.3333333333335</v>
      </c>
      <c r="K30" s="362">
        <v>1647910.6282783113</v>
      </c>
      <c r="L30" s="362">
        <v>205937.34419873921</v>
      </c>
    </row>
    <row r="31" spans="2:12" x14ac:dyDescent="0.25">
      <c r="B31" s="409" t="s">
        <v>507</v>
      </c>
      <c r="C31" s="152" t="s">
        <v>915</v>
      </c>
      <c r="D31" s="338">
        <v>586.66666666666663</v>
      </c>
      <c r="E31" s="338">
        <v>313367.05753974826</v>
      </c>
      <c r="F31" s="338">
        <v>178049.46451122061</v>
      </c>
      <c r="G31" s="338">
        <v>704.66666666666663</v>
      </c>
      <c r="H31" s="338">
        <v>346646.80571242439</v>
      </c>
      <c r="I31" s="338">
        <v>163976.72928686111</v>
      </c>
      <c r="J31" s="362">
        <v>1291.3333333333333</v>
      </c>
      <c r="K31" s="362">
        <v>660013.86325217271</v>
      </c>
      <c r="L31" s="362">
        <v>170370.12474242973</v>
      </c>
    </row>
    <row r="32" spans="2:12" ht="17.25" x14ac:dyDescent="0.25">
      <c r="B32" s="410" t="s">
        <v>507</v>
      </c>
      <c r="C32" s="152" t="s">
        <v>931</v>
      </c>
      <c r="D32" s="338">
        <v>20846.333333333332</v>
      </c>
      <c r="E32" s="338">
        <v>12827548.20127492</v>
      </c>
      <c r="F32" s="338">
        <v>205112.78084515134</v>
      </c>
      <c r="G32" s="338">
        <v>16200</v>
      </c>
      <c r="H32" s="338">
        <v>9765086.110814577</v>
      </c>
      <c r="I32" s="338">
        <v>200927.69775338634</v>
      </c>
      <c r="J32" s="362">
        <v>37046.333333333336</v>
      </c>
      <c r="K32" s="362">
        <v>22592634.312089495</v>
      </c>
      <c r="L32" s="362">
        <v>203282.68485490687</v>
      </c>
    </row>
    <row r="33" spans="2:12" ht="17.25" x14ac:dyDescent="0.25">
      <c r="B33" s="408" t="s">
        <v>508</v>
      </c>
      <c r="C33" s="152" t="s">
        <v>881</v>
      </c>
      <c r="D33" s="338">
        <v>16283.666666666666</v>
      </c>
      <c r="E33" s="338">
        <v>10007478.011480687</v>
      </c>
      <c r="F33" s="338">
        <v>204857.17818428873</v>
      </c>
      <c r="G33" s="338">
        <v>7040</v>
      </c>
      <c r="H33" s="338">
        <v>4335469.507652876</v>
      </c>
      <c r="I33" s="338">
        <v>205277.91229417027</v>
      </c>
      <c r="J33" s="362">
        <v>23323.666666666668</v>
      </c>
      <c r="K33" s="362">
        <v>14342947.519133564</v>
      </c>
      <c r="L33" s="362">
        <v>204984.17228757002</v>
      </c>
    </row>
    <row r="34" spans="2:12" ht="17.25" x14ac:dyDescent="0.25">
      <c r="B34" s="409" t="s">
        <v>508</v>
      </c>
      <c r="C34" s="152" t="s">
        <v>882</v>
      </c>
      <c r="D34" s="338">
        <v>37294.666666666664</v>
      </c>
      <c r="E34" s="338">
        <v>22719706.330925267</v>
      </c>
      <c r="F34" s="338">
        <v>203064.8379654398</v>
      </c>
      <c r="G34" s="338">
        <v>32268.333333333332</v>
      </c>
      <c r="H34" s="338">
        <v>19328513.419907123</v>
      </c>
      <c r="I34" s="338">
        <v>199664.41216783354</v>
      </c>
      <c r="J34" s="362">
        <v>69563</v>
      </c>
      <c r="K34" s="362">
        <v>42048219.750832386</v>
      </c>
      <c r="L34" s="362">
        <v>201487.47538601648</v>
      </c>
    </row>
    <row r="35" spans="2:12" ht="17.25" x14ac:dyDescent="0.25">
      <c r="B35" s="409" t="s">
        <v>508</v>
      </c>
      <c r="C35" s="152" t="s">
        <v>898</v>
      </c>
      <c r="D35" s="338">
        <v>4350</v>
      </c>
      <c r="E35" s="338">
        <v>3074393.9370202473</v>
      </c>
      <c r="F35" s="338">
        <v>235585.74230040211</v>
      </c>
      <c r="G35" s="338">
        <v>2826.6666666666665</v>
      </c>
      <c r="H35" s="338">
        <v>2032867.7346794372</v>
      </c>
      <c r="I35" s="338">
        <v>239724.96871219779</v>
      </c>
      <c r="J35" s="362">
        <v>7176.666666666667</v>
      </c>
      <c r="K35" s="362">
        <v>5107261.671699685</v>
      </c>
      <c r="L35" s="362">
        <v>237216.05535065886</v>
      </c>
    </row>
    <row r="36" spans="2:12" x14ac:dyDescent="0.25">
      <c r="B36" s="409" t="s">
        <v>508</v>
      </c>
      <c r="C36" s="152" t="s">
        <v>914</v>
      </c>
      <c r="D36" s="338">
        <v>4627.666666666667</v>
      </c>
      <c r="E36" s="338">
        <v>2857237.2582889833</v>
      </c>
      <c r="F36" s="338">
        <v>205808.34533522892</v>
      </c>
      <c r="G36" s="338">
        <v>3944.6666666666665</v>
      </c>
      <c r="H36" s="338">
        <v>2436747.1586037707</v>
      </c>
      <c r="I36" s="338">
        <v>205910.69449076991</v>
      </c>
      <c r="J36" s="362">
        <v>8572.3333333333339</v>
      </c>
      <c r="K36" s="362">
        <v>5293984.4168927548</v>
      </c>
      <c r="L36" s="362">
        <v>205855.44258244563</v>
      </c>
    </row>
    <row r="37" spans="2:12" x14ac:dyDescent="0.25">
      <c r="B37" s="409" t="s">
        <v>508</v>
      </c>
      <c r="C37" s="152" t="s">
        <v>915</v>
      </c>
      <c r="D37" s="338">
        <v>1911.3333333333333</v>
      </c>
      <c r="E37" s="338">
        <v>996082.46947343904</v>
      </c>
      <c r="F37" s="338">
        <v>173715.11501106364</v>
      </c>
      <c r="G37" s="338">
        <v>2172.3333333333335</v>
      </c>
      <c r="H37" s="338">
        <v>1077823.9915846756</v>
      </c>
      <c r="I37" s="338">
        <v>165386.52625206005</v>
      </c>
      <c r="J37" s="362">
        <v>4083.6666666666665</v>
      </c>
      <c r="K37" s="362">
        <v>2073906.4610581144</v>
      </c>
      <c r="L37" s="362">
        <v>169284.66746046155</v>
      </c>
    </row>
    <row r="38" spans="2:12" ht="17.25" x14ac:dyDescent="0.25">
      <c r="B38" s="410" t="s">
        <v>508</v>
      </c>
      <c r="C38" s="152" t="s">
        <v>931</v>
      </c>
      <c r="D38" s="338">
        <v>64467.333333333336</v>
      </c>
      <c r="E38" s="338">
        <v>39654898.007188618</v>
      </c>
      <c r="F38" s="338">
        <v>205038.71732034115</v>
      </c>
      <c r="G38" s="338">
        <v>48252</v>
      </c>
      <c r="H38" s="338">
        <v>29211421.812427882</v>
      </c>
      <c r="I38" s="338">
        <v>201797.65821401449</v>
      </c>
      <c r="J38" s="362">
        <v>112719.33333333333</v>
      </c>
      <c r="K38" s="362">
        <v>68866319.819616511</v>
      </c>
      <c r="L38" s="362">
        <v>203651.31039223241</v>
      </c>
    </row>
    <row r="39" spans="2:12" ht="17.25" x14ac:dyDescent="0.25">
      <c r="B39" s="408" t="s">
        <v>509</v>
      </c>
      <c r="C39" s="152" t="s">
        <v>881</v>
      </c>
      <c r="D39" s="338">
        <v>33965.333333333336</v>
      </c>
      <c r="E39" s="338">
        <v>20877143.325083703</v>
      </c>
      <c r="F39" s="338">
        <v>204886.77990385983</v>
      </c>
      <c r="G39" s="338">
        <v>13148.333333333334</v>
      </c>
      <c r="H39" s="338">
        <v>8088247.8874707138</v>
      </c>
      <c r="I39" s="338">
        <v>205051.28374878218</v>
      </c>
      <c r="J39" s="362">
        <v>47113.666666666664</v>
      </c>
      <c r="K39" s="362">
        <v>28965391.212554418</v>
      </c>
      <c r="L39" s="362">
        <v>204932.68911748478</v>
      </c>
    </row>
    <row r="40" spans="2:12" ht="17.25" x14ac:dyDescent="0.25">
      <c r="B40" s="409" t="s">
        <v>509</v>
      </c>
      <c r="C40" s="152" t="s">
        <v>882</v>
      </c>
      <c r="D40" s="338">
        <v>101469</v>
      </c>
      <c r="E40" s="338">
        <v>61696367.890895098</v>
      </c>
      <c r="F40" s="338">
        <v>202677.23111129212</v>
      </c>
      <c r="G40" s="338">
        <v>80590</v>
      </c>
      <c r="H40" s="338">
        <v>48314526.59110228</v>
      </c>
      <c r="I40" s="338">
        <v>199836.731567615</v>
      </c>
      <c r="J40" s="362">
        <v>182059</v>
      </c>
      <c r="K40" s="362">
        <v>110010894.48199737</v>
      </c>
      <c r="L40" s="362">
        <v>201419.85928004544</v>
      </c>
    </row>
    <row r="41" spans="2:12" ht="17.25" x14ac:dyDescent="0.25">
      <c r="B41" s="409" t="s">
        <v>509</v>
      </c>
      <c r="C41" s="152" t="s">
        <v>898</v>
      </c>
      <c r="D41" s="338">
        <v>13045.333333333334</v>
      </c>
      <c r="E41" s="338">
        <v>9255661.8630659021</v>
      </c>
      <c r="F41" s="338">
        <v>236499.94539722765</v>
      </c>
      <c r="G41" s="338">
        <v>6702.666666666667</v>
      </c>
      <c r="H41" s="338">
        <v>4829001.8139410382</v>
      </c>
      <c r="I41" s="338">
        <v>240153.26307643915</v>
      </c>
      <c r="J41" s="362">
        <v>19748</v>
      </c>
      <c r="K41" s="362">
        <v>14084663.677006943</v>
      </c>
      <c r="L41" s="362">
        <v>237739.91757826856</v>
      </c>
    </row>
    <row r="42" spans="2:12" x14ac:dyDescent="0.25">
      <c r="B42" s="409" t="s">
        <v>509</v>
      </c>
      <c r="C42" s="152" t="s">
        <v>914</v>
      </c>
      <c r="D42" s="338">
        <v>10421</v>
      </c>
      <c r="E42" s="338">
        <v>6436413.5923989601</v>
      </c>
      <c r="F42" s="338">
        <v>205879.58904772287</v>
      </c>
      <c r="G42" s="338">
        <v>8656.6666666666661</v>
      </c>
      <c r="H42" s="338">
        <v>5346107.1653311681</v>
      </c>
      <c r="I42" s="338">
        <v>205857.03370547431</v>
      </c>
      <c r="J42" s="362">
        <v>19077.666666666668</v>
      </c>
      <c r="K42" s="362">
        <v>11782520.75773013</v>
      </c>
      <c r="L42" s="362">
        <v>205869.35435378415</v>
      </c>
    </row>
    <row r="43" spans="2:12" x14ac:dyDescent="0.25">
      <c r="B43" s="409" t="s">
        <v>509</v>
      </c>
      <c r="C43" s="152" t="s">
        <v>915</v>
      </c>
      <c r="D43" s="338">
        <v>5332</v>
      </c>
      <c r="E43" s="338">
        <v>2734021.730850359</v>
      </c>
      <c r="F43" s="338">
        <v>170919.08795013497</v>
      </c>
      <c r="G43" s="338">
        <v>5382.333333333333</v>
      </c>
      <c r="H43" s="338">
        <v>2620205.7237518681</v>
      </c>
      <c r="I43" s="338">
        <v>162271.98388257064</v>
      </c>
      <c r="J43" s="362">
        <v>10714.333333333334</v>
      </c>
      <c r="K43" s="362">
        <v>5354227.4546022275</v>
      </c>
      <c r="L43" s="362">
        <v>166575.22491995851</v>
      </c>
    </row>
    <row r="44" spans="2:12" ht="17.25" x14ac:dyDescent="0.25">
      <c r="B44" s="410" t="s">
        <v>509</v>
      </c>
      <c r="C44" s="152" t="s">
        <v>931</v>
      </c>
      <c r="D44" s="338">
        <v>164232.66666666666</v>
      </c>
      <c r="E44" s="338">
        <v>100999608.40229402</v>
      </c>
      <c r="F44" s="338">
        <v>204992.93360698444</v>
      </c>
      <c r="G44" s="338">
        <v>114480</v>
      </c>
      <c r="H44" s="338">
        <v>69198089.181597054</v>
      </c>
      <c r="I44" s="338">
        <v>201485.23521312911</v>
      </c>
      <c r="J44" s="362">
        <v>278712.66666666669</v>
      </c>
      <c r="K44" s="362">
        <v>170197697.58389112</v>
      </c>
      <c r="L44" s="362">
        <v>203552.16194442913</v>
      </c>
    </row>
    <row r="45" spans="2:12" ht="17.25" x14ac:dyDescent="0.25">
      <c r="B45" s="408" t="s">
        <v>517</v>
      </c>
      <c r="C45" s="152" t="s">
        <v>881</v>
      </c>
      <c r="D45" s="338">
        <v>113639.66666666667</v>
      </c>
      <c r="E45" s="338">
        <v>69874210.352572024</v>
      </c>
      <c r="F45" s="338">
        <v>204958.39291025733</v>
      </c>
      <c r="G45" s="338">
        <v>41524.666666666664</v>
      </c>
      <c r="H45" s="338">
        <v>25551321.474436294</v>
      </c>
      <c r="I45" s="338">
        <v>205109.58526206348</v>
      </c>
      <c r="J45" s="362">
        <v>155164.33333333334</v>
      </c>
      <c r="K45" s="362">
        <v>95425531.827008307</v>
      </c>
      <c r="L45" s="362">
        <v>204998.85460577987</v>
      </c>
    </row>
    <row r="46" spans="2:12" ht="17.25" x14ac:dyDescent="0.25">
      <c r="B46" s="409" t="s">
        <v>517</v>
      </c>
      <c r="C46" s="152" t="s">
        <v>882</v>
      </c>
      <c r="D46" s="338">
        <v>322795.33333333331</v>
      </c>
      <c r="E46" s="338">
        <v>196459016.608486</v>
      </c>
      <c r="F46" s="338">
        <v>202872.63199642085</v>
      </c>
      <c r="G46" s="338">
        <v>250843</v>
      </c>
      <c r="H46" s="338">
        <v>151279495.58830041</v>
      </c>
      <c r="I46" s="338">
        <v>201028.12727257077</v>
      </c>
      <c r="J46" s="362">
        <v>573638.33333333337</v>
      </c>
      <c r="K46" s="362">
        <v>347738512.1967864</v>
      </c>
      <c r="L46" s="362">
        <v>202066.05915852109</v>
      </c>
    </row>
    <row r="47" spans="2:12" ht="17.25" x14ac:dyDescent="0.25">
      <c r="B47" s="409" t="s">
        <v>517</v>
      </c>
      <c r="C47" s="152" t="s">
        <v>898</v>
      </c>
      <c r="D47" s="338">
        <v>45063</v>
      </c>
      <c r="E47" s="338">
        <v>32030521.216994833</v>
      </c>
      <c r="F47" s="338">
        <v>236931.41614328709</v>
      </c>
      <c r="G47" s="338">
        <v>19832.333333333332</v>
      </c>
      <c r="H47" s="338">
        <v>14336028.787391802</v>
      </c>
      <c r="I47" s="338">
        <v>240953.80922385672</v>
      </c>
      <c r="J47" s="362">
        <v>64895.333333333336</v>
      </c>
      <c r="K47" s="362">
        <v>46366550.004386634</v>
      </c>
      <c r="L47" s="362">
        <v>238160.6792701408</v>
      </c>
    </row>
    <row r="48" spans="2:12" x14ac:dyDescent="0.25">
      <c r="B48" s="409" t="s">
        <v>517</v>
      </c>
      <c r="C48" s="152" t="s">
        <v>914</v>
      </c>
      <c r="D48" s="338">
        <v>33998</v>
      </c>
      <c r="E48" s="338">
        <v>20994701.958491676</v>
      </c>
      <c r="F48" s="338">
        <v>205842.51974127573</v>
      </c>
      <c r="G48" s="338">
        <v>27268.333333333332</v>
      </c>
      <c r="H48" s="338">
        <v>16839440.647712998</v>
      </c>
      <c r="I48" s="338">
        <v>205848.55018291055</v>
      </c>
      <c r="J48" s="362">
        <v>61266.333333333336</v>
      </c>
      <c r="K48" s="362">
        <v>37834142.606204674</v>
      </c>
      <c r="L48" s="362">
        <v>205845.20376174338</v>
      </c>
    </row>
    <row r="49" spans="2:12" x14ac:dyDescent="0.25">
      <c r="B49" s="409" t="s">
        <v>517</v>
      </c>
      <c r="C49" s="152" t="s">
        <v>915</v>
      </c>
      <c r="D49" s="338">
        <v>16148</v>
      </c>
      <c r="E49" s="338">
        <v>8542460.8492798358</v>
      </c>
      <c r="F49" s="338">
        <v>176336.818786224</v>
      </c>
      <c r="G49" s="338">
        <v>14961</v>
      </c>
      <c r="H49" s="338">
        <v>7437071.8246277748</v>
      </c>
      <c r="I49" s="338">
        <v>165699.08037849018</v>
      </c>
      <c r="J49" s="362">
        <v>31109</v>
      </c>
      <c r="K49" s="362">
        <v>15979532.673907612</v>
      </c>
      <c r="L49" s="362">
        <v>171220.89720989222</v>
      </c>
    </row>
    <row r="50" spans="2:12" ht="17.25" x14ac:dyDescent="0.25">
      <c r="B50" s="410" t="s">
        <v>517</v>
      </c>
      <c r="C50" s="152" t="s">
        <v>931</v>
      </c>
      <c r="D50" s="338">
        <v>531644</v>
      </c>
      <c r="E50" s="338">
        <v>327900910.98582435</v>
      </c>
      <c r="F50" s="338">
        <v>205589.27338960179</v>
      </c>
      <c r="G50" s="338">
        <v>354429.33333333331</v>
      </c>
      <c r="H50" s="338">
        <v>215443358.32246923</v>
      </c>
      <c r="I50" s="338">
        <v>202619.94710978519</v>
      </c>
      <c r="J50" s="362">
        <v>886073.33333333337</v>
      </c>
      <c r="K50" s="362">
        <v>543344269.30829358</v>
      </c>
      <c r="L50" s="362">
        <v>204401.54287767512</v>
      </c>
    </row>
    <row r="51" spans="2:12" ht="17.25" x14ac:dyDescent="0.25">
      <c r="B51" s="408" t="s">
        <v>910</v>
      </c>
      <c r="C51" s="152" t="s">
        <v>881</v>
      </c>
      <c r="D51" s="338">
        <v>17486.333333333332</v>
      </c>
      <c r="E51" s="338">
        <v>10717402.229388664</v>
      </c>
      <c r="F51" s="338">
        <v>204300.54384164137</v>
      </c>
      <c r="G51" s="338">
        <v>6803.333333333333</v>
      </c>
      <c r="H51" s="338">
        <v>4184329.6256272285</v>
      </c>
      <c r="I51" s="338">
        <v>205013.70042269619</v>
      </c>
      <c r="J51" s="362">
        <v>24289.666666666668</v>
      </c>
      <c r="K51" s="362">
        <v>14901731.855015893</v>
      </c>
      <c r="L51" s="362">
        <v>204500.29306036711</v>
      </c>
    </row>
    <row r="52" spans="2:12" ht="17.25" x14ac:dyDescent="0.25">
      <c r="B52" s="409" t="s">
        <v>910</v>
      </c>
      <c r="C52" s="152" t="s">
        <v>882</v>
      </c>
      <c r="D52" s="338">
        <v>45536.666666666664</v>
      </c>
      <c r="E52" s="338">
        <v>27701567.182589196</v>
      </c>
      <c r="F52" s="338">
        <v>202778.47289795181</v>
      </c>
      <c r="G52" s="338">
        <v>42858</v>
      </c>
      <c r="H52" s="338">
        <v>25698977.652101021</v>
      </c>
      <c r="I52" s="338">
        <v>199876.93975532393</v>
      </c>
      <c r="J52" s="362">
        <v>88394.666666666672</v>
      </c>
      <c r="K52" s="362">
        <v>53400544.834690213</v>
      </c>
      <c r="L52" s="362">
        <v>201371.66961313732</v>
      </c>
    </row>
    <row r="53" spans="2:12" ht="17.25" x14ac:dyDescent="0.25">
      <c r="B53" s="409" t="s">
        <v>910</v>
      </c>
      <c r="C53" s="152" t="s">
        <v>898</v>
      </c>
      <c r="D53" s="338">
        <v>6171.333333333333</v>
      </c>
      <c r="E53" s="338">
        <v>4344587.7971545393</v>
      </c>
      <c r="F53" s="338">
        <v>234664.99930617583</v>
      </c>
      <c r="G53" s="338">
        <v>3643.3333333333335</v>
      </c>
      <c r="H53" s="338">
        <v>2623659.7481285026</v>
      </c>
      <c r="I53" s="338">
        <v>240042.06295777703</v>
      </c>
      <c r="J53" s="362">
        <v>9814.6666666666661</v>
      </c>
      <c r="K53" s="362">
        <v>6968247.5452830419</v>
      </c>
      <c r="L53" s="362">
        <v>236661.0360441191</v>
      </c>
    </row>
    <row r="54" spans="2:12" x14ac:dyDescent="0.25">
      <c r="B54" s="409" t="s">
        <v>910</v>
      </c>
      <c r="C54" s="152" t="s">
        <v>914</v>
      </c>
      <c r="D54" s="338">
        <v>5655</v>
      </c>
      <c r="E54" s="338">
        <v>3490525.3189283726</v>
      </c>
      <c r="F54" s="338">
        <v>205748.61885814162</v>
      </c>
      <c r="G54" s="338">
        <v>4410.666666666667</v>
      </c>
      <c r="H54" s="338">
        <v>2721258.2347515365</v>
      </c>
      <c r="I54" s="338">
        <v>205657.36356949338</v>
      </c>
      <c r="J54" s="362">
        <v>10065.666666666666</v>
      </c>
      <c r="K54" s="362">
        <v>6211783.5536799086</v>
      </c>
      <c r="L54" s="362">
        <v>205708.63177401427</v>
      </c>
    </row>
    <row r="55" spans="2:12" x14ac:dyDescent="0.25">
      <c r="B55" s="409" t="s">
        <v>910</v>
      </c>
      <c r="C55" s="152" t="s">
        <v>915</v>
      </c>
      <c r="D55" s="338">
        <v>3510</v>
      </c>
      <c r="E55" s="338">
        <v>1828916.1491828051</v>
      </c>
      <c r="F55" s="338">
        <v>173686.24398697107</v>
      </c>
      <c r="G55" s="338">
        <v>3349</v>
      </c>
      <c r="H55" s="338">
        <v>1612761.7308757741</v>
      </c>
      <c r="I55" s="338">
        <v>160521.72099888267</v>
      </c>
      <c r="J55" s="362">
        <v>6859</v>
      </c>
      <c r="K55" s="362">
        <v>3441677.8800585796</v>
      </c>
      <c r="L55" s="362">
        <v>167258.48666270979</v>
      </c>
    </row>
    <row r="56" spans="2:12" ht="17.25" x14ac:dyDescent="0.25">
      <c r="B56" s="410" t="s">
        <v>910</v>
      </c>
      <c r="C56" s="152" t="s">
        <v>931</v>
      </c>
      <c r="D56" s="338">
        <v>78359.333333333328</v>
      </c>
      <c r="E56" s="338">
        <v>48082998.677243575</v>
      </c>
      <c r="F56" s="338">
        <v>204540.61493310126</v>
      </c>
      <c r="G56" s="338">
        <v>61064.333333333336</v>
      </c>
      <c r="H56" s="338">
        <v>36840986.991484061</v>
      </c>
      <c r="I56" s="338">
        <v>201104.77469927378</v>
      </c>
      <c r="J56" s="362">
        <v>139423.66666666666</v>
      </c>
      <c r="K56" s="362">
        <v>84923985.668727636</v>
      </c>
      <c r="L56" s="362">
        <v>203035.79657381849</v>
      </c>
    </row>
    <row r="57" spans="2:12" ht="17.25" x14ac:dyDescent="0.25">
      <c r="B57" s="408" t="s">
        <v>511</v>
      </c>
      <c r="C57" s="152" t="s">
        <v>881</v>
      </c>
      <c r="D57" s="338">
        <v>24206.333333333332</v>
      </c>
      <c r="E57" s="338">
        <v>14808959.950846221</v>
      </c>
      <c r="F57" s="338">
        <v>203926.79534069903</v>
      </c>
      <c r="G57" s="338">
        <v>10436</v>
      </c>
      <c r="H57" s="338">
        <v>6430880.9021237371</v>
      </c>
      <c r="I57" s="338">
        <v>205406.95356214826</v>
      </c>
      <c r="J57" s="362">
        <v>34642.333333333336</v>
      </c>
      <c r="K57" s="362">
        <v>21239840.852969956</v>
      </c>
      <c r="L57" s="362">
        <v>204372.69288029053</v>
      </c>
    </row>
    <row r="58" spans="2:12" ht="17.25" x14ac:dyDescent="0.25">
      <c r="B58" s="409" t="s">
        <v>511</v>
      </c>
      <c r="C58" s="152" t="s">
        <v>882</v>
      </c>
      <c r="D58" s="338">
        <v>50985</v>
      </c>
      <c r="E58" s="338">
        <v>31085822.114081733</v>
      </c>
      <c r="F58" s="338">
        <v>203235.08295957459</v>
      </c>
      <c r="G58" s="338">
        <v>48046.333333333336</v>
      </c>
      <c r="H58" s="338">
        <v>29309258.880436234</v>
      </c>
      <c r="I58" s="338">
        <v>203340.24018784805</v>
      </c>
      <c r="J58" s="362">
        <v>99031.333333333328</v>
      </c>
      <c r="K58" s="362">
        <v>60395080.994517967</v>
      </c>
      <c r="L58" s="362">
        <v>203286.10135013823</v>
      </c>
    </row>
    <row r="59" spans="2:12" ht="17.25" x14ac:dyDescent="0.25">
      <c r="B59" s="409" t="s">
        <v>511</v>
      </c>
      <c r="C59" s="152" t="s">
        <v>898</v>
      </c>
      <c r="D59" s="338">
        <v>6382.666666666667</v>
      </c>
      <c r="E59" s="338">
        <v>4496401.3759427052</v>
      </c>
      <c r="F59" s="338">
        <v>234823.55211733366</v>
      </c>
      <c r="G59" s="338">
        <v>5315</v>
      </c>
      <c r="H59" s="338">
        <v>3784777.4650643193</v>
      </c>
      <c r="I59" s="338">
        <v>237364.53214577102</v>
      </c>
      <c r="J59" s="362">
        <v>11697.666666666666</v>
      </c>
      <c r="K59" s="362">
        <v>8281178.841007024</v>
      </c>
      <c r="L59" s="362">
        <v>235978.08226731897</v>
      </c>
    </row>
    <row r="60" spans="2:12" x14ac:dyDescent="0.25">
      <c r="B60" s="409" t="s">
        <v>511</v>
      </c>
      <c r="C60" s="152" t="s">
        <v>914</v>
      </c>
      <c r="D60" s="338">
        <v>7487.333333333333</v>
      </c>
      <c r="E60" s="338">
        <v>4621026.1868847851</v>
      </c>
      <c r="F60" s="338">
        <v>205726.39065465165</v>
      </c>
      <c r="G60" s="338">
        <v>5951</v>
      </c>
      <c r="H60" s="338">
        <v>3672665.886423131</v>
      </c>
      <c r="I60" s="338">
        <v>205717.01598740442</v>
      </c>
      <c r="J60" s="362">
        <v>13438.333333333334</v>
      </c>
      <c r="K60" s="362">
        <v>8293692.0733079147</v>
      </c>
      <c r="L60" s="362">
        <v>205722.23919900571</v>
      </c>
    </row>
    <row r="61" spans="2:12" x14ac:dyDescent="0.25">
      <c r="B61" s="409" t="s">
        <v>511</v>
      </c>
      <c r="C61" s="152" t="s">
        <v>915</v>
      </c>
      <c r="D61" s="338">
        <v>3327.3333333333335</v>
      </c>
      <c r="E61" s="338">
        <v>1789500.3250657362</v>
      </c>
      <c r="F61" s="338">
        <v>179272.72340870931</v>
      </c>
      <c r="G61" s="338">
        <v>3723.6666666666665</v>
      </c>
      <c r="H61" s="338">
        <v>1886636.7369443546</v>
      </c>
      <c r="I61" s="338">
        <v>168887.00536606883</v>
      </c>
      <c r="J61" s="362">
        <v>7051</v>
      </c>
      <c r="K61" s="362">
        <v>3676137.0620100908</v>
      </c>
      <c r="L61" s="362">
        <v>173787.97626861869</v>
      </c>
    </row>
    <row r="62" spans="2:12" ht="17.25" x14ac:dyDescent="0.25">
      <c r="B62" s="410" t="s">
        <v>511</v>
      </c>
      <c r="C62" s="152" t="s">
        <v>931</v>
      </c>
      <c r="D62" s="338">
        <v>92388.666666666672</v>
      </c>
      <c r="E62" s="338">
        <v>56801709.95282118</v>
      </c>
      <c r="F62" s="338">
        <v>204937.51020262649</v>
      </c>
      <c r="G62" s="338">
        <v>73472</v>
      </c>
      <c r="H62" s="338">
        <v>45084219.870991774</v>
      </c>
      <c r="I62" s="338">
        <v>204541.50275384623</v>
      </c>
      <c r="J62" s="362">
        <v>165860.66666666666</v>
      </c>
      <c r="K62" s="362">
        <v>101885929.82381296</v>
      </c>
      <c r="L62" s="362">
        <v>204762.08911056462</v>
      </c>
    </row>
    <row r="63" spans="2:12" ht="17.25" x14ac:dyDescent="0.25">
      <c r="B63" s="408" t="s">
        <v>813</v>
      </c>
      <c r="C63" s="152" t="s">
        <v>881</v>
      </c>
      <c r="D63" s="338">
        <v>15029.333333333334</v>
      </c>
      <c r="E63" s="338">
        <v>9189753.7836807948</v>
      </c>
      <c r="F63" s="338">
        <v>203818.17298795236</v>
      </c>
      <c r="G63" s="338">
        <v>6465.333333333333</v>
      </c>
      <c r="H63" s="338">
        <v>3986915.0416858066</v>
      </c>
      <c r="I63" s="338">
        <v>205553.46678107895</v>
      </c>
      <c r="J63" s="362">
        <v>21494.666666666668</v>
      </c>
      <c r="K63" s="362">
        <v>13176668.825366601</v>
      </c>
      <c r="L63" s="362">
        <v>204340.12817701447</v>
      </c>
    </row>
    <row r="64" spans="2:12" ht="17.25" x14ac:dyDescent="0.25">
      <c r="B64" s="409" t="s">
        <v>813</v>
      </c>
      <c r="C64" s="152" t="s">
        <v>882</v>
      </c>
      <c r="D64" s="338">
        <v>23634.333333333332</v>
      </c>
      <c r="E64" s="338">
        <v>14376198.474215938</v>
      </c>
      <c r="F64" s="338">
        <v>202758.67698427342</v>
      </c>
      <c r="G64" s="338">
        <v>21766.333333333332</v>
      </c>
      <c r="H64" s="338">
        <v>13216361.902470265</v>
      </c>
      <c r="I64" s="338">
        <v>202397.61562152967</v>
      </c>
      <c r="J64" s="362">
        <v>45400.666666666664</v>
      </c>
      <c r="K64" s="362">
        <v>27592560.376686204</v>
      </c>
      <c r="L64" s="362">
        <v>202585.57419631284</v>
      </c>
    </row>
    <row r="65" spans="2:12" ht="17.25" x14ac:dyDescent="0.25">
      <c r="B65" s="409" t="s">
        <v>813</v>
      </c>
      <c r="C65" s="152" t="s">
        <v>898</v>
      </c>
      <c r="D65" s="338">
        <v>2412</v>
      </c>
      <c r="E65" s="338">
        <v>1697399.8134500615</v>
      </c>
      <c r="F65" s="338">
        <v>234577.0886470511</v>
      </c>
      <c r="G65" s="338">
        <v>2224.6666666666665</v>
      </c>
      <c r="H65" s="338">
        <v>1587692.8681576047</v>
      </c>
      <c r="I65" s="338">
        <v>237892.24875001569</v>
      </c>
      <c r="J65" s="362">
        <v>4636.666666666667</v>
      </c>
      <c r="K65" s="362">
        <v>3285092.681607666</v>
      </c>
      <c r="L65" s="362">
        <v>236167.69817452665</v>
      </c>
    </row>
    <row r="66" spans="2:12" x14ac:dyDescent="0.25">
      <c r="B66" s="409" t="s">
        <v>813</v>
      </c>
      <c r="C66" s="152" t="s">
        <v>914</v>
      </c>
      <c r="D66" s="338">
        <v>6555</v>
      </c>
      <c r="E66" s="338">
        <v>4046171.5742913913</v>
      </c>
      <c r="F66" s="338">
        <v>205754.97453808246</v>
      </c>
      <c r="G66" s="338">
        <v>4757</v>
      </c>
      <c r="H66" s="338">
        <v>2939036.1579288626</v>
      </c>
      <c r="I66" s="338">
        <v>205944.65404869054</v>
      </c>
      <c r="J66" s="362">
        <v>11312</v>
      </c>
      <c r="K66" s="362">
        <v>6985207.732220253</v>
      </c>
      <c r="L66" s="362">
        <v>205834.7398697623</v>
      </c>
    </row>
    <row r="67" spans="2:12" x14ac:dyDescent="0.25">
      <c r="B67" s="409" t="s">
        <v>813</v>
      </c>
      <c r="C67" s="152" t="s">
        <v>915</v>
      </c>
      <c r="D67" s="338">
        <v>2568</v>
      </c>
      <c r="E67" s="338">
        <v>1385197.4646152328</v>
      </c>
      <c r="F67" s="338">
        <v>179802.37079636977</v>
      </c>
      <c r="G67" s="338">
        <v>2823</v>
      </c>
      <c r="H67" s="338">
        <v>1466030.8036956755</v>
      </c>
      <c r="I67" s="338">
        <v>173105.53828027812</v>
      </c>
      <c r="J67" s="362">
        <v>5391</v>
      </c>
      <c r="K67" s="362">
        <v>2851228.2683109078</v>
      </c>
      <c r="L67" s="362">
        <v>176295.57090897841</v>
      </c>
    </row>
    <row r="68" spans="2:12" ht="17.25" x14ac:dyDescent="0.25">
      <c r="B68" s="410" t="s">
        <v>813</v>
      </c>
      <c r="C68" s="152" t="s">
        <v>931</v>
      </c>
      <c r="D68" s="338">
        <v>50198.666666666664</v>
      </c>
      <c r="E68" s="338">
        <v>30694721.11025342</v>
      </c>
      <c r="F68" s="338">
        <v>203821.62282034996</v>
      </c>
      <c r="G68" s="338">
        <v>38036.333333333336</v>
      </c>
      <c r="H68" s="338">
        <v>23196036.773938213</v>
      </c>
      <c r="I68" s="338">
        <v>203279.64291982414</v>
      </c>
      <c r="J68" s="362">
        <v>88235</v>
      </c>
      <c r="K68" s="362">
        <v>53890757.884191632</v>
      </c>
      <c r="L68" s="362">
        <v>203587.98618912237</v>
      </c>
    </row>
    <row r="69" spans="2:12" ht="17.25" x14ac:dyDescent="0.25">
      <c r="B69" s="408" t="s">
        <v>911</v>
      </c>
      <c r="C69" s="152" t="s">
        <v>881</v>
      </c>
      <c r="D69" s="338">
        <v>36666</v>
      </c>
      <c r="E69" s="338">
        <v>22496493.103078041</v>
      </c>
      <c r="F69" s="338">
        <v>204517.29216056693</v>
      </c>
      <c r="G69" s="338">
        <v>11513.666666666666</v>
      </c>
      <c r="H69" s="338">
        <v>7087487.9412951414</v>
      </c>
      <c r="I69" s="338">
        <v>205190.5834021928</v>
      </c>
      <c r="J69" s="362">
        <v>48179.666666666664</v>
      </c>
      <c r="K69" s="362">
        <v>29583981.044373177</v>
      </c>
      <c r="L69" s="362">
        <v>204678.19096834198</v>
      </c>
    </row>
    <row r="70" spans="2:12" ht="17.25" x14ac:dyDescent="0.25">
      <c r="B70" s="409" t="s">
        <v>911</v>
      </c>
      <c r="C70" s="152" t="s">
        <v>882</v>
      </c>
      <c r="D70" s="338">
        <v>72944.333333333328</v>
      </c>
      <c r="E70" s="338">
        <v>44386355.564379051</v>
      </c>
      <c r="F70" s="338">
        <v>202832.09371703104</v>
      </c>
      <c r="G70" s="338">
        <v>64929.333333333336</v>
      </c>
      <c r="H70" s="338">
        <v>39072769.249787956</v>
      </c>
      <c r="I70" s="338">
        <v>200591.25433696096</v>
      </c>
      <c r="J70" s="362">
        <v>137873.66666666666</v>
      </c>
      <c r="K70" s="362">
        <v>83459124.814167008</v>
      </c>
      <c r="L70" s="362">
        <v>201776.80730467508</v>
      </c>
    </row>
    <row r="71" spans="2:12" ht="17.25" x14ac:dyDescent="0.25">
      <c r="B71" s="409" t="s">
        <v>911</v>
      </c>
      <c r="C71" s="152" t="s">
        <v>898</v>
      </c>
      <c r="D71" s="338">
        <v>8269.6666666666661</v>
      </c>
      <c r="E71" s="338">
        <v>5845335.2056182316</v>
      </c>
      <c r="F71" s="338">
        <v>235613.49532904319</v>
      </c>
      <c r="G71" s="338">
        <v>5148.333333333333</v>
      </c>
      <c r="H71" s="338">
        <v>3674443.4372069552</v>
      </c>
      <c r="I71" s="338">
        <v>237905.04611246067</v>
      </c>
      <c r="J71" s="362">
        <v>13418</v>
      </c>
      <c r="K71" s="362">
        <v>9519778.6428251881</v>
      </c>
      <c r="L71" s="362">
        <v>236492.73718947652</v>
      </c>
    </row>
    <row r="72" spans="2:12" x14ac:dyDescent="0.25">
      <c r="B72" s="409" t="s">
        <v>911</v>
      </c>
      <c r="C72" s="152" t="s">
        <v>914</v>
      </c>
      <c r="D72" s="338">
        <v>13077.666666666666</v>
      </c>
      <c r="E72" s="338">
        <v>8074150.6080959486</v>
      </c>
      <c r="F72" s="338">
        <v>205799.97981535821</v>
      </c>
      <c r="G72" s="338">
        <v>9201</v>
      </c>
      <c r="H72" s="338">
        <v>5681527.4657272045</v>
      </c>
      <c r="I72" s="338">
        <v>205830.07157653896</v>
      </c>
      <c r="J72" s="362">
        <v>22278.666666666668</v>
      </c>
      <c r="K72" s="362">
        <v>13755678.073823152</v>
      </c>
      <c r="L72" s="362">
        <v>205812.40759206345</v>
      </c>
    </row>
    <row r="73" spans="2:12" x14ac:dyDescent="0.25">
      <c r="B73" s="409" t="s">
        <v>911</v>
      </c>
      <c r="C73" s="152" t="s">
        <v>915</v>
      </c>
      <c r="D73" s="338">
        <v>4364</v>
      </c>
      <c r="E73" s="338">
        <v>2258396.7264184714</v>
      </c>
      <c r="F73" s="338">
        <v>172502.04143129173</v>
      </c>
      <c r="G73" s="338">
        <v>5347.333333333333</v>
      </c>
      <c r="H73" s="338">
        <v>2655270.7756384956</v>
      </c>
      <c r="I73" s="338">
        <v>165519.93365157058</v>
      </c>
      <c r="J73" s="362">
        <v>9711.3333333333339</v>
      </c>
      <c r="K73" s="362">
        <v>4913667.5020569665</v>
      </c>
      <c r="L73" s="362">
        <v>168657.49646656713</v>
      </c>
    </row>
    <row r="74" spans="2:12" ht="17.25" x14ac:dyDescent="0.25">
      <c r="B74" s="410" t="s">
        <v>911</v>
      </c>
      <c r="C74" s="152" t="s">
        <v>931</v>
      </c>
      <c r="D74" s="338">
        <v>135321.66666666666</v>
      </c>
      <c r="E74" s="338">
        <v>83060731.207589731</v>
      </c>
      <c r="F74" s="338">
        <v>204600.71978517788</v>
      </c>
      <c r="G74" s="338">
        <v>96139.666666666672</v>
      </c>
      <c r="H74" s="338">
        <v>58171498.869655743</v>
      </c>
      <c r="I74" s="338">
        <v>201690.93877191082</v>
      </c>
      <c r="J74" s="362">
        <v>231461.33333333334</v>
      </c>
      <c r="K74" s="362">
        <v>141232230.07724547</v>
      </c>
      <c r="L74" s="362">
        <v>203392.11456088489</v>
      </c>
    </row>
    <row r="75" spans="2:12" ht="17.25" x14ac:dyDescent="0.25">
      <c r="B75" s="408" t="s">
        <v>513</v>
      </c>
      <c r="C75" s="152" t="s">
        <v>881</v>
      </c>
      <c r="D75" s="338">
        <v>30362.333333333332</v>
      </c>
      <c r="E75" s="338">
        <v>18634625.558122385</v>
      </c>
      <c r="F75" s="338">
        <v>204580.51706744527</v>
      </c>
      <c r="G75" s="338">
        <v>14948.333333333334</v>
      </c>
      <c r="H75" s="338">
        <v>9225261.5865512732</v>
      </c>
      <c r="I75" s="338">
        <v>205714.3848043544</v>
      </c>
      <c r="J75" s="362">
        <v>45310.666666666664</v>
      </c>
      <c r="K75" s="362">
        <v>27859887.14467366</v>
      </c>
      <c r="L75" s="362">
        <v>204954.5886522207</v>
      </c>
    </row>
    <row r="76" spans="2:12" ht="17.25" x14ac:dyDescent="0.25">
      <c r="B76" s="409" t="s">
        <v>513</v>
      </c>
      <c r="C76" s="152" t="s">
        <v>882</v>
      </c>
      <c r="D76" s="338">
        <v>40398.333333333336</v>
      </c>
      <c r="E76" s="338">
        <v>24598719.754206389</v>
      </c>
      <c r="F76" s="338">
        <v>202968.10721734716</v>
      </c>
      <c r="G76" s="338">
        <v>37032.666666666664</v>
      </c>
      <c r="H76" s="338">
        <v>22568795.72616154</v>
      </c>
      <c r="I76" s="338">
        <v>203143.13242508002</v>
      </c>
      <c r="J76" s="362">
        <v>77431</v>
      </c>
      <c r="K76" s="362">
        <v>47167515.480367929</v>
      </c>
      <c r="L76" s="362">
        <v>203051.81594093636</v>
      </c>
    </row>
    <row r="77" spans="2:12" ht="17.25" x14ac:dyDescent="0.25">
      <c r="B77" s="409" t="s">
        <v>513</v>
      </c>
      <c r="C77" s="152" t="s">
        <v>898</v>
      </c>
      <c r="D77" s="338">
        <v>4760.333333333333</v>
      </c>
      <c r="E77" s="338">
        <v>3354149.4517993764</v>
      </c>
      <c r="F77" s="338">
        <v>234867.96805541465</v>
      </c>
      <c r="G77" s="338">
        <v>4204</v>
      </c>
      <c r="H77" s="338">
        <v>2979559.8934051818</v>
      </c>
      <c r="I77" s="338">
        <v>236248.00930900587</v>
      </c>
      <c r="J77" s="362">
        <v>8964.3333333333339</v>
      </c>
      <c r="K77" s="362">
        <v>6333709.3452045582</v>
      </c>
      <c r="L77" s="362">
        <v>235515.16547817492</v>
      </c>
    </row>
    <row r="78" spans="2:12" x14ac:dyDescent="0.25">
      <c r="B78" s="409" t="s">
        <v>513</v>
      </c>
      <c r="C78" s="152" t="s">
        <v>914</v>
      </c>
      <c r="D78" s="338">
        <v>8208.6666666666661</v>
      </c>
      <c r="E78" s="338">
        <v>5069351.922685816</v>
      </c>
      <c r="F78" s="338">
        <v>205853.64747363827</v>
      </c>
      <c r="G78" s="338">
        <v>6530.666666666667</v>
      </c>
      <c r="H78" s="338">
        <v>4033593.9611731516</v>
      </c>
      <c r="I78" s="338">
        <v>205879.64277118986</v>
      </c>
      <c r="J78" s="362">
        <v>14739.333333333334</v>
      </c>
      <c r="K78" s="362">
        <v>9102945.8838589676</v>
      </c>
      <c r="L78" s="362">
        <v>205865.16540456298</v>
      </c>
    </row>
    <row r="79" spans="2:12" x14ac:dyDescent="0.25">
      <c r="B79" s="409" t="s">
        <v>513</v>
      </c>
      <c r="C79" s="152" t="s">
        <v>915</v>
      </c>
      <c r="D79" s="338">
        <v>2443.6666666666665</v>
      </c>
      <c r="E79" s="338">
        <v>1325728.3550203943</v>
      </c>
      <c r="F79" s="338">
        <v>180838.67890061307</v>
      </c>
      <c r="G79" s="338">
        <v>3552.3333333333335</v>
      </c>
      <c r="H79" s="338">
        <v>1867492.7239557698</v>
      </c>
      <c r="I79" s="338">
        <v>175236.25072307119</v>
      </c>
      <c r="J79" s="362">
        <v>5996</v>
      </c>
      <c r="K79" s="362">
        <v>3193221.0789761636</v>
      </c>
      <c r="L79" s="362">
        <v>177519.51739916409</v>
      </c>
    </row>
    <row r="80" spans="2:12" ht="17.25" x14ac:dyDescent="0.25">
      <c r="B80" s="410" t="s">
        <v>513</v>
      </c>
      <c r="C80" s="152" t="s">
        <v>931</v>
      </c>
      <c r="D80" s="338">
        <v>86173.333333333328</v>
      </c>
      <c r="E80" s="338">
        <v>52982575.041834369</v>
      </c>
      <c r="F80" s="338">
        <v>204945.7490400525</v>
      </c>
      <c r="G80" s="338">
        <v>66268</v>
      </c>
      <c r="H80" s="338">
        <v>40674703.891246915</v>
      </c>
      <c r="I80" s="338">
        <v>204597.00957348404</v>
      </c>
      <c r="J80" s="362">
        <v>152441.33333333334</v>
      </c>
      <c r="K80" s="362">
        <v>93657278.933081284</v>
      </c>
      <c r="L80" s="362">
        <v>204794.14798497624</v>
      </c>
    </row>
    <row r="81" spans="2:12" ht="17.25" x14ac:dyDescent="0.25">
      <c r="B81" s="408" t="s">
        <v>518</v>
      </c>
      <c r="C81" s="152" t="s">
        <v>881</v>
      </c>
      <c r="D81" s="338">
        <v>10054.333333333334</v>
      </c>
      <c r="E81" s="338">
        <v>6156161.5554336263</v>
      </c>
      <c r="F81" s="338">
        <v>204096.46107594157</v>
      </c>
      <c r="G81" s="338">
        <v>4368</v>
      </c>
      <c r="H81" s="338">
        <v>2691342.922256676</v>
      </c>
      <c r="I81" s="338">
        <v>205383.31213802472</v>
      </c>
      <c r="J81" s="362">
        <v>14422.333333333334</v>
      </c>
      <c r="K81" s="362">
        <v>8847504.4776903018</v>
      </c>
      <c r="L81" s="362">
        <v>204486.2014396723</v>
      </c>
    </row>
    <row r="82" spans="2:12" ht="17.25" x14ac:dyDescent="0.25">
      <c r="B82" s="409" t="s">
        <v>518</v>
      </c>
      <c r="C82" s="152" t="s">
        <v>882</v>
      </c>
      <c r="D82" s="338">
        <v>17837.666666666668</v>
      </c>
      <c r="E82" s="338">
        <v>10859450.634066449</v>
      </c>
      <c r="F82" s="338">
        <v>202931.07532873226</v>
      </c>
      <c r="G82" s="338">
        <v>15995</v>
      </c>
      <c r="H82" s="338">
        <v>9731818.202871751</v>
      </c>
      <c r="I82" s="338">
        <v>202809.5905568772</v>
      </c>
      <c r="J82" s="362">
        <v>33832.666666666664</v>
      </c>
      <c r="K82" s="362">
        <v>20591268.836938202</v>
      </c>
      <c r="L82" s="362">
        <v>202873.64122384877</v>
      </c>
    </row>
    <row r="83" spans="2:12" ht="17.25" x14ac:dyDescent="0.25">
      <c r="B83" s="409" t="s">
        <v>518</v>
      </c>
      <c r="C83" s="152" t="s">
        <v>898</v>
      </c>
      <c r="D83" s="338">
        <v>2246.3333333333335</v>
      </c>
      <c r="E83" s="338">
        <v>1575134.6883033812</v>
      </c>
      <c r="F83" s="338">
        <v>233734.1873131594</v>
      </c>
      <c r="G83" s="338">
        <v>1901</v>
      </c>
      <c r="H83" s="338">
        <v>1349303.5678973827</v>
      </c>
      <c r="I83" s="338">
        <v>236595.40029762982</v>
      </c>
      <c r="J83" s="362">
        <v>4147.333333333333</v>
      </c>
      <c r="K83" s="362">
        <v>2924438.2562007643</v>
      </c>
      <c r="L83" s="362">
        <v>235045.67241607173</v>
      </c>
    </row>
    <row r="84" spans="2:12" x14ac:dyDescent="0.25">
      <c r="B84" s="409" t="s">
        <v>518</v>
      </c>
      <c r="C84" s="152" t="s">
        <v>914</v>
      </c>
      <c r="D84" s="338">
        <v>3365.6666666666665</v>
      </c>
      <c r="E84" s="338">
        <v>2077614.6870453735</v>
      </c>
      <c r="F84" s="338">
        <v>205765.54293803836</v>
      </c>
      <c r="G84" s="338">
        <v>2408.3333333333335</v>
      </c>
      <c r="H84" s="338">
        <v>1487512.6756881413</v>
      </c>
      <c r="I84" s="338">
        <v>205884.10736168045</v>
      </c>
      <c r="J84" s="362">
        <v>5774</v>
      </c>
      <c r="K84" s="362">
        <v>3565127.362733515</v>
      </c>
      <c r="L84" s="362">
        <v>205814.99611670215</v>
      </c>
    </row>
    <row r="85" spans="2:12" x14ac:dyDescent="0.25">
      <c r="B85" s="409" t="s">
        <v>518</v>
      </c>
      <c r="C85" s="152" t="s">
        <v>915</v>
      </c>
      <c r="D85" s="338">
        <v>1389.3333333333333</v>
      </c>
      <c r="E85" s="338">
        <v>761736.93444344588</v>
      </c>
      <c r="F85" s="338">
        <v>182758.38158432004</v>
      </c>
      <c r="G85" s="338">
        <v>1815.3333333333333</v>
      </c>
      <c r="H85" s="338">
        <v>928062.68457176758</v>
      </c>
      <c r="I85" s="338">
        <v>170411.80399775389</v>
      </c>
      <c r="J85" s="362">
        <v>3204.6666666666665</v>
      </c>
      <c r="K85" s="362">
        <v>1689799.6190152136</v>
      </c>
      <c r="L85" s="362">
        <v>175764.47046132863</v>
      </c>
    </row>
    <row r="86" spans="2:12" ht="17.25" x14ac:dyDescent="0.25">
      <c r="B86" s="410" t="s">
        <v>518</v>
      </c>
      <c r="C86" s="152" t="s">
        <v>931</v>
      </c>
      <c r="D86" s="338">
        <v>34893.333333333336</v>
      </c>
      <c r="E86" s="338">
        <v>21430098.499292277</v>
      </c>
      <c r="F86" s="338">
        <v>204720.0850142556</v>
      </c>
      <c r="G86" s="338">
        <v>26487.666666666668</v>
      </c>
      <c r="H86" s="338">
        <v>16188040.053285722</v>
      </c>
      <c r="I86" s="338">
        <v>203717.9574554915</v>
      </c>
      <c r="J86" s="362">
        <v>61381</v>
      </c>
      <c r="K86" s="362">
        <v>37618138.552577995</v>
      </c>
      <c r="L86" s="362">
        <v>204287.63815392385</v>
      </c>
    </row>
    <row r="87" spans="2:12" ht="17.25" x14ac:dyDescent="0.25">
      <c r="B87" s="408" t="s">
        <v>514</v>
      </c>
      <c r="C87" s="152" t="s">
        <v>881</v>
      </c>
      <c r="D87" s="338">
        <v>21474.333333333332</v>
      </c>
      <c r="E87" s="338">
        <v>13188759.419722814</v>
      </c>
      <c r="F87" s="338">
        <v>204721.28618230781</v>
      </c>
      <c r="G87" s="338">
        <v>10931.666666666666</v>
      </c>
      <c r="H87" s="338">
        <v>6744219.0411798423</v>
      </c>
      <c r="I87" s="338">
        <v>205647.78292971008</v>
      </c>
      <c r="J87" s="362">
        <v>32406</v>
      </c>
      <c r="K87" s="362">
        <v>19932978.460902657</v>
      </c>
      <c r="L87" s="362">
        <v>205033.82563828363</v>
      </c>
    </row>
    <row r="88" spans="2:12" ht="17.25" x14ac:dyDescent="0.25">
      <c r="B88" s="409" t="s">
        <v>514</v>
      </c>
      <c r="C88" s="152" t="s">
        <v>882</v>
      </c>
      <c r="D88" s="338">
        <v>32908.666666666664</v>
      </c>
      <c r="E88" s="338">
        <v>20044523.289791696</v>
      </c>
      <c r="F88" s="338">
        <v>203031.85877875832</v>
      </c>
      <c r="G88" s="338">
        <v>29448.666666666668</v>
      </c>
      <c r="H88" s="338">
        <v>17921829.010307599</v>
      </c>
      <c r="I88" s="338">
        <v>202859.54101269552</v>
      </c>
      <c r="J88" s="362">
        <v>62357.333333333336</v>
      </c>
      <c r="K88" s="362">
        <v>37966352.300099291</v>
      </c>
      <c r="L88" s="362">
        <v>202950.480564164</v>
      </c>
    </row>
    <row r="89" spans="2:12" ht="17.25" x14ac:dyDescent="0.25">
      <c r="B89" s="409" t="s">
        <v>514</v>
      </c>
      <c r="C89" s="152" t="s">
        <v>898</v>
      </c>
      <c r="D89" s="338">
        <v>4767.666666666667</v>
      </c>
      <c r="E89" s="338">
        <v>3363616.7322262675</v>
      </c>
      <c r="F89" s="338">
        <v>235168.61722899161</v>
      </c>
      <c r="G89" s="338">
        <v>3831.6666666666665</v>
      </c>
      <c r="H89" s="338">
        <v>2723599.4526718319</v>
      </c>
      <c r="I89" s="338">
        <v>236937.75142860654</v>
      </c>
      <c r="J89" s="362">
        <v>8599.3333333333339</v>
      </c>
      <c r="K89" s="362">
        <v>6087216.1848980999</v>
      </c>
      <c r="L89" s="362">
        <v>235956.90305055041</v>
      </c>
    </row>
    <row r="90" spans="2:12" x14ac:dyDescent="0.25">
      <c r="B90" s="409" t="s">
        <v>514</v>
      </c>
      <c r="C90" s="152" t="s">
        <v>914</v>
      </c>
      <c r="D90" s="338">
        <v>7093</v>
      </c>
      <c r="E90" s="338">
        <v>4381500.4538893625</v>
      </c>
      <c r="F90" s="338">
        <v>205907.25381311917</v>
      </c>
      <c r="G90" s="338">
        <v>5582</v>
      </c>
      <c r="H90" s="338">
        <v>3447884.0339297326</v>
      </c>
      <c r="I90" s="338">
        <v>205892.99139673548</v>
      </c>
      <c r="J90" s="362">
        <v>12675</v>
      </c>
      <c r="K90" s="362">
        <v>7829384.4878190961</v>
      </c>
      <c r="L90" s="362">
        <v>205900.97272371058</v>
      </c>
    </row>
    <row r="91" spans="2:12" x14ac:dyDescent="0.25">
      <c r="B91" s="409" t="s">
        <v>514</v>
      </c>
      <c r="C91" s="152" t="s">
        <v>915</v>
      </c>
      <c r="D91" s="338">
        <v>3095</v>
      </c>
      <c r="E91" s="338">
        <v>1693672.0856683028</v>
      </c>
      <c r="F91" s="338">
        <v>182409.48687865402</v>
      </c>
      <c r="G91" s="338">
        <v>3277.6666666666665</v>
      </c>
      <c r="H91" s="338">
        <v>1721321.8689452289</v>
      </c>
      <c r="I91" s="338">
        <v>175055.61567631736</v>
      </c>
      <c r="J91" s="362">
        <v>6372.666666666667</v>
      </c>
      <c r="K91" s="362">
        <v>3414993.954613531</v>
      </c>
      <c r="L91" s="362">
        <v>178627.15527845648</v>
      </c>
    </row>
    <row r="92" spans="2:12" ht="17.25" x14ac:dyDescent="0.25">
      <c r="B92" s="410" t="s">
        <v>514</v>
      </c>
      <c r="C92" s="152" t="s">
        <v>931</v>
      </c>
      <c r="D92" s="338">
        <v>69338.666666666672</v>
      </c>
      <c r="E92" s="338">
        <v>42672071.981298439</v>
      </c>
      <c r="F92" s="338">
        <v>205138.41233990862</v>
      </c>
      <c r="G92" s="338">
        <v>53071.666666666664</v>
      </c>
      <c r="H92" s="338">
        <v>32558853.407034233</v>
      </c>
      <c r="I92" s="338">
        <v>204496.1429955358</v>
      </c>
      <c r="J92" s="362">
        <v>122410.33333333333</v>
      </c>
      <c r="K92" s="362">
        <v>75230925.388332665</v>
      </c>
      <c r="L92" s="362">
        <v>204859.95296783952</v>
      </c>
    </row>
    <row r="93" spans="2:12" ht="17.25" x14ac:dyDescent="0.25">
      <c r="B93" s="408" t="s">
        <v>912</v>
      </c>
      <c r="C93" s="152" t="s">
        <v>881</v>
      </c>
      <c r="D93" s="338">
        <v>1897.6666666666667</v>
      </c>
      <c r="E93" s="338">
        <v>1161574.7340536381</v>
      </c>
      <c r="F93" s="338">
        <v>204035.61111077428</v>
      </c>
      <c r="G93" s="338">
        <v>1104.6666666666667</v>
      </c>
      <c r="H93" s="338">
        <v>680463.03853095102</v>
      </c>
      <c r="I93" s="338">
        <v>205329.82454162673</v>
      </c>
      <c r="J93" s="362">
        <v>3002.3333333333335</v>
      </c>
      <c r="K93" s="362">
        <v>1842037.772584589</v>
      </c>
      <c r="L93" s="362">
        <v>204511.79888804141</v>
      </c>
    </row>
    <row r="94" spans="2:12" ht="17.25" x14ac:dyDescent="0.25">
      <c r="B94" s="409" t="s">
        <v>912</v>
      </c>
      <c r="C94" s="152" t="s">
        <v>882</v>
      </c>
      <c r="D94" s="338">
        <v>3632</v>
      </c>
      <c r="E94" s="338">
        <v>2208851.8903876687</v>
      </c>
      <c r="F94" s="338">
        <v>202721.35557889764</v>
      </c>
      <c r="G94" s="338">
        <v>3623</v>
      </c>
      <c r="H94" s="338">
        <v>2204999.1127014719</v>
      </c>
      <c r="I94" s="338">
        <v>202870.46763285229</v>
      </c>
      <c r="J94" s="362">
        <v>7255</v>
      </c>
      <c r="K94" s="362">
        <v>4413851.0030891402</v>
      </c>
      <c r="L94" s="362">
        <v>202795.81911735077</v>
      </c>
    </row>
    <row r="95" spans="2:12" ht="17.25" x14ac:dyDescent="0.25">
      <c r="B95" s="409" t="s">
        <v>912</v>
      </c>
      <c r="C95" s="152" t="s">
        <v>898</v>
      </c>
      <c r="D95" s="338">
        <v>604</v>
      </c>
      <c r="E95" s="338">
        <v>424078.90249956324</v>
      </c>
      <c r="F95" s="338">
        <v>234039.12941477</v>
      </c>
      <c r="G95" s="338">
        <v>570.33333333333337</v>
      </c>
      <c r="H95" s="338">
        <v>406521.24307572388</v>
      </c>
      <c r="I95" s="338">
        <v>237592.77795191339</v>
      </c>
      <c r="J95" s="362">
        <v>1174.3333333333333</v>
      </c>
      <c r="K95" s="362">
        <v>830600.14557528705</v>
      </c>
      <c r="L95" s="362">
        <v>235765.01435574432</v>
      </c>
    </row>
    <row r="96" spans="2:12" x14ac:dyDescent="0.25">
      <c r="B96" s="409" t="s">
        <v>912</v>
      </c>
      <c r="C96" s="152" t="s">
        <v>914</v>
      </c>
      <c r="D96" s="338">
        <v>505.66666666666669</v>
      </c>
      <c r="E96" s="338">
        <v>312420.89382708084</v>
      </c>
      <c r="F96" s="338">
        <v>205946.5351529867</v>
      </c>
      <c r="G96" s="338">
        <v>412</v>
      </c>
      <c r="H96" s="338">
        <v>254549.06204649439</v>
      </c>
      <c r="I96" s="338">
        <v>205945.843079688</v>
      </c>
      <c r="J96" s="362">
        <v>917.66666666666663</v>
      </c>
      <c r="K96" s="362">
        <v>566969.95587357518</v>
      </c>
      <c r="L96" s="362">
        <v>205946.2244364603</v>
      </c>
    </row>
    <row r="97" spans="2:29" x14ac:dyDescent="0.25">
      <c r="B97" s="409" t="s">
        <v>912</v>
      </c>
      <c r="C97" s="152" t="s">
        <v>915</v>
      </c>
      <c r="D97" s="338">
        <v>296.66666666666669</v>
      </c>
      <c r="E97" s="338">
        <v>158445.91248156779</v>
      </c>
      <c r="F97" s="338">
        <v>178029.115147829</v>
      </c>
      <c r="G97" s="338">
        <v>348.33333333333331</v>
      </c>
      <c r="H97" s="338">
        <v>183613.81604345192</v>
      </c>
      <c r="I97" s="338">
        <v>175707.0009985186</v>
      </c>
      <c r="J97" s="362">
        <v>645</v>
      </c>
      <c r="K97" s="362">
        <v>342059.72852501977</v>
      </c>
      <c r="L97" s="362">
        <v>176775.0535013022</v>
      </c>
    </row>
    <row r="98" spans="2:29" ht="17.25" x14ac:dyDescent="0.25">
      <c r="B98" s="410" t="s">
        <v>912</v>
      </c>
      <c r="C98" s="152" t="s">
        <v>931</v>
      </c>
      <c r="D98" s="338">
        <v>6936</v>
      </c>
      <c r="E98" s="338">
        <v>4265372.3332495186</v>
      </c>
      <c r="F98" s="338">
        <v>204987.13635378311</v>
      </c>
      <c r="G98" s="338">
        <v>6058.333333333333</v>
      </c>
      <c r="H98" s="338">
        <v>3730146.2723980932</v>
      </c>
      <c r="I98" s="338">
        <v>205235.00810993635</v>
      </c>
      <c r="J98" s="362">
        <v>12994.333333333334</v>
      </c>
      <c r="K98" s="362">
        <v>7995518.6056476105</v>
      </c>
      <c r="L98" s="362">
        <v>205102.70132230996</v>
      </c>
    </row>
    <row r="99" spans="2:29" ht="17.25" x14ac:dyDescent="0.25">
      <c r="B99" s="408" t="s">
        <v>913</v>
      </c>
      <c r="C99" s="152" t="s">
        <v>881</v>
      </c>
      <c r="D99" s="338">
        <v>2306.3333333333335</v>
      </c>
      <c r="E99" s="338">
        <v>1413948.1196449271</v>
      </c>
      <c r="F99" s="338">
        <v>204357.29435538762</v>
      </c>
      <c r="G99" s="338">
        <v>1017</v>
      </c>
      <c r="H99" s="338">
        <v>626109.28008909058</v>
      </c>
      <c r="I99" s="338">
        <v>205214.44775125879</v>
      </c>
      <c r="J99" s="362">
        <v>3323.3333333333335</v>
      </c>
      <c r="K99" s="362">
        <v>2040057.3997340177</v>
      </c>
      <c r="L99" s="362">
        <v>204619.59876971089</v>
      </c>
    </row>
    <row r="100" spans="2:29" ht="17.25" x14ac:dyDescent="0.25">
      <c r="B100" s="409" t="s">
        <v>913</v>
      </c>
      <c r="C100" s="152" t="s">
        <v>882</v>
      </c>
      <c r="D100" s="338">
        <v>7730</v>
      </c>
      <c r="E100" s="338">
        <v>4665924.5753095569</v>
      </c>
      <c r="F100" s="338">
        <v>201204.16452391364</v>
      </c>
      <c r="G100" s="338">
        <v>6114.333333333333</v>
      </c>
      <c r="H100" s="338">
        <v>3661144.47080075</v>
      </c>
      <c r="I100" s="338">
        <v>199593.54908143432</v>
      </c>
      <c r="J100" s="362">
        <v>13844.333333333334</v>
      </c>
      <c r="K100" s="362">
        <v>8327069.0461103078</v>
      </c>
      <c r="L100" s="362">
        <v>200492.83813137282</v>
      </c>
    </row>
    <row r="101" spans="2:29" ht="17.25" x14ac:dyDescent="0.25">
      <c r="B101" s="409" t="s">
        <v>913</v>
      </c>
      <c r="C101" s="152" t="s">
        <v>898</v>
      </c>
      <c r="D101" s="338">
        <v>1117.6666666666667</v>
      </c>
      <c r="E101" s="338">
        <v>789782.08394781663</v>
      </c>
      <c r="F101" s="338">
        <v>235544.91021408187</v>
      </c>
      <c r="G101" s="338">
        <v>689</v>
      </c>
      <c r="H101" s="338">
        <v>496534.06129258755</v>
      </c>
      <c r="I101" s="338">
        <v>240219.67164614779</v>
      </c>
      <c r="J101" s="362">
        <v>1806.6666666666667</v>
      </c>
      <c r="K101" s="362">
        <v>1286316.1452404042</v>
      </c>
      <c r="L101" s="362">
        <v>237327.70207387529</v>
      </c>
    </row>
    <row r="102" spans="2:29" x14ac:dyDescent="0.25">
      <c r="B102" s="409" t="s">
        <v>913</v>
      </c>
      <c r="C102" s="152" t="s">
        <v>914</v>
      </c>
      <c r="D102" s="338">
        <v>582.33333333333337</v>
      </c>
      <c r="E102" s="338">
        <v>359783.41500679264</v>
      </c>
      <c r="F102" s="338">
        <v>205943.56897927454</v>
      </c>
      <c r="G102" s="338">
        <v>533.33333333333337</v>
      </c>
      <c r="H102" s="338">
        <v>329083.95911672025</v>
      </c>
      <c r="I102" s="338">
        <v>205677.47444795014</v>
      </c>
      <c r="J102" s="362">
        <v>1115.6666666666667</v>
      </c>
      <c r="K102" s="362">
        <v>688867.37412351288</v>
      </c>
      <c r="L102" s="362">
        <v>205816.36513997993</v>
      </c>
    </row>
    <row r="103" spans="2:29" x14ac:dyDescent="0.25">
      <c r="B103" s="409" t="s">
        <v>913</v>
      </c>
      <c r="C103" s="152" t="s">
        <v>915</v>
      </c>
      <c r="D103" s="338">
        <v>406.66666666666669</v>
      </c>
      <c r="E103" s="338">
        <v>206073.86673601103</v>
      </c>
      <c r="F103" s="338">
        <v>168913.00552132051</v>
      </c>
      <c r="G103" s="338">
        <v>358.66666666666669</v>
      </c>
      <c r="H103" s="338">
        <v>174297.66125460115</v>
      </c>
      <c r="I103" s="338">
        <v>161986.67402843971</v>
      </c>
      <c r="J103" s="362">
        <v>765.33333333333337</v>
      </c>
      <c r="K103" s="362">
        <v>380371.52799061214</v>
      </c>
      <c r="L103" s="362">
        <v>165667.04180775789</v>
      </c>
    </row>
    <row r="104" spans="2:29" ht="17.25" x14ac:dyDescent="0.25">
      <c r="B104" s="410" t="s">
        <v>913</v>
      </c>
      <c r="C104" s="152" t="s">
        <v>931</v>
      </c>
      <c r="D104" s="338">
        <v>12143</v>
      </c>
      <c r="E104" s="338">
        <v>7435512.0606451035</v>
      </c>
      <c r="F104" s="338">
        <v>204109.69449189116</v>
      </c>
      <c r="G104" s="338">
        <v>8712.3333333333339</v>
      </c>
      <c r="H104" s="338">
        <v>5287169.4325537495</v>
      </c>
      <c r="I104" s="338">
        <v>202286.77478493127</v>
      </c>
      <c r="J104" s="362">
        <v>20855.333333333332</v>
      </c>
      <c r="K104" s="362">
        <v>12722681.493198855</v>
      </c>
      <c r="L104" s="362">
        <v>203348.16822553551</v>
      </c>
    </row>
    <row r="105" spans="2:29" ht="17.25" x14ac:dyDescent="0.25">
      <c r="B105" s="408" t="s">
        <v>921</v>
      </c>
      <c r="C105" s="152" t="s">
        <v>881</v>
      </c>
      <c r="D105" s="338">
        <v>342587.66666666669</v>
      </c>
      <c r="E105" s="338">
        <v>210342489.36088252</v>
      </c>
      <c r="F105" s="338">
        <v>204660.49990210051</v>
      </c>
      <c r="G105" s="338">
        <v>136554</v>
      </c>
      <c r="H105" s="338">
        <v>84081576.550458312</v>
      </c>
      <c r="I105" s="338">
        <v>205246.2189572338</v>
      </c>
      <c r="J105" s="362">
        <v>479141.66666666669</v>
      </c>
      <c r="K105" s="362">
        <v>294424065.91134083</v>
      </c>
      <c r="L105" s="362">
        <v>204827.42815196674</v>
      </c>
    </row>
    <row r="106" spans="2:29" ht="17.25" x14ac:dyDescent="0.25">
      <c r="B106" s="409" t="s">
        <v>802</v>
      </c>
      <c r="C106" s="152" t="s">
        <v>882</v>
      </c>
      <c r="D106" s="338">
        <v>810245.66666666663</v>
      </c>
      <c r="E106" s="338">
        <v>493083668.92806786</v>
      </c>
      <c r="F106" s="338">
        <v>202853.56619332649</v>
      </c>
      <c r="G106" s="338">
        <v>679973</v>
      </c>
      <c r="H106" s="338">
        <v>409874302.1226083</v>
      </c>
      <c r="I106" s="338">
        <v>200926.75352433516</v>
      </c>
      <c r="J106" s="362">
        <v>1490218.6666666667</v>
      </c>
      <c r="K106" s="362">
        <v>902957971.05067599</v>
      </c>
      <c r="L106" s="362">
        <v>201974.37938653209</v>
      </c>
    </row>
    <row r="107" spans="2:29" ht="17.25" x14ac:dyDescent="0.25">
      <c r="B107" s="409" t="s">
        <v>802</v>
      </c>
      <c r="C107" s="152" t="s">
        <v>898</v>
      </c>
      <c r="D107" s="338">
        <v>106271.33333333333</v>
      </c>
      <c r="E107" s="338">
        <v>75255591.406267434</v>
      </c>
      <c r="F107" s="338">
        <v>236048.57818749317</v>
      </c>
      <c r="G107" s="338">
        <v>60604.333333333336</v>
      </c>
      <c r="H107" s="338">
        <v>43497604.912582271</v>
      </c>
      <c r="I107" s="338">
        <v>239243.64546309816</v>
      </c>
      <c r="J107" s="362">
        <v>166875.66666666666</v>
      </c>
      <c r="K107" s="362">
        <v>118753196.3188497</v>
      </c>
      <c r="L107" s="362">
        <v>237208.93263617365</v>
      </c>
    </row>
    <row r="108" spans="2:29" x14ac:dyDescent="0.25">
      <c r="B108" s="409" t="s">
        <v>802</v>
      </c>
      <c r="C108" s="152" t="s">
        <v>914</v>
      </c>
      <c r="D108" s="338">
        <v>107682.33333333333</v>
      </c>
      <c r="E108" s="338">
        <v>66492407.222657137</v>
      </c>
      <c r="F108" s="338">
        <v>205828.89555593193</v>
      </c>
      <c r="G108" s="338">
        <v>84691.666666666672</v>
      </c>
      <c r="H108" s="338">
        <v>52299867.778048553</v>
      </c>
      <c r="I108" s="338">
        <v>205844.21048134821</v>
      </c>
      <c r="J108" s="362">
        <v>192374</v>
      </c>
      <c r="K108" s="362">
        <v>118792275.00070566</v>
      </c>
      <c r="L108" s="362">
        <v>205835.63787328443</v>
      </c>
    </row>
    <row r="109" spans="2:29" x14ac:dyDescent="0.25">
      <c r="B109" s="409" t="s">
        <v>802</v>
      </c>
      <c r="C109" s="152" t="s">
        <v>915</v>
      </c>
      <c r="D109" s="338">
        <v>47329</v>
      </c>
      <c r="E109" s="338">
        <v>24993591.552259002</v>
      </c>
      <c r="F109" s="338">
        <v>176027.3232919845</v>
      </c>
      <c r="G109" s="338">
        <v>50009.666666666664</v>
      </c>
      <c r="H109" s="338">
        <v>25046514.777641118</v>
      </c>
      <c r="I109" s="338">
        <v>166944.48924968587</v>
      </c>
      <c r="J109" s="362">
        <v>97338.666666666672</v>
      </c>
      <c r="K109" s="362">
        <v>50040106.329900116</v>
      </c>
      <c r="L109" s="362">
        <v>171360.83752225945</v>
      </c>
    </row>
    <row r="110" spans="2:29" ht="17.25" x14ac:dyDescent="0.25">
      <c r="B110" s="410" t="s">
        <v>802</v>
      </c>
      <c r="C110" s="152" t="s">
        <v>931</v>
      </c>
      <c r="D110" s="338">
        <v>1414116</v>
      </c>
      <c r="E110" s="338">
        <v>870167748.4701339</v>
      </c>
      <c r="F110" s="338">
        <v>205114.65548562587</v>
      </c>
      <c r="G110" s="338">
        <v>1011832.6666666666</v>
      </c>
      <c r="H110" s="338">
        <v>614799866.14133847</v>
      </c>
      <c r="I110" s="338">
        <v>202536.73899351558</v>
      </c>
      <c r="J110" s="362">
        <v>2425948.6666666665</v>
      </c>
      <c r="K110" s="362">
        <v>1484967614.6114724</v>
      </c>
      <c r="L110" s="362">
        <v>204039.43895095782</v>
      </c>
    </row>
    <row r="111" spans="2:29" x14ac:dyDescent="0.25">
      <c r="B111" s="4" t="s">
        <v>788</v>
      </c>
    </row>
    <row r="112" spans="2:29" ht="53.25" customHeight="1" x14ac:dyDescent="0.25">
      <c r="B112" s="397" t="s">
        <v>897</v>
      </c>
      <c r="C112" s="397"/>
      <c r="D112" s="397"/>
      <c r="E112" s="397"/>
      <c r="F112" s="397"/>
      <c r="G112" s="397"/>
      <c r="H112" s="397"/>
      <c r="I112" s="397"/>
      <c r="J112" s="397"/>
      <c r="K112" s="397"/>
      <c r="L112" s="397"/>
      <c r="M112" s="361"/>
      <c r="N112" s="361"/>
      <c r="O112" s="361"/>
      <c r="P112" s="361"/>
      <c r="Q112" s="361"/>
      <c r="R112" s="361"/>
      <c r="S112" s="361"/>
      <c r="T112" s="361"/>
      <c r="U112" s="361"/>
      <c r="V112" s="361"/>
      <c r="W112" s="361"/>
      <c r="X112" s="361"/>
      <c r="Y112" s="361"/>
      <c r="Z112" s="361"/>
      <c r="AA112" s="361"/>
      <c r="AB112" s="361"/>
      <c r="AC112" s="361"/>
    </row>
    <row r="113" spans="2:12" ht="26.25" customHeight="1" x14ac:dyDescent="0.25">
      <c r="B113" s="411" t="s">
        <v>934</v>
      </c>
      <c r="C113" s="411"/>
      <c r="D113" s="411"/>
      <c r="E113" s="411"/>
      <c r="F113" s="411"/>
      <c r="G113" s="411"/>
      <c r="H113" s="411"/>
      <c r="I113" s="411"/>
      <c r="J113" s="411"/>
      <c r="K113" s="411"/>
      <c r="L113" s="411"/>
    </row>
  </sheetData>
  <mergeCells count="24">
    <mergeCell ref="B9:B14"/>
    <mergeCell ref="B113:L113"/>
    <mergeCell ref="D7:F7"/>
    <mergeCell ref="G7:I7"/>
    <mergeCell ref="J7:L7"/>
    <mergeCell ref="C7:C8"/>
    <mergeCell ref="B7:B8"/>
    <mergeCell ref="B81:B86"/>
    <mergeCell ref="B15:B20"/>
    <mergeCell ref="B21:B26"/>
    <mergeCell ref="B27:B32"/>
    <mergeCell ref="B33:B38"/>
    <mergeCell ref="B39:B44"/>
    <mergeCell ref="B45:B50"/>
    <mergeCell ref="B51:B56"/>
    <mergeCell ref="B57:B62"/>
    <mergeCell ref="B63:B68"/>
    <mergeCell ref="B69:B74"/>
    <mergeCell ref="B75:B80"/>
    <mergeCell ref="B112:L112"/>
    <mergeCell ref="B87:B92"/>
    <mergeCell ref="B93:B98"/>
    <mergeCell ref="B99:B104"/>
    <mergeCell ref="B105:B110"/>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A8527-C835-4E16-9043-DB37FE34F7D7}">
  <sheetPr>
    <tabColor theme="9"/>
  </sheetPr>
  <dimension ref="B2:AC85"/>
  <sheetViews>
    <sheetView showGridLines="0" workbookViewId="0"/>
  </sheetViews>
  <sheetFormatPr baseColWidth="10" defaultRowHeight="15" outlineLevelRow="1" x14ac:dyDescent="0.25"/>
  <cols>
    <col min="1" max="1" width="7.5703125" customWidth="1"/>
    <col min="2" max="2" width="20.7109375" customWidth="1"/>
    <col min="3" max="3" width="13.85546875" customWidth="1"/>
    <col min="4" max="4" width="19.7109375" customWidth="1"/>
    <col min="5" max="5" width="13.7109375" customWidth="1"/>
    <col min="6" max="6" width="17.28515625" customWidth="1"/>
    <col min="7" max="7" width="14.85546875" customWidth="1"/>
    <col min="8" max="8" width="15.7109375" customWidth="1"/>
    <col min="9" max="9" width="14.7109375" customWidth="1"/>
    <col min="10" max="10" width="15.42578125" customWidth="1"/>
    <col min="11" max="11" width="14.5703125" customWidth="1"/>
    <col min="12" max="12" width="15.7109375" bestFit="1" customWidth="1"/>
    <col min="13" max="13" width="14.85546875" customWidth="1"/>
    <col min="14" max="14" width="15.7109375" customWidth="1"/>
    <col min="15" max="15" width="13.140625" customWidth="1"/>
    <col min="18" max="18" width="13.5703125" bestFit="1" customWidth="1"/>
    <col min="21" max="21" width="12.85546875" customWidth="1"/>
    <col min="22" max="23" width="12" bestFit="1" customWidth="1"/>
    <col min="24" max="24" width="12.85546875" customWidth="1"/>
    <col min="27" max="27" width="13.140625" customWidth="1"/>
  </cols>
  <sheetData>
    <row r="2" spans="2:12" ht="23.25" x14ac:dyDescent="0.25">
      <c r="B2" s="1" t="s">
        <v>708</v>
      </c>
      <c r="C2" s="4"/>
      <c r="D2" s="4"/>
      <c r="E2" s="4"/>
    </row>
    <row r="3" spans="2:12" x14ac:dyDescent="0.25">
      <c r="B3" s="4"/>
      <c r="C3" s="4"/>
      <c r="D3" s="4"/>
      <c r="E3" s="4"/>
    </row>
    <row r="4" spans="2:12" ht="18.75" x14ac:dyDescent="0.3">
      <c r="B4" s="2" t="s">
        <v>789</v>
      </c>
      <c r="C4" s="2"/>
      <c r="D4" s="2"/>
      <c r="E4" s="2"/>
      <c r="F4" s="2"/>
      <c r="G4" s="2"/>
      <c r="J4" s="4"/>
      <c r="K4" s="4"/>
    </row>
    <row r="5" spans="2:12" x14ac:dyDescent="0.25">
      <c r="B5" s="3" t="s">
        <v>866</v>
      </c>
      <c r="J5" s="4"/>
      <c r="K5" s="4"/>
    </row>
    <row r="6" spans="2:12" x14ac:dyDescent="0.25">
      <c r="J6" s="4"/>
      <c r="K6" s="4"/>
    </row>
    <row r="7" spans="2:12" ht="17.25" x14ac:dyDescent="0.25">
      <c r="D7" s="407" t="s">
        <v>885</v>
      </c>
      <c r="E7" s="407"/>
      <c r="F7" s="407"/>
      <c r="G7" s="407" t="s">
        <v>886</v>
      </c>
      <c r="H7" s="407"/>
      <c r="I7" s="407"/>
      <c r="J7" s="412" t="s">
        <v>887</v>
      </c>
      <c r="K7" s="412"/>
      <c r="L7" s="412"/>
    </row>
    <row r="8" spans="2:12" ht="32.25" x14ac:dyDescent="0.25">
      <c r="B8" s="138" t="s">
        <v>472</v>
      </c>
      <c r="C8" s="161" t="s">
        <v>589</v>
      </c>
      <c r="D8" s="161" t="s">
        <v>880</v>
      </c>
      <c r="E8" s="161" t="s">
        <v>888</v>
      </c>
      <c r="F8" s="161" t="s">
        <v>889</v>
      </c>
      <c r="G8" s="161" t="s">
        <v>880</v>
      </c>
      <c r="H8" s="161" t="s">
        <v>888</v>
      </c>
      <c r="I8" s="161" t="s">
        <v>889</v>
      </c>
      <c r="J8" s="357" t="s">
        <v>880</v>
      </c>
      <c r="K8" s="357" t="s">
        <v>888</v>
      </c>
      <c r="L8" s="357" t="s">
        <v>889</v>
      </c>
    </row>
    <row r="9" spans="2:12" x14ac:dyDescent="0.25">
      <c r="B9" s="403">
        <v>45200</v>
      </c>
      <c r="C9" s="248" t="s">
        <v>73</v>
      </c>
      <c r="D9" s="250">
        <v>344866</v>
      </c>
      <c r="E9" s="250">
        <v>70556341.414000005</v>
      </c>
      <c r="F9" s="250">
        <v>70700999.403781101</v>
      </c>
      <c r="G9" s="250">
        <v>801418</v>
      </c>
      <c r="H9" s="250">
        <v>162703789</v>
      </c>
      <c r="I9" s="250">
        <v>163037372.09933341</v>
      </c>
      <c r="J9" s="294">
        <v>1146284</v>
      </c>
      <c r="K9" s="294">
        <v>233260130.414</v>
      </c>
      <c r="L9" s="294">
        <v>233738371.50311446</v>
      </c>
    </row>
    <row r="10" spans="2:12" x14ac:dyDescent="0.25">
      <c r="B10" s="416"/>
      <c r="C10" s="248" t="s">
        <v>74</v>
      </c>
      <c r="D10" s="250">
        <v>139504</v>
      </c>
      <c r="E10" s="250">
        <v>28629000.951000001</v>
      </c>
      <c r="F10" s="250">
        <v>28687697.499659069</v>
      </c>
      <c r="G10" s="250">
        <v>670939</v>
      </c>
      <c r="H10" s="250">
        <v>134969864.56200001</v>
      </c>
      <c r="I10" s="250">
        <v>135246586.24140233</v>
      </c>
      <c r="J10" s="294">
        <v>810443</v>
      </c>
      <c r="K10" s="294">
        <v>163598865.51300001</v>
      </c>
      <c r="L10" s="294">
        <v>163934283.74106136</v>
      </c>
    </row>
    <row r="11" spans="2:12" x14ac:dyDescent="0.25">
      <c r="B11" s="416"/>
      <c r="C11" s="248" t="s">
        <v>25</v>
      </c>
      <c r="D11" s="250">
        <v>484370</v>
      </c>
      <c r="E11" s="250">
        <v>99185342.364999995</v>
      </c>
      <c r="F11" s="250">
        <v>99388696.903440148</v>
      </c>
      <c r="G11" s="250">
        <v>1472357</v>
      </c>
      <c r="H11" s="250">
        <v>297673653.56199998</v>
      </c>
      <c r="I11" s="250">
        <v>298283958.34073573</v>
      </c>
      <c r="J11" s="294">
        <v>1956727</v>
      </c>
      <c r="K11" s="294">
        <v>396858995.92699999</v>
      </c>
      <c r="L11" s="294">
        <v>397672655.24417585</v>
      </c>
    </row>
    <row r="12" spans="2:12" x14ac:dyDescent="0.25">
      <c r="B12" s="403">
        <v>45231</v>
      </c>
      <c r="C12" s="248" t="s">
        <v>73</v>
      </c>
      <c r="D12" s="250">
        <v>343086</v>
      </c>
      <c r="E12" s="250">
        <v>70221851.963</v>
      </c>
      <c r="F12" s="250">
        <v>69844858.005101427</v>
      </c>
      <c r="G12" s="250">
        <v>810512</v>
      </c>
      <c r="H12" s="250">
        <v>164595308.602</v>
      </c>
      <c r="I12" s="250">
        <v>163711660.06373444</v>
      </c>
      <c r="J12" s="294">
        <v>1153598</v>
      </c>
      <c r="K12" s="294">
        <v>234817160.565</v>
      </c>
      <c r="L12" s="294">
        <v>233556518.06883588</v>
      </c>
    </row>
    <row r="13" spans="2:12" x14ac:dyDescent="0.25">
      <c r="B13" s="416"/>
      <c r="C13" s="248" t="s">
        <v>74</v>
      </c>
      <c r="D13" s="250">
        <v>139023</v>
      </c>
      <c r="E13" s="250">
        <v>28559852.592</v>
      </c>
      <c r="F13" s="250">
        <v>28406525.791799244</v>
      </c>
      <c r="G13" s="250">
        <v>678035</v>
      </c>
      <c r="H13" s="250">
        <v>136353041.51699999</v>
      </c>
      <c r="I13" s="250">
        <v>135621014.78520593</v>
      </c>
      <c r="J13" s="294">
        <v>817058</v>
      </c>
      <c r="K13" s="294">
        <v>164912894.109</v>
      </c>
      <c r="L13" s="294">
        <v>164027540.57700515</v>
      </c>
    </row>
    <row r="14" spans="2:12" x14ac:dyDescent="0.25">
      <c r="B14" s="416"/>
      <c r="C14" s="248" t="s">
        <v>25</v>
      </c>
      <c r="D14" s="250">
        <v>482109</v>
      </c>
      <c r="E14" s="250">
        <v>98781704.555000007</v>
      </c>
      <c r="F14" s="250">
        <v>98251383.79690066</v>
      </c>
      <c r="G14" s="250">
        <v>1488547</v>
      </c>
      <c r="H14" s="250">
        <v>300948350.11900002</v>
      </c>
      <c r="I14" s="250">
        <v>299332674.84894037</v>
      </c>
      <c r="J14" s="294">
        <v>1970656</v>
      </c>
      <c r="K14" s="294">
        <v>399730054.67400002</v>
      </c>
      <c r="L14" s="294">
        <v>397584058.645841</v>
      </c>
    </row>
    <row r="15" spans="2:12" x14ac:dyDescent="0.25">
      <c r="B15" s="417">
        <v>45261</v>
      </c>
      <c r="C15" s="248" t="s">
        <v>73</v>
      </c>
      <c r="D15" s="250">
        <v>339811</v>
      </c>
      <c r="E15" s="250">
        <v>69796631.952000007</v>
      </c>
      <c r="F15" s="250">
        <v>69796631.952000007</v>
      </c>
      <c r="G15" s="250">
        <v>818807</v>
      </c>
      <c r="H15" s="250">
        <v>166334636.76499999</v>
      </c>
      <c r="I15" s="250">
        <v>166334636.76499999</v>
      </c>
      <c r="J15" s="294">
        <v>1158618</v>
      </c>
      <c r="K15" s="294">
        <v>236131268.71700001</v>
      </c>
      <c r="L15" s="294">
        <v>236131268.71700001</v>
      </c>
    </row>
    <row r="16" spans="2:12" x14ac:dyDescent="0.25">
      <c r="B16" s="418"/>
      <c r="C16" s="248" t="s">
        <v>74</v>
      </c>
      <c r="D16" s="250">
        <v>131135</v>
      </c>
      <c r="E16" s="250">
        <v>26987353.259</v>
      </c>
      <c r="F16" s="250">
        <v>26987353.259</v>
      </c>
      <c r="G16" s="250">
        <v>690945</v>
      </c>
      <c r="H16" s="250">
        <v>139006701.09599999</v>
      </c>
      <c r="I16" s="250">
        <v>139006701.09599999</v>
      </c>
      <c r="J16" s="294">
        <v>822080</v>
      </c>
      <c r="K16" s="294">
        <v>165994054.35499999</v>
      </c>
      <c r="L16" s="294">
        <v>165994054.35499999</v>
      </c>
    </row>
    <row r="17" spans="2:13" x14ac:dyDescent="0.25">
      <c r="B17" s="418"/>
      <c r="C17" s="249" t="s">
        <v>25</v>
      </c>
      <c r="D17" s="250">
        <v>470946</v>
      </c>
      <c r="E17" s="250">
        <v>96783985.210999995</v>
      </c>
      <c r="F17" s="250">
        <v>96783985.210999995</v>
      </c>
      <c r="G17" s="250">
        <v>1509752</v>
      </c>
      <c r="H17" s="250">
        <v>305341337.861</v>
      </c>
      <c r="I17" s="250">
        <v>305341337.861</v>
      </c>
      <c r="J17" s="294">
        <v>1980698</v>
      </c>
      <c r="K17" s="294">
        <v>402125323.07200003</v>
      </c>
      <c r="L17" s="294">
        <v>402125323.07200003</v>
      </c>
    </row>
    <row r="18" spans="2:13" x14ac:dyDescent="0.25">
      <c r="B18" s="4" t="s">
        <v>788</v>
      </c>
    </row>
    <row r="19" spans="2:13" ht="65.25" customHeight="1" x14ac:dyDescent="0.25">
      <c r="B19" s="397" t="s">
        <v>897</v>
      </c>
      <c r="C19" s="397"/>
      <c r="D19" s="397"/>
      <c r="E19" s="397"/>
      <c r="F19" s="397"/>
      <c r="G19" s="397"/>
      <c r="H19" s="397"/>
      <c r="I19" s="397"/>
      <c r="J19" s="397"/>
      <c r="K19" s="397"/>
      <c r="L19" s="397"/>
    </row>
    <row r="20" spans="2:13" ht="15" customHeight="1" x14ac:dyDescent="0.25">
      <c r="B20" s="253" t="s">
        <v>890</v>
      </c>
      <c r="C20" s="244"/>
      <c r="D20" s="244"/>
      <c r="E20" s="244"/>
      <c r="F20" s="244"/>
      <c r="G20" s="244"/>
      <c r="H20" s="244"/>
      <c r="I20" s="244"/>
      <c r="J20" s="244"/>
      <c r="K20" s="244"/>
      <c r="L20" s="244"/>
    </row>
    <row r="21" spans="2:13" ht="15" customHeight="1" x14ac:dyDescent="0.25">
      <c r="B21" s="253"/>
      <c r="C21" s="244"/>
      <c r="D21" s="244"/>
      <c r="E21" s="244"/>
      <c r="F21" s="244"/>
      <c r="G21" s="244"/>
      <c r="H21" s="244"/>
      <c r="I21" s="244"/>
      <c r="J21" s="244"/>
      <c r="K21" s="244"/>
      <c r="L21" s="244"/>
    </row>
    <row r="22" spans="2:13" x14ac:dyDescent="0.25">
      <c r="B22" s="254"/>
      <c r="C22" s="4"/>
      <c r="D22" s="4"/>
      <c r="E22" s="4"/>
      <c r="F22" s="255"/>
      <c r="G22" s="255"/>
      <c r="H22" s="255"/>
      <c r="I22" s="255"/>
      <c r="J22" s="255"/>
      <c r="K22" s="255"/>
      <c r="L22" s="255"/>
    </row>
    <row r="23" spans="2:13" ht="18.75" x14ac:dyDescent="0.3">
      <c r="B23" s="2" t="s">
        <v>852</v>
      </c>
      <c r="C23" s="2"/>
      <c r="D23" s="2"/>
      <c r="E23" s="2"/>
      <c r="F23" s="2"/>
      <c r="G23" s="2"/>
      <c r="H23" s="4"/>
      <c r="I23" s="4"/>
      <c r="J23" s="4"/>
      <c r="K23" s="4"/>
    </row>
    <row r="24" spans="2:13" x14ac:dyDescent="0.25">
      <c r="B24" s="3" t="s">
        <v>867</v>
      </c>
      <c r="C24" s="4"/>
      <c r="D24" s="4"/>
      <c r="E24" s="4"/>
      <c r="F24" s="4"/>
      <c r="G24" s="4"/>
      <c r="H24" s="4"/>
      <c r="I24" s="4"/>
      <c r="J24" s="4"/>
      <c r="K24" s="4"/>
    </row>
    <row r="25" spans="2:13" x14ac:dyDescent="0.25">
      <c r="B25" s="4"/>
      <c r="C25" s="4"/>
      <c r="D25" s="4"/>
      <c r="E25" s="4"/>
      <c r="F25" s="4"/>
      <c r="G25" s="4"/>
      <c r="H25" s="4"/>
      <c r="I25" s="4"/>
      <c r="J25" s="4"/>
      <c r="K25" s="4"/>
    </row>
    <row r="26" spans="2:13" ht="17.25" x14ac:dyDescent="0.25">
      <c r="D26" s="407" t="s">
        <v>885</v>
      </c>
      <c r="E26" s="407"/>
      <c r="F26" s="407"/>
      <c r="G26" s="407" t="s">
        <v>886</v>
      </c>
      <c r="H26" s="407"/>
      <c r="I26" s="407"/>
      <c r="J26" s="412" t="s">
        <v>887</v>
      </c>
      <c r="K26" s="412"/>
      <c r="L26" s="412"/>
    </row>
    <row r="27" spans="2:13" ht="32.25" x14ac:dyDescent="0.25">
      <c r="B27" s="138" t="s">
        <v>472</v>
      </c>
      <c r="C27" s="161" t="s">
        <v>589</v>
      </c>
      <c r="D27" s="161" t="s">
        <v>916</v>
      </c>
      <c r="E27" s="161" t="s">
        <v>883</v>
      </c>
      <c r="F27" s="161" t="s">
        <v>884</v>
      </c>
      <c r="G27" s="161" t="s">
        <v>916</v>
      </c>
      <c r="H27" s="161" t="s">
        <v>883</v>
      </c>
      <c r="I27" s="161" t="s">
        <v>884</v>
      </c>
      <c r="J27" s="299" t="s">
        <v>916</v>
      </c>
      <c r="K27" s="299" t="s">
        <v>883</v>
      </c>
      <c r="L27" s="299" t="s">
        <v>884</v>
      </c>
    </row>
    <row r="28" spans="2:13" x14ac:dyDescent="0.25">
      <c r="B28" s="419" t="s">
        <v>843</v>
      </c>
      <c r="C28" s="248" t="s">
        <v>73</v>
      </c>
      <c r="D28" s="250">
        <v>338941.41666666669</v>
      </c>
      <c r="E28" s="250">
        <v>829902642.2930001</v>
      </c>
      <c r="F28" s="250">
        <v>841225913.36921847</v>
      </c>
      <c r="G28" s="250">
        <v>777918.16666666663</v>
      </c>
      <c r="H28" s="250">
        <v>1889260402.3829999</v>
      </c>
      <c r="I28" s="250">
        <v>1914592632.0979171</v>
      </c>
      <c r="J28" s="294">
        <v>1116859.5833333333</v>
      </c>
      <c r="K28" s="294">
        <v>2719163044.6760001</v>
      </c>
      <c r="L28" s="294">
        <v>2755818545.467135</v>
      </c>
    </row>
    <row r="29" spans="2:13" x14ac:dyDescent="0.25">
      <c r="B29" s="419"/>
      <c r="C29" s="248" t="s">
        <v>74</v>
      </c>
      <c r="D29" s="250">
        <v>133932.08333333334</v>
      </c>
      <c r="E29" s="250">
        <v>328817594.352</v>
      </c>
      <c r="F29" s="250">
        <v>333253939.18778813</v>
      </c>
      <c r="G29" s="250">
        <v>650208.25</v>
      </c>
      <c r="H29" s="250">
        <v>1565258574.971</v>
      </c>
      <c r="I29" s="250">
        <v>1586202074.6095459</v>
      </c>
      <c r="J29" s="294">
        <v>784140.33333333337</v>
      </c>
      <c r="K29" s="294">
        <v>1894076169.3230002</v>
      </c>
      <c r="L29" s="294">
        <v>1919456013.7973344</v>
      </c>
    </row>
    <row r="30" spans="2:13" x14ac:dyDescent="0.25">
      <c r="B30" s="420"/>
      <c r="C30" s="249" t="s">
        <v>588</v>
      </c>
      <c r="D30" s="250">
        <v>472873.5</v>
      </c>
      <c r="E30" s="250">
        <v>1158720236.645</v>
      </c>
      <c r="F30" s="250">
        <v>1174479852.5570066</v>
      </c>
      <c r="G30" s="250">
        <v>1428126.4166666667</v>
      </c>
      <c r="H30" s="250">
        <v>3454518977.3539996</v>
      </c>
      <c r="I30" s="250">
        <v>3500794706.7074633</v>
      </c>
      <c r="J30" s="294">
        <v>1900999.9166666667</v>
      </c>
      <c r="K30" s="294">
        <v>4613239213.9990005</v>
      </c>
      <c r="L30" s="294">
        <v>4675274559.2644691</v>
      </c>
    </row>
    <row r="31" spans="2:13" x14ac:dyDescent="0.25">
      <c r="B31" s="4" t="s">
        <v>788</v>
      </c>
      <c r="C31" s="353"/>
      <c r="D31" s="353"/>
      <c r="E31" s="353"/>
      <c r="F31" s="353"/>
      <c r="G31" s="353"/>
      <c r="H31" s="353"/>
      <c r="I31" s="353"/>
      <c r="J31" s="353"/>
      <c r="K31" s="353"/>
      <c r="L31" s="353"/>
      <c r="M31" s="353"/>
    </row>
    <row r="32" spans="2:13" ht="53.25" customHeight="1" x14ac:dyDescent="0.25">
      <c r="B32" s="397" t="s">
        <v>897</v>
      </c>
      <c r="C32" s="397"/>
      <c r="D32" s="397"/>
      <c r="E32" s="397"/>
      <c r="F32" s="397"/>
      <c r="G32" s="397"/>
      <c r="H32" s="397"/>
      <c r="I32" s="397"/>
      <c r="J32" s="397"/>
      <c r="K32" s="397"/>
      <c r="L32" s="397"/>
      <c r="M32" s="353"/>
    </row>
    <row r="33" spans="2:29" x14ac:dyDescent="0.25">
      <c r="B33" s="358" t="s">
        <v>891</v>
      </c>
      <c r="C33" s="352"/>
      <c r="D33" s="352"/>
      <c r="E33" s="352"/>
      <c r="F33" s="352"/>
      <c r="G33" s="352"/>
      <c r="H33" s="352"/>
      <c r="I33" s="352"/>
      <c r="J33" s="352"/>
      <c r="K33" s="352"/>
      <c r="L33" s="352"/>
      <c r="M33" s="353"/>
    </row>
    <row r="34" spans="2:29" x14ac:dyDescent="0.25">
      <c r="B34" s="421" t="s">
        <v>892</v>
      </c>
      <c r="C34" s="422"/>
      <c r="D34" s="422"/>
      <c r="E34" s="422"/>
      <c r="F34" s="422"/>
      <c r="G34" s="422"/>
      <c r="H34" s="422"/>
      <c r="I34" s="422"/>
      <c r="J34" s="422"/>
      <c r="K34" s="422"/>
      <c r="L34" s="422"/>
      <c r="M34" s="422"/>
    </row>
    <row r="35" spans="2:29" x14ac:dyDescent="0.25">
      <c r="B35" s="4"/>
      <c r="C35" s="4"/>
      <c r="D35" s="4"/>
      <c r="E35" s="4"/>
    </row>
    <row r="36" spans="2:29" x14ac:dyDescent="0.25">
      <c r="B36" s="254"/>
      <c r="C36" s="4"/>
      <c r="D36" s="4"/>
      <c r="E36" s="4"/>
      <c r="F36" s="255"/>
      <c r="G36" s="255"/>
      <c r="H36" s="255"/>
      <c r="I36" s="255"/>
      <c r="J36" s="255"/>
      <c r="K36" s="255"/>
      <c r="L36" s="255"/>
    </row>
    <row r="37" spans="2:29" ht="18.75" x14ac:dyDescent="0.3">
      <c r="B37" s="2" t="s">
        <v>792</v>
      </c>
      <c r="C37" s="2"/>
      <c r="D37" s="2"/>
      <c r="E37" s="2"/>
      <c r="F37" s="2"/>
      <c r="G37" s="8"/>
    </row>
    <row r="38" spans="2:29" x14ac:dyDescent="0.25">
      <c r="B38" s="3" t="s">
        <v>870</v>
      </c>
    </row>
    <row r="40" spans="2:29" ht="17.25" x14ac:dyDescent="0.25">
      <c r="C40" s="400" t="s">
        <v>885</v>
      </c>
      <c r="D40" s="401"/>
      <c r="E40" s="401"/>
      <c r="F40" s="401"/>
      <c r="G40" s="401"/>
      <c r="H40" s="401"/>
      <c r="I40" s="401"/>
      <c r="J40" s="401"/>
      <c r="K40" s="402"/>
      <c r="L40" s="400" t="s">
        <v>886</v>
      </c>
      <c r="M40" s="401"/>
      <c r="N40" s="401"/>
      <c r="O40" s="401"/>
      <c r="P40" s="401"/>
      <c r="Q40" s="401"/>
      <c r="R40" s="401"/>
      <c r="S40" s="401"/>
      <c r="T40" s="402"/>
      <c r="U40" s="400" t="s">
        <v>887</v>
      </c>
      <c r="V40" s="401"/>
      <c r="W40" s="401"/>
      <c r="X40" s="401"/>
      <c r="Y40" s="401"/>
      <c r="Z40" s="401"/>
      <c r="AA40" s="401"/>
      <c r="AB40" s="401"/>
      <c r="AC40" s="402"/>
    </row>
    <row r="41" spans="2:29" x14ac:dyDescent="0.25">
      <c r="C41" s="400" t="s">
        <v>73</v>
      </c>
      <c r="D41" s="401"/>
      <c r="E41" s="402"/>
      <c r="F41" s="400" t="s">
        <v>74</v>
      </c>
      <c r="G41" s="401"/>
      <c r="H41" s="402"/>
      <c r="I41" s="400" t="s">
        <v>25</v>
      </c>
      <c r="J41" s="401"/>
      <c r="K41" s="402"/>
      <c r="L41" s="400" t="s">
        <v>73</v>
      </c>
      <c r="M41" s="401"/>
      <c r="N41" s="402"/>
      <c r="O41" s="400" t="s">
        <v>74</v>
      </c>
      <c r="P41" s="401"/>
      <c r="Q41" s="402"/>
      <c r="R41" s="400" t="s">
        <v>25</v>
      </c>
      <c r="S41" s="401"/>
      <c r="T41" s="402"/>
      <c r="U41" s="400" t="s">
        <v>73</v>
      </c>
      <c r="V41" s="401"/>
      <c r="W41" s="402"/>
      <c r="X41" s="400" t="s">
        <v>74</v>
      </c>
      <c r="Y41" s="401"/>
      <c r="Z41" s="402"/>
      <c r="AA41" s="400" t="s">
        <v>25</v>
      </c>
      <c r="AB41" s="401"/>
      <c r="AC41" s="402"/>
    </row>
    <row r="42" spans="2:29" ht="47.25" x14ac:dyDescent="0.25">
      <c r="B42" s="138" t="s">
        <v>472</v>
      </c>
      <c r="C42" s="214" t="s">
        <v>800</v>
      </c>
      <c r="D42" s="161" t="s">
        <v>879</v>
      </c>
      <c r="E42" s="214" t="s">
        <v>883</v>
      </c>
      <c r="F42" s="214" t="s">
        <v>800</v>
      </c>
      <c r="G42" s="161" t="s">
        <v>879</v>
      </c>
      <c r="H42" s="214" t="s">
        <v>883</v>
      </c>
      <c r="I42" s="214" t="s">
        <v>800</v>
      </c>
      <c r="J42" s="161" t="s">
        <v>879</v>
      </c>
      <c r="K42" s="214" t="s">
        <v>883</v>
      </c>
      <c r="L42" s="214" t="s">
        <v>800</v>
      </c>
      <c r="M42" s="161" t="s">
        <v>879</v>
      </c>
      <c r="N42" s="214" t="s">
        <v>883</v>
      </c>
      <c r="O42" s="214" t="s">
        <v>800</v>
      </c>
      <c r="P42" s="161" t="s">
        <v>879</v>
      </c>
      <c r="Q42" s="214" t="s">
        <v>883</v>
      </c>
      <c r="R42" s="214" t="s">
        <v>800</v>
      </c>
      <c r="S42" s="161" t="s">
        <v>879</v>
      </c>
      <c r="T42" s="214" t="s">
        <v>883</v>
      </c>
      <c r="U42" s="214" t="s">
        <v>800</v>
      </c>
      <c r="V42" s="161" t="s">
        <v>879</v>
      </c>
      <c r="W42" s="214" t="s">
        <v>883</v>
      </c>
      <c r="X42" s="214" t="s">
        <v>800</v>
      </c>
      <c r="Y42" s="161" t="s">
        <v>879</v>
      </c>
      <c r="Z42" s="214" t="s">
        <v>883</v>
      </c>
      <c r="AA42" s="214" t="s">
        <v>800</v>
      </c>
      <c r="AB42" s="161" t="s">
        <v>879</v>
      </c>
      <c r="AC42" s="214" t="s">
        <v>883</v>
      </c>
    </row>
    <row r="43" spans="2:29" hidden="1" outlineLevel="1" x14ac:dyDescent="0.25">
      <c r="B43" s="227">
        <v>44593</v>
      </c>
      <c r="C43" s="262">
        <v>309683</v>
      </c>
      <c r="D43" s="262">
        <v>66071872.745428175</v>
      </c>
      <c r="E43" s="262">
        <v>57205360.538000003</v>
      </c>
      <c r="F43" s="262">
        <v>106066</v>
      </c>
      <c r="G43" s="262">
        <v>22657902.982787114</v>
      </c>
      <c r="H43" s="262">
        <v>19617326.636999998</v>
      </c>
      <c r="I43" s="261">
        <v>415749</v>
      </c>
      <c r="J43" s="261">
        <v>88729775.728215292</v>
      </c>
      <c r="K43" s="261">
        <v>76822687.174999997</v>
      </c>
      <c r="L43" s="262">
        <v>517361</v>
      </c>
      <c r="M43" s="262">
        <v>98264863.15474005</v>
      </c>
      <c r="N43" s="262">
        <v>85078213.942000002</v>
      </c>
      <c r="O43" s="262">
        <v>340110</v>
      </c>
      <c r="P43" s="262">
        <v>67340942.731246218</v>
      </c>
      <c r="Q43" s="262">
        <v>58304127.729999997</v>
      </c>
      <c r="R43" s="261">
        <v>857471</v>
      </c>
      <c r="S43" s="261">
        <v>165605805.88598627</v>
      </c>
      <c r="T43" s="261">
        <v>143382341.67199999</v>
      </c>
      <c r="U43" s="265">
        <v>827044</v>
      </c>
      <c r="V43" s="265">
        <v>164336735.90016824</v>
      </c>
      <c r="W43" s="265">
        <v>142283574.47999999</v>
      </c>
      <c r="X43" s="265">
        <v>446176</v>
      </c>
      <c r="Y43" s="265">
        <v>89998845.714033321</v>
      </c>
      <c r="Z43" s="265">
        <v>77921454.366999999</v>
      </c>
      <c r="AA43" s="261">
        <v>1273220</v>
      </c>
      <c r="AB43" s="261">
        <v>254335581.61420158</v>
      </c>
      <c r="AC43" s="261">
        <v>220205028.847</v>
      </c>
    </row>
    <row r="44" spans="2:29" hidden="1" outlineLevel="1" x14ac:dyDescent="0.25">
      <c r="B44" s="227">
        <v>44621</v>
      </c>
      <c r="C44" s="262">
        <v>312946</v>
      </c>
      <c r="D44" s="262">
        <v>65445588.754077658</v>
      </c>
      <c r="E44" s="262">
        <v>57713942.276000001</v>
      </c>
      <c r="F44" s="262">
        <v>107255</v>
      </c>
      <c r="G44" s="262">
        <v>22494271.758447155</v>
      </c>
      <c r="H44" s="262">
        <v>19836831.274999999</v>
      </c>
      <c r="I44" s="261">
        <v>420201</v>
      </c>
      <c r="J44" s="261">
        <v>87939860.512524813</v>
      </c>
      <c r="K44" s="261">
        <v>77550773.550999999</v>
      </c>
      <c r="L44" s="262">
        <v>536699</v>
      </c>
      <c r="M44" s="262">
        <v>112349582.9542007</v>
      </c>
      <c r="N44" s="262">
        <v>99076766.957000002</v>
      </c>
      <c r="O44" s="262">
        <v>361057</v>
      </c>
      <c r="P44" s="262">
        <v>75659091.724299893</v>
      </c>
      <c r="Q44" s="262">
        <v>66720836.890000001</v>
      </c>
      <c r="R44" s="261">
        <v>897756</v>
      </c>
      <c r="S44" s="261">
        <v>188008674.67850062</v>
      </c>
      <c r="T44" s="261">
        <v>165797603.847</v>
      </c>
      <c r="U44" s="265">
        <v>849645</v>
      </c>
      <c r="V44" s="265">
        <v>177795171.70827836</v>
      </c>
      <c r="W44" s="265">
        <v>156790709.23300001</v>
      </c>
      <c r="X44" s="265">
        <v>468312</v>
      </c>
      <c r="Y44" s="265">
        <v>98153363.482747048</v>
      </c>
      <c r="Z44" s="265">
        <v>86557668.165000007</v>
      </c>
      <c r="AA44" s="261">
        <v>1317957</v>
      </c>
      <c r="AB44" s="261">
        <v>275948535.19102538</v>
      </c>
      <c r="AC44" s="261">
        <v>243348377.398</v>
      </c>
    </row>
    <row r="45" spans="2:29" hidden="1" outlineLevel="1" x14ac:dyDescent="0.25">
      <c r="B45" s="227">
        <v>44652</v>
      </c>
      <c r="C45" s="262">
        <v>314601</v>
      </c>
      <c r="D45" s="262">
        <v>64815068.138570115</v>
      </c>
      <c r="E45" s="262">
        <v>57957137.288000003</v>
      </c>
      <c r="F45" s="262">
        <v>107763</v>
      </c>
      <c r="G45" s="262">
        <v>22288160.193098977</v>
      </c>
      <c r="H45" s="262">
        <v>19929902.063000001</v>
      </c>
      <c r="I45" s="261">
        <v>422364</v>
      </c>
      <c r="J45" s="261">
        <v>87103228.331669092</v>
      </c>
      <c r="K45" s="261">
        <v>77887039.350999996</v>
      </c>
      <c r="L45" s="262">
        <v>552501</v>
      </c>
      <c r="M45" s="262">
        <v>113985915.78297104</v>
      </c>
      <c r="N45" s="262">
        <v>101925332.483</v>
      </c>
      <c r="O45" s="262">
        <v>374925</v>
      </c>
      <c r="P45" s="262">
        <v>77506855.662668064</v>
      </c>
      <c r="Q45" s="262">
        <v>69306036.442000002</v>
      </c>
      <c r="R45" s="261">
        <v>927426</v>
      </c>
      <c r="S45" s="261">
        <v>191492771.4456391</v>
      </c>
      <c r="T45" s="261">
        <v>171231368.92500001</v>
      </c>
      <c r="U45" s="265">
        <v>867102</v>
      </c>
      <c r="V45" s="265">
        <v>178800983.92154115</v>
      </c>
      <c r="W45" s="265">
        <v>159882469.771</v>
      </c>
      <c r="X45" s="265">
        <v>482688</v>
      </c>
      <c r="Y45" s="265">
        <v>99795015.855767041</v>
      </c>
      <c r="Z45" s="265">
        <v>89235938.504999995</v>
      </c>
      <c r="AA45" s="261">
        <v>1349790</v>
      </c>
      <c r="AB45" s="261">
        <v>278595999.77730823</v>
      </c>
      <c r="AC45" s="261">
        <v>249118408.27599999</v>
      </c>
    </row>
    <row r="46" spans="2:29" hidden="1" outlineLevel="1" x14ac:dyDescent="0.25">
      <c r="B46" s="227">
        <v>44682</v>
      </c>
      <c r="C46" s="262">
        <v>316872</v>
      </c>
      <c r="D46" s="262">
        <v>64454474.804563954</v>
      </c>
      <c r="E46" s="262">
        <v>58325653.706</v>
      </c>
      <c r="F46" s="262">
        <v>108938</v>
      </c>
      <c r="G46" s="262">
        <v>22262224.245198421</v>
      </c>
      <c r="H46" s="262">
        <v>20145362.846999999</v>
      </c>
      <c r="I46" s="261">
        <v>425810</v>
      </c>
      <c r="J46" s="261">
        <v>86716699.049762368</v>
      </c>
      <c r="K46" s="261">
        <v>78471016.553000003</v>
      </c>
      <c r="L46" s="262">
        <v>605836</v>
      </c>
      <c r="M46" s="262">
        <v>123458295.3519787</v>
      </c>
      <c r="N46" s="262">
        <v>111718942.76800001</v>
      </c>
      <c r="O46" s="262">
        <v>477591</v>
      </c>
      <c r="P46" s="262">
        <v>97574095.888355836</v>
      </c>
      <c r="Q46" s="262">
        <v>88296009.621000007</v>
      </c>
      <c r="R46" s="261">
        <v>1083427</v>
      </c>
      <c r="S46" s="261">
        <v>221032391.24033454</v>
      </c>
      <c r="T46" s="261">
        <v>200014952.389</v>
      </c>
      <c r="U46" s="265">
        <v>922708</v>
      </c>
      <c r="V46" s="265">
        <v>187912770.15654266</v>
      </c>
      <c r="W46" s="265">
        <v>170044596.47400001</v>
      </c>
      <c r="X46" s="265">
        <v>586529</v>
      </c>
      <c r="Y46" s="265">
        <v>119836320.13355426</v>
      </c>
      <c r="Z46" s="265">
        <v>108441372.46799999</v>
      </c>
      <c r="AA46" s="261">
        <v>1509237</v>
      </c>
      <c r="AB46" s="261">
        <v>307749090.29009694</v>
      </c>
      <c r="AC46" s="261">
        <v>278485968.94199997</v>
      </c>
    </row>
    <row r="47" spans="2:29" hidden="1" outlineLevel="1" x14ac:dyDescent="0.25">
      <c r="B47" s="227">
        <v>44713</v>
      </c>
      <c r="C47" s="262">
        <v>317138</v>
      </c>
      <c r="D47" s="262">
        <v>63890471.577801242</v>
      </c>
      <c r="E47" s="262">
        <v>58354483.068000004</v>
      </c>
      <c r="F47" s="262">
        <v>109221</v>
      </c>
      <c r="G47" s="262">
        <v>22113077.386404112</v>
      </c>
      <c r="H47" s="262">
        <v>20197021.059</v>
      </c>
      <c r="I47" s="261">
        <v>426359</v>
      </c>
      <c r="J47" s="261">
        <v>86003548.964205354</v>
      </c>
      <c r="K47" s="261">
        <v>78551504.127000004</v>
      </c>
      <c r="L47" s="262">
        <v>615086</v>
      </c>
      <c r="M47" s="262">
        <v>124134141.95795566</v>
      </c>
      <c r="N47" s="262">
        <v>113378153.36399999</v>
      </c>
      <c r="O47" s="262">
        <v>487043</v>
      </c>
      <c r="P47" s="262">
        <v>98585817.852289602</v>
      </c>
      <c r="Q47" s="262">
        <v>90043543.216000006</v>
      </c>
      <c r="R47" s="261">
        <v>1102129</v>
      </c>
      <c r="S47" s="261">
        <v>222719959.81024525</v>
      </c>
      <c r="T47" s="261">
        <v>203421696.58000001</v>
      </c>
      <c r="U47" s="265">
        <v>932224</v>
      </c>
      <c r="V47" s="265">
        <v>188024613.53575689</v>
      </c>
      <c r="W47" s="265">
        <v>171732636.43200001</v>
      </c>
      <c r="X47" s="265">
        <v>596264</v>
      </c>
      <c r="Y47" s="265">
        <v>120698895.23869371</v>
      </c>
      <c r="Z47" s="265">
        <v>110240564.27500001</v>
      </c>
      <c r="AA47" s="261">
        <v>1528488</v>
      </c>
      <c r="AB47" s="261">
        <v>308723508.7744506</v>
      </c>
      <c r="AC47" s="261">
        <v>281973200.70700002</v>
      </c>
    </row>
    <row r="48" spans="2:29" hidden="1" outlineLevel="1" x14ac:dyDescent="0.25">
      <c r="B48" s="227">
        <v>44743</v>
      </c>
      <c r="C48" s="262">
        <v>317824</v>
      </c>
      <c r="D48" s="262">
        <v>66204066.290237986</v>
      </c>
      <c r="E48" s="262">
        <v>61298891.538999997</v>
      </c>
      <c r="F48" s="262">
        <v>109691</v>
      </c>
      <c r="G48" s="262">
        <v>22962902.547985531</v>
      </c>
      <c r="H48" s="262">
        <v>21261541.044</v>
      </c>
      <c r="I48" s="261">
        <v>427515</v>
      </c>
      <c r="J48" s="261">
        <v>89166968.838223517</v>
      </c>
      <c r="K48" s="261">
        <v>82560432.583000004</v>
      </c>
      <c r="L48" s="262">
        <v>621791</v>
      </c>
      <c r="M48" s="262">
        <v>129764606.04214612</v>
      </c>
      <c r="N48" s="262">
        <v>120150120.03200001</v>
      </c>
      <c r="O48" s="262">
        <v>498271</v>
      </c>
      <c r="P48" s="262">
        <v>104293409.50638773</v>
      </c>
      <c r="Q48" s="262">
        <v>96566128.877000004</v>
      </c>
      <c r="R48" s="261">
        <v>1120062</v>
      </c>
      <c r="S48" s="261">
        <v>234058015.54853386</v>
      </c>
      <c r="T48" s="261">
        <v>216716248.90900001</v>
      </c>
      <c r="U48" s="265">
        <v>939615</v>
      </c>
      <c r="V48" s="265">
        <v>195968672.33238408</v>
      </c>
      <c r="W48" s="265">
        <v>181449011.57100001</v>
      </c>
      <c r="X48" s="265">
        <v>607962</v>
      </c>
      <c r="Y48" s="265">
        <v>127256312.05437325</v>
      </c>
      <c r="Z48" s="265">
        <v>117827669.921</v>
      </c>
      <c r="AA48" s="261">
        <v>1547577</v>
      </c>
      <c r="AB48" s="261">
        <v>323224984.38675731</v>
      </c>
      <c r="AC48" s="261">
        <v>299276681.49199998</v>
      </c>
    </row>
    <row r="49" spans="2:29" hidden="1" outlineLevel="1" x14ac:dyDescent="0.25">
      <c r="B49" s="227">
        <v>44774</v>
      </c>
      <c r="C49" s="262">
        <v>322017</v>
      </c>
      <c r="D49" s="262">
        <v>66260698.209086224</v>
      </c>
      <c r="E49" s="262">
        <v>62094244.614</v>
      </c>
      <c r="F49" s="262">
        <v>110018</v>
      </c>
      <c r="G49" s="262">
        <v>22754922.874254387</v>
      </c>
      <c r="H49" s="262">
        <v>21324099.886</v>
      </c>
      <c r="I49" s="261">
        <v>432035</v>
      </c>
      <c r="J49" s="261">
        <v>89015621.0833406</v>
      </c>
      <c r="K49" s="261">
        <v>83418344.5</v>
      </c>
      <c r="L49" s="262">
        <v>660104</v>
      </c>
      <c r="M49" s="262">
        <v>135696256.29890484</v>
      </c>
      <c r="N49" s="262">
        <v>127163714.83499999</v>
      </c>
      <c r="O49" s="262">
        <v>538150</v>
      </c>
      <c r="P49" s="262">
        <v>110535703.61388664</v>
      </c>
      <c r="Q49" s="262">
        <v>103585250.447</v>
      </c>
      <c r="R49" s="261">
        <v>1198254</v>
      </c>
      <c r="S49" s="261">
        <v>246231959.91279149</v>
      </c>
      <c r="T49" s="261">
        <v>230748965.28200001</v>
      </c>
      <c r="U49" s="265">
        <v>982121</v>
      </c>
      <c r="V49" s="265">
        <v>201956954.50799105</v>
      </c>
      <c r="W49" s="265">
        <v>189257959.449</v>
      </c>
      <c r="X49" s="265">
        <v>648168</v>
      </c>
      <c r="Y49" s="265">
        <v>133290626.48814103</v>
      </c>
      <c r="Z49" s="265">
        <v>124909350.333</v>
      </c>
      <c r="AA49" s="261">
        <v>1630289</v>
      </c>
      <c r="AB49" s="261">
        <v>335247580.99613208</v>
      </c>
      <c r="AC49" s="261">
        <v>314167309.78200001</v>
      </c>
    </row>
    <row r="50" spans="2:29" hidden="1" outlineLevel="1" x14ac:dyDescent="0.25">
      <c r="B50" s="227">
        <v>44805</v>
      </c>
      <c r="C50" s="262">
        <v>321661</v>
      </c>
      <c r="D50" s="262">
        <v>65607402.924069382</v>
      </c>
      <c r="E50" s="262">
        <v>62013553.252999999</v>
      </c>
      <c r="F50" s="262">
        <v>109838</v>
      </c>
      <c r="G50" s="262">
        <v>22522050.161141541</v>
      </c>
      <c r="H50" s="262">
        <v>21288334.772999998</v>
      </c>
      <c r="I50" s="261">
        <v>431499</v>
      </c>
      <c r="J50" s="261">
        <v>88129453.085210919</v>
      </c>
      <c r="K50" s="261">
        <v>83301888.025999993</v>
      </c>
      <c r="L50" s="262">
        <v>679141</v>
      </c>
      <c r="M50" s="262">
        <v>138267102.58738756</v>
      </c>
      <c r="N50" s="262">
        <v>130693091.744</v>
      </c>
      <c r="O50" s="262">
        <v>553055</v>
      </c>
      <c r="P50" s="262">
        <v>112263719.53808863</v>
      </c>
      <c r="Q50" s="262">
        <v>106114124.926</v>
      </c>
      <c r="R50" s="261">
        <v>1232196</v>
      </c>
      <c r="S50" s="261">
        <v>250530822.12547624</v>
      </c>
      <c r="T50" s="261">
        <v>236807216.66999999</v>
      </c>
      <c r="U50" s="265">
        <v>1000802</v>
      </c>
      <c r="V50" s="265">
        <v>203874505.51145697</v>
      </c>
      <c r="W50" s="265">
        <v>192706644.99700001</v>
      </c>
      <c r="X50" s="265">
        <v>662893</v>
      </c>
      <c r="Y50" s="265">
        <v>134785769.69923016</v>
      </c>
      <c r="Z50" s="265">
        <v>127402459.699</v>
      </c>
      <c r="AA50" s="261">
        <v>1663695</v>
      </c>
      <c r="AB50" s="261">
        <v>338660275.21068716</v>
      </c>
      <c r="AC50" s="261">
        <v>320109104.69599998</v>
      </c>
    </row>
    <row r="51" spans="2:29" hidden="1" outlineLevel="1" x14ac:dyDescent="0.25">
      <c r="B51" s="227">
        <v>44835</v>
      </c>
      <c r="C51" s="262">
        <v>322141</v>
      </c>
      <c r="D51" s="262">
        <v>65359787.235620618</v>
      </c>
      <c r="E51" s="262">
        <v>62098939.511</v>
      </c>
      <c r="F51" s="262">
        <v>109963</v>
      </c>
      <c r="G51" s="262">
        <v>22431902.157776102</v>
      </c>
      <c r="H51" s="262">
        <v>21312758.105999999</v>
      </c>
      <c r="I51" s="261">
        <v>432104</v>
      </c>
      <c r="J51" s="261">
        <v>87791689.393396735</v>
      </c>
      <c r="K51" s="261">
        <v>83411697.616999999</v>
      </c>
      <c r="L51" s="262">
        <v>686334</v>
      </c>
      <c r="M51" s="262">
        <v>138917243.72400513</v>
      </c>
      <c r="N51" s="262">
        <v>131986560.543</v>
      </c>
      <c r="O51" s="262">
        <v>563950</v>
      </c>
      <c r="P51" s="262">
        <v>113686800.54293114</v>
      </c>
      <c r="Q51" s="262">
        <v>108014882.678</v>
      </c>
      <c r="R51" s="261">
        <v>1250284</v>
      </c>
      <c r="S51" s="261">
        <v>252604044.26693627</v>
      </c>
      <c r="T51" s="261">
        <v>240001443.22099999</v>
      </c>
      <c r="U51" s="265">
        <v>1008475</v>
      </c>
      <c r="V51" s="265">
        <v>204277030.95962575</v>
      </c>
      <c r="W51" s="265">
        <v>194085500.05399999</v>
      </c>
      <c r="X51" s="265">
        <v>673913</v>
      </c>
      <c r="Y51" s="265">
        <v>136118702.70070726</v>
      </c>
      <c r="Z51" s="265">
        <v>129327640.78399999</v>
      </c>
      <c r="AA51" s="261">
        <v>1682388</v>
      </c>
      <c r="AB51" s="261">
        <v>340395733.66033304</v>
      </c>
      <c r="AC51" s="261">
        <v>323413140.838</v>
      </c>
    </row>
    <row r="52" spans="2:29" hidden="1" outlineLevel="1" x14ac:dyDescent="0.25">
      <c r="B52" s="227">
        <v>44866</v>
      </c>
      <c r="C52" s="262">
        <v>327443</v>
      </c>
      <c r="D52" s="262">
        <v>65752101.2124338</v>
      </c>
      <c r="E52" s="262">
        <v>63080932.634000003</v>
      </c>
      <c r="F52" s="262">
        <v>121585</v>
      </c>
      <c r="G52" s="262">
        <v>24562233.8764215</v>
      </c>
      <c r="H52" s="262">
        <v>23564397.059999999</v>
      </c>
      <c r="I52" s="261">
        <v>449028</v>
      </c>
      <c r="J52" s="261">
        <v>90314335.088855296</v>
      </c>
      <c r="K52" s="261">
        <v>86645329.694000006</v>
      </c>
      <c r="L52" s="262">
        <v>704099</v>
      </c>
      <c r="M52" s="262">
        <v>140962830.41887575</v>
      </c>
      <c r="N52" s="262">
        <v>135236238.01499999</v>
      </c>
      <c r="O52" s="262">
        <v>584193</v>
      </c>
      <c r="P52" s="262">
        <v>116260255.28640977</v>
      </c>
      <c r="Q52" s="262">
        <v>111537201.04000001</v>
      </c>
      <c r="R52" s="261">
        <v>1288292</v>
      </c>
      <c r="S52" s="261">
        <v>257223085.70528552</v>
      </c>
      <c r="T52" s="261">
        <v>246773439.05500001</v>
      </c>
      <c r="U52" s="265">
        <v>1031542</v>
      </c>
      <c r="V52" s="265">
        <v>206714931.63130954</v>
      </c>
      <c r="W52" s="265">
        <v>198317170.64899999</v>
      </c>
      <c r="X52" s="265">
        <v>705778</v>
      </c>
      <c r="Y52" s="265">
        <v>140822489.16283128</v>
      </c>
      <c r="Z52" s="265">
        <v>135101598.09999999</v>
      </c>
      <c r="AA52" s="261">
        <v>1737320</v>
      </c>
      <c r="AB52" s="261">
        <v>347537420.79414082</v>
      </c>
      <c r="AC52" s="261">
        <v>333418768.74900001</v>
      </c>
    </row>
    <row r="53" spans="2:29" hidden="1" outlineLevel="1" x14ac:dyDescent="0.25">
      <c r="B53" s="227">
        <v>44896</v>
      </c>
      <c r="C53" s="262">
        <v>329180</v>
      </c>
      <c r="D53" s="262">
        <v>65915473.444095977</v>
      </c>
      <c r="E53" s="262">
        <v>63417031.792999998</v>
      </c>
      <c r="F53" s="262">
        <v>125728</v>
      </c>
      <c r="G53" s="262">
        <v>25328237.080149468</v>
      </c>
      <c r="H53" s="262">
        <v>24368202.673</v>
      </c>
      <c r="I53" s="261">
        <v>454908</v>
      </c>
      <c r="J53" s="261">
        <v>91243710.524245456</v>
      </c>
      <c r="K53" s="261">
        <v>87785234.466000006</v>
      </c>
      <c r="L53" s="262">
        <v>717919</v>
      </c>
      <c r="M53" s="262">
        <v>143058673.05021524</v>
      </c>
      <c r="N53" s="262">
        <v>137636217.15900001</v>
      </c>
      <c r="O53" s="262">
        <v>594890</v>
      </c>
      <c r="P53" s="262">
        <v>117750105.12417643</v>
      </c>
      <c r="Q53" s="262">
        <v>113286938.10600001</v>
      </c>
      <c r="R53" s="261">
        <v>1312809</v>
      </c>
      <c r="S53" s="261">
        <v>260808778.17439166</v>
      </c>
      <c r="T53" s="261">
        <v>250923155.26499999</v>
      </c>
      <c r="U53" s="265">
        <v>1047099</v>
      </c>
      <c r="V53" s="265">
        <v>208974146.49431121</v>
      </c>
      <c r="W53" s="265">
        <v>201053248.95199999</v>
      </c>
      <c r="X53" s="265">
        <v>720618</v>
      </c>
      <c r="Y53" s="265">
        <v>143078342.20432588</v>
      </c>
      <c r="Z53" s="265">
        <v>137655140.77900001</v>
      </c>
      <c r="AA53" s="261">
        <v>1767717</v>
      </c>
      <c r="AB53" s="261">
        <v>352052488.69863707</v>
      </c>
      <c r="AC53" s="261">
        <v>338708389.73100001</v>
      </c>
    </row>
    <row r="54" spans="2:29" collapsed="1" x14ac:dyDescent="0.25">
      <c r="B54" s="312" t="s">
        <v>704</v>
      </c>
      <c r="C54" s="310">
        <v>319227.81818181818</v>
      </c>
      <c r="D54" s="310">
        <v>65434273.212362282</v>
      </c>
      <c r="E54" s="310"/>
      <c r="F54" s="310">
        <v>111460.54545454546</v>
      </c>
      <c r="G54" s="310">
        <v>22943444.114878573</v>
      </c>
      <c r="H54" s="310"/>
      <c r="I54" s="310">
        <v>430688.36363636365</v>
      </c>
      <c r="J54" s="310">
        <v>88377717.327240855</v>
      </c>
      <c r="K54" s="310"/>
      <c r="L54" s="310">
        <v>626988.27272727271</v>
      </c>
      <c r="M54" s="310">
        <v>127169046.4839437</v>
      </c>
      <c r="N54" s="310"/>
      <c r="O54" s="310">
        <v>488475.90909090912</v>
      </c>
      <c r="P54" s="310">
        <v>99223345.224612713</v>
      </c>
      <c r="Q54" s="310"/>
      <c r="R54" s="310">
        <v>1115464.1818181819</v>
      </c>
      <c r="S54" s="310">
        <v>226392391.70855644</v>
      </c>
      <c r="T54" s="310"/>
      <c r="U54" s="310">
        <v>946216.09090909094</v>
      </c>
      <c r="V54" s="310">
        <v>192603319.69630596</v>
      </c>
      <c r="W54" s="310"/>
      <c r="X54" s="310">
        <v>599936.45454545459</v>
      </c>
      <c r="Y54" s="310">
        <v>122166789.33949131</v>
      </c>
      <c r="Z54" s="310"/>
      <c r="AA54" s="310">
        <v>1546152.5454545454</v>
      </c>
      <c r="AB54" s="310">
        <v>314770109.0357973</v>
      </c>
      <c r="AC54" s="310"/>
    </row>
    <row r="55" spans="2:29" hidden="1" outlineLevel="1" x14ac:dyDescent="0.25">
      <c r="B55" s="227">
        <v>44927</v>
      </c>
      <c r="C55" s="262">
        <v>331003</v>
      </c>
      <c r="D55" s="262">
        <v>65921067.987484209</v>
      </c>
      <c r="E55" s="262">
        <v>63933034.277999997</v>
      </c>
      <c r="F55" s="262">
        <v>126303</v>
      </c>
      <c r="G55" s="262">
        <v>25210555.727501579</v>
      </c>
      <c r="H55" s="262">
        <v>24450261.088</v>
      </c>
      <c r="I55" s="261">
        <v>457306</v>
      </c>
      <c r="J55" s="261">
        <v>91131623.714985788</v>
      </c>
      <c r="K55" s="261">
        <v>88383295.365999997</v>
      </c>
      <c r="L55" s="262">
        <v>729835</v>
      </c>
      <c r="M55" s="262">
        <v>144212715.89755106</v>
      </c>
      <c r="N55" s="262">
        <v>139863579.13</v>
      </c>
      <c r="O55" s="262">
        <v>605454</v>
      </c>
      <c r="P55" s="262">
        <v>118692268.4084532</v>
      </c>
      <c r="Q55" s="262">
        <v>115112771.93099999</v>
      </c>
      <c r="R55" s="261">
        <v>1335289</v>
      </c>
      <c r="S55" s="261">
        <v>262904984.30600429</v>
      </c>
      <c r="T55" s="261">
        <v>254976351.06099999</v>
      </c>
      <c r="U55" s="265">
        <v>1060838</v>
      </c>
      <c r="V55" s="265">
        <v>210133783.88503528</v>
      </c>
      <c r="W55" s="265">
        <v>203796613.40799999</v>
      </c>
      <c r="X55" s="265">
        <v>731757</v>
      </c>
      <c r="Y55" s="265">
        <v>143902824.13595477</v>
      </c>
      <c r="Z55" s="265">
        <v>139563033.01899999</v>
      </c>
      <c r="AA55" s="261">
        <v>1792595</v>
      </c>
      <c r="AB55" s="261">
        <v>354036608.02099007</v>
      </c>
      <c r="AC55" s="261">
        <v>343359646.42699999</v>
      </c>
    </row>
    <row r="56" spans="2:29" hidden="1" outlineLevel="1" x14ac:dyDescent="0.25">
      <c r="B56" s="227">
        <v>44958</v>
      </c>
      <c r="C56" s="262">
        <v>331827</v>
      </c>
      <c r="D56" s="262">
        <v>70307709.545627967</v>
      </c>
      <c r="E56" s="262">
        <v>68143593.652999997</v>
      </c>
      <c r="F56" s="262">
        <v>127315</v>
      </c>
      <c r="G56" s="262">
        <v>26993197.935961805</v>
      </c>
      <c r="H56" s="262">
        <v>26162330.182999998</v>
      </c>
      <c r="I56" s="261">
        <v>459142</v>
      </c>
      <c r="J56" s="261">
        <v>97300907.481589749</v>
      </c>
      <c r="K56" s="261">
        <v>94305923.835999995</v>
      </c>
      <c r="L56" s="262">
        <v>737271</v>
      </c>
      <c r="M56" s="262">
        <v>155237892.59091002</v>
      </c>
      <c r="N56" s="262">
        <v>150459571.79699999</v>
      </c>
      <c r="O56" s="262">
        <v>613433</v>
      </c>
      <c r="P56" s="262">
        <v>128195389.62278645</v>
      </c>
      <c r="Q56" s="262">
        <v>124249454.222</v>
      </c>
      <c r="R56" s="261">
        <v>1350704</v>
      </c>
      <c r="S56" s="261">
        <v>283433282.21369648</v>
      </c>
      <c r="T56" s="261">
        <v>274709026.01899999</v>
      </c>
      <c r="U56" s="265">
        <v>1069098</v>
      </c>
      <c r="V56" s="265">
        <v>225545602.13653797</v>
      </c>
      <c r="W56" s="265">
        <v>218603165.44999999</v>
      </c>
      <c r="X56" s="265">
        <v>740748</v>
      </c>
      <c r="Y56" s="265">
        <v>155188587.55874828</v>
      </c>
      <c r="Z56" s="265">
        <v>150411784.405</v>
      </c>
      <c r="AA56" s="261">
        <v>1809846</v>
      </c>
      <c r="AB56" s="261">
        <v>380734189.69528621</v>
      </c>
      <c r="AC56" s="261">
        <v>369014949.85500002</v>
      </c>
    </row>
    <row r="57" spans="2:29" hidden="1" outlineLevel="1" x14ac:dyDescent="0.25">
      <c r="B57" s="227">
        <v>44986</v>
      </c>
      <c r="C57" s="262">
        <v>332837</v>
      </c>
      <c r="D57" s="262">
        <v>69740222.175527662</v>
      </c>
      <c r="E57" s="262">
        <v>68328242.839000002</v>
      </c>
      <c r="F57" s="262">
        <v>128270</v>
      </c>
      <c r="G57" s="262">
        <v>26912857.659490462</v>
      </c>
      <c r="H57" s="262">
        <v>26367972.688999999</v>
      </c>
      <c r="I57" s="261">
        <v>461107</v>
      </c>
      <c r="J57" s="261">
        <v>96653079.835018128</v>
      </c>
      <c r="K57" s="261">
        <v>94696215.527999997</v>
      </c>
      <c r="L57" s="262">
        <v>745051</v>
      </c>
      <c r="M57" s="262">
        <v>155140322.6287601</v>
      </c>
      <c r="N57" s="262">
        <v>151999309.83899999</v>
      </c>
      <c r="O57" s="262">
        <v>620582</v>
      </c>
      <c r="P57" s="262">
        <v>128250223.58330393</v>
      </c>
      <c r="Q57" s="262">
        <v>125653634.987</v>
      </c>
      <c r="R57" s="261">
        <v>1365633</v>
      </c>
      <c r="S57" s="261">
        <v>283390546.21206403</v>
      </c>
      <c r="T57" s="261">
        <v>277652944.82599998</v>
      </c>
      <c r="U57" s="265">
        <v>1077888</v>
      </c>
      <c r="V57" s="265">
        <v>224880544.80428776</v>
      </c>
      <c r="W57" s="265">
        <v>220327552.678</v>
      </c>
      <c r="X57" s="265">
        <v>748852</v>
      </c>
      <c r="Y57" s="265">
        <v>155163081.24279439</v>
      </c>
      <c r="Z57" s="265">
        <v>152021607.676</v>
      </c>
      <c r="AA57" s="261">
        <v>1826740</v>
      </c>
      <c r="AB57" s="261">
        <v>380043626.04708213</v>
      </c>
      <c r="AC57" s="261">
        <v>372349160.35399997</v>
      </c>
    </row>
    <row r="58" spans="2:29" hidden="1" outlineLevel="1" x14ac:dyDescent="0.25">
      <c r="B58" s="227">
        <v>45017</v>
      </c>
      <c r="C58" s="262">
        <v>337867</v>
      </c>
      <c r="D58" s="262">
        <v>70561685.197776943</v>
      </c>
      <c r="E58" s="262">
        <v>69346479.063999996</v>
      </c>
      <c r="F58" s="262">
        <v>132828</v>
      </c>
      <c r="G58" s="262">
        <v>27805924.951820694</v>
      </c>
      <c r="H58" s="262">
        <v>27327054.153000001</v>
      </c>
      <c r="I58" s="261">
        <v>470695</v>
      </c>
      <c r="J58" s="261">
        <v>98367610.149597645</v>
      </c>
      <c r="K58" s="261">
        <v>96673533.216999993</v>
      </c>
      <c r="L58" s="262">
        <v>767130</v>
      </c>
      <c r="M58" s="262">
        <v>158722615.76432669</v>
      </c>
      <c r="N58" s="262">
        <v>155989111.09099999</v>
      </c>
      <c r="O58" s="262">
        <v>640210</v>
      </c>
      <c r="P58" s="262">
        <v>131291491.42638801</v>
      </c>
      <c r="Q58" s="262">
        <v>129030402.774</v>
      </c>
      <c r="R58" s="261">
        <v>1407340</v>
      </c>
      <c r="S58" s="261">
        <v>290014107.19071472</v>
      </c>
      <c r="T58" s="261">
        <v>285019513.86500001</v>
      </c>
      <c r="U58" s="265">
        <v>1104997</v>
      </c>
      <c r="V58" s="265">
        <v>229284300.96210364</v>
      </c>
      <c r="W58" s="265">
        <v>225335590.155</v>
      </c>
      <c r="X58" s="265">
        <v>773038</v>
      </c>
      <c r="Y58" s="265">
        <v>159097416.3782087</v>
      </c>
      <c r="Z58" s="265">
        <v>156357456.92699999</v>
      </c>
      <c r="AA58" s="261">
        <v>1878035</v>
      </c>
      <c r="AB58" s="261">
        <v>388381717.3403123</v>
      </c>
      <c r="AC58" s="261">
        <v>381693047.08200002</v>
      </c>
    </row>
    <row r="59" spans="2:29" hidden="1" outlineLevel="1" x14ac:dyDescent="0.25">
      <c r="B59" s="227">
        <v>45047</v>
      </c>
      <c r="C59" s="262">
        <v>339302</v>
      </c>
      <c r="D59" s="262">
        <v>70752198.855636254</v>
      </c>
      <c r="E59" s="262">
        <v>69611829.996000007</v>
      </c>
      <c r="F59" s="262">
        <v>136126</v>
      </c>
      <c r="G59" s="262">
        <v>28458422.197794754</v>
      </c>
      <c r="H59" s="262">
        <v>27999735.414999999</v>
      </c>
      <c r="I59" s="261">
        <v>475428</v>
      </c>
      <c r="J59" s="261">
        <v>99210621.053431019</v>
      </c>
      <c r="K59" s="261">
        <v>97611565.410999998</v>
      </c>
      <c r="L59" s="262">
        <v>774874</v>
      </c>
      <c r="M59" s="262">
        <v>160078473.36237219</v>
      </c>
      <c r="N59" s="262">
        <v>157498362.65099999</v>
      </c>
      <c r="O59" s="262">
        <v>645979</v>
      </c>
      <c r="P59" s="262">
        <v>132263669.71518253</v>
      </c>
      <c r="Q59" s="262">
        <v>130131872.08</v>
      </c>
      <c r="R59" s="261">
        <v>1420853</v>
      </c>
      <c r="S59" s="261">
        <v>292342143.0775547</v>
      </c>
      <c r="T59" s="261">
        <v>287630234.73100001</v>
      </c>
      <c r="U59" s="265">
        <v>1114176</v>
      </c>
      <c r="V59" s="265">
        <v>230830672.21800843</v>
      </c>
      <c r="W59" s="265">
        <v>227110192.64700001</v>
      </c>
      <c r="X59" s="265">
        <v>782105</v>
      </c>
      <c r="Y59" s="265">
        <v>160722091.91297731</v>
      </c>
      <c r="Z59" s="265">
        <v>158131607.495</v>
      </c>
      <c r="AA59" s="261">
        <v>1896281</v>
      </c>
      <c r="AB59" s="261">
        <v>391552764.13098574</v>
      </c>
      <c r="AC59" s="261">
        <v>385241800.14200002</v>
      </c>
    </row>
    <row r="60" spans="2:29" hidden="1" outlineLevel="1" x14ac:dyDescent="0.25">
      <c r="B60" s="227">
        <v>45078</v>
      </c>
      <c r="C60" s="262">
        <v>339850</v>
      </c>
      <c r="D60" s="262">
        <v>70937206.123043612</v>
      </c>
      <c r="E60" s="262">
        <v>69687358.378000006</v>
      </c>
      <c r="F60" s="262">
        <v>135689</v>
      </c>
      <c r="G60" s="262">
        <v>28409630.852640655</v>
      </c>
      <c r="H60" s="262">
        <v>27909079.52</v>
      </c>
      <c r="I60" s="261">
        <v>475539</v>
      </c>
      <c r="J60" s="261">
        <v>99346836.97568427</v>
      </c>
      <c r="K60" s="261">
        <v>97596437.898000002</v>
      </c>
      <c r="L60" s="262">
        <v>779821</v>
      </c>
      <c r="M60" s="262">
        <v>161273054.588</v>
      </c>
      <c r="N60" s="262">
        <v>158431573.021</v>
      </c>
      <c r="O60" s="262">
        <v>651738</v>
      </c>
      <c r="P60" s="262">
        <v>133558737.66456895</v>
      </c>
      <c r="Q60" s="262">
        <v>131205556.64399999</v>
      </c>
      <c r="R60" s="261">
        <v>1431559</v>
      </c>
      <c r="S60" s="261">
        <v>294831792.2525689</v>
      </c>
      <c r="T60" s="261">
        <v>289637129.66500002</v>
      </c>
      <c r="U60" s="265">
        <v>1119671</v>
      </c>
      <c r="V60" s="265">
        <v>232210260.7110436</v>
      </c>
      <c r="W60" s="265">
        <v>228118931.39899999</v>
      </c>
      <c r="X60" s="265">
        <v>787427</v>
      </c>
      <c r="Y60" s="265">
        <v>161968368.51720959</v>
      </c>
      <c r="Z60" s="265">
        <v>159114636.164</v>
      </c>
      <c r="AA60" s="261">
        <v>1907098</v>
      </c>
      <c r="AB60" s="261">
        <v>394178629.22825319</v>
      </c>
      <c r="AC60" s="261">
        <v>387233567.56300002</v>
      </c>
    </row>
    <row r="61" spans="2:29" hidden="1" outlineLevel="1" x14ac:dyDescent="0.25">
      <c r="B61" s="227">
        <v>45108</v>
      </c>
      <c r="C61" s="262">
        <v>340958</v>
      </c>
      <c r="D61" s="262">
        <v>70857925.274074778</v>
      </c>
      <c r="E61" s="262">
        <v>69854324.103</v>
      </c>
      <c r="F61" s="262">
        <v>136319</v>
      </c>
      <c r="G61" s="262">
        <v>28421886.987423617</v>
      </c>
      <c r="H61" s="262">
        <v>28019331.607000001</v>
      </c>
      <c r="I61" s="261">
        <v>477277</v>
      </c>
      <c r="J61" s="261">
        <v>99279812.261498392</v>
      </c>
      <c r="K61" s="261">
        <v>97873655.709999993</v>
      </c>
      <c r="L61" s="262">
        <v>785041</v>
      </c>
      <c r="M61" s="262">
        <v>161751312.03353482</v>
      </c>
      <c r="N61" s="262">
        <v>159460336.03400001</v>
      </c>
      <c r="O61" s="262">
        <v>656925</v>
      </c>
      <c r="P61" s="262">
        <v>134150838.87522113</v>
      </c>
      <c r="Q61" s="262">
        <v>132250784.104</v>
      </c>
      <c r="R61" s="261">
        <v>1441966</v>
      </c>
      <c r="S61" s="261">
        <v>295902150.90875596</v>
      </c>
      <c r="T61" s="261">
        <v>291711120.13800001</v>
      </c>
      <c r="U61" s="265">
        <v>1125999</v>
      </c>
      <c r="V61" s="265">
        <v>232609237.30760962</v>
      </c>
      <c r="W61" s="265">
        <v>229314660.13699999</v>
      </c>
      <c r="X61" s="265">
        <v>793244</v>
      </c>
      <c r="Y61" s="265">
        <v>162572725.86264473</v>
      </c>
      <c r="Z61" s="265">
        <v>160270115.711</v>
      </c>
      <c r="AA61" s="261">
        <v>1919243</v>
      </c>
      <c r="AB61" s="261">
        <v>395181963.17025435</v>
      </c>
      <c r="AC61" s="261">
        <v>389584775.84799999</v>
      </c>
    </row>
    <row r="62" spans="2:29" hidden="1" outlineLevel="1" x14ac:dyDescent="0.25">
      <c r="B62" s="227">
        <v>45139</v>
      </c>
      <c r="C62" s="262">
        <v>342010</v>
      </c>
      <c r="D62" s="262">
        <v>70960935.219152734</v>
      </c>
      <c r="E62" s="262">
        <v>70033843.935000002</v>
      </c>
      <c r="F62" s="262">
        <v>136198</v>
      </c>
      <c r="G62" s="262">
        <v>28347273.076927628</v>
      </c>
      <c r="H62" s="262">
        <v>27976921.280999999</v>
      </c>
      <c r="I62" s="261">
        <v>478208</v>
      </c>
      <c r="J62" s="261">
        <v>99308208.296080366</v>
      </c>
      <c r="K62" s="261">
        <v>98010765.216000006</v>
      </c>
      <c r="L62" s="262">
        <v>789396</v>
      </c>
      <c r="M62" s="262">
        <v>162444708.3450481</v>
      </c>
      <c r="N62" s="262">
        <v>160322398.75600001</v>
      </c>
      <c r="O62" s="262">
        <v>661702</v>
      </c>
      <c r="P62" s="262">
        <v>134949063.81910697</v>
      </c>
      <c r="Q62" s="262">
        <v>133185979.65899999</v>
      </c>
      <c r="R62" s="261">
        <v>1451098</v>
      </c>
      <c r="S62" s="261">
        <v>297393772.16415507</v>
      </c>
      <c r="T62" s="261">
        <v>293508378.41500002</v>
      </c>
      <c r="U62" s="265">
        <v>1131406</v>
      </c>
      <c r="V62" s="265">
        <v>233405643.56420082</v>
      </c>
      <c r="W62" s="265">
        <v>230356242.69100001</v>
      </c>
      <c r="X62" s="265">
        <v>797900</v>
      </c>
      <c r="Y62" s="265">
        <v>163296336.8960346</v>
      </c>
      <c r="Z62" s="265">
        <v>161162900.94</v>
      </c>
      <c r="AA62" s="261">
        <v>1929306</v>
      </c>
      <c r="AB62" s="261">
        <v>396701980.46023542</v>
      </c>
      <c r="AC62" s="261">
        <v>391519143.63099998</v>
      </c>
    </row>
    <row r="63" spans="2:29" hidden="1" outlineLevel="1" x14ac:dyDescent="0.25">
      <c r="B63" s="227">
        <v>45170</v>
      </c>
      <c r="C63" s="262">
        <v>343880</v>
      </c>
      <c r="D63" s="262">
        <v>70844473.630011797</v>
      </c>
      <c r="E63" s="262">
        <v>70389110.717999995</v>
      </c>
      <c r="F63" s="262">
        <v>138475</v>
      </c>
      <c r="G63" s="262">
        <v>28612613.247768588</v>
      </c>
      <c r="H63" s="262">
        <v>28428701.614</v>
      </c>
      <c r="I63" s="261">
        <v>482355</v>
      </c>
      <c r="J63" s="261">
        <v>99457086.877780393</v>
      </c>
      <c r="K63" s="261">
        <v>98817812.332000002</v>
      </c>
      <c r="L63" s="262">
        <v>795862</v>
      </c>
      <c r="M63" s="262">
        <v>162647867.95934609</v>
      </c>
      <c r="N63" s="262">
        <v>161602425.697</v>
      </c>
      <c r="O63" s="262">
        <v>666557</v>
      </c>
      <c r="P63" s="262">
        <v>134976089.37192675</v>
      </c>
      <c r="Q63" s="262">
        <v>134108511.395</v>
      </c>
      <c r="R63" s="261">
        <v>1462419</v>
      </c>
      <c r="S63" s="261">
        <v>297623957.33127284</v>
      </c>
      <c r="T63" s="261">
        <v>295710937.09200001</v>
      </c>
      <c r="U63" s="265">
        <v>1139742</v>
      </c>
      <c r="V63" s="265">
        <v>233492341.58935791</v>
      </c>
      <c r="W63" s="265">
        <v>231991536.41499999</v>
      </c>
      <c r="X63" s="265">
        <v>805032</v>
      </c>
      <c r="Y63" s="265">
        <v>163588702.61969534</v>
      </c>
      <c r="Z63" s="265">
        <v>162537213.009</v>
      </c>
      <c r="AA63" s="261">
        <v>1944774</v>
      </c>
      <c r="AB63" s="261">
        <v>397081044.20905322</v>
      </c>
      <c r="AC63" s="261">
        <v>394528749.42400002</v>
      </c>
    </row>
    <row r="64" spans="2:29" hidden="1" outlineLevel="1" x14ac:dyDescent="0.25">
      <c r="B64" s="227">
        <v>45200</v>
      </c>
      <c r="C64" s="262">
        <v>344866</v>
      </c>
      <c r="D64" s="262">
        <v>70700999.403781101</v>
      </c>
      <c r="E64" s="262">
        <v>70556341.414000005</v>
      </c>
      <c r="F64" s="262">
        <v>139504</v>
      </c>
      <c r="G64" s="262">
        <v>28687697.499659069</v>
      </c>
      <c r="H64" s="262">
        <v>28629000.951000001</v>
      </c>
      <c r="I64" s="261">
        <v>484370</v>
      </c>
      <c r="J64" s="261">
        <v>99388696.903440148</v>
      </c>
      <c r="K64" s="261">
        <v>99185342.364999995</v>
      </c>
      <c r="L64" s="262">
        <v>801418</v>
      </c>
      <c r="M64" s="262">
        <v>163037372.09933341</v>
      </c>
      <c r="N64" s="262">
        <v>162703789</v>
      </c>
      <c r="O64" s="262">
        <v>670939</v>
      </c>
      <c r="P64" s="262">
        <v>135246586.24140233</v>
      </c>
      <c r="Q64" s="262">
        <v>134969864.56200001</v>
      </c>
      <c r="R64" s="261">
        <v>1472357</v>
      </c>
      <c r="S64" s="261">
        <v>298283958.34073573</v>
      </c>
      <c r="T64" s="261">
        <v>297673653.56199998</v>
      </c>
      <c r="U64" s="265">
        <v>1146284</v>
      </c>
      <c r="V64" s="265">
        <v>233738371.50311446</v>
      </c>
      <c r="W64" s="265">
        <v>233260130.414</v>
      </c>
      <c r="X64" s="265">
        <v>810443</v>
      </c>
      <c r="Y64" s="265">
        <v>163934283.74106136</v>
      </c>
      <c r="Z64" s="265">
        <v>163598865.51300001</v>
      </c>
      <c r="AA64" s="261">
        <v>1956727</v>
      </c>
      <c r="AB64" s="261">
        <v>397672655.24417585</v>
      </c>
      <c r="AC64" s="261">
        <v>396858995.92699999</v>
      </c>
    </row>
    <row r="65" spans="2:29" hidden="1" outlineLevel="1" x14ac:dyDescent="0.25">
      <c r="B65" s="227">
        <v>45231</v>
      </c>
      <c r="C65" s="262">
        <v>343086</v>
      </c>
      <c r="D65" s="262">
        <v>69844858.005101427</v>
      </c>
      <c r="E65" s="262">
        <v>70221851.963</v>
      </c>
      <c r="F65" s="262">
        <v>139023</v>
      </c>
      <c r="G65" s="262">
        <v>28406525.791799244</v>
      </c>
      <c r="H65" s="262">
        <v>28559852.592</v>
      </c>
      <c r="I65" s="261">
        <v>482109</v>
      </c>
      <c r="J65" s="261">
        <v>98251383.79690066</v>
      </c>
      <c r="K65" s="261">
        <v>98781704.555000007</v>
      </c>
      <c r="L65" s="262">
        <v>810512</v>
      </c>
      <c r="M65" s="262">
        <v>163711660.06373444</v>
      </c>
      <c r="N65" s="262">
        <v>164595308.602</v>
      </c>
      <c r="O65" s="262">
        <v>678035</v>
      </c>
      <c r="P65" s="262">
        <v>135621014.78520593</v>
      </c>
      <c r="Q65" s="262">
        <v>136353041.51699999</v>
      </c>
      <c r="R65" s="261">
        <v>1488547</v>
      </c>
      <c r="S65" s="261">
        <v>299332674.84894037</v>
      </c>
      <c r="T65" s="261">
        <v>300948350.11900002</v>
      </c>
      <c r="U65" s="265">
        <v>1153598</v>
      </c>
      <c r="V65" s="265">
        <v>233556518.06883588</v>
      </c>
      <c r="W65" s="265">
        <v>234817160.565</v>
      </c>
      <c r="X65" s="265">
        <v>817058</v>
      </c>
      <c r="Y65" s="265">
        <v>164027540.57700515</v>
      </c>
      <c r="Z65" s="265">
        <v>164912894.109</v>
      </c>
      <c r="AA65" s="261">
        <v>1970656</v>
      </c>
      <c r="AB65" s="261">
        <v>397584058.645841</v>
      </c>
      <c r="AC65" s="261">
        <v>399730054.67400002</v>
      </c>
    </row>
    <row r="66" spans="2:29" hidden="1" outlineLevel="1" x14ac:dyDescent="0.25">
      <c r="B66" s="227">
        <v>45261</v>
      </c>
      <c r="C66" s="262">
        <v>339811</v>
      </c>
      <c r="D66" s="262">
        <v>69796631.952000007</v>
      </c>
      <c r="E66" s="262">
        <v>69796631.952000007</v>
      </c>
      <c r="F66" s="262">
        <v>131135</v>
      </c>
      <c r="G66" s="262">
        <v>26987353.259</v>
      </c>
      <c r="H66" s="262">
        <v>26987353.259</v>
      </c>
      <c r="I66" s="261">
        <v>470946</v>
      </c>
      <c r="J66" s="261">
        <v>96783985.210999995</v>
      </c>
      <c r="K66" s="261">
        <v>96783985.210999995</v>
      </c>
      <c r="L66" s="262">
        <v>818807</v>
      </c>
      <c r="M66" s="262">
        <v>166334636.76499999</v>
      </c>
      <c r="N66" s="262">
        <v>166334636.76499999</v>
      </c>
      <c r="O66" s="262">
        <v>690945</v>
      </c>
      <c r="P66" s="262">
        <v>139006701.09599999</v>
      </c>
      <c r="Q66" s="262">
        <v>139006701.09599999</v>
      </c>
      <c r="R66" s="261">
        <v>1509752</v>
      </c>
      <c r="S66" s="261">
        <v>305341337.861</v>
      </c>
      <c r="T66" s="261">
        <v>305341337.861</v>
      </c>
      <c r="U66" s="265">
        <v>1158618</v>
      </c>
      <c r="V66" s="265">
        <v>236131268.71700001</v>
      </c>
      <c r="W66" s="265">
        <v>236131268.71700001</v>
      </c>
      <c r="X66" s="265">
        <v>822080</v>
      </c>
      <c r="Y66" s="265">
        <v>165994054.35499999</v>
      </c>
      <c r="Z66" s="265">
        <v>165994054.35499999</v>
      </c>
      <c r="AA66" s="261">
        <v>1980698</v>
      </c>
      <c r="AB66" s="261">
        <v>402125323.07200003</v>
      </c>
      <c r="AC66" s="261">
        <v>402125323.07200003</v>
      </c>
    </row>
    <row r="67" spans="2:29" collapsed="1" x14ac:dyDescent="0.25">
      <c r="B67" s="313" t="s">
        <v>869</v>
      </c>
      <c r="C67" s="310">
        <v>338941.41666666669</v>
      </c>
      <c r="D67" s="310">
        <v>70102159.447434872</v>
      </c>
      <c r="E67" s="310"/>
      <c r="F67" s="310">
        <v>133932.08333333334</v>
      </c>
      <c r="G67" s="310">
        <v>27771161.598982345</v>
      </c>
      <c r="H67" s="310"/>
      <c r="I67" s="310">
        <v>472873.5</v>
      </c>
      <c r="J67" s="310">
        <v>97873321.046417221</v>
      </c>
      <c r="K67" s="310"/>
      <c r="L67" s="310">
        <v>777918.16666666663</v>
      </c>
      <c r="M67" s="310">
        <v>159549386.00815976</v>
      </c>
      <c r="N67" s="310"/>
      <c r="O67" s="310">
        <v>650208.25</v>
      </c>
      <c r="P67" s="310">
        <v>132183506.21746217</v>
      </c>
      <c r="Q67" s="310"/>
      <c r="R67" s="310">
        <v>1428126.4166666667</v>
      </c>
      <c r="S67" s="310">
        <v>291732892.22562194</v>
      </c>
      <c r="T67" s="310"/>
      <c r="U67" s="310">
        <v>1116859.5833333333</v>
      </c>
      <c r="V67" s="310">
        <v>229651545.45559457</v>
      </c>
      <c r="W67" s="310"/>
      <c r="X67" s="310">
        <v>784140.33333333337</v>
      </c>
      <c r="Y67" s="310">
        <v>159954667.81644455</v>
      </c>
      <c r="Z67" s="310"/>
      <c r="AA67" s="310">
        <v>1900999.9166666667</v>
      </c>
      <c r="AB67" s="310">
        <v>389606213.27203912</v>
      </c>
      <c r="AC67" s="310"/>
    </row>
    <row r="68" spans="2:29" x14ac:dyDescent="0.25">
      <c r="B68" s="4" t="s">
        <v>788</v>
      </c>
      <c r="C68" s="257"/>
      <c r="D68" s="257"/>
      <c r="E68" s="257"/>
      <c r="F68" s="257"/>
      <c r="G68" s="257"/>
      <c r="H68" s="257"/>
      <c r="I68" s="257"/>
      <c r="J68" s="257"/>
      <c r="K68" s="257"/>
      <c r="L68" s="257"/>
      <c r="M68" s="257"/>
      <c r="N68" s="226"/>
    </row>
    <row r="69" spans="2:29" ht="29.25" customHeight="1" x14ac:dyDescent="0.25">
      <c r="B69" s="397" t="s">
        <v>897</v>
      </c>
      <c r="C69" s="397"/>
      <c r="D69" s="397"/>
      <c r="E69" s="397"/>
      <c r="F69" s="397"/>
      <c r="G69" s="397"/>
      <c r="H69" s="397"/>
      <c r="I69" s="397"/>
      <c r="J69" s="397"/>
      <c r="K69" s="397"/>
      <c r="L69" s="397"/>
      <c r="M69" s="397"/>
      <c r="N69" s="397"/>
      <c r="O69" s="397"/>
      <c r="P69" s="397"/>
      <c r="Q69" s="397"/>
      <c r="R69" s="397"/>
      <c r="S69" s="397"/>
      <c r="T69" s="397"/>
      <c r="U69" s="397"/>
      <c r="V69" s="397"/>
      <c r="W69" s="397"/>
      <c r="X69" s="397"/>
      <c r="Y69" s="397"/>
      <c r="Z69" s="397"/>
      <c r="AA69" s="397"/>
      <c r="AB69" s="397"/>
      <c r="AC69" s="397"/>
    </row>
    <row r="70" spans="2:29" x14ac:dyDescent="0.25">
      <c r="B70" s="253" t="s">
        <v>893</v>
      </c>
      <c r="C70" s="244"/>
      <c r="D70" s="244"/>
      <c r="E70" s="244"/>
      <c r="F70" s="244"/>
      <c r="G70" s="244"/>
      <c r="H70" s="244"/>
      <c r="I70" s="244"/>
      <c r="J70" s="244"/>
      <c r="K70" s="244"/>
      <c r="L70" s="244"/>
      <c r="M70" s="257"/>
      <c r="N70" s="226"/>
    </row>
    <row r="71" spans="2:29" x14ac:dyDescent="0.25">
      <c r="B71" s="415"/>
      <c r="C71" s="415"/>
      <c r="D71" s="415"/>
      <c r="E71" s="415"/>
      <c r="F71" s="415"/>
      <c r="G71" s="415"/>
      <c r="H71" s="415"/>
      <c r="I71" s="415"/>
      <c r="J71" s="415"/>
      <c r="K71" s="415"/>
      <c r="L71" s="415"/>
      <c r="M71" s="415"/>
      <c r="N71" s="226"/>
    </row>
    <row r="72" spans="2:29" x14ac:dyDescent="0.25">
      <c r="C72" s="257"/>
      <c r="D72" s="257"/>
      <c r="E72" s="257"/>
      <c r="F72" s="257"/>
      <c r="G72" s="257"/>
      <c r="H72" s="257"/>
      <c r="I72" s="257"/>
      <c r="J72" s="257"/>
      <c r="K72" s="257"/>
      <c r="L72" s="257"/>
      <c r="M72" s="257"/>
      <c r="N72" s="226"/>
    </row>
    <row r="73" spans="2:29" x14ac:dyDescent="0.25">
      <c r="B73" s="89"/>
      <c r="C73" s="226"/>
      <c r="D73" s="226"/>
      <c r="E73" s="226"/>
      <c r="F73" s="226"/>
      <c r="G73" s="226"/>
      <c r="H73" s="226"/>
      <c r="I73" s="226"/>
      <c r="J73" s="226"/>
      <c r="K73" s="226"/>
      <c r="L73" s="226"/>
      <c r="M73" s="226"/>
      <c r="N73" s="226"/>
    </row>
    <row r="74" spans="2:29" x14ac:dyDescent="0.25">
      <c r="B74" s="89"/>
      <c r="C74" s="226"/>
      <c r="D74" s="226"/>
      <c r="E74" s="226"/>
      <c r="F74" s="226"/>
      <c r="G74" s="226"/>
      <c r="H74" s="226"/>
      <c r="I74" s="226"/>
      <c r="J74" s="226"/>
      <c r="K74" s="226"/>
      <c r="L74" s="226"/>
      <c r="M74" s="226"/>
      <c r="N74" s="226"/>
    </row>
    <row r="75" spans="2:29" x14ac:dyDescent="0.25">
      <c r="B75" s="89"/>
      <c r="C75" s="226"/>
      <c r="D75" s="226"/>
      <c r="E75" s="226"/>
      <c r="F75" s="226"/>
      <c r="G75" s="226"/>
      <c r="H75" s="226"/>
      <c r="I75" s="226"/>
      <c r="J75" s="226"/>
      <c r="K75" s="226"/>
      <c r="L75" s="226"/>
      <c r="M75" s="226"/>
      <c r="N75" s="226"/>
    </row>
    <row r="76" spans="2:29" x14ac:dyDescent="0.25">
      <c r="B76" s="89"/>
      <c r="C76" s="226"/>
      <c r="D76" s="226"/>
      <c r="E76" s="226"/>
      <c r="F76" s="226"/>
      <c r="G76" s="226"/>
      <c r="H76" s="226"/>
      <c r="I76" s="226"/>
      <c r="J76" s="226"/>
      <c r="K76" s="226"/>
      <c r="L76" s="226"/>
      <c r="M76" s="226"/>
      <c r="N76" s="226"/>
    </row>
    <row r="77" spans="2:29" x14ac:dyDescent="0.25">
      <c r="B77" s="89"/>
      <c r="C77" s="226"/>
      <c r="D77" s="226"/>
      <c r="E77" s="226"/>
      <c r="F77" s="226"/>
      <c r="G77" s="226"/>
      <c r="H77" s="226"/>
      <c r="I77" s="226"/>
      <c r="J77" s="226"/>
      <c r="K77" s="226"/>
      <c r="L77" s="226"/>
      <c r="M77" s="226"/>
      <c r="N77" s="226"/>
    </row>
    <row r="78" spans="2:29" x14ac:dyDescent="0.25">
      <c r="B78" s="89"/>
      <c r="C78" s="226"/>
      <c r="D78" s="226"/>
      <c r="E78" s="226"/>
      <c r="F78" s="226"/>
      <c r="G78" s="226"/>
      <c r="H78" s="226"/>
      <c r="I78" s="226"/>
      <c r="J78" s="226"/>
      <c r="K78" s="226"/>
      <c r="L78" s="226"/>
      <c r="M78" s="226"/>
      <c r="N78" s="226"/>
    </row>
    <row r="79" spans="2:29" x14ac:dyDescent="0.25">
      <c r="B79" s="89"/>
      <c r="C79" s="226"/>
      <c r="D79" s="226"/>
      <c r="E79" s="226"/>
      <c r="F79" s="226"/>
      <c r="G79" s="226"/>
      <c r="H79" s="226"/>
      <c r="I79" s="226"/>
      <c r="J79" s="226"/>
      <c r="K79" s="226"/>
      <c r="L79" s="226"/>
      <c r="M79" s="226"/>
      <c r="N79" s="226"/>
    </row>
    <row r="80" spans="2:29" x14ac:dyDescent="0.25">
      <c r="B80" s="89"/>
      <c r="C80" s="226"/>
      <c r="D80" s="226"/>
      <c r="E80" s="226"/>
      <c r="F80" s="226"/>
      <c r="G80" s="226"/>
      <c r="H80" s="226"/>
      <c r="I80" s="226"/>
      <c r="J80" s="226"/>
      <c r="K80" s="226"/>
      <c r="L80" s="226"/>
      <c r="M80" s="226"/>
      <c r="N80" s="226"/>
    </row>
    <row r="81" spans="2:14" x14ac:dyDescent="0.25">
      <c r="B81" s="89"/>
      <c r="C81" s="226"/>
      <c r="D81" s="226"/>
      <c r="E81" s="226"/>
      <c r="F81" s="226"/>
      <c r="G81" s="226"/>
      <c r="H81" s="226"/>
      <c r="I81" s="226"/>
      <c r="J81" s="226"/>
      <c r="K81" s="226"/>
      <c r="L81" s="226"/>
      <c r="M81" s="226"/>
      <c r="N81" s="226"/>
    </row>
    <row r="82" spans="2:14" x14ac:dyDescent="0.25">
      <c r="B82" s="89"/>
      <c r="C82" s="226"/>
      <c r="D82" s="226"/>
      <c r="E82" s="226"/>
      <c r="F82" s="226"/>
      <c r="G82" s="226"/>
      <c r="H82" s="226"/>
      <c r="I82" s="226"/>
      <c r="J82" s="226"/>
      <c r="K82" s="226"/>
      <c r="L82" s="226"/>
      <c r="M82" s="226"/>
      <c r="N82" s="226"/>
    </row>
    <row r="83" spans="2:14" x14ac:dyDescent="0.25">
      <c r="B83" s="89"/>
      <c r="C83" s="226"/>
      <c r="D83" s="226"/>
      <c r="E83" s="226"/>
      <c r="F83" s="226"/>
      <c r="G83" s="226"/>
      <c r="H83" s="226"/>
      <c r="I83" s="226"/>
      <c r="J83" s="226"/>
      <c r="K83" s="226"/>
      <c r="L83" s="226"/>
      <c r="M83" s="226"/>
      <c r="N83" s="226"/>
    </row>
    <row r="84" spans="2:14" x14ac:dyDescent="0.25">
      <c r="B84" s="4"/>
      <c r="C84" s="4"/>
      <c r="D84" s="4"/>
      <c r="E84" s="4"/>
    </row>
    <row r="85" spans="2:14" x14ac:dyDescent="0.25">
      <c r="B85" s="4"/>
      <c r="C85" s="4"/>
      <c r="D85" s="4"/>
      <c r="E85" s="4"/>
    </row>
  </sheetData>
  <mergeCells count="27">
    <mergeCell ref="B71:M71"/>
    <mergeCell ref="D7:F7"/>
    <mergeCell ref="G7:I7"/>
    <mergeCell ref="J7:L7"/>
    <mergeCell ref="B9:B11"/>
    <mergeCell ref="B12:B14"/>
    <mergeCell ref="B15:B17"/>
    <mergeCell ref="B19:L19"/>
    <mergeCell ref="C41:E41"/>
    <mergeCell ref="D26:F26"/>
    <mergeCell ref="G26:I26"/>
    <mergeCell ref="J26:L26"/>
    <mergeCell ref="B28:B30"/>
    <mergeCell ref="B34:M34"/>
    <mergeCell ref="B32:L32"/>
    <mergeCell ref="B69:AC69"/>
    <mergeCell ref="U40:AC40"/>
    <mergeCell ref="U41:W41"/>
    <mergeCell ref="X41:Z41"/>
    <mergeCell ref="AA41:AC41"/>
    <mergeCell ref="F41:H41"/>
    <mergeCell ref="I41:K41"/>
    <mergeCell ref="C40:K40"/>
    <mergeCell ref="L40:T40"/>
    <mergeCell ref="L41:N41"/>
    <mergeCell ref="O41:Q41"/>
    <mergeCell ref="R41:T41"/>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A6227-A26D-4314-B081-8BD820496229}">
  <sheetPr>
    <tabColor theme="9"/>
  </sheetPr>
  <dimension ref="A1:AC252"/>
  <sheetViews>
    <sheetView showGridLines="0" workbookViewId="0"/>
  </sheetViews>
  <sheetFormatPr baseColWidth="10" defaultRowHeight="15" outlineLevelRow="1" x14ac:dyDescent="0.25"/>
  <cols>
    <col min="2" max="2" width="20.140625" customWidth="1"/>
    <col min="3" max="3" width="15.28515625" customWidth="1"/>
    <col min="4" max="4" width="15.42578125" customWidth="1"/>
    <col min="5" max="5" width="14.7109375" customWidth="1"/>
    <col min="6" max="6" width="16" customWidth="1"/>
    <col min="7" max="7" width="15.85546875" customWidth="1"/>
    <col min="8" max="8" width="15" customWidth="1"/>
    <col min="9" max="9" width="16.85546875" customWidth="1"/>
    <col min="10" max="10" width="14.28515625" bestFit="1" customWidth="1"/>
    <col min="11" max="11" width="14" customWidth="1"/>
    <col min="12" max="12" width="16.140625" customWidth="1"/>
    <col min="13" max="13" width="14.28515625" bestFit="1" customWidth="1"/>
    <col min="14" max="14" width="15" customWidth="1"/>
    <col min="15" max="15" width="18.7109375" customWidth="1"/>
    <col min="16" max="16" width="18.42578125" customWidth="1"/>
    <col min="17" max="17" width="18.28515625" customWidth="1"/>
    <col min="18" max="22" width="12.85546875" bestFit="1" customWidth="1"/>
    <col min="23" max="23" width="13.7109375" bestFit="1" customWidth="1"/>
    <col min="24" max="24" width="13.28515625" customWidth="1"/>
    <col min="25" max="25" width="13.5703125" customWidth="1"/>
    <col min="26" max="26" width="12.85546875" bestFit="1" customWidth="1"/>
    <col min="27" max="29" width="17.7109375" bestFit="1" customWidth="1"/>
    <col min="30" max="31" width="16.5703125" bestFit="1" customWidth="1"/>
    <col min="32" max="32" width="17.7109375" bestFit="1" customWidth="1"/>
    <col min="33" max="33" width="16.5703125" bestFit="1" customWidth="1"/>
    <col min="34" max="34" width="17.7109375" bestFit="1" customWidth="1"/>
    <col min="35" max="35" width="19.7109375" customWidth="1"/>
    <col min="38" max="38" width="15.140625" bestFit="1" customWidth="1"/>
  </cols>
  <sheetData>
    <row r="1" spans="1:14" x14ac:dyDescent="0.25">
      <c r="A1" s="91"/>
    </row>
    <row r="2" spans="1:14" ht="23.25" x14ac:dyDescent="0.25">
      <c r="B2" s="1" t="s">
        <v>707</v>
      </c>
      <c r="C2" s="4"/>
      <c r="D2" s="4"/>
      <c r="E2" s="4"/>
      <c r="F2" s="4"/>
      <c r="G2" s="4"/>
      <c r="H2" s="4"/>
      <c r="I2" s="4"/>
      <c r="J2" s="4"/>
      <c r="K2" s="4"/>
    </row>
    <row r="3" spans="1:14" x14ac:dyDescent="0.25">
      <c r="B3" s="4"/>
      <c r="C3" s="4"/>
      <c r="D3" s="4"/>
      <c r="E3" s="4"/>
      <c r="F3" s="4"/>
      <c r="G3" s="4"/>
      <c r="H3" s="4"/>
      <c r="I3" s="4"/>
      <c r="J3" s="4"/>
      <c r="K3" s="4"/>
    </row>
    <row r="4" spans="1:14" ht="18.75" x14ac:dyDescent="0.3">
      <c r="B4" s="2" t="s">
        <v>789</v>
      </c>
      <c r="C4" s="2"/>
      <c r="D4" s="2"/>
      <c r="E4" s="2"/>
      <c r="F4" s="2"/>
      <c r="G4" s="2"/>
      <c r="J4" s="4"/>
      <c r="K4" s="4"/>
    </row>
    <row r="5" spans="1:14" x14ac:dyDescent="0.25">
      <c r="B5" s="3" t="s">
        <v>866</v>
      </c>
      <c r="J5" s="4"/>
      <c r="K5" s="4"/>
    </row>
    <row r="6" spans="1:14" x14ac:dyDescent="0.25">
      <c r="J6" s="4"/>
      <c r="K6" s="4"/>
    </row>
    <row r="7" spans="1:14" ht="17.25" x14ac:dyDescent="0.25">
      <c r="D7" s="407" t="s">
        <v>894</v>
      </c>
      <c r="E7" s="407"/>
      <c r="F7" s="407"/>
      <c r="G7" s="423"/>
      <c r="H7" s="423"/>
      <c r="I7" s="423"/>
      <c r="J7" s="423"/>
      <c r="K7" s="423"/>
      <c r="L7" s="423"/>
      <c r="N7" s="4"/>
    </row>
    <row r="8" spans="1:14" ht="32.25" x14ac:dyDescent="0.25">
      <c r="B8" s="138" t="s">
        <v>472</v>
      </c>
      <c r="C8" s="161" t="s">
        <v>589</v>
      </c>
      <c r="D8" s="138" t="s">
        <v>880</v>
      </c>
      <c r="E8" s="161" t="s">
        <v>888</v>
      </c>
      <c r="F8" s="138" t="s">
        <v>889</v>
      </c>
      <c r="G8" s="89"/>
      <c r="H8" s="226"/>
      <c r="I8" s="89"/>
      <c r="J8" s="89"/>
      <c r="K8" s="226"/>
      <c r="L8" s="89"/>
      <c r="M8" s="4"/>
    </row>
    <row r="9" spans="1:14" x14ac:dyDescent="0.25">
      <c r="B9" s="403">
        <v>45200</v>
      </c>
      <c r="C9" s="248" t="s">
        <v>73</v>
      </c>
      <c r="D9" s="264">
        <v>107612</v>
      </c>
      <c r="E9" s="264">
        <v>22173725.000999998</v>
      </c>
      <c r="F9" s="264">
        <v>22219186.633793321</v>
      </c>
      <c r="G9" s="307"/>
      <c r="H9" s="307"/>
      <c r="I9" s="308"/>
      <c r="J9" s="308"/>
      <c r="K9" s="308"/>
      <c r="L9" s="308"/>
    </row>
    <row r="10" spans="1:14" x14ac:dyDescent="0.25">
      <c r="B10" s="416"/>
      <c r="C10" s="248" t="s">
        <v>74</v>
      </c>
      <c r="D10" s="264">
        <v>84447</v>
      </c>
      <c r="E10" s="264">
        <v>17401883.188999999</v>
      </c>
      <c r="F10" s="264">
        <v>17437561.36320911</v>
      </c>
      <c r="G10" s="307"/>
      <c r="H10" s="307"/>
      <c r="I10" s="308"/>
      <c r="J10" s="308"/>
      <c r="K10" s="308"/>
      <c r="L10" s="308"/>
      <c r="M10" s="4"/>
    </row>
    <row r="11" spans="1:14" x14ac:dyDescent="0.25">
      <c r="B11" s="416"/>
      <c r="C11" s="248" t="s">
        <v>25</v>
      </c>
      <c r="D11" s="264">
        <v>192059</v>
      </c>
      <c r="E11" s="264">
        <v>39575608.189999998</v>
      </c>
      <c r="F11" s="264">
        <v>39656747.99700243</v>
      </c>
      <c r="G11" s="307"/>
      <c r="H11" s="307"/>
      <c r="I11" s="308"/>
      <c r="J11" s="308"/>
      <c r="K11" s="308"/>
      <c r="L11" s="308"/>
      <c r="M11" s="4"/>
    </row>
    <row r="12" spans="1:14" x14ac:dyDescent="0.25">
      <c r="B12" s="403">
        <v>45231</v>
      </c>
      <c r="C12" s="248" t="s">
        <v>73</v>
      </c>
      <c r="D12" s="264">
        <v>107578</v>
      </c>
      <c r="E12" s="264">
        <v>22167675.300999999</v>
      </c>
      <c r="F12" s="264">
        <v>22048665.627863813</v>
      </c>
      <c r="G12" s="307"/>
      <c r="H12" s="307"/>
      <c r="I12" s="308"/>
      <c r="J12" s="308"/>
      <c r="K12" s="308"/>
      <c r="L12" s="308"/>
      <c r="M12" s="4"/>
    </row>
    <row r="13" spans="1:14" x14ac:dyDescent="0.25">
      <c r="B13" s="416"/>
      <c r="C13" s="248" t="s">
        <v>74</v>
      </c>
      <c r="D13" s="264">
        <v>84680</v>
      </c>
      <c r="E13" s="264">
        <v>17450455.925000001</v>
      </c>
      <c r="F13" s="264">
        <v>17356771.177839432</v>
      </c>
      <c r="G13" s="307"/>
      <c r="H13" s="307"/>
      <c r="I13" s="308"/>
      <c r="J13" s="308"/>
      <c r="K13" s="308"/>
      <c r="L13" s="308"/>
      <c r="M13" s="4"/>
    </row>
    <row r="14" spans="1:14" x14ac:dyDescent="0.25">
      <c r="B14" s="416"/>
      <c r="C14" s="248" t="s">
        <v>25</v>
      </c>
      <c r="D14" s="264">
        <v>192258</v>
      </c>
      <c r="E14" s="264">
        <v>39618131.226000004</v>
      </c>
      <c r="F14" s="264">
        <v>39405436.805703245</v>
      </c>
      <c r="G14" s="307"/>
      <c r="H14" s="307"/>
      <c r="I14" s="308"/>
      <c r="J14" s="308"/>
      <c r="K14" s="308"/>
      <c r="L14" s="308"/>
      <c r="M14" s="4"/>
    </row>
    <row r="15" spans="1:14" x14ac:dyDescent="0.25">
      <c r="B15" s="417">
        <v>45261</v>
      </c>
      <c r="C15" s="248" t="s">
        <v>73</v>
      </c>
      <c r="D15" s="264">
        <v>107857</v>
      </c>
      <c r="E15" s="264">
        <v>22224554.960999999</v>
      </c>
      <c r="F15" s="264">
        <v>22224554.960999999</v>
      </c>
      <c r="G15" s="307"/>
      <c r="H15" s="307"/>
      <c r="I15" s="308"/>
      <c r="J15" s="308"/>
      <c r="K15" s="308"/>
      <c r="L15" s="308"/>
      <c r="M15" s="4"/>
    </row>
    <row r="16" spans="1:14" x14ac:dyDescent="0.25">
      <c r="B16" s="418"/>
      <c r="C16" s="248" t="s">
        <v>74</v>
      </c>
      <c r="D16" s="264">
        <v>84948</v>
      </c>
      <c r="E16" s="264">
        <v>17505535.237</v>
      </c>
      <c r="F16" s="264">
        <v>17505535.237</v>
      </c>
      <c r="G16" s="307"/>
      <c r="H16" s="307"/>
      <c r="I16" s="308"/>
      <c r="J16" s="308"/>
      <c r="K16" s="308"/>
      <c r="L16" s="308"/>
      <c r="M16" s="4"/>
    </row>
    <row r="17" spans="2:13" x14ac:dyDescent="0.25">
      <c r="B17" s="418"/>
      <c r="C17" s="249" t="s">
        <v>25</v>
      </c>
      <c r="D17" s="264">
        <v>192805</v>
      </c>
      <c r="E17" s="264">
        <v>39730090.197999999</v>
      </c>
      <c r="F17" s="264">
        <v>39730090.197999999</v>
      </c>
      <c r="G17" s="307"/>
      <c r="H17" s="307"/>
      <c r="I17" s="308"/>
      <c r="J17" s="308"/>
      <c r="K17" s="308"/>
      <c r="L17" s="308"/>
    </row>
    <row r="18" spans="2:13" x14ac:dyDescent="0.25">
      <c r="B18" s="4" t="s">
        <v>788</v>
      </c>
    </row>
    <row r="19" spans="2:13" ht="28.5" customHeight="1" x14ac:dyDescent="0.25">
      <c r="B19" s="397" t="s">
        <v>895</v>
      </c>
      <c r="C19" s="397"/>
      <c r="D19" s="397"/>
      <c r="E19" s="397"/>
      <c r="F19" s="397"/>
      <c r="G19" s="397"/>
      <c r="H19" s="397"/>
      <c r="I19" s="397"/>
      <c r="J19" s="397"/>
      <c r="K19" s="397"/>
      <c r="L19" s="397"/>
    </row>
    <row r="20" spans="2:13" x14ac:dyDescent="0.25">
      <c r="B20" s="253" t="s">
        <v>890</v>
      </c>
      <c r="C20" s="244"/>
      <c r="D20" s="244"/>
      <c r="E20" s="244"/>
      <c r="F20" s="244"/>
      <c r="G20" s="244"/>
      <c r="H20" s="244"/>
      <c r="I20" s="244"/>
      <c r="J20" s="244"/>
      <c r="K20" s="244"/>
      <c r="L20" s="244"/>
    </row>
    <row r="21" spans="2:13" x14ac:dyDescent="0.25">
      <c r="B21" s="253"/>
      <c r="C21" s="244"/>
      <c r="D21" s="244"/>
      <c r="E21" s="244"/>
      <c r="F21" s="244"/>
      <c r="G21" s="244"/>
      <c r="H21" s="244"/>
      <c r="I21" s="244"/>
      <c r="J21" s="244"/>
      <c r="K21" s="244"/>
      <c r="L21" s="244"/>
    </row>
    <row r="22" spans="2:13" ht="18.75" x14ac:dyDescent="0.3">
      <c r="B22" s="2" t="s">
        <v>852</v>
      </c>
      <c r="C22" s="2"/>
      <c r="D22" s="2"/>
      <c r="E22" s="2"/>
      <c r="F22" s="2"/>
      <c r="G22" s="4"/>
      <c r="H22" s="4"/>
      <c r="I22" s="4"/>
      <c r="J22" s="4"/>
      <c r="K22" s="4"/>
    </row>
    <row r="23" spans="2:13" x14ac:dyDescent="0.25">
      <c r="B23" s="3" t="s">
        <v>867</v>
      </c>
      <c r="C23" s="4"/>
      <c r="D23" s="4"/>
      <c r="E23" s="4"/>
      <c r="F23" s="4"/>
      <c r="G23" s="4"/>
      <c r="H23" s="4"/>
      <c r="I23" s="4"/>
      <c r="J23" s="4"/>
      <c r="K23" s="4"/>
    </row>
    <row r="24" spans="2:13" x14ac:dyDescent="0.25">
      <c r="B24" s="4"/>
      <c r="C24" s="4"/>
      <c r="D24" s="4"/>
      <c r="E24" s="4"/>
      <c r="F24" s="4"/>
      <c r="G24" s="4"/>
      <c r="H24" s="4"/>
      <c r="I24" s="4"/>
      <c r="J24" s="4"/>
      <c r="K24" s="4"/>
    </row>
    <row r="25" spans="2:13" ht="17.25" x14ac:dyDescent="0.25">
      <c r="D25" s="407" t="s">
        <v>894</v>
      </c>
      <c r="E25" s="407"/>
      <c r="F25" s="407"/>
    </row>
    <row r="26" spans="2:13" ht="32.25" x14ac:dyDescent="0.25">
      <c r="B26" s="138" t="s">
        <v>472</v>
      </c>
      <c r="C26" s="161" t="s">
        <v>589</v>
      </c>
      <c r="D26" s="161" t="s">
        <v>916</v>
      </c>
      <c r="E26" s="161" t="s">
        <v>883</v>
      </c>
      <c r="F26" s="161" t="s">
        <v>884</v>
      </c>
    </row>
    <row r="27" spans="2:13" x14ac:dyDescent="0.25">
      <c r="B27" s="419" t="s">
        <v>843</v>
      </c>
      <c r="C27" s="248" t="s">
        <v>73</v>
      </c>
      <c r="D27" s="264">
        <v>106021.08333333333</v>
      </c>
      <c r="E27" s="264">
        <v>260883467.19199997</v>
      </c>
      <c r="F27" s="264">
        <v>264441165.37541965</v>
      </c>
    </row>
    <row r="28" spans="2:13" x14ac:dyDescent="0.25">
      <c r="B28" s="419"/>
      <c r="C28" s="248" t="s">
        <v>74</v>
      </c>
      <c r="D28" s="264">
        <v>83341.5</v>
      </c>
      <c r="E28" s="264">
        <v>205084016.46500003</v>
      </c>
      <c r="F28" s="264">
        <v>207879403.32183933</v>
      </c>
    </row>
    <row r="29" spans="2:13" x14ac:dyDescent="0.25">
      <c r="B29" s="420"/>
      <c r="C29" s="249" t="s">
        <v>588</v>
      </c>
      <c r="D29" s="264">
        <v>189362.58333333334</v>
      </c>
      <c r="E29" s="264">
        <v>465967483.65699995</v>
      </c>
      <c r="F29" s="264">
        <v>472320568.69725901</v>
      </c>
    </row>
    <row r="30" spans="2:13" x14ac:dyDescent="0.25">
      <c r="B30" s="4" t="s">
        <v>788</v>
      </c>
      <c r="C30" s="5"/>
      <c r="D30" s="5"/>
      <c r="E30" s="5"/>
      <c r="F30" s="5"/>
      <c r="G30" s="5"/>
      <c r="H30" s="5"/>
      <c r="I30" s="5"/>
      <c r="J30" s="5"/>
      <c r="K30" s="5"/>
      <c r="L30" s="5"/>
      <c r="M30" s="5"/>
    </row>
    <row r="31" spans="2:13" ht="27.75" customHeight="1" x14ac:dyDescent="0.25">
      <c r="B31" s="397" t="s">
        <v>896</v>
      </c>
      <c r="C31" s="397"/>
      <c r="D31" s="397"/>
      <c r="E31" s="397"/>
      <c r="F31" s="397"/>
      <c r="G31" s="397"/>
      <c r="H31" s="397"/>
      <c r="I31" s="397"/>
      <c r="J31" s="397"/>
      <c r="K31" s="397"/>
      <c r="L31" s="397"/>
      <c r="M31" s="258"/>
    </row>
    <row r="32" spans="2:13" x14ac:dyDescent="0.25">
      <c r="B32" s="358" t="s">
        <v>891</v>
      </c>
      <c r="C32" s="352"/>
      <c r="D32" s="352"/>
      <c r="E32" s="352"/>
      <c r="F32" s="352"/>
      <c r="G32" s="352"/>
      <c r="H32" s="352"/>
      <c r="I32" s="352"/>
      <c r="J32" s="352"/>
      <c r="K32" s="352"/>
      <c r="L32" s="352"/>
      <c r="M32" s="353"/>
    </row>
    <row r="33" spans="2:29" x14ac:dyDescent="0.25">
      <c r="B33" s="421" t="s">
        <v>892</v>
      </c>
      <c r="C33" s="422"/>
      <c r="D33" s="422"/>
      <c r="E33" s="422"/>
      <c r="F33" s="422"/>
      <c r="G33" s="422"/>
      <c r="H33" s="422"/>
      <c r="I33" s="422"/>
      <c r="J33" s="422"/>
      <c r="K33" s="422"/>
      <c r="L33" s="422"/>
      <c r="M33" s="422"/>
    </row>
    <row r="34" spans="2:29" x14ac:dyDescent="0.25">
      <c r="B34" s="254"/>
      <c r="D34" s="212"/>
      <c r="E34" s="212"/>
      <c r="F34" s="212"/>
      <c r="G34" s="212"/>
      <c r="H34" s="212"/>
      <c r="I34" s="212"/>
      <c r="J34" s="212"/>
      <c r="K34" s="212"/>
    </row>
    <row r="35" spans="2:29" ht="18.75" x14ac:dyDescent="0.3">
      <c r="B35" s="2" t="s">
        <v>792</v>
      </c>
      <c r="C35" s="2"/>
      <c r="D35" s="2"/>
      <c r="E35" s="2"/>
      <c r="F35" s="2"/>
      <c r="G35" s="8"/>
    </row>
    <row r="36" spans="2:29" x14ac:dyDescent="0.25">
      <c r="B36" s="3" t="s">
        <v>868</v>
      </c>
    </row>
    <row r="38" spans="2:29" ht="17.25" x14ac:dyDescent="0.25">
      <c r="C38" s="400" t="s">
        <v>899</v>
      </c>
      <c r="D38" s="401"/>
      <c r="E38" s="401"/>
      <c r="F38" s="401"/>
      <c r="G38" s="401"/>
      <c r="H38" s="401"/>
      <c r="I38" s="401"/>
      <c r="J38" s="401"/>
      <c r="K38" s="402"/>
      <c r="L38" s="400" t="s">
        <v>2</v>
      </c>
      <c r="M38" s="401"/>
      <c r="N38" s="401"/>
      <c r="O38" s="401"/>
      <c r="P38" s="401"/>
      <c r="Q38" s="401"/>
      <c r="R38" s="401"/>
      <c r="S38" s="401"/>
      <c r="T38" s="402"/>
      <c r="U38" s="400" t="s">
        <v>587</v>
      </c>
      <c r="V38" s="401"/>
      <c r="W38" s="401"/>
      <c r="X38" s="401"/>
      <c r="Y38" s="401"/>
      <c r="Z38" s="401"/>
      <c r="AA38" s="401"/>
      <c r="AB38" s="401"/>
      <c r="AC38" s="402"/>
    </row>
    <row r="39" spans="2:29" x14ac:dyDescent="0.25">
      <c r="C39" s="400" t="s">
        <v>73</v>
      </c>
      <c r="D39" s="401"/>
      <c r="E39" s="402"/>
      <c r="F39" s="400" t="s">
        <v>74</v>
      </c>
      <c r="G39" s="401"/>
      <c r="H39" s="402"/>
      <c r="I39" s="400" t="s">
        <v>25</v>
      </c>
      <c r="J39" s="401"/>
      <c r="K39" s="402"/>
      <c r="L39" s="400" t="s">
        <v>73</v>
      </c>
      <c r="M39" s="401"/>
      <c r="N39" s="402"/>
      <c r="O39" s="400" t="s">
        <v>74</v>
      </c>
      <c r="P39" s="401"/>
      <c r="Q39" s="402"/>
      <c r="R39" s="400" t="s">
        <v>25</v>
      </c>
      <c r="S39" s="401"/>
      <c r="T39" s="402"/>
      <c r="U39" s="400" t="s">
        <v>73</v>
      </c>
      <c r="V39" s="401"/>
      <c r="W39" s="402"/>
      <c r="X39" s="400" t="s">
        <v>74</v>
      </c>
      <c r="Y39" s="401"/>
      <c r="Z39" s="402"/>
      <c r="AA39" s="400" t="s">
        <v>25</v>
      </c>
      <c r="AB39" s="401"/>
      <c r="AC39" s="402"/>
    </row>
    <row r="40" spans="2:29" ht="47.25" x14ac:dyDescent="0.25">
      <c r="B40" s="138" t="s">
        <v>472</v>
      </c>
      <c r="C40" s="214" t="s">
        <v>800</v>
      </c>
      <c r="D40" s="161" t="s">
        <v>879</v>
      </c>
      <c r="E40" s="214" t="s">
        <v>883</v>
      </c>
      <c r="F40" s="214" t="s">
        <v>800</v>
      </c>
      <c r="G40" s="161" t="s">
        <v>879</v>
      </c>
      <c r="H40" s="214" t="s">
        <v>883</v>
      </c>
      <c r="I40" s="214" t="s">
        <v>800</v>
      </c>
      <c r="J40" s="161" t="s">
        <v>879</v>
      </c>
      <c r="K40" s="214" t="s">
        <v>883</v>
      </c>
      <c r="L40" s="214" t="s">
        <v>800</v>
      </c>
      <c r="M40" s="161" t="s">
        <v>879</v>
      </c>
      <c r="N40" s="214" t="s">
        <v>883</v>
      </c>
      <c r="O40" s="214" t="s">
        <v>800</v>
      </c>
      <c r="P40" s="161" t="s">
        <v>879</v>
      </c>
      <c r="Q40" s="214" t="s">
        <v>883</v>
      </c>
      <c r="R40" s="214" t="s">
        <v>800</v>
      </c>
      <c r="S40" s="161" t="s">
        <v>879</v>
      </c>
      <c r="T40" s="214" t="s">
        <v>883</v>
      </c>
      <c r="U40" s="214" t="s">
        <v>800</v>
      </c>
      <c r="V40" s="161" t="s">
        <v>879</v>
      </c>
      <c r="W40" s="214" t="s">
        <v>883</v>
      </c>
      <c r="X40" s="214" t="s">
        <v>800</v>
      </c>
      <c r="Y40" s="161" t="s">
        <v>879</v>
      </c>
      <c r="Z40" s="214" t="s">
        <v>883</v>
      </c>
      <c r="AA40" s="214" t="s">
        <v>800</v>
      </c>
      <c r="AB40" s="161" t="s">
        <v>879</v>
      </c>
      <c r="AC40" s="214" t="s">
        <v>883</v>
      </c>
    </row>
    <row r="41" spans="2:29" hidden="1" outlineLevel="1" x14ac:dyDescent="0.25">
      <c r="B41" s="318">
        <v>39630</v>
      </c>
      <c r="C41" s="319">
        <v>189150</v>
      </c>
      <c r="D41" s="323">
        <v>20041125.779825427</v>
      </c>
      <c r="E41" s="319">
        <v>11349000</v>
      </c>
      <c r="F41" s="319">
        <v>101420</v>
      </c>
      <c r="G41" s="323">
        <v>10745815.36658681</v>
      </c>
      <c r="H41" s="319">
        <v>6085200</v>
      </c>
      <c r="I41" s="319">
        <v>290570</v>
      </c>
      <c r="J41" s="323">
        <v>30786941.146412238</v>
      </c>
      <c r="K41" s="319">
        <v>17434200</v>
      </c>
      <c r="L41" s="319">
        <v>108433</v>
      </c>
      <c r="M41" s="323">
        <v>11488868.050139099</v>
      </c>
      <c r="N41" s="319">
        <v>6505980</v>
      </c>
      <c r="O41" s="319">
        <v>84278</v>
      </c>
      <c r="P41" s="323">
        <v>8929558.5433366504</v>
      </c>
      <c r="Q41" s="319">
        <v>5056680</v>
      </c>
      <c r="R41" s="319">
        <v>192711</v>
      </c>
      <c r="S41" s="323">
        <v>20418426.593475752</v>
      </c>
      <c r="T41" s="319">
        <v>11562660</v>
      </c>
      <c r="U41" s="319">
        <v>297583</v>
      </c>
      <c r="V41" s="323">
        <v>31529993.829964526</v>
      </c>
      <c r="W41" s="319">
        <v>17854980</v>
      </c>
      <c r="X41" s="319">
        <v>185698</v>
      </c>
      <c r="Y41" s="323">
        <v>19675373.909923457</v>
      </c>
      <c r="Z41" s="319">
        <v>11141880</v>
      </c>
      <c r="AA41" s="319">
        <v>483281</v>
      </c>
      <c r="AB41" s="323">
        <v>51205367.739887983</v>
      </c>
      <c r="AC41" s="319">
        <v>28996860</v>
      </c>
    </row>
    <row r="42" spans="2:29" hidden="1" outlineLevel="1" x14ac:dyDescent="0.25">
      <c r="B42" s="318">
        <v>39661</v>
      </c>
      <c r="C42" s="319">
        <v>190466</v>
      </c>
      <c r="D42" s="323">
        <v>19994150.843947444</v>
      </c>
      <c r="E42" s="319">
        <v>11427960</v>
      </c>
      <c r="F42" s="319">
        <v>101671</v>
      </c>
      <c r="G42" s="323">
        <v>10672903.880246241</v>
      </c>
      <c r="H42" s="319">
        <v>6100260</v>
      </c>
      <c r="I42" s="319">
        <v>292137</v>
      </c>
      <c r="J42" s="323">
        <v>30667054.724193685</v>
      </c>
      <c r="K42" s="319">
        <v>17528220</v>
      </c>
      <c r="L42" s="319">
        <v>109472</v>
      </c>
      <c r="M42" s="323">
        <v>11491813.138243122</v>
      </c>
      <c r="N42" s="319">
        <v>6568320</v>
      </c>
      <c r="O42" s="319">
        <v>84832</v>
      </c>
      <c r="P42" s="323">
        <v>8905231.4029472433</v>
      </c>
      <c r="Q42" s="319">
        <v>5089920</v>
      </c>
      <c r="R42" s="319">
        <v>194304</v>
      </c>
      <c r="S42" s="323">
        <v>20397044.541190363</v>
      </c>
      <c r="T42" s="319">
        <v>11658240</v>
      </c>
      <c r="U42" s="319">
        <v>299938</v>
      </c>
      <c r="V42" s="323">
        <v>31485963.982190568</v>
      </c>
      <c r="W42" s="319">
        <v>17996280</v>
      </c>
      <c r="X42" s="319">
        <v>186503</v>
      </c>
      <c r="Y42" s="323">
        <v>19578135.283193484</v>
      </c>
      <c r="Z42" s="319">
        <v>11190180</v>
      </c>
      <c r="AA42" s="319">
        <v>486441</v>
      </c>
      <c r="AB42" s="323">
        <v>51064099.265384048</v>
      </c>
      <c r="AC42" s="319">
        <v>29186460</v>
      </c>
    </row>
    <row r="43" spans="2:29" hidden="1" outlineLevel="1" x14ac:dyDescent="0.25">
      <c r="B43" s="318">
        <v>39692</v>
      </c>
      <c r="C43" s="319">
        <v>221382</v>
      </c>
      <c r="D43" s="323">
        <v>22989936.678744026</v>
      </c>
      <c r="E43" s="319">
        <v>13279878.039000001</v>
      </c>
      <c r="F43" s="319">
        <v>108164</v>
      </c>
      <c r="G43" s="323">
        <v>11232890.971272714</v>
      </c>
      <c r="H43" s="319">
        <v>6488552.9790000003</v>
      </c>
      <c r="I43" s="319">
        <v>329546</v>
      </c>
      <c r="J43" s="323">
        <v>34222827.65001674</v>
      </c>
      <c r="K43" s="319">
        <v>19768431.017999999</v>
      </c>
      <c r="L43" s="319">
        <v>108958</v>
      </c>
      <c r="M43" s="323">
        <v>11317592.736708077</v>
      </c>
      <c r="N43" s="319">
        <v>6537480</v>
      </c>
      <c r="O43" s="319">
        <v>84560</v>
      </c>
      <c r="P43" s="323">
        <v>8783344.4246042948</v>
      </c>
      <c r="Q43" s="319">
        <v>5073600</v>
      </c>
      <c r="R43" s="319">
        <v>193518</v>
      </c>
      <c r="S43" s="323">
        <v>20100937.161312371</v>
      </c>
      <c r="T43" s="319">
        <v>11611080</v>
      </c>
      <c r="U43" s="319">
        <v>330340</v>
      </c>
      <c r="V43" s="323">
        <v>34307529.4154521</v>
      </c>
      <c r="W43" s="319">
        <v>19817358.039000001</v>
      </c>
      <c r="X43" s="319">
        <v>192724</v>
      </c>
      <c r="Y43" s="323">
        <v>20016235.395877011</v>
      </c>
      <c r="Z43" s="319">
        <v>11562152.979</v>
      </c>
      <c r="AA43" s="319">
        <v>523064</v>
      </c>
      <c r="AB43" s="323">
        <v>54323764.811329111</v>
      </c>
      <c r="AC43" s="319">
        <v>31379511.017999999</v>
      </c>
    </row>
    <row r="44" spans="2:29" hidden="1" outlineLevel="1" x14ac:dyDescent="0.25">
      <c r="B44" s="318">
        <v>39722</v>
      </c>
      <c r="C44" s="319">
        <v>230808</v>
      </c>
      <c r="D44" s="323">
        <v>26126488.92096388</v>
      </c>
      <c r="E44" s="319">
        <v>15225059.687000001</v>
      </c>
      <c r="F44" s="319">
        <v>110075</v>
      </c>
      <c r="G44" s="323">
        <v>11870475.071199343</v>
      </c>
      <c r="H44" s="319">
        <v>6917450.409</v>
      </c>
      <c r="I44" s="319">
        <v>340883</v>
      </c>
      <c r="J44" s="323">
        <v>37996963.992163226</v>
      </c>
      <c r="K44" s="319">
        <v>22142510.096000001</v>
      </c>
      <c r="L44" s="319">
        <v>108604</v>
      </c>
      <c r="M44" s="323">
        <v>11226160.783928314</v>
      </c>
      <c r="N44" s="319">
        <v>6541980</v>
      </c>
      <c r="O44" s="319">
        <v>84437</v>
      </c>
      <c r="P44" s="323">
        <v>8741506.5379738919</v>
      </c>
      <c r="Q44" s="319">
        <v>5094062.1679999996</v>
      </c>
      <c r="R44" s="319">
        <v>193041</v>
      </c>
      <c r="S44" s="323">
        <v>19967667.321902208</v>
      </c>
      <c r="T44" s="319">
        <v>11636042.168</v>
      </c>
      <c r="U44" s="319">
        <v>339412</v>
      </c>
      <c r="V44" s="323">
        <v>37352649.704892196</v>
      </c>
      <c r="W44" s="319">
        <v>21767039.686999999</v>
      </c>
      <c r="X44" s="319">
        <v>194512</v>
      </c>
      <c r="Y44" s="323">
        <v>20611981.609173235</v>
      </c>
      <c r="Z44" s="319">
        <v>12011512.577</v>
      </c>
      <c r="AA44" s="319">
        <v>533924</v>
      </c>
      <c r="AB44" s="323">
        <v>57964631.314065427</v>
      </c>
      <c r="AC44" s="319">
        <v>33778552.263999999</v>
      </c>
    </row>
    <row r="45" spans="2:29" hidden="1" outlineLevel="1" x14ac:dyDescent="0.25">
      <c r="B45" s="318">
        <v>39753</v>
      </c>
      <c r="C45" s="319">
        <v>236178</v>
      </c>
      <c r="D45" s="323">
        <v>26000633.332713656</v>
      </c>
      <c r="E45" s="319">
        <v>15133152.021</v>
      </c>
      <c r="F45" s="319">
        <v>111136</v>
      </c>
      <c r="G45" s="323">
        <v>11873995.914654635</v>
      </c>
      <c r="H45" s="319">
        <v>6911023.3959999997</v>
      </c>
      <c r="I45" s="319">
        <v>347314</v>
      </c>
      <c r="J45" s="323">
        <v>37874629.247368291</v>
      </c>
      <c r="K45" s="319">
        <v>22044175.416999999</v>
      </c>
      <c r="L45" s="319">
        <v>108404</v>
      </c>
      <c r="M45" s="323">
        <v>11295497.69239882</v>
      </c>
      <c r="N45" s="319">
        <v>6574320</v>
      </c>
      <c r="O45" s="319">
        <v>84286</v>
      </c>
      <c r="P45" s="323">
        <v>8743350.261795491</v>
      </c>
      <c r="Q45" s="319">
        <v>5088893.2970000003</v>
      </c>
      <c r="R45" s="319">
        <v>192690</v>
      </c>
      <c r="S45" s="323">
        <v>20038847.954194311</v>
      </c>
      <c r="T45" s="319">
        <v>11663213.297</v>
      </c>
      <c r="U45" s="319">
        <v>344582</v>
      </c>
      <c r="V45" s="323">
        <v>37296131.02511248</v>
      </c>
      <c r="W45" s="319">
        <v>21707472.021000002</v>
      </c>
      <c r="X45" s="319">
        <v>195422</v>
      </c>
      <c r="Y45" s="323">
        <v>20617346.176450122</v>
      </c>
      <c r="Z45" s="319">
        <v>11999916.693</v>
      </c>
      <c r="AA45" s="319">
        <v>540004</v>
      </c>
      <c r="AB45" s="323">
        <v>57913477.201562598</v>
      </c>
      <c r="AC45" s="319">
        <v>33707388.714000002</v>
      </c>
    </row>
    <row r="46" spans="2:29" hidden="1" outlineLevel="1" x14ac:dyDescent="0.25">
      <c r="B46" s="318">
        <v>39783</v>
      </c>
      <c r="C46" s="319">
        <v>244815</v>
      </c>
      <c r="D46" s="323">
        <v>28100605.328759059</v>
      </c>
      <c r="E46" s="319">
        <v>16162566.722999999</v>
      </c>
      <c r="F46" s="319">
        <v>113630</v>
      </c>
      <c r="G46" s="323">
        <v>12700107.327955797</v>
      </c>
      <c r="H46" s="319">
        <v>7304694.318</v>
      </c>
      <c r="I46" s="319">
        <v>358445</v>
      </c>
      <c r="J46" s="323">
        <v>40800712.656714857</v>
      </c>
      <c r="K46" s="319">
        <v>23467261.041000001</v>
      </c>
      <c r="L46" s="319">
        <v>109628</v>
      </c>
      <c r="M46" s="323">
        <v>12277527.574342197</v>
      </c>
      <c r="N46" s="319">
        <v>7061640</v>
      </c>
      <c r="O46" s="319">
        <v>84823</v>
      </c>
      <c r="P46" s="323">
        <v>9240248.6586034074</v>
      </c>
      <c r="Q46" s="319">
        <v>5314694.6030000001</v>
      </c>
      <c r="R46" s="319">
        <v>194451</v>
      </c>
      <c r="S46" s="323">
        <v>21517776.232945606</v>
      </c>
      <c r="T46" s="319">
        <v>12376334.603</v>
      </c>
      <c r="U46" s="319">
        <v>354443</v>
      </c>
      <c r="V46" s="323">
        <v>40378132.903101258</v>
      </c>
      <c r="W46" s="319">
        <v>23224206.723000001</v>
      </c>
      <c r="X46" s="319">
        <v>198453</v>
      </c>
      <c r="Y46" s="323">
        <v>21940355.986559205</v>
      </c>
      <c r="Z46" s="319">
        <v>12619388.921</v>
      </c>
      <c r="AA46" s="319">
        <v>552896</v>
      </c>
      <c r="AB46" s="323">
        <v>62318488.889660463</v>
      </c>
      <c r="AC46" s="319">
        <v>35843595.644000001</v>
      </c>
    </row>
    <row r="47" spans="2:29" collapsed="1" x14ac:dyDescent="0.25">
      <c r="B47" s="321" t="s">
        <v>690</v>
      </c>
      <c r="C47" s="322">
        <v>218799.83333333334</v>
      </c>
      <c r="D47" s="324">
        <v>23875490.147492249</v>
      </c>
      <c r="E47" s="322"/>
      <c r="F47" s="322">
        <v>107682.66666666667</v>
      </c>
      <c r="G47" s="324">
        <v>11516031.421985924</v>
      </c>
      <c r="H47" s="322"/>
      <c r="I47" s="322">
        <v>326482.5</v>
      </c>
      <c r="J47" s="324">
        <v>35391521.569478177</v>
      </c>
      <c r="K47" s="322"/>
      <c r="L47" s="322">
        <v>108916.5</v>
      </c>
      <c r="M47" s="324">
        <v>11516243.329293272</v>
      </c>
      <c r="N47" s="322"/>
      <c r="O47" s="322">
        <v>84536</v>
      </c>
      <c r="P47" s="324">
        <v>8890539.9715434965</v>
      </c>
      <c r="Q47" s="322"/>
      <c r="R47" s="322">
        <v>193452.5</v>
      </c>
      <c r="S47" s="324">
        <v>20406783.300836768</v>
      </c>
      <c r="T47" s="322"/>
      <c r="U47" s="322">
        <v>327716.33333333331</v>
      </c>
      <c r="V47" s="324">
        <v>35391733.476785518</v>
      </c>
      <c r="W47" s="322"/>
      <c r="X47" s="322">
        <v>192218.66666666666</v>
      </c>
      <c r="Y47" s="324">
        <v>20406571.393529419</v>
      </c>
      <c r="Z47" s="322"/>
      <c r="AA47" s="322">
        <v>519935</v>
      </c>
      <c r="AB47" s="324">
        <v>55798304.870314948</v>
      </c>
      <c r="AC47" s="322"/>
    </row>
    <row r="48" spans="2:29" hidden="1" outlineLevel="1" x14ac:dyDescent="0.25">
      <c r="B48" s="318">
        <v>39814</v>
      </c>
      <c r="C48" s="319">
        <v>249383</v>
      </c>
      <c r="D48" s="323">
        <v>27396591.798062887</v>
      </c>
      <c r="E48" s="319">
        <v>15637465.548</v>
      </c>
      <c r="F48" s="319">
        <v>114748</v>
      </c>
      <c r="G48" s="323">
        <v>12425313.596968474</v>
      </c>
      <c r="H48" s="319">
        <v>7092138.1289999997</v>
      </c>
      <c r="I48" s="319">
        <v>364131</v>
      </c>
      <c r="J48" s="323">
        <v>39821905.395031355</v>
      </c>
      <c r="K48" s="319">
        <v>22729603.677000001</v>
      </c>
      <c r="L48" s="319">
        <v>110901</v>
      </c>
      <c r="M48" s="323">
        <v>12666486.002669174</v>
      </c>
      <c r="N48" s="319">
        <v>7229794.8569999998</v>
      </c>
      <c r="O48" s="319">
        <v>85291</v>
      </c>
      <c r="P48" s="323">
        <v>9375183.3782740477</v>
      </c>
      <c r="Q48" s="319">
        <v>5351180.4740000004</v>
      </c>
      <c r="R48" s="319">
        <v>196192</v>
      </c>
      <c r="S48" s="323">
        <v>22041669.380943224</v>
      </c>
      <c r="T48" s="319">
        <v>12580975.331</v>
      </c>
      <c r="U48" s="319">
        <v>360284</v>
      </c>
      <c r="V48" s="323">
        <v>40063077.800732054</v>
      </c>
      <c r="W48" s="319">
        <v>22867260.405000001</v>
      </c>
      <c r="X48" s="319">
        <v>200039</v>
      </c>
      <c r="Y48" s="323">
        <v>21800496.975242518</v>
      </c>
      <c r="Z48" s="319">
        <v>12443318.603</v>
      </c>
      <c r="AA48" s="319">
        <v>560323</v>
      </c>
      <c r="AB48" s="323">
        <v>61863574.775974579</v>
      </c>
      <c r="AC48" s="319">
        <v>35310579.008000001</v>
      </c>
    </row>
    <row r="49" spans="2:29" hidden="1" outlineLevel="1" x14ac:dyDescent="0.25">
      <c r="B49" s="318">
        <v>39845</v>
      </c>
      <c r="C49" s="319">
        <v>251808</v>
      </c>
      <c r="D49" s="323">
        <v>27441520.226360064</v>
      </c>
      <c r="E49" s="319">
        <v>15606041.944</v>
      </c>
      <c r="F49" s="319">
        <v>115183</v>
      </c>
      <c r="G49" s="323">
        <v>12416622.345082967</v>
      </c>
      <c r="H49" s="319">
        <v>7061355.4759999998</v>
      </c>
      <c r="I49" s="319">
        <v>366991</v>
      </c>
      <c r="J49" s="323">
        <v>39858142.571443029</v>
      </c>
      <c r="K49" s="319">
        <v>22667397.420000002</v>
      </c>
      <c r="L49" s="319">
        <v>111775</v>
      </c>
      <c r="M49" s="323">
        <v>12719972.086614167</v>
      </c>
      <c r="N49" s="319">
        <v>7233871.0199999996</v>
      </c>
      <c r="O49" s="319">
        <v>85481</v>
      </c>
      <c r="P49" s="323">
        <v>9352314.2430386413</v>
      </c>
      <c r="Q49" s="319">
        <v>5318677.943</v>
      </c>
      <c r="R49" s="319">
        <v>197256</v>
      </c>
      <c r="S49" s="323">
        <v>22072286.329652809</v>
      </c>
      <c r="T49" s="319">
        <v>12552548.963</v>
      </c>
      <c r="U49" s="319">
        <v>363583</v>
      </c>
      <c r="V49" s="323">
        <v>40161492.312974237</v>
      </c>
      <c r="W49" s="319">
        <v>22839912.964000002</v>
      </c>
      <c r="X49" s="319">
        <v>200664</v>
      </c>
      <c r="Y49" s="323">
        <v>21768936.588121608</v>
      </c>
      <c r="Z49" s="319">
        <v>12380033.419</v>
      </c>
      <c r="AA49" s="319">
        <v>564247</v>
      </c>
      <c r="AB49" s="323">
        <v>61930428.901095837</v>
      </c>
      <c r="AC49" s="319">
        <v>35219946.383000001</v>
      </c>
    </row>
    <row r="50" spans="2:29" hidden="1" outlineLevel="1" x14ac:dyDescent="0.25">
      <c r="B50" s="318">
        <v>39873</v>
      </c>
      <c r="C50" s="319">
        <v>254074</v>
      </c>
      <c r="D50" s="323">
        <v>27396631.116144001</v>
      </c>
      <c r="E50" s="319">
        <v>15641610.882999999</v>
      </c>
      <c r="F50" s="319">
        <v>115759</v>
      </c>
      <c r="G50" s="323">
        <v>12454503.772064384</v>
      </c>
      <c r="H50" s="319">
        <v>7110673.6050000004</v>
      </c>
      <c r="I50" s="319">
        <v>369833</v>
      </c>
      <c r="J50" s="323">
        <v>39851134.888208382</v>
      </c>
      <c r="K50" s="319">
        <v>22752284.488000002</v>
      </c>
      <c r="L50" s="319">
        <v>112459</v>
      </c>
      <c r="M50" s="323">
        <v>12660326.855868543</v>
      </c>
      <c r="N50" s="319">
        <v>7228184.5710000005</v>
      </c>
      <c r="O50" s="319">
        <v>85609</v>
      </c>
      <c r="P50" s="323">
        <v>9301461.9014666006</v>
      </c>
      <c r="Q50" s="319">
        <v>5310501.3930000002</v>
      </c>
      <c r="R50" s="319">
        <v>198068</v>
      </c>
      <c r="S50" s="323">
        <v>21961788.757335145</v>
      </c>
      <c r="T50" s="319">
        <v>12538685.964</v>
      </c>
      <c r="U50" s="319">
        <v>366533</v>
      </c>
      <c r="V50" s="323">
        <v>40056957.972012542</v>
      </c>
      <c r="W50" s="319">
        <v>22869795.454</v>
      </c>
      <c r="X50" s="319">
        <v>201368</v>
      </c>
      <c r="Y50" s="323">
        <v>21755965.673530988</v>
      </c>
      <c r="Z50" s="319">
        <v>12421174.998</v>
      </c>
      <c r="AA50" s="319">
        <v>567901</v>
      </c>
      <c r="AB50" s="323">
        <v>61812923.645543523</v>
      </c>
      <c r="AC50" s="319">
        <v>35290970.452</v>
      </c>
    </row>
    <row r="51" spans="2:29" hidden="1" outlineLevel="1" x14ac:dyDescent="0.25">
      <c r="B51" s="318">
        <v>39904</v>
      </c>
      <c r="C51" s="319">
        <v>255795</v>
      </c>
      <c r="D51" s="323">
        <v>27470585.232135717</v>
      </c>
      <c r="E51" s="319">
        <v>15659382.741</v>
      </c>
      <c r="F51" s="319">
        <v>116177</v>
      </c>
      <c r="G51" s="323">
        <v>12424172.312071024</v>
      </c>
      <c r="H51" s="319">
        <v>7082297.9500000002</v>
      </c>
      <c r="I51" s="319">
        <v>371972</v>
      </c>
      <c r="J51" s="323">
        <v>39894757.544206738</v>
      </c>
      <c r="K51" s="319">
        <v>22741680.691</v>
      </c>
      <c r="L51" s="319">
        <v>113104</v>
      </c>
      <c r="M51" s="323">
        <v>12803729.291449724</v>
      </c>
      <c r="N51" s="319">
        <v>7298661.3059999999</v>
      </c>
      <c r="O51" s="319">
        <v>85787</v>
      </c>
      <c r="P51" s="323">
        <v>9383905.6672432888</v>
      </c>
      <c r="Q51" s="319">
        <v>5349218.7810000004</v>
      </c>
      <c r="R51" s="319">
        <v>198891</v>
      </c>
      <c r="S51" s="323">
        <v>22187634.958693013</v>
      </c>
      <c r="T51" s="319">
        <v>12647880.086999999</v>
      </c>
      <c r="U51" s="319">
        <v>368899</v>
      </c>
      <c r="V51" s="323">
        <v>40274314.523585439</v>
      </c>
      <c r="W51" s="319">
        <v>22958044.046999998</v>
      </c>
      <c r="X51" s="319">
        <v>201964</v>
      </c>
      <c r="Y51" s="323">
        <v>21808077.979314312</v>
      </c>
      <c r="Z51" s="319">
        <v>12431516.731000001</v>
      </c>
      <c r="AA51" s="319">
        <v>570863</v>
      </c>
      <c r="AB51" s="323">
        <v>62082392.502899751</v>
      </c>
      <c r="AC51" s="319">
        <v>35389560.777999997</v>
      </c>
    </row>
    <row r="52" spans="2:29" hidden="1" outlineLevel="1" x14ac:dyDescent="0.25">
      <c r="B52" s="318">
        <v>39934</v>
      </c>
      <c r="C52" s="319">
        <v>258094</v>
      </c>
      <c r="D52" s="323">
        <v>27839834.648972321</v>
      </c>
      <c r="E52" s="319">
        <v>15830182.876</v>
      </c>
      <c r="F52" s="319">
        <v>116638</v>
      </c>
      <c r="G52" s="323">
        <v>12515261.822801618</v>
      </c>
      <c r="H52" s="319">
        <v>7116381.4689999996</v>
      </c>
      <c r="I52" s="319">
        <v>374732</v>
      </c>
      <c r="J52" s="323">
        <v>40355096.471773937</v>
      </c>
      <c r="K52" s="319">
        <v>22946564.344999999</v>
      </c>
      <c r="L52" s="319">
        <v>114003</v>
      </c>
      <c r="M52" s="323">
        <v>13094457.065030955</v>
      </c>
      <c r="N52" s="319">
        <v>7445721.3059999999</v>
      </c>
      <c r="O52" s="319">
        <v>86085</v>
      </c>
      <c r="P52" s="323">
        <v>9553576.0899409894</v>
      </c>
      <c r="Q52" s="319">
        <v>5432318.7810000004</v>
      </c>
      <c r="R52" s="319">
        <v>200088</v>
      </c>
      <c r="S52" s="323">
        <v>22648033.154971942</v>
      </c>
      <c r="T52" s="319">
        <v>12878040.086999999</v>
      </c>
      <c r="U52" s="319">
        <v>372097</v>
      </c>
      <c r="V52" s="323">
        <v>40934291.714003272</v>
      </c>
      <c r="W52" s="319">
        <v>23275904.182</v>
      </c>
      <c r="X52" s="319">
        <v>202723</v>
      </c>
      <c r="Y52" s="323">
        <v>22068837.912742607</v>
      </c>
      <c r="Z52" s="319">
        <v>12548700.25</v>
      </c>
      <c r="AA52" s="319">
        <v>574820</v>
      </c>
      <c r="AB52" s="323">
        <v>63003129.62674588</v>
      </c>
      <c r="AC52" s="319">
        <v>35824604.431999996</v>
      </c>
    </row>
    <row r="53" spans="2:29" hidden="1" outlineLevel="1" x14ac:dyDescent="0.25">
      <c r="B53" s="318">
        <v>39965</v>
      </c>
      <c r="C53" s="319">
        <v>260086</v>
      </c>
      <c r="D53" s="323">
        <v>28000022.398636576</v>
      </c>
      <c r="E53" s="319">
        <v>15976444.926000001</v>
      </c>
      <c r="F53" s="319">
        <v>116982</v>
      </c>
      <c r="G53" s="323">
        <v>12525698.370690936</v>
      </c>
      <c r="H53" s="319">
        <v>7146998.932</v>
      </c>
      <c r="I53" s="319">
        <v>377068</v>
      </c>
      <c r="J53" s="323">
        <v>40525720.769327514</v>
      </c>
      <c r="K53" s="319">
        <v>23123443.857999999</v>
      </c>
      <c r="L53" s="319">
        <v>114983</v>
      </c>
      <c r="M53" s="323">
        <v>13376765.10574525</v>
      </c>
      <c r="N53" s="319">
        <v>7632606.4299999997</v>
      </c>
      <c r="O53" s="319">
        <v>86441</v>
      </c>
      <c r="P53" s="323">
        <v>9619484.9938392323</v>
      </c>
      <c r="Q53" s="319">
        <v>5488751.7599999998</v>
      </c>
      <c r="R53" s="319">
        <v>201424</v>
      </c>
      <c r="S53" s="323">
        <v>22996250.099584483</v>
      </c>
      <c r="T53" s="319">
        <v>13121358.189999999</v>
      </c>
      <c r="U53" s="319">
        <v>375069</v>
      </c>
      <c r="V53" s="323">
        <v>41376787.504381828</v>
      </c>
      <c r="W53" s="319">
        <v>23609051.355999999</v>
      </c>
      <c r="X53" s="319">
        <v>203423</v>
      </c>
      <c r="Y53" s="323">
        <v>22145183.364530172</v>
      </c>
      <c r="Z53" s="319">
        <v>12635750.692</v>
      </c>
      <c r="AA53" s="319">
        <v>578492</v>
      </c>
      <c r="AB53" s="323">
        <v>63521970.868911996</v>
      </c>
      <c r="AC53" s="319">
        <v>36244802.048</v>
      </c>
    </row>
    <row r="54" spans="2:29" hidden="1" outlineLevel="1" x14ac:dyDescent="0.25">
      <c r="B54" s="318">
        <v>39995</v>
      </c>
      <c r="C54" s="319">
        <v>261334</v>
      </c>
      <c r="D54" s="323">
        <v>35054001.546682231</v>
      </c>
      <c r="E54" s="319">
        <v>19913272.247000001</v>
      </c>
      <c r="F54" s="319">
        <v>117124</v>
      </c>
      <c r="G54" s="323">
        <v>15671991.312951133</v>
      </c>
      <c r="H54" s="319">
        <v>8902853.1950000003</v>
      </c>
      <c r="I54" s="319">
        <v>378458</v>
      </c>
      <c r="J54" s="323">
        <v>50725992.859633364</v>
      </c>
      <c r="K54" s="319">
        <v>28816125.442000002</v>
      </c>
      <c r="L54" s="319">
        <v>116028</v>
      </c>
      <c r="M54" s="323">
        <v>16743120.192003822</v>
      </c>
      <c r="N54" s="319">
        <v>9511333.8259999994</v>
      </c>
      <c r="O54" s="319">
        <v>86710</v>
      </c>
      <c r="P54" s="323">
        <v>11967309.892535508</v>
      </c>
      <c r="Q54" s="319">
        <v>6798319.4340000004</v>
      </c>
      <c r="R54" s="319">
        <v>202738</v>
      </c>
      <c r="S54" s="323">
        <v>28710430.084539328</v>
      </c>
      <c r="T54" s="319">
        <v>16309653.26</v>
      </c>
      <c r="U54" s="319">
        <v>377362</v>
      </c>
      <c r="V54" s="323">
        <v>51797121.738686047</v>
      </c>
      <c r="W54" s="319">
        <v>29424606.072999999</v>
      </c>
      <c r="X54" s="319">
        <v>203834</v>
      </c>
      <c r="Y54" s="323">
        <v>27639301.205486637</v>
      </c>
      <c r="Z54" s="319">
        <v>15701172.629000001</v>
      </c>
      <c r="AA54" s="319">
        <v>581196</v>
      </c>
      <c r="AB54" s="323">
        <v>79436422.944172695</v>
      </c>
      <c r="AC54" s="319">
        <v>45125778.702</v>
      </c>
    </row>
    <row r="55" spans="2:29" hidden="1" outlineLevel="1" x14ac:dyDescent="0.25">
      <c r="B55" s="318">
        <v>40026</v>
      </c>
      <c r="C55" s="319">
        <v>261917</v>
      </c>
      <c r="D55" s="323">
        <v>35250386.893563479</v>
      </c>
      <c r="E55" s="319">
        <v>19952724.859000001</v>
      </c>
      <c r="F55" s="319">
        <v>117348</v>
      </c>
      <c r="G55" s="323">
        <v>15928556.97925581</v>
      </c>
      <c r="H55" s="319">
        <v>9016017.7750000004</v>
      </c>
      <c r="I55" s="319">
        <v>379265</v>
      </c>
      <c r="J55" s="323">
        <v>51178943.87281929</v>
      </c>
      <c r="K55" s="319">
        <v>28968742.634</v>
      </c>
      <c r="L55" s="319">
        <v>117514</v>
      </c>
      <c r="M55" s="323">
        <v>17443395.80744265</v>
      </c>
      <c r="N55" s="319">
        <v>9873459.7780000009</v>
      </c>
      <c r="O55" s="319">
        <v>87229</v>
      </c>
      <c r="P55" s="323">
        <v>12283709.12325618</v>
      </c>
      <c r="Q55" s="319">
        <v>6952929.8820000002</v>
      </c>
      <c r="R55" s="319">
        <v>204743</v>
      </c>
      <c r="S55" s="323">
        <v>29727104.930698831</v>
      </c>
      <c r="T55" s="319">
        <v>16826389.66</v>
      </c>
      <c r="U55" s="319">
        <v>379431</v>
      </c>
      <c r="V55" s="323">
        <v>52693782.701006137</v>
      </c>
      <c r="W55" s="319">
        <v>29826184.636999998</v>
      </c>
      <c r="X55" s="319">
        <v>204577</v>
      </c>
      <c r="Y55" s="323">
        <v>28212266.102511991</v>
      </c>
      <c r="Z55" s="319">
        <v>15968947.657</v>
      </c>
      <c r="AA55" s="319">
        <v>584008</v>
      </c>
      <c r="AB55" s="323">
        <v>80906048.803518131</v>
      </c>
      <c r="AC55" s="319">
        <v>45795132.294</v>
      </c>
    </row>
    <row r="56" spans="2:29" hidden="1" outlineLevel="1" x14ac:dyDescent="0.25">
      <c r="B56" s="318">
        <v>40057</v>
      </c>
      <c r="C56" s="319">
        <v>267244</v>
      </c>
      <c r="D56" s="323">
        <v>36897071.85815984</v>
      </c>
      <c r="E56" s="319">
        <v>21089928.934999999</v>
      </c>
      <c r="F56" s="319">
        <v>117430</v>
      </c>
      <c r="G56" s="323">
        <v>15642345.815137817</v>
      </c>
      <c r="H56" s="319">
        <v>8940979.4600000009</v>
      </c>
      <c r="I56" s="319">
        <v>384674</v>
      </c>
      <c r="J56" s="323">
        <v>52539417.673297659</v>
      </c>
      <c r="K56" s="319">
        <v>30030908.395</v>
      </c>
      <c r="L56" s="319">
        <v>118761</v>
      </c>
      <c r="M56" s="323">
        <v>17294301.58761527</v>
      </c>
      <c r="N56" s="319">
        <v>9885217.7990000006</v>
      </c>
      <c r="O56" s="319">
        <v>87678</v>
      </c>
      <c r="P56" s="323">
        <v>12166898.556039922</v>
      </c>
      <c r="Q56" s="319">
        <v>6954455.0010000002</v>
      </c>
      <c r="R56" s="319">
        <v>206439</v>
      </c>
      <c r="S56" s="323">
        <v>29461200.143655192</v>
      </c>
      <c r="T56" s="319">
        <v>16839672.800000001</v>
      </c>
      <c r="U56" s="319">
        <v>386005</v>
      </c>
      <c r="V56" s="323">
        <v>54191373.445775114</v>
      </c>
      <c r="W56" s="319">
        <v>30975146.734000001</v>
      </c>
      <c r="X56" s="319">
        <v>205108</v>
      </c>
      <c r="Y56" s="323">
        <v>27809244.37117774</v>
      </c>
      <c r="Z56" s="319">
        <v>15895434.460999999</v>
      </c>
      <c r="AA56" s="319">
        <v>591113</v>
      </c>
      <c r="AB56" s="323">
        <v>82000617.816952854</v>
      </c>
      <c r="AC56" s="319">
        <v>46870581.195</v>
      </c>
    </row>
    <row r="57" spans="2:29" hidden="1" outlineLevel="1" x14ac:dyDescent="0.25">
      <c r="B57" s="318">
        <v>40087</v>
      </c>
      <c r="C57" s="319">
        <v>273548</v>
      </c>
      <c r="D57" s="323">
        <v>37640086.154982232</v>
      </c>
      <c r="E57" s="319">
        <v>21514109.166000001</v>
      </c>
      <c r="F57" s="319">
        <v>118419</v>
      </c>
      <c r="G57" s="323">
        <v>16011891.956913091</v>
      </c>
      <c r="H57" s="319">
        <v>9151987.3279999997</v>
      </c>
      <c r="I57" s="319">
        <v>391967</v>
      </c>
      <c r="J57" s="323">
        <v>53651978.111895323</v>
      </c>
      <c r="K57" s="319">
        <v>30666096.493999999</v>
      </c>
      <c r="L57" s="319">
        <v>120250</v>
      </c>
      <c r="M57" s="323">
        <v>17869213.81978026</v>
      </c>
      <c r="N57" s="319">
        <v>10213584.933</v>
      </c>
      <c r="O57" s="319">
        <v>88090</v>
      </c>
      <c r="P57" s="323">
        <v>12292754.873780359</v>
      </c>
      <c r="Q57" s="319">
        <v>7026223.8300000001</v>
      </c>
      <c r="R57" s="319">
        <v>208340</v>
      </c>
      <c r="S57" s="323">
        <v>30161968.693560623</v>
      </c>
      <c r="T57" s="319">
        <v>17239808.763</v>
      </c>
      <c r="U57" s="319">
        <v>393798</v>
      </c>
      <c r="V57" s="323">
        <v>55509299.974762492</v>
      </c>
      <c r="W57" s="319">
        <v>31727694.098999999</v>
      </c>
      <c r="X57" s="319">
        <v>206509</v>
      </c>
      <c r="Y57" s="323">
        <v>28304646.83069345</v>
      </c>
      <c r="Z57" s="319">
        <v>16178211.158</v>
      </c>
      <c r="AA57" s="319">
        <v>600307</v>
      </c>
      <c r="AB57" s="323">
        <v>83813946.805455953</v>
      </c>
      <c r="AC57" s="319">
        <v>47905905.256999999</v>
      </c>
    </row>
    <row r="58" spans="2:29" hidden="1" outlineLevel="1" x14ac:dyDescent="0.25">
      <c r="B58" s="318">
        <v>40118</v>
      </c>
      <c r="C58" s="319">
        <v>275060</v>
      </c>
      <c r="D58" s="323">
        <v>36883053.02971632</v>
      </c>
      <c r="E58" s="319">
        <v>20985331.285</v>
      </c>
      <c r="F58" s="319">
        <v>118547</v>
      </c>
      <c r="G58" s="323">
        <v>15830946.112655856</v>
      </c>
      <c r="H58" s="319">
        <v>9007325.0840000007</v>
      </c>
      <c r="I58" s="319">
        <v>393607</v>
      </c>
      <c r="J58" s="323">
        <v>52713999.142372176</v>
      </c>
      <c r="K58" s="319">
        <v>29992656.368999999</v>
      </c>
      <c r="L58" s="319">
        <v>121468</v>
      </c>
      <c r="M58" s="323">
        <v>17776706.995133113</v>
      </c>
      <c r="N58" s="319">
        <v>10114403.630000001</v>
      </c>
      <c r="O58" s="319">
        <v>88421</v>
      </c>
      <c r="P58" s="323">
        <v>12256179.133693231</v>
      </c>
      <c r="Q58" s="319">
        <v>6973391.7960000001</v>
      </c>
      <c r="R58" s="319">
        <v>209889</v>
      </c>
      <c r="S58" s="323">
        <v>30032886.128826343</v>
      </c>
      <c r="T58" s="319">
        <v>17087795.425999999</v>
      </c>
      <c r="U58" s="319">
        <v>396528</v>
      </c>
      <c r="V58" s="323">
        <v>54659760.024849437</v>
      </c>
      <c r="W58" s="319">
        <v>31099734.914999999</v>
      </c>
      <c r="X58" s="319">
        <v>206968</v>
      </c>
      <c r="Y58" s="323">
        <v>28087125.246349085</v>
      </c>
      <c r="Z58" s="319">
        <v>15980716.880000001</v>
      </c>
      <c r="AA58" s="319">
        <v>603496</v>
      </c>
      <c r="AB58" s="323">
        <v>82746885.271198511</v>
      </c>
      <c r="AC58" s="319">
        <v>47080451.795000002</v>
      </c>
    </row>
    <row r="59" spans="2:29" hidden="1" outlineLevel="1" x14ac:dyDescent="0.25">
      <c r="B59" s="318">
        <v>40148</v>
      </c>
      <c r="C59" s="319">
        <v>278864</v>
      </c>
      <c r="D59" s="323">
        <v>38489144.665710203</v>
      </c>
      <c r="E59" s="319">
        <v>21832267.361000001</v>
      </c>
      <c r="F59" s="319">
        <v>119964</v>
      </c>
      <c r="G59" s="323">
        <v>16335240.552109256</v>
      </c>
      <c r="H59" s="319">
        <v>9265868.1359999999</v>
      </c>
      <c r="I59" s="319">
        <v>398828</v>
      </c>
      <c r="J59" s="323">
        <v>54824385.21781946</v>
      </c>
      <c r="K59" s="319">
        <v>31098135.497000001</v>
      </c>
      <c r="L59" s="319">
        <v>123215</v>
      </c>
      <c r="M59" s="323">
        <v>18945630.622933071</v>
      </c>
      <c r="N59" s="319">
        <v>10746564.432</v>
      </c>
      <c r="O59" s="319">
        <v>88990</v>
      </c>
      <c r="P59" s="323">
        <v>12640539.793036791</v>
      </c>
      <c r="Q59" s="319">
        <v>7170116.3210000005</v>
      </c>
      <c r="R59" s="319">
        <v>212205</v>
      </c>
      <c r="S59" s="323">
        <v>31586170.415969864</v>
      </c>
      <c r="T59" s="319">
        <v>17916680.752999999</v>
      </c>
      <c r="U59" s="319">
        <v>402079</v>
      </c>
      <c r="V59" s="323">
        <v>57434775.288643278</v>
      </c>
      <c r="W59" s="319">
        <v>32578831.793000001</v>
      </c>
      <c r="X59" s="319">
        <v>208954</v>
      </c>
      <c r="Y59" s="323">
        <v>28975780.345146049</v>
      </c>
      <c r="Z59" s="319">
        <v>16435984.457</v>
      </c>
      <c r="AA59" s="319">
        <v>611033</v>
      </c>
      <c r="AB59" s="323">
        <v>86410555.633789316</v>
      </c>
      <c r="AC59" s="319">
        <v>49014816.25</v>
      </c>
    </row>
    <row r="60" spans="2:29" collapsed="1" x14ac:dyDescent="0.25">
      <c r="B60" s="321" t="s">
        <v>691</v>
      </c>
      <c r="C60" s="322">
        <v>262267.25</v>
      </c>
      <c r="D60" s="324">
        <v>32146577.464093819</v>
      </c>
      <c r="E60" s="322"/>
      <c r="F60" s="322">
        <v>117026.58333333333</v>
      </c>
      <c r="G60" s="324">
        <v>14181878.7457252</v>
      </c>
      <c r="H60" s="322"/>
      <c r="I60" s="322">
        <v>379293.83333333331</v>
      </c>
      <c r="J60" s="324">
        <v>46328456.209819026</v>
      </c>
      <c r="K60" s="322"/>
      <c r="L60" s="322">
        <v>116205.08333333333</v>
      </c>
      <c r="M60" s="324">
        <v>15282842.119357163</v>
      </c>
      <c r="N60" s="322"/>
      <c r="O60" s="322">
        <v>86817.666666666672</v>
      </c>
      <c r="P60" s="324">
        <v>10849443.137178732</v>
      </c>
      <c r="Q60" s="322"/>
      <c r="R60" s="322">
        <v>203022.75</v>
      </c>
      <c r="S60" s="324">
        <v>26132285.256535899</v>
      </c>
      <c r="T60" s="322"/>
      <c r="U60" s="322">
        <v>378472.33333333331</v>
      </c>
      <c r="V60" s="324">
        <v>47429419.58345098</v>
      </c>
      <c r="W60" s="322"/>
      <c r="X60" s="322">
        <v>203844.25</v>
      </c>
      <c r="Y60" s="324">
        <v>25031321.88290393</v>
      </c>
      <c r="Z60" s="322"/>
      <c r="AA60" s="322">
        <v>582316.58333333337</v>
      </c>
      <c r="AB60" s="324">
        <v>72460741.466354907</v>
      </c>
      <c r="AC60" s="322"/>
    </row>
    <row r="61" spans="2:29" hidden="1" outlineLevel="1" x14ac:dyDescent="0.25">
      <c r="B61" s="318">
        <v>40179</v>
      </c>
      <c r="C61" s="319">
        <v>281175</v>
      </c>
      <c r="D61" s="323">
        <v>37404512.801322035</v>
      </c>
      <c r="E61" s="319">
        <v>21326987.046</v>
      </c>
      <c r="F61" s="319">
        <v>120328</v>
      </c>
      <c r="G61" s="323">
        <v>15949404.661881644</v>
      </c>
      <c r="H61" s="319">
        <v>9093895.9269999992</v>
      </c>
      <c r="I61" s="319">
        <v>401503</v>
      </c>
      <c r="J61" s="323">
        <v>53353917.463203683</v>
      </c>
      <c r="K61" s="319">
        <v>30420882.973000001</v>
      </c>
      <c r="L61" s="319">
        <v>124307</v>
      </c>
      <c r="M61" s="323">
        <v>17675125.526135996</v>
      </c>
      <c r="N61" s="319">
        <v>10077852.775</v>
      </c>
      <c r="O61" s="319">
        <v>89382</v>
      </c>
      <c r="P61" s="323">
        <v>12235219.543224657</v>
      </c>
      <c r="Q61" s="319">
        <v>6976173.4390000002</v>
      </c>
      <c r="R61" s="319">
        <v>213689</v>
      </c>
      <c r="S61" s="323">
        <v>29910345.069360651</v>
      </c>
      <c r="T61" s="319">
        <v>17054026.214000002</v>
      </c>
      <c r="U61" s="319">
        <v>405482</v>
      </c>
      <c r="V61" s="323">
        <v>55079638.327458039</v>
      </c>
      <c r="W61" s="319">
        <v>31404839.820999999</v>
      </c>
      <c r="X61" s="319">
        <v>209710</v>
      </c>
      <c r="Y61" s="323">
        <v>28184624.205106299</v>
      </c>
      <c r="Z61" s="319">
        <v>16070069.366</v>
      </c>
      <c r="AA61" s="319">
        <v>615192</v>
      </c>
      <c r="AB61" s="323">
        <v>83264262.532564327</v>
      </c>
      <c r="AC61" s="319">
        <v>47474909.186999999</v>
      </c>
    </row>
    <row r="62" spans="2:29" hidden="1" outlineLevel="1" x14ac:dyDescent="0.25">
      <c r="B62" s="318">
        <v>40210</v>
      </c>
      <c r="C62" s="319">
        <v>280040</v>
      </c>
      <c r="D62" s="323">
        <v>36717243.415283233</v>
      </c>
      <c r="E62" s="319">
        <v>20993952.795000002</v>
      </c>
      <c r="F62" s="319">
        <v>119616</v>
      </c>
      <c r="G62" s="323">
        <v>15686419.199849745</v>
      </c>
      <c r="H62" s="319">
        <v>8969081.3790000007</v>
      </c>
      <c r="I62" s="319">
        <v>399656</v>
      </c>
      <c r="J62" s="323">
        <v>52403662.61513298</v>
      </c>
      <c r="K62" s="319">
        <v>29963034.173999999</v>
      </c>
      <c r="L62" s="319">
        <v>123693</v>
      </c>
      <c r="M62" s="323">
        <v>16224743.02349915</v>
      </c>
      <c r="N62" s="319">
        <v>9276880.7640000004</v>
      </c>
      <c r="O62" s="319">
        <v>89028</v>
      </c>
      <c r="P62" s="323">
        <v>11678907.751237234</v>
      </c>
      <c r="Q62" s="319">
        <v>6677691.875</v>
      </c>
      <c r="R62" s="319">
        <v>212721</v>
      </c>
      <c r="S62" s="323">
        <v>27903650.774736382</v>
      </c>
      <c r="T62" s="319">
        <v>15954572.639</v>
      </c>
      <c r="U62" s="319">
        <v>403733</v>
      </c>
      <c r="V62" s="323">
        <v>52941986.438782379</v>
      </c>
      <c r="W62" s="319">
        <v>30270833.559</v>
      </c>
      <c r="X62" s="319">
        <v>208644</v>
      </c>
      <c r="Y62" s="323">
        <v>27365326.951086979</v>
      </c>
      <c r="Z62" s="319">
        <v>15646773.254000001</v>
      </c>
      <c r="AA62" s="319">
        <v>612377</v>
      </c>
      <c r="AB62" s="323">
        <v>80307313.389869347</v>
      </c>
      <c r="AC62" s="319">
        <v>45917606.813000001</v>
      </c>
    </row>
    <row r="63" spans="2:29" hidden="1" outlineLevel="1" x14ac:dyDescent="0.25">
      <c r="B63" s="318">
        <v>40238</v>
      </c>
      <c r="C63" s="319">
        <v>282275</v>
      </c>
      <c r="D63" s="323">
        <v>38309447.574650593</v>
      </c>
      <c r="E63" s="319">
        <v>21922751.114</v>
      </c>
      <c r="F63" s="319">
        <v>120019</v>
      </c>
      <c r="G63" s="323">
        <v>16000562.444006231</v>
      </c>
      <c r="H63" s="319">
        <v>9156392.7530000005</v>
      </c>
      <c r="I63" s="319">
        <v>402294</v>
      </c>
      <c r="J63" s="323">
        <v>54310010.018656828</v>
      </c>
      <c r="K63" s="319">
        <v>31079143.866999999</v>
      </c>
      <c r="L63" s="319">
        <v>124927</v>
      </c>
      <c r="M63" s="323">
        <v>17914026.536497094</v>
      </c>
      <c r="N63" s="319">
        <v>10251381.058</v>
      </c>
      <c r="O63" s="319">
        <v>89480</v>
      </c>
      <c r="P63" s="323">
        <v>12292120.044991581</v>
      </c>
      <c r="Q63" s="319">
        <v>7034220.159</v>
      </c>
      <c r="R63" s="319">
        <v>214407</v>
      </c>
      <c r="S63" s="323">
        <v>30206146.581488669</v>
      </c>
      <c r="T63" s="319">
        <v>17285601.217</v>
      </c>
      <c r="U63" s="319">
        <v>407202</v>
      </c>
      <c r="V63" s="323">
        <v>56223474.111147687</v>
      </c>
      <c r="W63" s="319">
        <v>32174132.171999998</v>
      </c>
      <c r="X63" s="319">
        <v>209499</v>
      </c>
      <c r="Y63" s="323">
        <v>28292682.48899781</v>
      </c>
      <c r="Z63" s="319">
        <v>16190612.912</v>
      </c>
      <c r="AA63" s="319">
        <v>616701</v>
      </c>
      <c r="AB63" s="323">
        <v>84516156.600145489</v>
      </c>
      <c r="AC63" s="319">
        <v>48364745.083999999</v>
      </c>
    </row>
    <row r="64" spans="2:29" hidden="1" outlineLevel="1" x14ac:dyDescent="0.25">
      <c r="B64" s="318">
        <v>40269</v>
      </c>
      <c r="C64" s="319">
        <v>283343</v>
      </c>
      <c r="D64" s="323">
        <v>37457073.453121759</v>
      </c>
      <c r="E64" s="319">
        <v>21534048.636</v>
      </c>
      <c r="F64" s="319">
        <v>120234</v>
      </c>
      <c r="G64" s="323">
        <v>15938452.374181183</v>
      </c>
      <c r="H64" s="319">
        <v>9163006.5289999992</v>
      </c>
      <c r="I64" s="319">
        <v>403577</v>
      </c>
      <c r="J64" s="323">
        <v>53395525.82730294</v>
      </c>
      <c r="K64" s="319">
        <v>30697055.164999999</v>
      </c>
      <c r="L64" s="319">
        <v>125111</v>
      </c>
      <c r="M64" s="323">
        <v>16993549.315964464</v>
      </c>
      <c r="N64" s="319">
        <v>9769581.1160000004</v>
      </c>
      <c r="O64" s="319">
        <v>89554</v>
      </c>
      <c r="P64" s="323">
        <v>12005702.27062805</v>
      </c>
      <c r="Q64" s="319">
        <v>6902070.898</v>
      </c>
      <c r="R64" s="319">
        <v>214665</v>
      </c>
      <c r="S64" s="323">
        <v>28999251.586592514</v>
      </c>
      <c r="T64" s="319">
        <v>16671652.014</v>
      </c>
      <c r="U64" s="319">
        <v>408454</v>
      </c>
      <c r="V64" s="323">
        <v>54450622.769086219</v>
      </c>
      <c r="W64" s="319">
        <v>31303629.752</v>
      </c>
      <c r="X64" s="319">
        <v>209788</v>
      </c>
      <c r="Y64" s="323">
        <v>27944154.644809235</v>
      </c>
      <c r="Z64" s="319">
        <v>16065077.426999999</v>
      </c>
      <c r="AA64" s="319">
        <v>618242</v>
      </c>
      <c r="AB64" s="323">
        <v>82394777.413895458</v>
      </c>
      <c r="AC64" s="319">
        <v>47368707.178999998</v>
      </c>
    </row>
    <row r="65" spans="2:29" hidden="1" outlineLevel="1" x14ac:dyDescent="0.25">
      <c r="B65" s="318">
        <v>40299</v>
      </c>
      <c r="C65" s="319">
        <v>283931</v>
      </c>
      <c r="D65" s="323">
        <v>37594197.818393655</v>
      </c>
      <c r="E65" s="319">
        <v>21690650.936000001</v>
      </c>
      <c r="F65" s="319">
        <v>120295</v>
      </c>
      <c r="G65" s="323">
        <v>15842902.11173591</v>
      </c>
      <c r="H65" s="319">
        <v>9140848.3080000002</v>
      </c>
      <c r="I65" s="319">
        <v>404226</v>
      </c>
      <c r="J65" s="323">
        <v>53437099.930129565</v>
      </c>
      <c r="K65" s="319">
        <v>30831499.243999999</v>
      </c>
      <c r="L65" s="319">
        <v>125246</v>
      </c>
      <c r="M65" s="323">
        <v>17002148.957686543</v>
      </c>
      <c r="N65" s="319">
        <v>9809696.6980000008</v>
      </c>
      <c r="O65" s="319">
        <v>89604</v>
      </c>
      <c r="P65" s="323">
        <v>11935569.937385827</v>
      </c>
      <c r="Q65" s="319">
        <v>6886442.4900000002</v>
      </c>
      <c r="R65" s="319">
        <v>214850</v>
      </c>
      <c r="S65" s="323">
        <v>28937718.895072367</v>
      </c>
      <c r="T65" s="319">
        <v>16696139.187999999</v>
      </c>
      <c r="U65" s="319">
        <v>409177</v>
      </c>
      <c r="V65" s="323">
        <v>54596346.776080191</v>
      </c>
      <c r="W65" s="319">
        <v>31500347.634</v>
      </c>
      <c r="X65" s="319">
        <v>209899</v>
      </c>
      <c r="Y65" s="323">
        <v>27778472.049121737</v>
      </c>
      <c r="Z65" s="319">
        <v>16027290.798</v>
      </c>
      <c r="AA65" s="319">
        <v>619076</v>
      </c>
      <c r="AB65" s="323">
        <v>82374818.825201929</v>
      </c>
      <c r="AC65" s="319">
        <v>47527638.431999996</v>
      </c>
    </row>
    <row r="66" spans="2:29" hidden="1" outlineLevel="1" x14ac:dyDescent="0.25">
      <c r="B66" s="318">
        <v>40330</v>
      </c>
      <c r="C66" s="319">
        <v>284810</v>
      </c>
      <c r="D66" s="323">
        <v>37570439.307789661</v>
      </c>
      <c r="E66" s="319">
        <v>21677022.113000002</v>
      </c>
      <c r="F66" s="319">
        <v>120331</v>
      </c>
      <c r="G66" s="323">
        <v>15822802.017861044</v>
      </c>
      <c r="H66" s="319">
        <v>9129284.5</v>
      </c>
      <c r="I66" s="319">
        <v>405141</v>
      </c>
      <c r="J66" s="323">
        <v>53393241.325650707</v>
      </c>
      <c r="K66" s="319">
        <v>30806306.613000002</v>
      </c>
      <c r="L66" s="319">
        <v>125671</v>
      </c>
      <c r="M66" s="323">
        <v>17253557.658876915</v>
      </c>
      <c r="N66" s="319">
        <v>9954787.8010000009</v>
      </c>
      <c r="O66" s="319">
        <v>89759</v>
      </c>
      <c r="P66" s="323">
        <v>12027874.549105175</v>
      </c>
      <c r="Q66" s="319">
        <v>6939724.6179999998</v>
      </c>
      <c r="R66" s="319">
        <v>215430</v>
      </c>
      <c r="S66" s="323">
        <v>29281432.207982089</v>
      </c>
      <c r="T66" s="319">
        <v>16894512.419</v>
      </c>
      <c r="U66" s="319">
        <v>410481</v>
      </c>
      <c r="V66" s="323">
        <v>54823996.966666572</v>
      </c>
      <c r="W66" s="319">
        <v>31631809.914000001</v>
      </c>
      <c r="X66" s="319">
        <v>210090</v>
      </c>
      <c r="Y66" s="323">
        <v>27850676.566966217</v>
      </c>
      <c r="Z66" s="319">
        <v>16069009.118000001</v>
      </c>
      <c r="AA66" s="319">
        <v>620571</v>
      </c>
      <c r="AB66" s="323">
        <v>82674673.5336328</v>
      </c>
      <c r="AC66" s="319">
        <v>47700819.031999998</v>
      </c>
    </row>
    <row r="67" spans="2:29" hidden="1" outlineLevel="1" x14ac:dyDescent="0.25">
      <c r="B67" s="318">
        <v>40360</v>
      </c>
      <c r="C67" s="319">
        <v>285566</v>
      </c>
      <c r="D67" s="323">
        <v>37872458.020156726</v>
      </c>
      <c r="E67" s="319">
        <v>21991648.254999999</v>
      </c>
      <c r="F67" s="319">
        <v>120293</v>
      </c>
      <c r="G67" s="323">
        <v>15941832.90411279</v>
      </c>
      <c r="H67" s="319">
        <v>9257048.5280000009</v>
      </c>
      <c r="I67" s="319">
        <v>405859</v>
      </c>
      <c r="J67" s="323">
        <v>53814290.924269512</v>
      </c>
      <c r="K67" s="319">
        <v>31248696.783</v>
      </c>
      <c r="L67" s="319">
        <v>125791</v>
      </c>
      <c r="M67" s="323">
        <v>17326106.137289535</v>
      </c>
      <c r="N67" s="319">
        <v>10060863.533</v>
      </c>
      <c r="O67" s="319">
        <v>89862</v>
      </c>
      <c r="P67" s="323">
        <v>12124938.214938868</v>
      </c>
      <c r="Q67" s="319">
        <v>7040667.2889999999</v>
      </c>
      <c r="R67" s="319">
        <v>215653</v>
      </c>
      <c r="S67" s="323">
        <v>29451044.352228399</v>
      </c>
      <c r="T67" s="319">
        <v>17101530.822000001</v>
      </c>
      <c r="U67" s="319">
        <v>411357</v>
      </c>
      <c r="V67" s="323">
        <v>55198564.157446258</v>
      </c>
      <c r="W67" s="319">
        <v>32052511.787999999</v>
      </c>
      <c r="X67" s="319">
        <v>210155</v>
      </c>
      <c r="Y67" s="323">
        <v>28066771.119051658</v>
      </c>
      <c r="Z67" s="319">
        <v>16297715.817</v>
      </c>
      <c r="AA67" s="319">
        <v>621512</v>
      </c>
      <c r="AB67" s="323">
        <v>83265335.276497915</v>
      </c>
      <c r="AC67" s="319">
        <v>48350227.604999997</v>
      </c>
    </row>
    <row r="68" spans="2:29" hidden="1" outlineLevel="1" x14ac:dyDescent="0.25">
      <c r="B68" s="318">
        <v>40391</v>
      </c>
      <c r="C68" s="319">
        <v>286679</v>
      </c>
      <c r="D68" s="323">
        <v>38157166.656790435</v>
      </c>
      <c r="E68" s="319">
        <v>22135189.881000001</v>
      </c>
      <c r="F68" s="319">
        <v>120325</v>
      </c>
      <c r="G68" s="323">
        <v>15930045.120828306</v>
      </c>
      <c r="H68" s="319">
        <v>9241109.9790000003</v>
      </c>
      <c r="I68" s="319">
        <v>407004</v>
      </c>
      <c r="J68" s="323">
        <v>54087211.777618743</v>
      </c>
      <c r="K68" s="319">
        <v>31376299.859999999</v>
      </c>
      <c r="L68" s="319">
        <v>126047</v>
      </c>
      <c r="M68" s="323">
        <v>17243375.99956347</v>
      </c>
      <c r="N68" s="319">
        <v>10002980.708000001</v>
      </c>
      <c r="O68" s="319">
        <v>89942</v>
      </c>
      <c r="P68" s="323">
        <v>12065356.714498697</v>
      </c>
      <c r="Q68" s="319">
        <v>6999182.2050000001</v>
      </c>
      <c r="R68" s="319">
        <v>215989</v>
      </c>
      <c r="S68" s="323">
        <v>29308732.714062165</v>
      </c>
      <c r="T68" s="319">
        <v>17002162.912999999</v>
      </c>
      <c r="U68" s="319">
        <v>412726</v>
      </c>
      <c r="V68" s="323">
        <v>55400542.656353906</v>
      </c>
      <c r="W68" s="319">
        <v>32138170.589000002</v>
      </c>
      <c r="X68" s="319">
        <v>210267</v>
      </c>
      <c r="Y68" s="323">
        <v>27995401.835327003</v>
      </c>
      <c r="Z68" s="319">
        <v>16240292.184</v>
      </c>
      <c r="AA68" s="319">
        <v>622993</v>
      </c>
      <c r="AB68" s="323">
        <v>83395944.491680905</v>
      </c>
      <c r="AC68" s="319">
        <v>48378462.773000002</v>
      </c>
    </row>
    <row r="69" spans="2:29" hidden="1" outlineLevel="1" x14ac:dyDescent="0.25">
      <c r="B69" s="318">
        <v>40422</v>
      </c>
      <c r="C69" s="319">
        <v>286024</v>
      </c>
      <c r="D69" s="323">
        <v>37380350.811091132</v>
      </c>
      <c r="E69" s="319">
        <v>21771278.159000002</v>
      </c>
      <c r="F69" s="319">
        <v>119687</v>
      </c>
      <c r="G69" s="323">
        <v>15618457.517368972</v>
      </c>
      <c r="H69" s="319">
        <v>9096591.5419999994</v>
      </c>
      <c r="I69" s="319">
        <v>405711</v>
      </c>
      <c r="J69" s="323">
        <v>52998808.328460105</v>
      </c>
      <c r="K69" s="319">
        <v>30867869.701000001</v>
      </c>
      <c r="L69" s="319">
        <v>126265</v>
      </c>
      <c r="M69" s="323">
        <v>17230675.261999041</v>
      </c>
      <c r="N69" s="319">
        <v>10035588.641000001</v>
      </c>
      <c r="O69" s="319">
        <v>90028</v>
      </c>
      <c r="P69" s="323">
        <v>12076666.267445827</v>
      </c>
      <c r="Q69" s="319">
        <v>7033761.1830000002</v>
      </c>
      <c r="R69" s="319">
        <v>216293</v>
      </c>
      <c r="S69" s="323">
        <v>29307341.52944487</v>
      </c>
      <c r="T69" s="319">
        <v>17069349.824000001</v>
      </c>
      <c r="U69" s="319">
        <v>412289</v>
      </c>
      <c r="V69" s="323">
        <v>54611026.073090181</v>
      </c>
      <c r="W69" s="319">
        <v>31806866.800000001</v>
      </c>
      <c r="X69" s="319">
        <v>209715</v>
      </c>
      <c r="Y69" s="323">
        <v>27695123.784814801</v>
      </c>
      <c r="Z69" s="319">
        <v>16130352.725</v>
      </c>
      <c r="AA69" s="319">
        <v>622004</v>
      </c>
      <c r="AB69" s="323">
        <v>82306149.857904986</v>
      </c>
      <c r="AC69" s="319">
        <v>47937219.524999999</v>
      </c>
    </row>
    <row r="70" spans="2:29" hidden="1" outlineLevel="1" x14ac:dyDescent="0.25">
      <c r="B70" s="318">
        <v>40452</v>
      </c>
      <c r="C70" s="319">
        <v>286401</v>
      </c>
      <c r="D70" s="323">
        <v>37787976.264271058</v>
      </c>
      <c r="E70" s="319">
        <v>22030268.861000001</v>
      </c>
      <c r="F70" s="319">
        <v>119515</v>
      </c>
      <c r="G70" s="323">
        <v>15784873.252382772</v>
      </c>
      <c r="H70" s="319">
        <v>9202530.4360000007</v>
      </c>
      <c r="I70" s="319">
        <v>405916</v>
      </c>
      <c r="J70" s="323">
        <v>53572849.516653828</v>
      </c>
      <c r="K70" s="319">
        <v>31232799.296999998</v>
      </c>
      <c r="L70" s="319">
        <v>126450</v>
      </c>
      <c r="M70" s="323">
        <v>17207417.856895477</v>
      </c>
      <c r="N70" s="319">
        <v>10031869.374</v>
      </c>
      <c r="O70" s="319">
        <v>90089</v>
      </c>
      <c r="P70" s="323">
        <v>12042386.229143724</v>
      </c>
      <c r="Q70" s="319">
        <v>7020672.5149999997</v>
      </c>
      <c r="R70" s="319">
        <v>216539</v>
      </c>
      <c r="S70" s="323">
        <v>29249804.0860392</v>
      </c>
      <c r="T70" s="319">
        <v>17052541.888999999</v>
      </c>
      <c r="U70" s="319">
        <v>412851</v>
      </c>
      <c r="V70" s="323">
        <v>54995394.121166535</v>
      </c>
      <c r="W70" s="319">
        <v>32062138.234999999</v>
      </c>
      <c r="X70" s="319">
        <v>209604</v>
      </c>
      <c r="Y70" s="323">
        <v>27827259.481526498</v>
      </c>
      <c r="Z70" s="319">
        <v>16223202.950999999</v>
      </c>
      <c r="AA70" s="319">
        <v>622455</v>
      </c>
      <c r="AB70" s="323">
        <v>82822653.602693021</v>
      </c>
      <c r="AC70" s="319">
        <v>48285341.185999997</v>
      </c>
    </row>
    <row r="71" spans="2:29" hidden="1" outlineLevel="1" x14ac:dyDescent="0.25">
      <c r="B71" s="318">
        <v>40483</v>
      </c>
      <c r="C71" s="319">
        <v>286938</v>
      </c>
      <c r="D71" s="323">
        <v>38025836.656436965</v>
      </c>
      <c r="E71" s="319">
        <v>22184544.239999998</v>
      </c>
      <c r="F71" s="319">
        <v>119528</v>
      </c>
      <c r="G71" s="323">
        <v>15836994.66041933</v>
      </c>
      <c r="H71" s="319">
        <v>9239415.6070000008</v>
      </c>
      <c r="I71" s="319">
        <v>406466</v>
      </c>
      <c r="J71" s="323">
        <v>53862831.316856302</v>
      </c>
      <c r="K71" s="319">
        <v>31423959.846999999</v>
      </c>
      <c r="L71" s="319">
        <v>126434</v>
      </c>
      <c r="M71" s="323">
        <v>17205575.899090514</v>
      </c>
      <c r="N71" s="319">
        <v>10037855.66</v>
      </c>
      <c r="O71" s="319">
        <v>90074</v>
      </c>
      <c r="P71" s="323">
        <v>12017460.250626594</v>
      </c>
      <c r="Q71" s="319">
        <v>7011071.9979999997</v>
      </c>
      <c r="R71" s="319">
        <v>216508</v>
      </c>
      <c r="S71" s="323">
        <v>29223036.149717111</v>
      </c>
      <c r="T71" s="319">
        <v>17048927.658</v>
      </c>
      <c r="U71" s="319">
        <v>413372</v>
      </c>
      <c r="V71" s="323">
        <v>55231412.555527478</v>
      </c>
      <c r="W71" s="319">
        <v>32222399.899999999</v>
      </c>
      <c r="X71" s="319">
        <v>209602</v>
      </c>
      <c r="Y71" s="323">
        <v>27854454.911045924</v>
      </c>
      <c r="Z71" s="319">
        <v>16250487.605</v>
      </c>
      <c r="AA71" s="319">
        <v>622974</v>
      </c>
      <c r="AB71" s="323">
        <v>83085867.466573417</v>
      </c>
      <c r="AC71" s="319">
        <v>48472887.505000003</v>
      </c>
    </row>
    <row r="72" spans="2:29" hidden="1" outlineLevel="1" x14ac:dyDescent="0.25">
      <c r="B72" s="318">
        <v>40513</v>
      </c>
      <c r="C72" s="319">
        <v>287654</v>
      </c>
      <c r="D72" s="323">
        <v>38111236.467995264</v>
      </c>
      <c r="E72" s="319">
        <v>22260577.636999998</v>
      </c>
      <c r="F72" s="319">
        <v>119464</v>
      </c>
      <c r="G72" s="323">
        <v>15771442.36233208</v>
      </c>
      <c r="H72" s="319">
        <v>9212018.5460000001</v>
      </c>
      <c r="I72" s="319">
        <v>407118</v>
      </c>
      <c r="J72" s="323">
        <v>53882678.830327347</v>
      </c>
      <c r="K72" s="319">
        <v>31472596.182999998</v>
      </c>
      <c r="L72" s="319">
        <v>126415</v>
      </c>
      <c r="M72" s="323">
        <v>17093209.068727951</v>
      </c>
      <c r="N72" s="319">
        <v>9984055.6960000005</v>
      </c>
      <c r="O72" s="319">
        <v>89975</v>
      </c>
      <c r="P72" s="323">
        <v>11976776.663077373</v>
      </c>
      <c r="Q72" s="319">
        <v>6995573.7850000001</v>
      </c>
      <c r="R72" s="319">
        <v>216390</v>
      </c>
      <c r="S72" s="323">
        <v>29069985.731805325</v>
      </c>
      <c r="T72" s="319">
        <v>16979629.480999999</v>
      </c>
      <c r="U72" s="319">
        <v>414069</v>
      </c>
      <c r="V72" s="323">
        <v>55204445.536723219</v>
      </c>
      <c r="W72" s="319">
        <v>32244633.333000001</v>
      </c>
      <c r="X72" s="319">
        <v>209439</v>
      </c>
      <c r="Y72" s="323">
        <v>27748219.025409453</v>
      </c>
      <c r="Z72" s="319">
        <v>16207592.331</v>
      </c>
      <c r="AA72" s="319">
        <v>623508</v>
      </c>
      <c r="AB72" s="323">
        <v>82952664.562132671</v>
      </c>
      <c r="AC72" s="319">
        <v>48452225.663999997</v>
      </c>
    </row>
    <row r="73" spans="2:29" collapsed="1" x14ac:dyDescent="0.25">
      <c r="B73" s="321" t="s">
        <v>692</v>
      </c>
      <c r="C73" s="322">
        <v>284569.66666666669</v>
      </c>
      <c r="D73" s="324">
        <v>37698994.937275209</v>
      </c>
      <c r="E73" s="322"/>
      <c r="F73" s="322">
        <v>119969.58333333333</v>
      </c>
      <c r="G73" s="324">
        <v>15843682.385580001</v>
      </c>
      <c r="H73" s="322"/>
      <c r="I73" s="322">
        <v>404539.25</v>
      </c>
      <c r="J73" s="324">
        <v>53542677.322855212</v>
      </c>
      <c r="K73" s="322"/>
      <c r="L73" s="322">
        <v>125529.75</v>
      </c>
      <c r="M73" s="324">
        <v>17197459.270185512</v>
      </c>
      <c r="N73" s="322"/>
      <c r="O73" s="322">
        <v>89731.416666666672</v>
      </c>
      <c r="P73" s="324">
        <v>12039914.869691968</v>
      </c>
      <c r="Q73" s="322"/>
      <c r="R73" s="322">
        <v>215261.16666666666</v>
      </c>
      <c r="S73" s="324">
        <v>29237374.13987748</v>
      </c>
      <c r="T73" s="322"/>
      <c r="U73" s="322">
        <v>410099.41666666669</v>
      </c>
      <c r="V73" s="324">
        <v>54896454.207460724</v>
      </c>
      <c r="W73" s="322"/>
      <c r="X73" s="322">
        <v>209701</v>
      </c>
      <c r="Y73" s="324">
        <v>27883597.255271968</v>
      </c>
      <c r="Z73" s="322"/>
      <c r="AA73" s="322">
        <v>619800.41666666663</v>
      </c>
      <c r="AB73" s="324">
        <v>82780051.462732702</v>
      </c>
      <c r="AC73" s="322"/>
    </row>
    <row r="74" spans="2:29" hidden="1" outlineLevel="1" x14ac:dyDescent="0.25">
      <c r="B74" s="318">
        <v>40544</v>
      </c>
      <c r="C74" s="319">
        <v>288408</v>
      </c>
      <c r="D74" s="323">
        <v>38497205.323087387</v>
      </c>
      <c r="E74" s="319">
        <v>22546888.666999999</v>
      </c>
      <c r="F74" s="319">
        <v>119753</v>
      </c>
      <c r="G74" s="323">
        <v>15904952.534258718</v>
      </c>
      <c r="H74" s="319">
        <v>9315148.75</v>
      </c>
      <c r="I74" s="319">
        <v>408161</v>
      </c>
      <c r="J74" s="323">
        <v>54402157.85734611</v>
      </c>
      <c r="K74" s="319">
        <v>31862037.416999999</v>
      </c>
      <c r="L74" s="319">
        <v>126319</v>
      </c>
      <c r="M74" s="323">
        <v>16886999.096230432</v>
      </c>
      <c r="N74" s="319">
        <v>9890309.8379999995</v>
      </c>
      <c r="O74" s="319">
        <v>89864</v>
      </c>
      <c r="P74" s="323">
        <v>11845426.747269969</v>
      </c>
      <c r="Q74" s="319">
        <v>6937581.9840000002</v>
      </c>
      <c r="R74" s="319">
        <v>216183</v>
      </c>
      <c r="S74" s="323">
        <v>28732425.843500406</v>
      </c>
      <c r="T74" s="319">
        <v>16827891.822000001</v>
      </c>
      <c r="U74" s="319">
        <v>414727</v>
      </c>
      <c r="V74" s="323">
        <v>55384204.419317827</v>
      </c>
      <c r="W74" s="319">
        <v>32437198.504999999</v>
      </c>
      <c r="X74" s="319">
        <v>209617</v>
      </c>
      <c r="Y74" s="323">
        <v>27750379.281528689</v>
      </c>
      <c r="Z74" s="319">
        <v>16252730.733999999</v>
      </c>
      <c r="AA74" s="319">
        <v>624344</v>
      </c>
      <c r="AB74" s="323">
        <v>83134583.700846508</v>
      </c>
      <c r="AC74" s="319">
        <v>48689929.239</v>
      </c>
    </row>
    <row r="75" spans="2:29" hidden="1" outlineLevel="1" x14ac:dyDescent="0.25">
      <c r="B75" s="318">
        <v>40575</v>
      </c>
      <c r="C75" s="319">
        <v>288069</v>
      </c>
      <c r="D75" s="323">
        <v>37668630.926072925</v>
      </c>
      <c r="E75" s="319">
        <v>22112373.598999999</v>
      </c>
      <c r="F75" s="319">
        <v>119558</v>
      </c>
      <c r="G75" s="323">
        <v>15617506.708491476</v>
      </c>
      <c r="H75" s="319">
        <v>9167844.2919999994</v>
      </c>
      <c r="I75" s="319">
        <v>407627</v>
      </c>
      <c r="J75" s="323">
        <v>53286137.634564392</v>
      </c>
      <c r="K75" s="319">
        <v>31280217.890999999</v>
      </c>
      <c r="L75" s="319">
        <v>126149</v>
      </c>
      <c r="M75" s="323">
        <v>16746353.339143164</v>
      </c>
      <c r="N75" s="319">
        <v>9830503.8530000001</v>
      </c>
      <c r="O75" s="319">
        <v>89724</v>
      </c>
      <c r="P75" s="323">
        <v>11773965.729969013</v>
      </c>
      <c r="Q75" s="319">
        <v>6911595.2070000004</v>
      </c>
      <c r="R75" s="319">
        <v>215873</v>
      </c>
      <c r="S75" s="323">
        <v>28520319.069112174</v>
      </c>
      <c r="T75" s="319">
        <v>16742099.060000001</v>
      </c>
      <c r="U75" s="319">
        <v>414218</v>
      </c>
      <c r="V75" s="323">
        <v>54414984.265216082</v>
      </c>
      <c r="W75" s="319">
        <v>31942877.452</v>
      </c>
      <c r="X75" s="319">
        <v>209282</v>
      </c>
      <c r="Y75" s="323">
        <v>27391472.438460488</v>
      </c>
      <c r="Z75" s="319">
        <v>16079439.499</v>
      </c>
      <c r="AA75" s="319">
        <v>623500</v>
      </c>
      <c r="AB75" s="323">
        <v>81806456.703676581</v>
      </c>
      <c r="AC75" s="319">
        <v>48022316.950999998</v>
      </c>
    </row>
    <row r="76" spans="2:29" hidden="1" outlineLevel="1" x14ac:dyDescent="0.25">
      <c r="B76" s="318">
        <v>40603</v>
      </c>
      <c r="C76" s="319">
        <v>288568</v>
      </c>
      <c r="D76" s="323">
        <v>37676443.786418527</v>
      </c>
      <c r="E76" s="319">
        <v>22286086.186999999</v>
      </c>
      <c r="F76" s="319">
        <v>119590</v>
      </c>
      <c r="G76" s="323">
        <v>15591015.839570342</v>
      </c>
      <c r="H76" s="319">
        <v>9222280.2320000008</v>
      </c>
      <c r="I76" s="319">
        <v>408158</v>
      </c>
      <c r="J76" s="323">
        <v>53267459.625988863</v>
      </c>
      <c r="K76" s="319">
        <v>31508366.419</v>
      </c>
      <c r="L76" s="319">
        <v>126230</v>
      </c>
      <c r="M76" s="323">
        <v>16804877.020626303</v>
      </c>
      <c r="N76" s="319">
        <v>9940294.2530000005</v>
      </c>
      <c r="O76" s="319">
        <v>89738</v>
      </c>
      <c r="P76" s="323">
        <v>11772935.01199846</v>
      </c>
      <c r="Q76" s="319">
        <v>6963837.8250000002</v>
      </c>
      <c r="R76" s="319">
        <v>215968</v>
      </c>
      <c r="S76" s="323">
        <v>28577812.032624763</v>
      </c>
      <c r="T76" s="319">
        <v>16904132.078000002</v>
      </c>
      <c r="U76" s="319">
        <v>414798</v>
      </c>
      <c r="V76" s="323">
        <v>54481320.807044834</v>
      </c>
      <c r="W76" s="319">
        <v>32226380.440000001</v>
      </c>
      <c r="X76" s="319">
        <v>209328</v>
      </c>
      <c r="Y76" s="323">
        <v>27363950.851568799</v>
      </c>
      <c r="Z76" s="319">
        <v>16186118.057</v>
      </c>
      <c r="AA76" s="319">
        <v>624126</v>
      </c>
      <c r="AB76" s="323">
        <v>81845271.658613637</v>
      </c>
      <c r="AC76" s="319">
        <v>48412498.497000001</v>
      </c>
    </row>
    <row r="77" spans="2:29" hidden="1" outlineLevel="1" x14ac:dyDescent="0.25">
      <c r="B77" s="318">
        <v>40634</v>
      </c>
      <c r="C77" s="319">
        <v>285145</v>
      </c>
      <c r="D77" s="323">
        <v>36421373.261778273</v>
      </c>
      <c r="E77" s="319">
        <v>21612411.465999998</v>
      </c>
      <c r="F77" s="319">
        <v>118210</v>
      </c>
      <c r="G77" s="323">
        <v>15100309.445339983</v>
      </c>
      <c r="H77" s="319">
        <v>8960510.5950000007</v>
      </c>
      <c r="I77" s="319">
        <v>403355</v>
      </c>
      <c r="J77" s="323">
        <v>51521682.707118258</v>
      </c>
      <c r="K77" s="319">
        <v>30572922.061000001</v>
      </c>
      <c r="L77" s="319">
        <v>126017</v>
      </c>
      <c r="M77" s="323">
        <v>16787746.791258756</v>
      </c>
      <c r="N77" s="319">
        <v>9961834.4600000009</v>
      </c>
      <c r="O77" s="319">
        <v>89436</v>
      </c>
      <c r="P77" s="323">
        <v>11713662.30294919</v>
      </c>
      <c r="Q77" s="319">
        <v>6950877.1030000001</v>
      </c>
      <c r="R77" s="319">
        <v>215453</v>
      </c>
      <c r="S77" s="323">
        <v>28501409.094207942</v>
      </c>
      <c r="T77" s="319">
        <v>16912711.563000001</v>
      </c>
      <c r="U77" s="319">
        <v>411162</v>
      </c>
      <c r="V77" s="323">
        <v>53209120.053037032</v>
      </c>
      <c r="W77" s="319">
        <v>31574245.925999999</v>
      </c>
      <c r="X77" s="319">
        <v>207646</v>
      </c>
      <c r="Y77" s="323">
        <v>26813971.748289172</v>
      </c>
      <c r="Z77" s="319">
        <v>15911387.698000001</v>
      </c>
      <c r="AA77" s="319">
        <v>618808</v>
      </c>
      <c r="AB77" s="323">
        <v>80023091.8013262</v>
      </c>
      <c r="AC77" s="319">
        <v>47485633.623999998</v>
      </c>
    </row>
    <row r="78" spans="2:29" hidden="1" outlineLevel="1" x14ac:dyDescent="0.25">
      <c r="B78" s="318">
        <v>40664</v>
      </c>
      <c r="C78" s="319">
        <v>287109</v>
      </c>
      <c r="D78" s="323">
        <v>37882130.999161825</v>
      </c>
      <c r="E78" s="319">
        <v>22569105.210999999</v>
      </c>
      <c r="F78" s="319">
        <v>119022</v>
      </c>
      <c r="G78" s="323">
        <v>15737074.96290382</v>
      </c>
      <c r="H78" s="319">
        <v>9375705.4100000001</v>
      </c>
      <c r="I78" s="319">
        <v>406131</v>
      </c>
      <c r="J78" s="323">
        <v>53619205.962065645</v>
      </c>
      <c r="K78" s="319">
        <v>31944810.620999999</v>
      </c>
      <c r="L78" s="319">
        <v>125967</v>
      </c>
      <c r="M78" s="323">
        <v>16539671.083493304</v>
      </c>
      <c r="N78" s="319">
        <v>9853869.5419999994</v>
      </c>
      <c r="O78" s="319">
        <v>89387</v>
      </c>
      <c r="P78" s="323">
        <v>11604147.209867056</v>
      </c>
      <c r="Q78" s="319">
        <v>6913423.6210000003</v>
      </c>
      <c r="R78" s="319">
        <v>215354</v>
      </c>
      <c r="S78" s="323">
        <v>28143818.29336036</v>
      </c>
      <c r="T78" s="319">
        <v>16767293.163000001</v>
      </c>
      <c r="U78" s="319">
        <v>413076</v>
      </c>
      <c r="V78" s="323">
        <v>54421802.082655132</v>
      </c>
      <c r="W78" s="319">
        <v>32422974.752999999</v>
      </c>
      <c r="X78" s="319">
        <v>208409</v>
      </c>
      <c r="Y78" s="323">
        <v>27341222.172770876</v>
      </c>
      <c r="Z78" s="319">
        <v>16289129.030999999</v>
      </c>
      <c r="AA78" s="319">
        <v>621485</v>
      </c>
      <c r="AB78" s="323">
        <v>81763024.255426005</v>
      </c>
      <c r="AC78" s="319">
        <v>48712103.784000002</v>
      </c>
    </row>
    <row r="79" spans="2:29" hidden="1" outlineLevel="1" x14ac:dyDescent="0.25">
      <c r="B79" s="318">
        <v>40695</v>
      </c>
      <c r="C79" s="319">
        <v>287551</v>
      </c>
      <c r="D79" s="323">
        <v>37165320.315119989</v>
      </c>
      <c r="E79" s="319">
        <v>22179625.998</v>
      </c>
      <c r="F79" s="319">
        <v>119061</v>
      </c>
      <c r="G79" s="323">
        <v>15373521.28053909</v>
      </c>
      <c r="H79" s="319">
        <v>9174653.9350000005</v>
      </c>
      <c r="I79" s="319">
        <v>406612</v>
      </c>
      <c r="J79" s="323">
        <v>52538841.595659077</v>
      </c>
      <c r="K79" s="319">
        <v>31354279.932999998</v>
      </c>
      <c r="L79" s="319">
        <v>126043</v>
      </c>
      <c r="M79" s="323">
        <v>16603253.947534699</v>
      </c>
      <c r="N79" s="319">
        <v>9908537.3080000002</v>
      </c>
      <c r="O79" s="319">
        <v>89400</v>
      </c>
      <c r="P79" s="323">
        <v>11600613.116791511</v>
      </c>
      <c r="Q79" s="319">
        <v>6923047.0259999996</v>
      </c>
      <c r="R79" s="319">
        <v>215443</v>
      </c>
      <c r="S79" s="323">
        <v>28203867.064326212</v>
      </c>
      <c r="T79" s="319">
        <v>16831584.333999999</v>
      </c>
      <c r="U79" s="319">
        <v>413594</v>
      </c>
      <c r="V79" s="323">
        <v>53768574.262654684</v>
      </c>
      <c r="W79" s="319">
        <v>32088163.306000002</v>
      </c>
      <c r="X79" s="319">
        <v>208461</v>
      </c>
      <c r="Y79" s="323">
        <v>26974134.397330601</v>
      </c>
      <c r="Z79" s="319">
        <v>16097700.960999999</v>
      </c>
      <c r="AA79" s="319">
        <v>622055</v>
      </c>
      <c r="AB79" s="323">
        <v>80742708.659985289</v>
      </c>
      <c r="AC79" s="319">
        <v>48185864.266999997</v>
      </c>
    </row>
    <row r="80" spans="2:29" hidden="1" outlineLevel="1" x14ac:dyDescent="0.25">
      <c r="B80" s="318">
        <v>40725</v>
      </c>
      <c r="C80" s="319">
        <v>286810</v>
      </c>
      <c r="D80" s="323">
        <v>38196056.335753314</v>
      </c>
      <c r="E80" s="319">
        <v>22823692.653000001</v>
      </c>
      <c r="F80" s="319">
        <v>118793</v>
      </c>
      <c r="G80" s="323">
        <v>15826024.453133207</v>
      </c>
      <c r="H80" s="319">
        <v>9456691.4149999991</v>
      </c>
      <c r="I80" s="319">
        <v>405603</v>
      </c>
      <c r="J80" s="323">
        <v>54022080.788886517</v>
      </c>
      <c r="K80" s="319">
        <v>32280384.068</v>
      </c>
      <c r="L80" s="319">
        <v>125405</v>
      </c>
      <c r="M80" s="323">
        <v>16882854.383859549</v>
      </c>
      <c r="N80" s="319">
        <v>10088190.157</v>
      </c>
      <c r="O80" s="319">
        <v>88825</v>
      </c>
      <c r="P80" s="323">
        <v>11857998.212542929</v>
      </c>
      <c r="Q80" s="319">
        <v>7085634.818</v>
      </c>
      <c r="R80" s="319">
        <v>214230</v>
      </c>
      <c r="S80" s="323">
        <v>28740852.596402481</v>
      </c>
      <c r="T80" s="319">
        <v>17173824.975000001</v>
      </c>
      <c r="U80" s="319">
        <v>412215</v>
      </c>
      <c r="V80" s="323">
        <v>55078910.719612859</v>
      </c>
      <c r="W80" s="319">
        <v>32911882.809999999</v>
      </c>
      <c r="X80" s="319">
        <v>207618</v>
      </c>
      <c r="Y80" s="323">
        <v>27684022.665676136</v>
      </c>
      <c r="Z80" s="319">
        <v>16542326.232999999</v>
      </c>
      <c r="AA80" s="319">
        <v>619833</v>
      </c>
      <c r="AB80" s="323">
        <v>82762933.385288998</v>
      </c>
      <c r="AC80" s="319">
        <v>49454209.042999998</v>
      </c>
    </row>
    <row r="81" spans="2:29" hidden="1" outlineLevel="1" x14ac:dyDescent="0.25">
      <c r="B81" s="318">
        <v>40756</v>
      </c>
      <c r="C81" s="319">
        <v>287169</v>
      </c>
      <c r="D81" s="323">
        <v>38209045.027500086</v>
      </c>
      <c r="E81" s="319">
        <v>22868475.002999999</v>
      </c>
      <c r="F81" s="319">
        <v>118828</v>
      </c>
      <c r="G81" s="323">
        <v>15816615.157702139</v>
      </c>
      <c r="H81" s="319">
        <v>9466393.8369999994</v>
      </c>
      <c r="I81" s="319">
        <v>405997</v>
      </c>
      <c r="J81" s="323">
        <v>54025660.185202219</v>
      </c>
      <c r="K81" s="319">
        <v>32334868.84</v>
      </c>
      <c r="L81" s="319">
        <v>125477</v>
      </c>
      <c r="M81" s="323">
        <v>16910324.61759682</v>
      </c>
      <c r="N81" s="319">
        <v>10120989.298</v>
      </c>
      <c r="O81" s="319">
        <v>89066</v>
      </c>
      <c r="P81" s="323">
        <v>11926349.820580576</v>
      </c>
      <c r="Q81" s="319">
        <v>7138033.2209999999</v>
      </c>
      <c r="R81" s="319">
        <v>214543</v>
      </c>
      <c r="S81" s="323">
        <v>28836674.438177399</v>
      </c>
      <c r="T81" s="319">
        <v>17259022.519000001</v>
      </c>
      <c r="U81" s="319">
        <v>412646</v>
      </c>
      <c r="V81" s="323">
        <v>55119369.645096898</v>
      </c>
      <c r="W81" s="319">
        <v>32989464.300999999</v>
      </c>
      <c r="X81" s="319">
        <v>207894</v>
      </c>
      <c r="Y81" s="323">
        <v>27742964.978282716</v>
      </c>
      <c r="Z81" s="319">
        <v>16604427.058</v>
      </c>
      <c r="AA81" s="319">
        <v>620540</v>
      </c>
      <c r="AB81" s="323">
        <v>82862334.623379618</v>
      </c>
      <c r="AC81" s="319">
        <v>49593891.358999997</v>
      </c>
    </row>
    <row r="82" spans="2:29" hidden="1" outlineLevel="1" x14ac:dyDescent="0.25">
      <c r="B82" s="318">
        <v>40787</v>
      </c>
      <c r="C82" s="319">
        <v>287346</v>
      </c>
      <c r="D82" s="323">
        <v>38090776.780143574</v>
      </c>
      <c r="E82" s="319">
        <v>22910999.169</v>
      </c>
      <c r="F82" s="319">
        <v>118398</v>
      </c>
      <c r="G82" s="323">
        <v>15706140.156573493</v>
      </c>
      <c r="H82" s="319">
        <v>9446994.6400000006</v>
      </c>
      <c r="I82" s="319">
        <v>405744</v>
      </c>
      <c r="J82" s="323">
        <v>53796916.936717071</v>
      </c>
      <c r="K82" s="319">
        <v>32357993.809</v>
      </c>
      <c r="L82" s="319">
        <v>125589</v>
      </c>
      <c r="M82" s="323">
        <v>17150430.785716139</v>
      </c>
      <c r="N82" s="319">
        <v>10315712.586999999</v>
      </c>
      <c r="O82" s="319">
        <v>89260</v>
      </c>
      <c r="P82" s="323">
        <v>12085445.962253407</v>
      </c>
      <c r="Q82" s="319">
        <v>7269204.4060000004</v>
      </c>
      <c r="R82" s="319">
        <v>214849</v>
      </c>
      <c r="S82" s="323">
        <v>29235876.747969542</v>
      </c>
      <c r="T82" s="319">
        <v>17584916.993000001</v>
      </c>
      <c r="U82" s="319">
        <v>412935</v>
      </c>
      <c r="V82" s="323">
        <v>55241207.56585972</v>
      </c>
      <c r="W82" s="319">
        <v>33226711.756000001</v>
      </c>
      <c r="X82" s="319">
        <v>207658</v>
      </c>
      <c r="Y82" s="323">
        <v>27791586.1188269</v>
      </c>
      <c r="Z82" s="319">
        <v>16716199.046</v>
      </c>
      <c r="AA82" s="319">
        <v>620593</v>
      </c>
      <c r="AB82" s="323">
        <v>83032793.684686616</v>
      </c>
      <c r="AC82" s="319">
        <v>49942910.802000001</v>
      </c>
    </row>
    <row r="83" spans="2:29" hidden="1" outlineLevel="1" x14ac:dyDescent="0.25">
      <c r="B83" s="318">
        <v>40817</v>
      </c>
      <c r="C83" s="319">
        <v>285805</v>
      </c>
      <c r="D83" s="323">
        <v>37520855.410660163</v>
      </c>
      <c r="E83" s="319">
        <v>22677749.441</v>
      </c>
      <c r="F83" s="319">
        <v>117820</v>
      </c>
      <c r="G83" s="323">
        <v>15428439.016516527</v>
      </c>
      <c r="H83" s="319">
        <v>9325007.9309999999</v>
      </c>
      <c r="I83" s="319">
        <v>403625</v>
      </c>
      <c r="J83" s="323">
        <v>52949294.427176692</v>
      </c>
      <c r="K83" s="319">
        <v>32002757.372000001</v>
      </c>
      <c r="L83" s="319">
        <v>125210</v>
      </c>
      <c r="M83" s="323">
        <v>16774537.481770895</v>
      </c>
      <c r="N83" s="319">
        <v>10138595.025</v>
      </c>
      <c r="O83" s="319">
        <v>89136</v>
      </c>
      <c r="P83" s="323">
        <v>11857746.292882808</v>
      </c>
      <c r="Q83" s="319">
        <v>7166867.5039999997</v>
      </c>
      <c r="R83" s="319">
        <v>214346</v>
      </c>
      <c r="S83" s="323">
        <v>28632283.774653703</v>
      </c>
      <c r="T83" s="319">
        <v>17305462.528999999</v>
      </c>
      <c r="U83" s="319">
        <v>411015</v>
      </c>
      <c r="V83" s="323">
        <v>54295392.892431051</v>
      </c>
      <c r="W83" s="319">
        <v>32816344.465999998</v>
      </c>
      <c r="X83" s="319">
        <v>206956</v>
      </c>
      <c r="Y83" s="323">
        <v>27286185.309399333</v>
      </c>
      <c r="Z83" s="319">
        <v>16491875.435000001</v>
      </c>
      <c r="AA83" s="319">
        <v>617971</v>
      </c>
      <c r="AB83" s="323">
        <v>81581578.201830402</v>
      </c>
      <c r="AC83" s="319">
        <v>49308219.901000001</v>
      </c>
    </row>
    <row r="84" spans="2:29" hidden="1" outlineLevel="1" x14ac:dyDescent="0.25">
      <c r="B84" s="318">
        <v>40848</v>
      </c>
      <c r="C84" s="319">
        <v>284570</v>
      </c>
      <c r="D84" s="323">
        <v>36794752.076873556</v>
      </c>
      <c r="E84" s="319">
        <v>22309455.91</v>
      </c>
      <c r="F84" s="319">
        <v>117123</v>
      </c>
      <c r="G84" s="323">
        <v>15150784.835188886</v>
      </c>
      <c r="H84" s="319">
        <v>9186249.3210000005</v>
      </c>
      <c r="I84" s="319">
        <v>401693</v>
      </c>
      <c r="J84" s="323">
        <v>51945536.912062444</v>
      </c>
      <c r="K84" s="319">
        <v>31495705.230999999</v>
      </c>
      <c r="L84" s="319">
        <v>124897</v>
      </c>
      <c r="M84" s="323">
        <v>16569626.969284669</v>
      </c>
      <c r="N84" s="319">
        <v>10046524.068</v>
      </c>
      <c r="O84" s="319">
        <v>88970</v>
      </c>
      <c r="P84" s="323">
        <v>11697991.660220696</v>
      </c>
      <c r="Q84" s="319">
        <v>7092745.9610000001</v>
      </c>
      <c r="R84" s="319">
        <v>213867</v>
      </c>
      <c r="S84" s="323">
        <v>28267618.629505362</v>
      </c>
      <c r="T84" s="319">
        <v>17139270.028999999</v>
      </c>
      <c r="U84" s="319">
        <v>409467</v>
      </c>
      <c r="V84" s="323">
        <v>53364379.046158224</v>
      </c>
      <c r="W84" s="319">
        <v>32355979.978</v>
      </c>
      <c r="X84" s="319">
        <v>206093</v>
      </c>
      <c r="Y84" s="323">
        <v>26848776.495409586</v>
      </c>
      <c r="Z84" s="319">
        <v>16278995.282</v>
      </c>
      <c r="AA84" s="319">
        <v>615560</v>
      </c>
      <c r="AB84" s="323">
        <v>80213155.541567817</v>
      </c>
      <c r="AC84" s="319">
        <v>48634975.259999998</v>
      </c>
    </row>
    <row r="85" spans="2:29" hidden="1" outlineLevel="1" x14ac:dyDescent="0.25">
      <c r="B85" s="318">
        <v>40878</v>
      </c>
      <c r="C85" s="319">
        <v>287245</v>
      </c>
      <c r="D85" s="323">
        <v>38590031.856162593</v>
      </c>
      <c r="E85" s="319">
        <v>23540515.168000001</v>
      </c>
      <c r="F85" s="319">
        <v>117871</v>
      </c>
      <c r="G85" s="323">
        <v>15739437.874690972</v>
      </c>
      <c r="H85" s="319">
        <v>9601300.0820000004</v>
      </c>
      <c r="I85" s="319">
        <v>405116</v>
      </c>
      <c r="J85" s="323">
        <v>54329469.730853565</v>
      </c>
      <c r="K85" s="319">
        <v>33141815.25</v>
      </c>
      <c r="L85" s="319">
        <v>124792</v>
      </c>
      <c r="M85" s="323">
        <v>16611522.825741081</v>
      </c>
      <c r="N85" s="319">
        <v>10133285.365</v>
      </c>
      <c r="O85" s="319">
        <v>89009</v>
      </c>
      <c r="P85" s="323">
        <v>11736567.095245037</v>
      </c>
      <c r="Q85" s="319">
        <v>7159487.1119999997</v>
      </c>
      <c r="R85" s="319">
        <v>213801</v>
      </c>
      <c r="S85" s="323">
        <v>28348089.92098612</v>
      </c>
      <c r="T85" s="319">
        <v>17292772.477000002</v>
      </c>
      <c r="U85" s="319">
        <v>412037</v>
      </c>
      <c r="V85" s="323">
        <v>55201554.681903668</v>
      </c>
      <c r="W85" s="319">
        <v>33673800.533</v>
      </c>
      <c r="X85" s="319">
        <v>206880</v>
      </c>
      <c r="Y85" s="323">
        <v>27476004.969936009</v>
      </c>
      <c r="Z85" s="319">
        <v>16760787.194</v>
      </c>
      <c r="AA85" s="319">
        <v>618917</v>
      </c>
      <c r="AB85" s="323">
        <v>82677559.651839674</v>
      </c>
      <c r="AC85" s="319">
        <v>50434587.726999998</v>
      </c>
    </row>
    <row r="86" spans="2:29" collapsed="1" x14ac:dyDescent="0.25">
      <c r="B86" s="321" t="s">
        <v>693</v>
      </c>
      <c r="C86" s="322">
        <v>286982.91666666669</v>
      </c>
      <c r="D86" s="324">
        <v>37726051.841561012</v>
      </c>
      <c r="E86" s="322"/>
      <c r="F86" s="322">
        <v>118668.91666666667</v>
      </c>
      <c r="G86" s="324">
        <v>15582651.855409058</v>
      </c>
      <c r="H86" s="322"/>
      <c r="I86" s="322">
        <v>405651.83333333331</v>
      </c>
      <c r="J86" s="324">
        <v>53308703.696970075</v>
      </c>
      <c r="K86" s="322"/>
      <c r="L86" s="322">
        <v>125674.58333333333</v>
      </c>
      <c r="M86" s="324">
        <v>16772349.86185465</v>
      </c>
      <c r="N86" s="322"/>
      <c r="O86" s="322">
        <v>89317.916666666672</v>
      </c>
      <c r="P86" s="324">
        <v>11789404.09688089</v>
      </c>
      <c r="Q86" s="322"/>
      <c r="R86" s="322">
        <v>214992.5</v>
      </c>
      <c r="S86" s="324">
        <v>28561753.958735537</v>
      </c>
      <c r="T86" s="322"/>
      <c r="U86" s="322">
        <v>412657.5</v>
      </c>
      <c r="V86" s="324">
        <v>54498401.70341567</v>
      </c>
      <c r="W86" s="322"/>
      <c r="X86" s="322">
        <v>207986.83333333334</v>
      </c>
      <c r="Y86" s="324">
        <v>27372055.952289943</v>
      </c>
      <c r="Z86" s="322"/>
      <c r="AA86" s="322">
        <v>620644.33333333337</v>
      </c>
      <c r="AB86" s="324">
        <v>81870457.655705616</v>
      </c>
      <c r="AC86" s="322"/>
    </row>
    <row r="87" spans="2:29" hidden="1" outlineLevel="1" x14ac:dyDescent="0.25">
      <c r="B87" s="318">
        <v>40909</v>
      </c>
      <c r="C87" s="319">
        <v>287462</v>
      </c>
      <c r="D87" s="323">
        <v>37495030.547734588</v>
      </c>
      <c r="E87" s="319">
        <v>22892678.969000001</v>
      </c>
      <c r="F87" s="319">
        <v>117685</v>
      </c>
      <c r="G87" s="323">
        <v>15337737.398777297</v>
      </c>
      <c r="H87" s="319">
        <v>9364491.5940000005</v>
      </c>
      <c r="I87" s="319">
        <v>405147</v>
      </c>
      <c r="J87" s="323">
        <v>52832767.94651188</v>
      </c>
      <c r="K87" s="319">
        <v>32257170.563000001</v>
      </c>
      <c r="L87" s="319">
        <v>123692</v>
      </c>
      <c r="M87" s="323">
        <v>16331136.307484511</v>
      </c>
      <c r="N87" s="319">
        <v>9971013.6309999991</v>
      </c>
      <c r="O87" s="319">
        <v>88526</v>
      </c>
      <c r="P87" s="323">
        <v>11570846.956794567</v>
      </c>
      <c r="Q87" s="319">
        <v>7064607.7869999995</v>
      </c>
      <c r="R87" s="319">
        <v>212218</v>
      </c>
      <c r="S87" s="323">
        <v>27901983.264279075</v>
      </c>
      <c r="T87" s="319">
        <v>17035621.418000001</v>
      </c>
      <c r="U87" s="319">
        <v>411154</v>
      </c>
      <c r="V87" s="323">
        <v>53826166.855219103</v>
      </c>
      <c r="W87" s="319">
        <v>32863692.600000001</v>
      </c>
      <c r="X87" s="319">
        <v>206211</v>
      </c>
      <c r="Y87" s="323">
        <v>26908584.355571862</v>
      </c>
      <c r="Z87" s="319">
        <v>16429099.380999999</v>
      </c>
      <c r="AA87" s="319">
        <v>617365</v>
      </c>
      <c r="AB87" s="323">
        <v>80734751.210790962</v>
      </c>
      <c r="AC87" s="319">
        <v>49292791.980999999</v>
      </c>
    </row>
    <row r="88" spans="2:29" hidden="1" outlineLevel="1" x14ac:dyDescent="0.25">
      <c r="B88" s="318">
        <v>40940</v>
      </c>
      <c r="C88" s="319">
        <v>288141</v>
      </c>
      <c r="D88" s="323">
        <v>37595619.764758363</v>
      </c>
      <c r="E88" s="319">
        <v>23043246.653000001</v>
      </c>
      <c r="F88" s="319">
        <v>117647</v>
      </c>
      <c r="G88" s="323">
        <v>15320905.575483372</v>
      </c>
      <c r="H88" s="319">
        <v>9390546.2479999997</v>
      </c>
      <c r="I88" s="319">
        <v>405788</v>
      </c>
      <c r="J88" s="323">
        <v>52916525.34024173</v>
      </c>
      <c r="K88" s="319">
        <v>32433792.901000001</v>
      </c>
      <c r="L88" s="319">
        <v>123321</v>
      </c>
      <c r="M88" s="323">
        <v>16104009.531335283</v>
      </c>
      <c r="N88" s="319">
        <v>9870529.2280000001</v>
      </c>
      <c r="O88" s="319">
        <v>88158</v>
      </c>
      <c r="P88" s="323">
        <v>11441329.512757281</v>
      </c>
      <c r="Q88" s="319">
        <v>7012662.1040000003</v>
      </c>
      <c r="R88" s="319">
        <v>211479</v>
      </c>
      <c r="S88" s="323">
        <v>27545339.044092562</v>
      </c>
      <c r="T88" s="319">
        <v>16883191.331999999</v>
      </c>
      <c r="U88" s="319">
        <v>411462</v>
      </c>
      <c r="V88" s="323">
        <v>53699629.296093643</v>
      </c>
      <c r="W88" s="319">
        <v>32913775.881000001</v>
      </c>
      <c r="X88" s="319">
        <v>205805</v>
      </c>
      <c r="Y88" s="323">
        <v>26762235.088240653</v>
      </c>
      <c r="Z88" s="319">
        <v>16403208.352</v>
      </c>
      <c r="AA88" s="319">
        <v>617267</v>
      </c>
      <c r="AB88" s="323">
        <v>80461864.384334296</v>
      </c>
      <c r="AC88" s="319">
        <v>49316984.233000003</v>
      </c>
    </row>
    <row r="89" spans="2:29" hidden="1" outlineLevel="1" x14ac:dyDescent="0.25">
      <c r="B89" s="318">
        <v>40969</v>
      </c>
      <c r="C89" s="319">
        <v>288041</v>
      </c>
      <c r="D89" s="323">
        <v>37488246.547437064</v>
      </c>
      <c r="E89" s="319">
        <v>23014933.635000002</v>
      </c>
      <c r="F89" s="319">
        <v>117683</v>
      </c>
      <c r="G89" s="323">
        <v>15312327.315358568</v>
      </c>
      <c r="H89" s="319">
        <v>9400604.9739999995</v>
      </c>
      <c r="I89" s="319">
        <v>405724</v>
      </c>
      <c r="J89" s="323">
        <v>52800573.862795629</v>
      </c>
      <c r="K89" s="319">
        <v>32415538.609000001</v>
      </c>
      <c r="L89" s="319">
        <v>123408</v>
      </c>
      <c r="M89" s="323">
        <v>16258920.467148643</v>
      </c>
      <c r="N89" s="319">
        <v>9981741.2119999994</v>
      </c>
      <c r="O89" s="319">
        <v>88567</v>
      </c>
      <c r="P89" s="323">
        <v>11640898.634412888</v>
      </c>
      <c r="Q89" s="319">
        <v>7146626.8550000004</v>
      </c>
      <c r="R89" s="319">
        <v>211975</v>
      </c>
      <c r="S89" s="323">
        <v>27899819.101561531</v>
      </c>
      <c r="T89" s="319">
        <v>17128368.067000002</v>
      </c>
      <c r="U89" s="319">
        <v>411449</v>
      </c>
      <c r="V89" s="323">
        <v>53747167.014585711</v>
      </c>
      <c r="W89" s="319">
        <v>32996674.846999999</v>
      </c>
      <c r="X89" s="319">
        <v>206250</v>
      </c>
      <c r="Y89" s="323">
        <v>26953225.949771456</v>
      </c>
      <c r="Z89" s="319">
        <v>16547231.829</v>
      </c>
      <c r="AA89" s="319">
        <v>617699</v>
      </c>
      <c r="AB89" s="323">
        <v>80700392.964357167</v>
      </c>
      <c r="AC89" s="319">
        <v>49543906.675999999</v>
      </c>
    </row>
    <row r="90" spans="2:29" hidden="1" outlineLevel="1" x14ac:dyDescent="0.25">
      <c r="B90" s="318">
        <v>41000</v>
      </c>
      <c r="C90" s="319">
        <v>288120</v>
      </c>
      <c r="D90" s="323">
        <v>37429123.541280799</v>
      </c>
      <c r="E90" s="319">
        <v>22990287.704999998</v>
      </c>
      <c r="F90" s="319">
        <v>117158</v>
      </c>
      <c r="G90" s="323">
        <v>15208731.855019337</v>
      </c>
      <c r="H90" s="319">
        <v>9341739.477</v>
      </c>
      <c r="I90" s="319">
        <v>405278</v>
      </c>
      <c r="J90" s="323">
        <v>52637855.396300137</v>
      </c>
      <c r="K90" s="319">
        <v>32332027.182</v>
      </c>
      <c r="L90" s="319">
        <v>122653</v>
      </c>
      <c r="M90" s="323">
        <v>16223277.476422729</v>
      </c>
      <c r="N90" s="319">
        <v>9964909.1779999994</v>
      </c>
      <c r="O90" s="319">
        <v>88182</v>
      </c>
      <c r="P90" s="323">
        <v>11585515.77267547</v>
      </c>
      <c r="Q90" s="319">
        <v>7116232.3779999996</v>
      </c>
      <c r="R90" s="319">
        <v>210835</v>
      </c>
      <c r="S90" s="323">
        <v>27808793.2490982</v>
      </c>
      <c r="T90" s="319">
        <v>17081141.556000002</v>
      </c>
      <c r="U90" s="319">
        <v>410773</v>
      </c>
      <c r="V90" s="323">
        <v>53652401.017703526</v>
      </c>
      <c r="W90" s="319">
        <v>32955196.883000001</v>
      </c>
      <c r="X90" s="319">
        <v>205340</v>
      </c>
      <c r="Y90" s="323">
        <v>26794247.627694808</v>
      </c>
      <c r="Z90" s="319">
        <v>16457971.855</v>
      </c>
      <c r="AA90" s="319">
        <v>616113</v>
      </c>
      <c r="AB90" s="323">
        <v>80446648.645398334</v>
      </c>
      <c r="AC90" s="319">
        <v>49413168.737999998</v>
      </c>
    </row>
    <row r="91" spans="2:29" hidden="1" outlineLevel="1" x14ac:dyDescent="0.25">
      <c r="B91" s="318">
        <v>41030</v>
      </c>
      <c r="C91" s="319">
        <v>288068</v>
      </c>
      <c r="D91" s="323">
        <v>37278097.391289741</v>
      </c>
      <c r="E91" s="319">
        <v>22904546.228999998</v>
      </c>
      <c r="F91" s="319">
        <v>117009</v>
      </c>
      <c r="G91" s="323">
        <v>15141415.302654428</v>
      </c>
      <c r="H91" s="319">
        <v>9303244.2919999994</v>
      </c>
      <c r="I91" s="319">
        <v>405077</v>
      </c>
      <c r="J91" s="323">
        <v>52419512.693944179</v>
      </c>
      <c r="K91" s="319">
        <v>32207790.521000002</v>
      </c>
      <c r="L91" s="319">
        <v>122948</v>
      </c>
      <c r="M91" s="323">
        <v>16348488.107114054</v>
      </c>
      <c r="N91" s="319">
        <v>10044898.421</v>
      </c>
      <c r="O91" s="319">
        <v>88223</v>
      </c>
      <c r="P91" s="323">
        <v>11566698.693117309</v>
      </c>
      <c r="Q91" s="319">
        <v>7106853.7149999999</v>
      </c>
      <c r="R91" s="319">
        <v>211171</v>
      </c>
      <c r="S91" s="323">
        <v>27915186.800231364</v>
      </c>
      <c r="T91" s="319">
        <v>17151752.136</v>
      </c>
      <c r="U91" s="319">
        <v>411016</v>
      </c>
      <c r="V91" s="323">
        <v>53626585.498403803</v>
      </c>
      <c r="W91" s="319">
        <v>32949444.649999999</v>
      </c>
      <c r="X91" s="319">
        <v>205232</v>
      </c>
      <c r="Y91" s="323">
        <v>26708113.99577174</v>
      </c>
      <c r="Z91" s="319">
        <v>16410098.006999999</v>
      </c>
      <c r="AA91" s="319">
        <v>616248</v>
      </c>
      <c r="AB91" s="323">
        <v>80334699.494175538</v>
      </c>
      <c r="AC91" s="319">
        <v>49359542.656999998</v>
      </c>
    </row>
    <row r="92" spans="2:29" hidden="1" outlineLevel="1" x14ac:dyDescent="0.25">
      <c r="B92" s="318">
        <v>41061</v>
      </c>
      <c r="C92" s="319">
        <v>288374</v>
      </c>
      <c r="D92" s="323">
        <v>37516131.52549725</v>
      </c>
      <c r="E92" s="319">
        <v>22982535.873</v>
      </c>
      <c r="F92" s="319">
        <v>117073</v>
      </c>
      <c r="G92" s="323">
        <v>15216157.021982139</v>
      </c>
      <c r="H92" s="319">
        <v>9321480.1309999991</v>
      </c>
      <c r="I92" s="319">
        <v>405447</v>
      </c>
      <c r="J92" s="323">
        <v>52732288.547479391</v>
      </c>
      <c r="K92" s="319">
        <v>32304016.004000001</v>
      </c>
      <c r="L92" s="319">
        <v>123076</v>
      </c>
      <c r="M92" s="323">
        <v>16414091.457440741</v>
      </c>
      <c r="N92" s="319">
        <v>10055339.674000001</v>
      </c>
      <c r="O92" s="319">
        <v>88439</v>
      </c>
      <c r="P92" s="323">
        <v>11664508.916869208</v>
      </c>
      <c r="Q92" s="319">
        <v>7145725.9510000004</v>
      </c>
      <c r="R92" s="319">
        <v>211515</v>
      </c>
      <c r="S92" s="323">
        <v>28078600.37430995</v>
      </c>
      <c r="T92" s="319">
        <v>17201065.625</v>
      </c>
      <c r="U92" s="319">
        <v>411450</v>
      </c>
      <c r="V92" s="323">
        <v>53930222.982937992</v>
      </c>
      <c r="W92" s="319">
        <v>33037875.546999998</v>
      </c>
      <c r="X92" s="319">
        <v>205512</v>
      </c>
      <c r="Y92" s="323">
        <v>26880665.938851345</v>
      </c>
      <c r="Z92" s="319">
        <v>16467206.082</v>
      </c>
      <c r="AA92" s="319">
        <v>616962</v>
      </c>
      <c r="AB92" s="323">
        <v>80810888.921789333</v>
      </c>
      <c r="AC92" s="319">
        <v>49505081.629000001</v>
      </c>
    </row>
    <row r="93" spans="2:29" hidden="1" outlineLevel="1" x14ac:dyDescent="0.25">
      <c r="B93" s="318">
        <v>41091</v>
      </c>
      <c r="C93" s="319">
        <v>288929</v>
      </c>
      <c r="D93" s="323">
        <v>38570311.240572572</v>
      </c>
      <c r="E93" s="319">
        <v>23625224.164000001</v>
      </c>
      <c r="F93" s="319">
        <v>117059</v>
      </c>
      <c r="G93" s="323">
        <v>15638947.65938087</v>
      </c>
      <c r="H93" s="319">
        <v>9579223.8190000001</v>
      </c>
      <c r="I93" s="319">
        <v>405988</v>
      </c>
      <c r="J93" s="323">
        <v>54209258.899953447</v>
      </c>
      <c r="K93" s="319">
        <v>33204447.982999999</v>
      </c>
      <c r="L93" s="319">
        <v>122827</v>
      </c>
      <c r="M93" s="323">
        <v>16795943.242735989</v>
      </c>
      <c r="N93" s="319">
        <v>10287910.867000001</v>
      </c>
      <c r="O93" s="319">
        <v>88350</v>
      </c>
      <c r="P93" s="323">
        <v>11966924.110050714</v>
      </c>
      <c r="Q93" s="319">
        <v>7330022.9000000004</v>
      </c>
      <c r="R93" s="319">
        <v>211177</v>
      </c>
      <c r="S93" s="323">
        <v>28762867.352786705</v>
      </c>
      <c r="T93" s="319">
        <v>17617933.767000001</v>
      </c>
      <c r="U93" s="319">
        <v>411756</v>
      </c>
      <c r="V93" s="323">
        <v>55366254.483308561</v>
      </c>
      <c r="W93" s="319">
        <v>33913135.031000003</v>
      </c>
      <c r="X93" s="319">
        <v>205409</v>
      </c>
      <c r="Y93" s="323">
        <v>27605871.769431587</v>
      </c>
      <c r="Z93" s="319">
        <v>16909246.719000001</v>
      </c>
      <c r="AA93" s="319">
        <v>617165</v>
      </c>
      <c r="AB93" s="323">
        <v>82972126.252740145</v>
      </c>
      <c r="AC93" s="319">
        <v>50822381.75</v>
      </c>
    </row>
    <row r="94" spans="2:29" hidden="1" outlineLevel="1" x14ac:dyDescent="0.25">
      <c r="B94" s="318">
        <v>41122</v>
      </c>
      <c r="C94" s="319">
        <v>287830</v>
      </c>
      <c r="D94" s="323">
        <v>38396657.181410544</v>
      </c>
      <c r="E94" s="319">
        <v>23570869.541999999</v>
      </c>
      <c r="F94" s="319">
        <v>116045</v>
      </c>
      <c r="G94" s="323">
        <v>15484093.178279927</v>
      </c>
      <c r="H94" s="319">
        <v>9505346.7430000007</v>
      </c>
      <c r="I94" s="319">
        <v>403875</v>
      </c>
      <c r="J94" s="323">
        <v>53880750.359690472</v>
      </c>
      <c r="K94" s="319">
        <v>33076216.285</v>
      </c>
      <c r="L94" s="319">
        <v>116667</v>
      </c>
      <c r="M94" s="323">
        <v>15702714.084093235</v>
      </c>
      <c r="N94" s="319">
        <v>9639553.3440000005</v>
      </c>
      <c r="O94" s="319">
        <v>81780</v>
      </c>
      <c r="P94" s="323">
        <v>10927984.711058563</v>
      </c>
      <c r="Q94" s="319">
        <v>6708451.227</v>
      </c>
      <c r="R94" s="319">
        <v>198447</v>
      </c>
      <c r="S94" s="323">
        <v>26630698.7951518</v>
      </c>
      <c r="T94" s="319">
        <v>16348004.571</v>
      </c>
      <c r="U94" s="319">
        <v>404497</v>
      </c>
      <c r="V94" s="323">
        <v>54099371.265503787</v>
      </c>
      <c r="W94" s="319">
        <v>33210422.886</v>
      </c>
      <c r="X94" s="319">
        <v>197825</v>
      </c>
      <c r="Y94" s="323">
        <v>26412077.88933849</v>
      </c>
      <c r="Z94" s="319">
        <v>16213797.970000001</v>
      </c>
      <c r="AA94" s="319">
        <v>602322</v>
      </c>
      <c r="AB94" s="323">
        <v>80511449.154842272</v>
      </c>
      <c r="AC94" s="319">
        <v>49424220.855999999</v>
      </c>
    </row>
    <row r="95" spans="2:29" hidden="1" outlineLevel="1" x14ac:dyDescent="0.25">
      <c r="B95" s="318">
        <v>41153</v>
      </c>
      <c r="C95" s="319">
        <v>287533</v>
      </c>
      <c r="D95" s="323">
        <v>37853273.786744088</v>
      </c>
      <c r="E95" s="319">
        <v>23415891.329999998</v>
      </c>
      <c r="F95" s="319">
        <v>115611</v>
      </c>
      <c r="G95" s="323">
        <v>15199798.443319729</v>
      </c>
      <c r="H95" s="319">
        <v>9402537.5610000007</v>
      </c>
      <c r="I95" s="319">
        <v>403144</v>
      </c>
      <c r="J95" s="323">
        <v>53053072.230063811</v>
      </c>
      <c r="K95" s="319">
        <v>32818428.890999999</v>
      </c>
      <c r="L95" s="319">
        <v>116640</v>
      </c>
      <c r="M95" s="323">
        <v>15811777.860379359</v>
      </c>
      <c r="N95" s="319">
        <v>9781105.7029999997</v>
      </c>
      <c r="O95" s="319">
        <v>81736</v>
      </c>
      <c r="P95" s="323">
        <v>10933105.062237337</v>
      </c>
      <c r="Q95" s="319">
        <v>6763177.2479999997</v>
      </c>
      <c r="R95" s="319">
        <v>198376</v>
      </c>
      <c r="S95" s="323">
        <v>26744882.922616694</v>
      </c>
      <c r="T95" s="319">
        <v>16544282.950999999</v>
      </c>
      <c r="U95" s="319">
        <v>404173</v>
      </c>
      <c r="V95" s="323">
        <v>53665051.647123441</v>
      </c>
      <c r="W95" s="319">
        <v>33196997.033</v>
      </c>
      <c r="X95" s="319">
        <v>197347</v>
      </c>
      <c r="Y95" s="323">
        <v>26132903.505557068</v>
      </c>
      <c r="Z95" s="319">
        <v>16165714.809</v>
      </c>
      <c r="AA95" s="319">
        <v>601520</v>
      </c>
      <c r="AB95" s="323">
        <v>79797955.152680516</v>
      </c>
      <c r="AC95" s="319">
        <v>49362711.842</v>
      </c>
    </row>
    <row r="96" spans="2:29" hidden="1" outlineLevel="1" x14ac:dyDescent="0.25">
      <c r="B96" s="318">
        <v>41183</v>
      </c>
      <c r="C96" s="319">
        <v>288146</v>
      </c>
      <c r="D96" s="323">
        <v>38054218.293600217</v>
      </c>
      <c r="E96" s="319">
        <v>23671707.484999999</v>
      </c>
      <c r="F96" s="319">
        <v>115666</v>
      </c>
      <c r="G96" s="323">
        <v>15281212.605286757</v>
      </c>
      <c r="H96" s="319">
        <v>9505710.8259999994</v>
      </c>
      <c r="I96" s="319">
        <v>403812</v>
      </c>
      <c r="J96" s="323">
        <v>53335430.898886971</v>
      </c>
      <c r="K96" s="319">
        <v>33177418.311000001</v>
      </c>
      <c r="L96" s="319">
        <v>115891</v>
      </c>
      <c r="M96" s="323">
        <v>15250783.502748366</v>
      </c>
      <c r="N96" s="319">
        <v>9486782.3379999995</v>
      </c>
      <c r="O96" s="319">
        <v>81467</v>
      </c>
      <c r="P96" s="323">
        <v>10677005.420493836</v>
      </c>
      <c r="Q96" s="319">
        <v>6641653.9469999997</v>
      </c>
      <c r="R96" s="319">
        <v>197358</v>
      </c>
      <c r="S96" s="323">
        <v>25927788.923242204</v>
      </c>
      <c r="T96" s="319">
        <v>16128436.285</v>
      </c>
      <c r="U96" s="319">
        <v>404037</v>
      </c>
      <c r="V96" s="323">
        <v>53305001.796348587</v>
      </c>
      <c r="W96" s="319">
        <v>33158489.822999999</v>
      </c>
      <c r="X96" s="319">
        <v>197133</v>
      </c>
      <c r="Y96" s="323">
        <v>25958218.025780588</v>
      </c>
      <c r="Z96" s="319">
        <v>16147364.773</v>
      </c>
      <c r="AA96" s="319">
        <v>601170</v>
      </c>
      <c r="AB96" s="323">
        <v>79263219.822129175</v>
      </c>
      <c r="AC96" s="319">
        <v>49305854.596000001</v>
      </c>
    </row>
    <row r="97" spans="2:29" hidden="1" outlineLevel="1" x14ac:dyDescent="0.25">
      <c r="B97" s="318">
        <v>41214</v>
      </c>
      <c r="C97" s="319">
        <v>288062</v>
      </c>
      <c r="D97" s="323">
        <v>37929036.310982704</v>
      </c>
      <c r="E97" s="319">
        <v>23487576.331</v>
      </c>
      <c r="F97" s="319">
        <v>115528</v>
      </c>
      <c r="G97" s="323">
        <v>15205422.925268458</v>
      </c>
      <c r="H97" s="319">
        <v>9415966.4030000009</v>
      </c>
      <c r="I97" s="319">
        <v>403590</v>
      </c>
      <c r="J97" s="323">
        <v>53134459.236251161</v>
      </c>
      <c r="K97" s="319">
        <v>32903542.734000001</v>
      </c>
      <c r="L97" s="319">
        <v>115087</v>
      </c>
      <c r="M97" s="323">
        <v>15711418.12792518</v>
      </c>
      <c r="N97" s="319">
        <v>9729304.2070000004</v>
      </c>
      <c r="O97" s="319">
        <v>81174</v>
      </c>
      <c r="P97" s="323">
        <v>10943546.817386217</v>
      </c>
      <c r="Q97" s="319">
        <v>6776797.3090000004</v>
      </c>
      <c r="R97" s="319">
        <v>196261</v>
      </c>
      <c r="S97" s="323">
        <v>26654964.945311397</v>
      </c>
      <c r="T97" s="319">
        <v>16506101.516000001</v>
      </c>
      <c r="U97" s="319">
        <v>403149</v>
      </c>
      <c r="V97" s="323">
        <v>53640454.438907884</v>
      </c>
      <c r="W97" s="319">
        <v>33216880.537999999</v>
      </c>
      <c r="X97" s="319">
        <v>196702</v>
      </c>
      <c r="Y97" s="323">
        <v>26148969.742654674</v>
      </c>
      <c r="Z97" s="319">
        <v>16192763.711999999</v>
      </c>
      <c r="AA97" s="319">
        <v>599851</v>
      </c>
      <c r="AB97" s="323">
        <v>79789424.181562558</v>
      </c>
      <c r="AC97" s="319">
        <v>49409644.25</v>
      </c>
    </row>
    <row r="98" spans="2:29" hidden="1" outlineLevel="1" x14ac:dyDescent="0.25">
      <c r="B98" s="318">
        <v>41244</v>
      </c>
      <c r="C98" s="319">
        <v>290081</v>
      </c>
      <c r="D98" s="323">
        <v>38694108.941185176</v>
      </c>
      <c r="E98" s="319">
        <v>23954986.984000001</v>
      </c>
      <c r="F98" s="319">
        <v>116042</v>
      </c>
      <c r="G98" s="323">
        <v>15441366.509782588</v>
      </c>
      <c r="H98" s="319">
        <v>9559536.1640000008</v>
      </c>
      <c r="I98" s="319">
        <v>406123</v>
      </c>
      <c r="J98" s="323">
        <v>54135475.450967766</v>
      </c>
      <c r="K98" s="319">
        <v>33514523.147999998</v>
      </c>
      <c r="L98" s="319">
        <v>114101</v>
      </c>
      <c r="M98" s="323">
        <v>15346881.046211459</v>
      </c>
      <c r="N98" s="319">
        <v>9501041.5219999999</v>
      </c>
      <c r="O98" s="319">
        <v>80753</v>
      </c>
      <c r="P98" s="323">
        <v>10752546.702218845</v>
      </c>
      <c r="Q98" s="319">
        <v>6656752.7549999999</v>
      </c>
      <c r="R98" s="319">
        <v>194854</v>
      </c>
      <c r="S98" s="323">
        <v>26099427.748430301</v>
      </c>
      <c r="T98" s="319">
        <v>16157794.277000001</v>
      </c>
      <c r="U98" s="319">
        <v>404182</v>
      </c>
      <c r="V98" s="323">
        <v>54040989.987396635</v>
      </c>
      <c r="W98" s="319">
        <v>33456028.506000001</v>
      </c>
      <c r="X98" s="319">
        <v>196795</v>
      </c>
      <c r="Y98" s="323">
        <v>26193913.212001435</v>
      </c>
      <c r="Z98" s="319">
        <v>16216288.919</v>
      </c>
      <c r="AA98" s="319">
        <v>600977</v>
      </c>
      <c r="AB98" s="323">
        <v>80234903.199398071</v>
      </c>
      <c r="AC98" s="319">
        <v>49672317.424999997</v>
      </c>
    </row>
    <row r="99" spans="2:29" collapsed="1" x14ac:dyDescent="0.25">
      <c r="B99" s="321" t="s">
        <v>694</v>
      </c>
      <c r="C99" s="322">
        <v>288232.25</v>
      </c>
      <c r="D99" s="324">
        <v>37858321.256041095</v>
      </c>
      <c r="E99" s="322"/>
      <c r="F99" s="322">
        <v>116683.83333333333</v>
      </c>
      <c r="G99" s="324">
        <v>15315676.315882787</v>
      </c>
      <c r="H99" s="322"/>
      <c r="I99" s="322">
        <v>404916.08333333331</v>
      </c>
      <c r="J99" s="324">
        <v>53173997.571923882</v>
      </c>
      <c r="K99" s="322"/>
      <c r="L99" s="322">
        <v>120025.91666666667</v>
      </c>
      <c r="M99" s="324">
        <v>16024953.434253296</v>
      </c>
      <c r="N99" s="322"/>
      <c r="O99" s="322">
        <v>85446.25</v>
      </c>
      <c r="P99" s="324">
        <v>11305909.275839353</v>
      </c>
      <c r="Q99" s="322"/>
      <c r="R99" s="322">
        <v>205472.16666666666</v>
      </c>
      <c r="S99" s="324">
        <v>27330862.710092649</v>
      </c>
      <c r="T99" s="322"/>
      <c r="U99" s="322">
        <v>408258.16666666669</v>
      </c>
      <c r="V99" s="324">
        <v>53883274.690294385</v>
      </c>
      <c r="W99" s="322"/>
      <c r="X99" s="322">
        <v>202130.08333333334</v>
      </c>
      <c r="Y99" s="324">
        <v>26621585.591722146</v>
      </c>
      <c r="Z99" s="322"/>
      <c r="AA99" s="322">
        <v>610388.25</v>
      </c>
      <c r="AB99" s="324">
        <v>80504860.282016531</v>
      </c>
      <c r="AC99" s="322"/>
    </row>
    <row r="100" spans="2:29" hidden="1" outlineLevel="1" x14ac:dyDescent="0.25">
      <c r="B100" s="318">
        <v>41275</v>
      </c>
      <c r="C100" s="319">
        <v>291117</v>
      </c>
      <c r="D100" s="323">
        <v>38416289.398319691</v>
      </c>
      <c r="E100" s="319">
        <v>23825269.947999999</v>
      </c>
      <c r="F100" s="319">
        <v>116175</v>
      </c>
      <c r="G100" s="323">
        <v>15303419.944540698</v>
      </c>
      <c r="H100" s="319">
        <v>9490976.7970000003</v>
      </c>
      <c r="I100" s="319">
        <v>407292</v>
      </c>
      <c r="J100" s="323">
        <v>53719709.342860401</v>
      </c>
      <c r="K100" s="319">
        <v>33316246.745000001</v>
      </c>
      <c r="L100" s="319">
        <v>114577</v>
      </c>
      <c r="M100" s="323">
        <v>15528557.741836201</v>
      </c>
      <c r="N100" s="319">
        <v>9630604.2540000007</v>
      </c>
      <c r="O100" s="319">
        <v>80974</v>
      </c>
      <c r="P100" s="323">
        <v>10831344.102602046</v>
      </c>
      <c r="Q100" s="319">
        <v>6717455.0480000004</v>
      </c>
      <c r="R100" s="319">
        <v>195551</v>
      </c>
      <c r="S100" s="323">
        <v>26359901.844438247</v>
      </c>
      <c r="T100" s="319">
        <v>16348059.301999999</v>
      </c>
      <c r="U100" s="319">
        <v>405694</v>
      </c>
      <c r="V100" s="323">
        <v>53944847.140155897</v>
      </c>
      <c r="W100" s="319">
        <v>33455874.202</v>
      </c>
      <c r="X100" s="319">
        <v>197149</v>
      </c>
      <c r="Y100" s="323">
        <v>26134764.047142748</v>
      </c>
      <c r="Z100" s="319">
        <v>16208431.845000001</v>
      </c>
      <c r="AA100" s="319">
        <v>602843</v>
      </c>
      <c r="AB100" s="323">
        <v>80079611.187298641</v>
      </c>
      <c r="AC100" s="319">
        <v>49664306.046999998</v>
      </c>
    </row>
    <row r="101" spans="2:29" hidden="1" outlineLevel="1" x14ac:dyDescent="0.25">
      <c r="B101" s="318">
        <v>41306</v>
      </c>
      <c r="C101" s="319">
        <v>291221</v>
      </c>
      <c r="D101" s="323">
        <v>38130328.866379552</v>
      </c>
      <c r="E101" s="319">
        <v>23675656.447999999</v>
      </c>
      <c r="F101" s="319">
        <v>116163</v>
      </c>
      <c r="G101" s="323">
        <v>15221497.946647584</v>
      </c>
      <c r="H101" s="319">
        <v>9451241.7469999995</v>
      </c>
      <c r="I101" s="319">
        <v>407384</v>
      </c>
      <c r="J101" s="323">
        <v>53351826.813027143</v>
      </c>
      <c r="K101" s="319">
        <v>33126898.195</v>
      </c>
      <c r="L101" s="319">
        <v>114575</v>
      </c>
      <c r="M101" s="323">
        <v>15410264.965782905</v>
      </c>
      <c r="N101" s="319">
        <v>9568449.8389999997</v>
      </c>
      <c r="O101" s="319">
        <v>81066</v>
      </c>
      <c r="P101" s="323">
        <v>10820037.813839925</v>
      </c>
      <c r="Q101" s="319">
        <v>6718313.3650000002</v>
      </c>
      <c r="R101" s="319">
        <v>195641</v>
      </c>
      <c r="S101" s="323">
        <v>26230302.779622834</v>
      </c>
      <c r="T101" s="319">
        <v>16286763.204</v>
      </c>
      <c r="U101" s="319">
        <v>405796</v>
      </c>
      <c r="V101" s="323">
        <v>53540593.832162462</v>
      </c>
      <c r="W101" s="319">
        <v>33244106.287</v>
      </c>
      <c r="X101" s="319">
        <v>197229</v>
      </c>
      <c r="Y101" s="323">
        <v>26041535.760487512</v>
      </c>
      <c r="Z101" s="319">
        <v>16169555.112</v>
      </c>
      <c r="AA101" s="319">
        <v>603025</v>
      </c>
      <c r="AB101" s="323">
        <v>79582129.592649981</v>
      </c>
      <c r="AC101" s="319">
        <v>49413661.398999996</v>
      </c>
    </row>
    <row r="102" spans="2:29" hidden="1" outlineLevel="1" x14ac:dyDescent="0.25">
      <c r="B102" s="318">
        <v>41334</v>
      </c>
      <c r="C102" s="319">
        <v>290983</v>
      </c>
      <c r="D102" s="323">
        <v>37994015.14725849</v>
      </c>
      <c r="E102" s="319">
        <v>23681559.782000002</v>
      </c>
      <c r="F102" s="319">
        <v>116050</v>
      </c>
      <c r="G102" s="323">
        <v>15152606.094332704</v>
      </c>
      <c r="H102" s="319">
        <v>9444575.5649999995</v>
      </c>
      <c r="I102" s="319">
        <v>407033</v>
      </c>
      <c r="J102" s="323">
        <v>53146621.2415912</v>
      </c>
      <c r="K102" s="319">
        <v>33126135.346999999</v>
      </c>
      <c r="L102" s="319">
        <v>114606</v>
      </c>
      <c r="M102" s="323">
        <v>15389905.234630976</v>
      </c>
      <c r="N102" s="319">
        <v>9592483.4330000002</v>
      </c>
      <c r="O102" s="319">
        <v>81057</v>
      </c>
      <c r="P102" s="323">
        <v>10770354.970905786</v>
      </c>
      <c r="Q102" s="319">
        <v>6713131.1109999996</v>
      </c>
      <c r="R102" s="319">
        <v>195663</v>
      </c>
      <c r="S102" s="323">
        <v>26160260.20553676</v>
      </c>
      <c r="T102" s="319">
        <v>16305614.544</v>
      </c>
      <c r="U102" s="319">
        <v>405589</v>
      </c>
      <c r="V102" s="323">
        <v>53383920.38188947</v>
      </c>
      <c r="W102" s="319">
        <v>33274043.215</v>
      </c>
      <c r="X102" s="319">
        <v>197107</v>
      </c>
      <c r="Y102" s="323">
        <v>25922961.065238491</v>
      </c>
      <c r="Z102" s="319">
        <v>16157706.676000001</v>
      </c>
      <c r="AA102" s="319">
        <v>602696</v>
      </c>
      <c r="AB102" s="323">
        <v>79306881.447127953</v>
      </c>
      <c r="AC102" s="319">
        <v>49431749.891000003</v>
      </c>
    </row>
    <row r="103" spans="2:29" hidden="1" outlineLevel="1" x14ac:dyDescent="0.25">
      <c r="B103" s="318">
        <v>41365</v>
      </c>
      <c r="C103" s="319">
        <v>291102</v>
      </c>
      <c r="D103" s="323">
        <v>38228955.704270408</v>
      </c>
      <c r="E103" s="319">
        <v>23712734.690000001</v>
      </c>
      <c r="F103" s="319">
        <v>116061</v>
      </c>
      <c r="G103" s="323">
        <v>15261625.686553461</v>
      </c>
      <c r="H103" s="319">
        <v>9466512.3379999995</v>
      </c>
      <c r="I103" s="319">
        <v>407163</v>
      </c>
      <c r="J103" s="323">
        <v>53490581.390823878</v>
      </c>
      <c r="K103" s="319">
        <v>33179247.028000001</v>
      </c>
      <c r="L103" s="319">
        <v>114367</v>
      </c>
      <c r="M103" s="323">
        <v>15282005.505979983</v>
      </c>
      <c r="N103" s="319">
        <v>9479153.5739999991</v>
      </c>
      <c r="O103" s="319">
        <v>81062</v>
      </c>
      <c r="P103" s="323">
        <v>10741684.702833522</v>
      </c>
      <c r="Q103" s="319">
        <v>6662874.1169999996</v>
      </c>
      <c r="R103" s="319">
        <v>195429</v>
      </c>
      <c r="S103" s="323">
        <v>26023690.208813507</v>
      </c>
      <c r="T103" s="319">
        <v>16142027.691</v>
      </c>
      <c r="U103" s="319">
        <v>405469</v>
      </c>
      <c r="V103" s="323">
        <v>53510961.2102504</v>
      </c>
      <c r="W103" s="319">
        <v>33191888.263999999</v>
      </c>
      <c r="X103" s="319">
        <v>197123</v>
      </c>
      <c r="Y103" s="323">
        <v>26003310.389386985</v>
      </c>
      <c r="Z103" s="319">
        <v>16129386.455</v>
      </c>
      <c r="AA103" s="319">
        <v>602592</v>
      </c>
      <c r="AB103" s="323">
        <v>79514271.599637374</v>
      </c>
      <c r="AC103" s="319">
        <v>49321274.718999997</v>
      </c>
    </row>
    <row r="104" spans="2:29" hidden="1" outlineLevel="1" x14ac:dyDescent="0.25">
      <c r="B104" s="318">
        <v>41395</v>
      </c>
      <c r="C104" s="319">
        <v>287944</v>
      </c>
      <c r="D104" s="323">
        <v>37645986.862907358</v>
      </c>
      <c r="E104" s="319">
        <v>23349133.921999998</v>
      </c>
      <c r="F104" s="319">
        <v>115158</v>
      </c>
      <c r="G104" s="323">
        <v>15016328.749328153</v>
      </c>
      <c r="H104" s="319">
        <v>9313563.0170000009</v>
      </c>
      <c r="I104" s="319">
        <v>403102</v>
      </c>
      <c r="J104" s="323">
        <v>52662315.612235509</v>
      </c>
      <c r="K104" s="319">
        <v>32662696.938999999</v>
      </c>
      <c r="L104" s="319">
        <v>113862</v>
      </c>
      <c r="M104" s="323">
        <v>15234819.955651633</v>
      </c>
      <c r="N104" s="319">
        <v>9449077.6060000006</v>
      </c>
      <c r="O104" s="319">
        <v>80923</v>
      </c>
      <c r="P104" s="323">
        <v>10710230.898277767</v>
      </c>
      <c r="Q104" s="319">
        <v>6642796.1229999997</v>
      </c>
      <c r="R104" s="319">
        <v>194785</v>
      </c>
      <c r="S104" s="323">
        <v>25945050.8539294</v>
      </c>
      <c r="T104" s="319">
        <v>16091873.729</v>
      </c>
      <c r="U104" s="319">
        <v>401806</v>
      </c>
      <c r="V104" s="323">
        <v>52880806.818558991</v>
      </c>
      <c r="W104" s="319">
        <v>32798211.528000001</v>
      </c>
      <c r="X104" s="319">
        <v>196081</v>
      </c>
      <c r="Y104" s="323">
        <v>25726559.647605918</v>
      </c>
      <c r="Z104" s="319">
        <v>15956359.140000001</v>
      </c>
      <c r="AA104" s="319">
        <v>597887</v>
      </c>
      <c r="AB104" s="323">
        <v>78607366.466164917</v>
      </c>
      <c r="AC104" s="319">
        <v>48754570.667999998</v>
      </c>
    </row>
    <row r="105" spans="2:29" hidden="1" outlineLevel="1" x14ac:dyDescent="0.25">
      <c r="B105" s="318">
        <v>41426</v>
      </c>
      <c r="C105" s="319">
        <v>287746</v>
      </c>
      <c r="D105" s="323">
        <v>37361824.003827676</v>
      </c>
      <c r="E105" s="319">
        <v>23321256.513999999</v>
      </c>
      <c r="F105" s="319">
        <v>114755</v>
      </c>
      <c r="G105" s="323">
        <v>14863768.884354478</v>
      </c>
      <c r="H105" s="319">
        <v>9277966.9130000006</v>
      </c>
      <c r="I105" s="319">
        <v>402501</v>
      </c>
      <c r="J105" s="323">
        <v>52225592.888182148</v>
      </c>
      <c r="K105" s="319">
        <v>32599223.427000001</v>
      </c>
      <c r="L105" s="319">
        <v>113747</v>
      </c>
      <c r="M105" s="323">
        <v>15123915.257994153</v>
      </c>
      <c r="N105" s="319">
        <v>9440350.3210000005</v>
      </c>
      <c r="O105" s="319">
        <v>80780</v>
      </c>
      <c r="P105" s="323">
        <v>10642911.212994752</v>
      </c>
      <c r="Q105" s="319">
        <v>6643306.8799999999</v>
      </c>
      <c r="R105" s="319">
        <v>194527</v>
      </c>
      <c r="S105" s="323">
        <v>25766826.470988907</v>
      </c>
      <c r="T105" s="319">
        <v>16083657.200999999</v>
      </c>
      <c r="U105" s="319">
        <v>401493</v>
      </c>
      <c r="V105" s="323">
        <v>52485739.261821821</v>
      </c>
      <c r="W105" s="319">
        <v>32761606.835000001</v>
      </c>
      <c r="X105" s="319">
        <v>195535</v>
      </c>
      <c r="Y105" s="323">
        <v>25506680.09734923</v>
      </c>
      <c r="Z105" s="319">
        <v>15921273.793</v>
      </c>
      <c r="AA105" s="319">
        <v>597028</v>
      </c>
      <c r="AB105" s="323">
        <v>77992419.359171048</v>
      </c>
      <c r="AC105" s="319">
        <v>48682880.627999999</v>
      </c>
    </row>
    <row r="106" spans="2:29" hidden="1" outlineLevel="1" x14ac:dyDescent="0.25">
      <c r="B106" s="318">
        <v>41456</v>
      </c>
      <c r="C106" s="319">
        <v>286900</v>
      </c>
      <c r="D106" s="323">
        <v>37576981.736826167</v>
      </c>
      <c r="E106" s="319">
        <v>23516711.16</v>
      </c>
      <c r="F106" s="319">
        <v>113823</v>
      </c>
      <c r="G106" s="323">
        <v>14875760.061645586</v>
      </c>
      <c r="H106" s="319">
        <v>9309660.7679999992</v>
      </c>
      <c r="I106" s="319">
        <v>400723</v>
      </c>
      <c r="J106" s="323">
        <v>52452741.798471749</v>
      </c>
      <c r="K106" s="319">
        <v>32826371.927999999</v>
      </c>
      <c r="L106" s="319">
        <v>113259</v>
      </c>
      <c r="M106" s="323">
        <v>15248485.199149916</v>
      </c>
      <c r="N106" s="319">
        <v>9542922.4350000005</v>
      </c>
      <c r="O106" s="319">
        <v>80448</v>
      </c>
      <c r="P106" s="323">
        <v>10740415.962131774</v>
      </c>
      <c r="Q106" s="319">
        <v>6721648.4199999999</v>
      </c>
      <c r="R106" s="319">
        <v>193707</v>
      </c>
      <c r="S106" s="323">
        <v>25988901.161281694</v>
      </c>
      <c r="T106" s="319">
        <v>16264570.855</v>
      </c>
      <c r="U106" s="319">
        <v>400159</v>
      </c>
      <c r="V106" s="323">
        <v>52825466.935976081</v>
      </c>
      <c r="W106" s="319">
        <v>33059633.594999999</v>
      </c>
      <c r="X106" s="319">
        <v>194271</v>
      </c>
      <c r="Y106" s="323">
        <v>25616176.023777358</v>
      </c>
      <c r="Z106" s="319">
        <v>16031309.187999999</v>
      </c>
      <c r="AA106" s="319">
        <v>594430</v>
      </c>
      <c r="AB106" s="323">
        <v>78441642.959753454</v>
      </c>
      <c r="AC106" s="319">
        <v>49090942.783</v>
      </c>
    </row>
    <row r="107" spans="2:29" hidden="1" outlineLevel="1" x14ac:dyDescent="0.25">
      <c r="B107" s="318">
        <v>41487</v>
      </c>
      <c r="C107" s="319">
        <v>286299</v>
      </c>
      <c r="D107" s="323">
        <v>37629907.222249329</v>
      </c>
      <c r="E107" s="319">
        <v>23606504.903000001</v>
      </c>
      <c r="F107" s="319">
        <v>112889</v>
      </c>
      <c r="G107" s="323">
        <v>14814257.100691412</v>
      </c>
      <c r="H107" s="319">
        <v>9293481.1349999998</v>
      </c>
      <c r="I107" s="319">
        <v>399188</v>
      </c>
      <c r="J107" s="323">
        <v>52444164.322940737</v>
      </c>
      <c r="K107" s="319">
        <v>32899986.037999999</v>
      </c>
      <c r="L107" s="319">
        <v>112410</v>
      </c>
      <c r="M107" s="323">
        <v>14961474.437729586</v>
      </c>
      <c r="N107" s="319">
        <v>9385835.5160000008</v>
      </c>
      <c r="O107" s="319">
        <v>79869</v>
      </c>
      <c r="P107" s="323">
        <v>10557818.032736395</v>
      </c>
      <c r="Q107" s="319">
        <v>6623273.9210000001</v>
      </c>
      <c r="R107" s="319">
        <v>192279</v>
      </c>
      <c r="S107" s="323">
        <v>25519292.47046598</v>
      </c>
      <c r="T107" s="319">
        <v>16009109.437000001</v>
      </c>
      <c r="U107" s="319">
        <v>398709</v>
      </c>
      <c r="V107" s="323">
        <v>52591381.659978911</v>
      </c>
      <c r="W107" s="319">
        <v>32992340.419</v>
      </c>
      <c r="X107" s="319">
        <v>192758</v>
      </c>
      <c r="Y107" s="323">
        <v>25372075.133427806</v>
      </c>
      <c r="Z107" s="319">
        <v>15916755.056</v>
      </c>
      <c r="AA107" s="319">
        <v>591467</v>
      </c>
      <c r="AB107" s="323">
        <v>77963456.793406725</v>
      </c>
      <c r="AC107" s="319">
        <v>48909095.475000001</v>
      </c>
    </row>
    <row r="108" spans="2:29" hidden="1" outlineLevel="1" x14ac:dyDescent="0.25">
      <c r="B108" s="318">
        <v>41518</v>
      </c>
      <c r="C108" s="319">
        <v>287419</v>
      </c>
      <c r="D108" s="323">
        <v>38718361.849153019</v>
      </c>
      <c r="E108" s="319">
        <v>24419698.526999999</v>
      </c>
      <c r="F108" s="319">
        <v>112931</v>
      </c>
      <c r="G108" s="323">
        <v>15471610.074147478</v>
      </c>
      <c r="H108" s="319">
        <v>9757955.5460000001</v>
      </c>
      <c r="I108" s="319">
        <v>400350</v>
      </c>
      <c r="J108" s="323">
        <v>54189971.923300497</v>
      </c>
      <c r="K108" s="319">
        <v>34177654.072999999</v>
      </c>
      <c r="L108" s="319">
        <v>110949</v>
      </c>
      <c r="M108" s="323">
        <v>14862116.697237767</v>
      </c>
      <c r="N108" s="319">
        <v>9373547.6370000001</v>
      </c>
      <c r="O108" s="319">
        <v>78807</v>
      </c>
      <c r="P108" s="323">
        <v>10325383.847556854</v>
      </c>
      <c r="Q108" s="319">
        <v>6512226.9819999998</v>
      </c>
      <c r="R108" s="319">
        <v>189756</v>
      </c>
      <c r="S108" s="323">
        <v>25187500.544794623</v>
      </c>
      <c r="T108" s="319">
        <v>15885774.619000001</v>
      </c>
      <c r="U108" s="319">
        <v>398368</v>
      </c>
      <c r="V108" s="323">
        <v>53580478.546390787</v>
      </c>
      <c r="W108" s="319">
        <v>33793246.163999997</v>
      </c>
      <c r="X108" s="319">
        <v>191738</v>
      </c>
      <c r="Y108" s="323">
        <v>25796993.92170433</v>
      </c>
      <c r="Z108" s="319">
        <v>16270182.528000001</v>
      </c>
      <c r="AA108" s="319">
        <v>590106</v>
      </c>
      <c r="AB108" s="323">
        <v>79377472.468095124</v>
      </c>
      <c r="AC108" s="319">
        <v>50063428.692000002</v>
      </c>
    </row>
    <row r="109" spans="2:29" hidden="1" outlineLevel="1" x14ac:dyDescent="0.25">
      <c r="B109" s="318">
        <v>41548</v>
      </c>
      <c r="C109" s="319">
        <v>287421</v>
      </c>
      <c r="D109" s="323">
        <v>37892337.979200199</v>
      </c>
      <c r="E109" s="319">
        <v>23932815.302000001</v>
      </c>
      <c r="F109" s="319">
        <v>112713</v>
      </c>
      <c r="G109" s="323">
        <v>14899854.380227825</v>
      </c>
      <c r="H109" s="319">
        <v>9410753.7809999995</v>
      </c>
      <c r="I109" s="319">
        <v>400134</v>
      </c>
      <c r="J109" s="323">
        <v>52792192.359428033</v>
      </c>
      <c r="K109" s="319">
        <v>33343569.083000001</v>
      </c>
      <c r="L109" s="319">
        <v>110059</v>
      </c>
      <c r="M109" s="323">
        <v>14666219.95057546</v>
      </c>
      <c r="N109" s="319">
        <v>9263190.1850000005</v>
      </c>
      <c r="O109" s="319">
        <v>77668</v>
      </c>
      <c r="P109" s="323">
        <v>10201518.195200346</v>
      </c>
      <c r="Q109" s="319">
        <v>6443282.8320000004</v>
      </c>
      <c r="R109" s="319">
        <v>187727</v>
      </c>
      <c r="S109" s="323">
        <v>24867738.145775806</v>
      </c>
      <c r="T109" s="319">
        <v>15706473.017000001</v>
      </c>
      <c r="U109" s="319">
        <v>397480</v>
      </c>
      <c r="V109" s="323">
        <v>52558557.929775663</v>
      </c>
      <c r="W109" s="319">
        <v>33196005.487</v>
      </c>
      <c r="X109" s="319">
        <v>190381</v>
      </c>
      <c r="Y109" s="323">
        <v>25101372.575428173</v>
      </c>
      <c r="Z109" s="319">
        <v>15854036.613</v>
      </c>
      <c r="AA109" s="319">
        <v>587861</v>
      </c>
      <c r="AB109" s="323">
        <v>77659930.505203843</v>
      </c>
      <c r="AC109" s="319">
        <v>49050042.100000001</v>
      </c>
    </row>
    <row r="110" spans="2:29" hidden="1" outlineLevel="1" x14ac:dyDescent="0.25">
      <c r="B110" s="318">
        <v>41579</v>
      </c>
      <c r="C110" s="319">
        <v>288032</v>
      </c>
      <c r="D110" s="323">
        <v>37828633.460578933</v>
      </c>
      <c r="E110" s="319">
        <v>23981533.175000001</v>
      </c>
      <c r="F110" s="319">
        <v>112717</v>
      </c>
      <c r="G110" s="323">
        <v>14796593.933845591</v>
      </c>
      <c r="H110" s="319">
        <v>9380328.4930000007</v>
      </c>
      <c r="I110" s="319">
        <v>400749</v>
      </c>
      <c r="J110" s="323">
        <v>52625227.39442452</v>
      </c>
      <c r="K110" s="319">
        <v>33361861.668000001</v>
      </c>
      <c r="L110" s="319">
        <v>109706</v>
      </c>
      <c r="M110" s="323">
        <v>14558327.449347807</v>
      </c>
      <c r="N110" s="319">
        <v>9229279.0079999994</v>
      </c>
      <c r="O110" s="319">
        <v>77463</v>
      </c>
      <c r="P110" s="323">
        <v>10092069.42550905</v>
      </c>
      <c r="Q110" s="319">
        <v>6397886.352</v>
      </c>
      <c r="R110" s="319">
        <v>187169</v>
      </c>
      <c r="S110" s="323">
        <v>24650396.874856856</v>
      </c>
      <c r="T110" s="319">
        <v>15627165.359999999</v>
      </c>
      <c r="U110" s="319">
        <v>397738</v>
      </c>
      <c r="V110" s="323">
        <v>52386960.909926742</v>
      </c>
      <c r="W110" s="319">
        <v>33210812.182999998</v>
      </c>
      <c r="X110" s="319">
        <v>190180</v>
      </c>
      <c r="Y110" s="323">
        <v>24888663.359354641</v>
      </c>
      <c r="Z110" s="319">
        <v>15778214.845000001</v>
      </c>
      <c r="AA110" s="319">
        <v>587918</v>
      </c>
      <c r="AB110" s="323">
        <v>77275624.269281387</v>
      </c>
      <c r="AC110" s="319">
        <v>48989027.027999997</v>
      </c>
    </row>
    <row r="111" spans="2:29" hidden="1" outlineLevel="1" x14ac:dyDescent="0.25">
      <c r="B111" s="318">
        <v>41609</v>
      </c>
      <c r="C111" s="319">
        <v>288459</v>
      </c>
      <c r="D111" s="323">
        <v>37637815.493528277</v>
      </c>
      <c r="E111" s="319">
        <v>24003442.306000002</v>
      </c>
      <c r="F111" s="319">
        <v>112309</v>
      </c>
      <c r="G111" s="323">
        <v>14659124.147224879</v>
      </c>
      <c r="H111" s="319">
        <v>9348827.3990000002</v>
      </c>
      <c r="I111" s="319">
        <v>400768</v>
      </c>
      <c r="J111" s="323">
        <v>52296939.64075315</v>
      </c>
      <c r="K111" s="319">
        <v>33352269.704999998</v>
      </c>
      <c r="L111" s="319">
        <v>109144</v>
      </c>
      <c r="M111" s="323">
        <v>14285523.271096604</v>
      </c>
      <c r="N111" s="319">
        <v>9110564.1799999997</v>
      </c>
      <c r="O111" s="319">
        <v>77638</v>
      </c>
      <c r="P111" s="323">
        <v>9912115.3172049001</v>
      </c>
      <c r="Q111" s="319">
        <v>6321431.9170000004</v>
      </c>
      <c r="R111" s="319">
        <v>186782</v>
      </c>
      <c r="S111" s="323">
        <v>24197638.588301502</v>
      </c>
      <c r="T111" s="319">
        <v>15431996.096999999</v>
      </c>
      <c r="U111" s="319">
        <v>397603</v>
      </c>
      <c r="V111" s="323">
        <v>51923338.764624879</v>
      </c>
      <c r="W111" s="319">
        <v>33114006.486000001</v>
      </c>
      <c r="X111" s="319">
        <v>189947</v>
      </c>
      <c r="Y111" s="323">
        <v>24571239.464429781</v>
      </c>
      <c r="Z111" s="319">
        <v>15670259.316</v>
      </c>
      <c r="AA111" s="319">
        <v>587550</v>
      </c>
      <c r="AB111" s="323">
        <v>76494578.22905466</v>
      </c>
      <c r="AC111" s="319">
        <v>48784265.802000001</v>
      </c>
    </row>
    <row r="112" spans="2:29" collapsed="1" x14ac:dyDescent="0.25">
      <c r="B112" s="321" t="s">
        <v>695</v>
      </c>
      <c r="C112" s="322">
        <v>288720.25</v>
      </c>
      <c r="D112" s="324">
        <v>37921786.477041595</v>
      </c>
      <c r="E112" s="322"/>
      <c r="F112" s="322">
        <v>114312</v>
      </c>
      <c r="G112" s="324">
        <v>15028037.250294985</v>
      </c>
      <c r="H112" s="322"/>
      <c r="I112" s="322">
        <v>403032.25</v>
      </c>
      <c r="J112" s="324">
        <v>52949823.727336586</v>
      </c>
      <c r="K112" s="322"/>
      <c r="L112" s="322">
        <v>112605.08333333333</v>
      </c>
      <c r="M112" s="324">
        <v>15045967.972251082</v>
      </c>
      <c r="N112" s="322"/>
      <c r="O112" s="322">
        <v>79812.916666666672</v>
      </c>
      <c r="P112" s="324">
        <v>10528823.706816094</v>
      </c>
      <c r="Q112" s="322"/>
      <c r="R112" s="322">
        <v>192418</v>
      </c>
      <c r="S112" s="324">
        <v>25574791.679067176</v>
      </c>
      <c r="T112" s="322"/>
      <c r="U112" s="322">
        <v>401325.33333333331</v>
      </c>
      <c r="V112" s="324">
        <v>52967754.449292667</v>
      </c>
      <c r="W112" s="322"/>
      <c r="X112" s="322">
        <v>194124.91666666666</v>
      </c>
      <c r="Y112" s="324">
        <v>25556860.957111079</v>
      </c>
      <c r="Z112" s="322"/>
      <c r="AA112" s="322">
        <v>595450.25</v>
      </c>
      <c r="AB112" s="324">
        <v>78524615.40640375</v>
      </c>
      <c r="AC112" s="322"/>
    </row>
    <row r="113" spans="2:29" hidden="1" outlineLevel="1" x14ac:dyDescent="0.25">
      <c r="B113" s="318">
        <v>41640</v>
      </c>
      <c r="C113" s="319">
        <v>287495</v>
      </c>
      <c r="D113" s="323">
        <v>37398087.130635522</v>
      </c>
      <c r="E113" s="319">
        <v>23893249.675999999</v>
      </c>
      <c r="F113" s="319">
        <v>111320</v>
      </c>
      <c r="G113" s="323">
        <v>14470789.656674072</v>
      </c>
      <c r="H113" s="319">
        <v>9245237.3049999997</v>
      </c>
      <c r="I113" s="319">
        <v>398815</v>
      </c>
      <c r="J113" s="323">
        <v>51868876.787309594</v>
      </c>
      <c r="K113" s="319">
        <v>33138486.980999999</v>
      </c>
      <c r="L113" s="319">
        <v>108852</v>
      </c>
      <c r="M113" s="323">
        <v>14520751.598455958</v>
      </c>
      <c r="N113" s="319">
        <v>9277157.4710000008</v>
      </c>
      <c r="O113" s="319">
        <v>77061</v>
      </c>
      <c r="P113" s="323">
        <v>10098646.343474817</v>
      </c>
      <c r="Q113" s="319">
        <v>6451920.3250000002</v>
      </c>
      <c r="R113" s="319">
        <v>185913</v>
      </c>
      <c r="S113" s="323">
        <v>24619397.941930775</v>
      </c>
      <c r="T113" s="319">
        <v>15729077.796</v>
      </c>
      <c r="U113" s="319">
        <v>396347</v>
      </c>
      <c r="V113" s="323">
        <v>51918838.729091473</v>
      </c>
      <c r="W113" s="319">
        <v>33170407.147</v>
      </c>
      <c r="X113" s="319">
        <v>188381</v>
      </c>
      <c r="Y113" s="323">
        <v>24569436.000148889</v>
      </c>
      <c r="Z113" s="319">
        <v>15697157.630000001</v>
      </c>
      <c r="AA113" s="319">
        <v>584728</v>
      </c>
      <c r="AB113" s="323">
        <v>76488274.729240373</v>
      </c>
      <c r="AC113" s="319">
        <v>48867564.777000003</v>
      </c>
    </row>
    <row r="114" spans="2:29" hidden="1" outlineLevel="1" x14ac:dyDescent="0.25">
      <c r="B114" s="318">
        <v>41671</v>
      </c>
      <c r="C114" s="319">
        <v>285935</v>
      </c>
      <c r="D114" s="323">
        <v>36924369.150660343</v>
      </c>
      <c r="E114" s="319">
        <v>23705404.307999998</v>
      </c>
      <c r="F114" s="319">
        <v>111117</v>
      </c>
      <c r="G114" s="323">
        <v>14357146.017206371</v>
      </c>
      <c r="H114" s="319">
        <v>9217271.9230000004</v>
      </c>
      <c r="I114" s="319">
        <v>397052</v>
      </c>
      <c r="J114" s="323">
        <v>51281515.167866722</v>
      </c>
      <c r="K114" s="319">
        <v>32922676.230999999</v>
      </c>
      <c r="L114" s="319">
        <v>107883</v>
      </c>
      <c r="M114" s="323">
        <v>14201716.093114115</v>
      </c>
      <c r="N114" s="319">
        <v>9117486.0830000006</v>
      </c>
      <c r="O114" s="319">
        <v>75818</v>
      </c>
      <c r="P114" s="323">
        <v>9797488.4030984547</v>
      </c>
      <c r="Q114" s="319">
        <v>6289976.7589999996</v>
      </c>
      <c r="R114" s="319">
        <v>183701</v>
      </c>
      <c r="S114" s="323">
        <v>23999204.496212572</v>
      </c>
      <c r="T114" s="319">
        <v>15407462.842</v>
      </c>
      <c r="U114" s="319">
        <v>393818</v>
      </c>
      <c r="V114" s="323">
        <v>51126085.243774459</v>
      </c>
      <c r="W114" s="319">
        <v>32822890.390999999</v>
      </c>
      <c r="X114" s="319">
        <v>186935</v>
      </c>
      <c r="Y114" s="323">
        <v>24154634.420304827</v>
      </c>
      <c r="Z114" s="319">
        <v>15507248.682</v>
      </c>
      <c r="AA114" s="319">
        <v>580753</v>
      </c>
      <c r="AB114" s="323">
        <v>75280719.664079279</v>
      </c>
      <c r="AC114" s="319">
        <v>48330139.072999999</v>
      </c>
    </row>
    <row r="115" spans="2:29" hidden="1" outlineLevel="1" x14ac:dyDescent="0.25">
      <c r="B115" s="318">
        <v>41699</v>
      </c>
      <c r="C115" s="319">
        <v>286445</v>
      </c>
      <c r="D115" s="323">
        <v>36764086.509184003</v>
      </c>
      <c r="E115" s="319">
        <v>23800129.353</v>
      </c>
      <c r="F115" s="319">
        <v>111073</v>
      </c>
      <c r="G115" s="323">
        <v>14251921.050898738</v>
      </c>
      <c r="H115" s="319">
        <v>9226329.1909999996</v>
      </c>
      <c r="I115" s="319">
        <v>397518</v>
      </c>
      <c r="J115" s="323">
        <v>51016007.560082741</v>
      </c>
      <c r="K115" s="319">
        <v>33026458.544</v>
      </c>
      <c r="L115" s="319">
        <v>107894</v>
      </c>
      <c r="M115" s="323">
        <v>14219405.940326985</v>
      </c>
      <c r="N115" s="319">
        <v>9205279.7400000002</v>
      </c>
      <c r="O115" s="319">
        <v>75876</v>
      </c>
      <c r="P115" s="323">
        <v>9844094.5857386757</v>
      </c>
      <c r="Q115" s="319">
        <v>6372815.0690000001</v>
      </c>
      <c r="R115" s="319">
        <v>183770</v>
      </c>
      <c r="S115" s="323">
        <v>24063500.526065663</v>
      </c>
      <c r="T115" s="319">
        <v>15578094.809</v>
      </c>
      <c r="U115" s="319">
        <v>394339</v>
      </c>
      <c r="V115" s="323">
        <v>50983492.449510984</v>
      </c>
      <c r="W115" s="319">
        <v>33005409.092999998</v>
      </c>
      <c r="X115" s="319">
        <v>186949</v>
      </c>
      <c r="Y115" s="323">
        <v>24096015.636637412</v>
      </c>
      <c r="Z115" s="319">
        <v>15599144.26</v>
      </c>
      <c r="AA115" s="319">
        <v>581288</v>
      </c>
      <c r="AB115" s="323">
        <v>75079508.086148411</v>
      </c>
      <c r="AC115" s="319">
        <v>48604553.353</v>
      </c>
    </row>
    <row r="116" spans="2:29" hidden="1" outlineLevel="1" x14ac:dyDescent="0.25">
      <c r="B116" s="318">
        <v>41730</v>
      </c>
      <c r="C116" s="319">
        <v>287373</v>
      </c>
      <c r="D116" s="323">
        <v>36587602.407094002</v>
      </c>
      <c r="E116" s="319">
        <v>23832959.579</v>
      </c>
      <c r="F116" s="319">
        <v>111174</v>
      </c>
      <c r="G116" s="323">
        <v>14178147.361459814</v>
      </c>
      <c r="H116" s="319">
        <v>9235565.8949999996</v>
      </c>
      <c r="I116" s="319">
        <v>398547</v>
      </c>
      <c r="J116" s="323">
        <v>50765749.768553808</v>
      </c>
      <c r="K116" s="319">
        <v>33068525.473999999</v>
      </c>
      <c r="L116" s="319">
        <v>107871</v>
      </c>
      <c r="M116" s="323">
        <v>14082368.124924771</v>
      </c>
      <c r="N116" s="319">
        <v>9173175.8359999992</v>
      </c>
      <c r="O116" s="319">
        <v>75651</v>
      </c>
      <c r="P116" s="323">
        <v>9615190.1954541374</v>
      </c>
      <c r="Q116" s="319">
        <v>6263281.1169999996</v>
      </c>
      <c r="R116" s="319">
        <v>183522</v>
      </c>
      <c r="S116" s="323">
        <v>23697558.320378911</v>
      </c>
      <c r="T116" s="319">
        <v>15436456.953</v>
      </c>
      <c r="U116" s="319">
        <v>395244</v>
      </c>
      <c r="V116" s="323">
        <v>50669970.532018766</v>
      </c>
      <c r="W116" s="319">
        <v>33006135.414999999</v>
      </c>
      <c r="X116" s="319">
        <v>186825</v>
      </c>
      <c r="Y116" s="323">
        <v>23793337.556913953</v>
      </c>
      <c r="Z116" s="319">
        <v>15498847.012</v>
      </c>
      <c r="AA116" s="319">
        <v>582069</v>
      </c>
      <c r="AB116" s="323">
        <v>74463308.088932723</v>
      </c>
      <c r="AC116" s="319">
        <v>48504982.427000001</v>
      </c>
    </row>
    <row r="117" spans="2:29" hidden="1" outlineLevel="1" x14ac:dyDescent="0.25">
      <c r="B117" s="318">
        <v>41760</v>
      </c>
      <c r="C117" s="319">
        <v>287751</v>
      </c>
      <c r="D117" s="323">
        <v>36536679.58643999</v>
      </c>
      <c r="E117" s="319">
        <v>23880144.901000001</v>
      </c>
      <c r="F117" s="319">
        <v>111202</v>
      </c>
      <c r="G117" s="323">
        <v>14133741.592698719</v>
      </c>
      <c r="H117" s="319">
        <v>9237724.9670000002</v>
      </c>
      <c r="I117" s="319">
        <v>398953</v>
      </c>
      <c r="J117" s="323">
        <v>50670421.179138713</v>
      </c>
      <c r="K117" s="319">
        <v>33117869.868000001</v>
      </c>
      <c r="L117" s="319">
        <v>107839</v>
      </c>
      <c r="M117" s="323">
        <v>13906439.749236686</v>
      </c>
      <c r="N117" s="319">
        <v>9089161.9059999995</v>
      </c>
      <c r="O117" s="319">
        <v>75719</v>
      </c>
      <c r="P117" s="323">
        <v>9612145.2728811521</v>
      </c>
      <c r="Q117" s="319">
        <v>6282437.9369999999</v>
      </c>
      <c r="R117" s="319">
        <v>183558</v>
      </c>
      <c r="S117" s="323">
        <v>23518585.022117838</v>
      </c>
      <c r="T117" s="319">
        <v>15371599.843</v>
      </c>
      <c r="U117" s="319">
        <v>395590</v>
      </c>
      <c r="V117" s="323">
        <v>50443119.335676685</v>
      </c>
      <c r="W117" s="319">
        <v>32969306.807</v>
      </c>
      <c r="X117" s="319">
        <v>186921</v>
      </c>
      <c r="Y117" s="323">
        <v>23745886.86557987</v>
      </c>
      <c r="Z117" s="319">
        <v>15520162.903999999</v>
      </c>
      <c r="AA117" s="319">
        <v>582511</v>
      </c>
      <c r="AB117" s="323">
        <v>74189006.201256543</v>
      </c>
      <c r="AC117" s="319">
        <v>48489469.711000003</v>
      </c>
    </row>
    <row r="118" spans="2:29" hidden="1" outlineLevel="1" x14ac:dyDescent="0.25">
      <c r="B118" s="318">
        <v>41791</v>
      </c>
      <c r="C118" s="319">
        <v>288957</v>
      </c>
      <c r="D118" s="323">
        <v>36888662.576203704</v>
      </c>
      <c r="E118" s="319">
        <v>24122680.603999998</v>
      </c>
      <c r="F118" s="319">
        <v>111355</v>
      </c>
      <c r="G118" s="323">
        <v>14213117.309188267</v>
      </c>
      <c r="H118" s="319">
        <v>9294413.6569999997</v>
      </c>
      <c r="I118" s="319">
        <v>400312</v>
      </c>
      <c r="J118" s="323">
        <v>51101779.885391966</v>
      </c>
      <c r="K118" s="319">
        <v>33417094.261</v>
      </c>
      <c r="L118" s="319">
        <v>107906</v>
      </c>
      <c r="M118" s="323">
        <v>13981921.546082716</v>
      </c>
      <c r="N118" s="319">
        <v>9143227.3259999994</v>
      </c>
      <c r="O118" s="319">
        <v>75992</v>
      </c>
      <c r="P118" s="323">
        <v>9748418.363138929</v>
      </c>
      <c r="Q118" s="319">
        <v>6374803.6969999997</v>
      </c>
      <c r="R118" s="319">
        <v>183898</v>
      </c>
      <c r="S118" s="323">
        <v>23730339.909221645</v>
      </c>
      <c r="T118" s="319">
        <v>15518031.023</v>
      </c>
      <c r="U118" s="319">
        <v>396863</v>
      </c>
      <c r="V118" s="323">
        <v>50870584.122286417</v>
      </c>
      <c r="W118" s="319">
        <v>33265907.93</v>
      </c>
      <c r="X118" s="319">
        <v>187347</v>
      </c>
      <c r="Y118" s="323">
        <v>23961535.672327198</v>
      </c>
      <c r="Z118" s="319">
        <v>15669217.354</v>
      </c>
      <c r="AA118" s="319">
        <v>584210</v>
      </c>
      <c r="AB118" s="323">
        <v>74832119.794613615</v>
      </c>
      <c r="AC118" s="319">
        <v>48935125.284000002</v>
      </c>
    </row>
    <row r="119" spans="2:29" hidden="1" outlineLevel="1" x14ac:dyDescent="0.25">
      <c r="B119" s="318">
        <v>41821</v>
      </c>
      <c r="C119" s="319">
        <v>289553</v>
      </c>
      <c r="D119" s="323">
        <v>38400401.676879749</v>
      </c>
      <c r="E119" s="319">
        <v>25169576.537999999</v>
      </c>
      <c r="F119" s="319">
        <v>111373</v>
      </c>
      <c r="G119" s="323">
        <v>14783756.305855021</v>
      </c>
      <c r="H119" s="319">
        <v>9690025.875</v>
      </c>
      <c r="I119" s="319">
        <v>400926</v>
      </c>
      <c r="J119" s="323">
        <v>53184157.982734762</v>
      </c>
      <c r="K119" s="319">
        <v>34859602.413000003</v>
      </c>
      <c r="L119" s="319">
        <v>107060</v>
      </c>
      <c r="M119" s="323">
        <v>14415796.653238866</v>
      </c>
      <c r="N119" s="319">
        <v>9448846.4020000007</v>
      </c>
      <c r="O119" s="319">
        <v>74825</v>
      </c>
      <c r="P119" s="323">
        <v>9904680.1410921048</v>
      </c>
      <c r="Q119" s="319">
        <v>6492031.1770000001</v>
      </c>
      <c r="R119" s="319">
        <v>181885</v>
      </c>
      <c r="S119" s="323">
        <v>24320476.794330969</v>
      </c>
      <c r="T119" s="319">
        <v>15940877.579</v>
      </c>
      <c r="U119" s="319">
        <v>396613</v>
      </c>
      <c r="V119" s="323">
        <v>52816198.330118604</v>
      </c>
      <c r="W119" s="319">
        <v>34618422.939999998</v>
      </c>
      <c r="X119" s="319">
        <v>186198</v>
      </c>
      <c r="Y119" s="323">
        <v>24688436.446947124</v>
      </c>
      <c r="Z119" s="319">
        <v>16182057.051999999</v>
      </c>
      <c r="AA119" s="319">
        <v>582811</v>
      </c>
      <c r="AB119" s="323">
        <v>77504634.777065739</v>
      </c>
      <c r="AC119" s="319">
        <v>50800479.991999999</v>
      </c>
    </row>
    <row r="120" spans="2:29" hidden="1" outlineLevel="1" x14ac:dyDescent="0.25">
      <c r="B120" s="318">
        <v>41852</v>
      </c>
      <c r="C120" s="319">
        <v>289755</v>
      </c>
      <c r="D120" s="323">
        <v>38175444.720823757</v>
      </c>
      <c r="E120" s="319">
        <v>25103368.822999999</v>
      </c>
      <c r="F120" s="319">
        <v>111178</v>
      </c>
      <c r="G120" s="323">
        <v>14672991.674103346</v>
      </c>
      <c r="H120" s="319">
        <v>9648650.4460000005</v>
      </c>
      <c r="I120" s="319">
        <v>400933</v>
      </c>
      <c r="J120" s="323">
        <v>52848436.394927107</v>
      </c>
      <c r="K120" s="319">
        <v>34752019.269000001</v>
      </c>
      <c r="L120" s="319">
        <v>106935</v>
      </c>
      <c r="M120" s="323">
        <v>14271447.389056254</v>
      </c>
      <c r="N120" s="319">
        <v>9384603.3770000003</v>
      </c>
      <c r="O120" s="319">
        <v>74941</v>
      </c>
      <c r="P120" s="323">
        <v>9867638.5586088933</v>
      </c>
      <c r="Q120" s="319">
        <v>6488751.3940000003</v>
      </c>
      <c r="R120" s="319">
        <v>181876</v>
      </c>
      <c r="S120" s="323">
        <v>24139085.947665147</v>
      </c>
      <c r="T120" s="319">
        <v>15873354.771</v>
      </c>
      <c r="U120" s="319">
        <v>396690</v>
      </c>
      <c r="V120" s="323">
        <v>52446892.109880015</v>
      </c>
      <c r="W120" s="319">
        <v>34487972.200000003</v>
      </c>
      <c r="X120" s="319">
        <v>186119</v>
      </c>
      <c r="Y120" s="323">
        <v>24540630.232712239</v>
      </c>
      <c r="Z120" s="319">
        <v>16137401.84</v>
      </c>
      <c r="AA120" s="319">
        <v>582809</v>
      </c>
      <c r="AB120" s="323">
        <v>76987522.342592254</v>
      </c>
      <c r="AC120" s="319">
        <v>50625374.039999999</v>
      </c>
    </row>
    <row r="121" spans="2:29" hidden="1" outlineLevel="1" x14ac:dyDescent="0.25">
      <c r="B121" s="318">
        <v>41883</v>
      </c>
      <c r="C121" s="319">
        <v>289334</v>
      </c>
      <c r="D121" s="323">
        <v>37901674.695678748</v>
      </c>
      <c r="E121" s="319">
        <v>25131917.138</v>
      </c>
      <c r="F121" s="319">
        <v>110940</v>
      </c>
      <c r="G121" s="323">
        <v>14534493.045321863</v>
      </c>
      <c r="H121" s="319">
        <v>9637560.2870000005</v>
      </c>
      <c r="I121" s="319">
        <v>400274</v>
      </c>
      <c r="J121" s="323">
        <v>52436167.741000608</v>
      </c>
      <c r="K121" s="319">
        <v>34769477.424999997</v>
      </c>
      <c r="L121" s="319">
        <v>106925</v>
      </c>
      <c r="M121" s="323">
        <v>14260196.968631474</v>
      </c>
      <c r="N121" s="319">
        <v>9455679.5040000007</v>
      </c>
      <c r="O121" s="319">
        <v>75437</v>
      </c>
      <c r="P121" s="323">
        <v>9807632.0824263189</v>
      </c>
      <c r="Q121" s="319">
        <v>6503264.0060000001</v>
      </c>
      <c r="R121" s="319">
        <v>182362</v>
      </c>
      <c r="S121" s="323">
        <v>24067829.051057793</v>
      </c>
      <c r="T121" s="319">
        <v>15958943.51</v>
      </c>
      <c r="U121" s="319">
        <v>396259</v>
      </c>
      <c r="V121" s="323">
        <v>52161871.664310224</v>
      </c>
      <c r="W121" s="319">
        <v>34587596.641999997</v>
      </c>
      <c r="X121" s="319">
        <v>186377</v>
      </c>
      <c r="Y121" s="323">
        <v>24342125.12774818</v>
      </c>
      <c r="Z121" s="319">
        <v>16140824.293</v>
      </c>
      <c r="AA121" s="319">
        <v>582636</v>
      </c>
      <c r="AB121" s="323">
        <v>76503996.792058408</v>
      </c>
      <c r="AC121" s="319">
        <v>50728420.935000002</v>
      </c>
    </row>
    <row r="122" spans="2:29" hidden="1" outlineLevel="1" x14ac:dyDescent="0.25">
      <c r="B122" s="318">
        <v>41913</v>
      </c>
      <c r="C122" s="319">
        <v>289527</v>
      </c>
      <c r="D122" s="323">
        <v>37486796.835391954</v>
      </c>
      <c r="E122" s="319">
        <v>25115561.541999999</v>
      </c>
      <c r="F122" s="319">
        <v>110909</v>
      </c>
      <c r="G122" s="323">
        <v>14366058.170852693</v>
      </c>
      <c r="H122" s="319">
        <v>9625031.9729999993</v>
      </c>
      <c r="I122" s="319">
        <v>400436</v>
      </c>
      <c r="J122" s="323">
        <v>51852855.006244645</v>
      </c>
      <c r="K122" s="319">
        <v>34740593.515000001</v>
      </c>
      <c r="L122" s="319">
        <v>106689</v>
      </c>
      <c r="M122" s="323">
        <v>14052223.215658514</v>
      </c>
      <c r="N122" s="319">
        <v>9414767.5120000001</v>
      </c>
      <c r="O122" s="319">
        <v>74919</v>
      </c>
      <c r="P122" s="323">
        <v>9706077.7403315566</v>
      </c>
      <c r="Q122" s="319">
        <v>6502918.7180000003</v>
      </c>
      <c r="R122" s="319">
        <v>181608</v>
      </c>
      <c r="S122" s="323">
        <v>23758300.955990069</v>
      </c>
      <c r="T122" s="319">
        <v>15917686.23</v>
      </c>
      <c r="U122" s="319">
        <v>396216</v>
      </c>
      <c r="V122" s="323">
        <v>51539020.051050469</v>
      </c>
      <c r="W122" s="319">
        <v>34530329.053999998</v>
      </c>
      <c r="X122" s="319">
        <v>185828</v>
      </c>
      <c r="Y122" s="323">
        <v>24072135.911184251</v>
      </c>
      <c r="Z122" s="319">
        <v>16127950.691</v>
      </c>
      <c r="AA122" s="319">
        <v>582044</v>
      </c>
      <c r="AB122" s="323">
        <v>75611155.962234706</v>
      </c>
      <c r="AC122" s="319">
        <v>50658279.744999997</v>
      </c>
    </row>
    <row r="123" spans="2:29" hidden="1" outlineLevel="1" x14ac:dyDescent="0.25">
      <c r="B123" s="318">
        <v>41944</v>
      </c>
      <c r="C123" s="319">
        <v>289642</v>
      </c>
      <c r="D123" s="323">
        <v>37526726.757172614</v>
      </c>
      <c r="E123" s="319">
        <v>25148544.835000001</v>
      </c>
      <c r="F123" s="319">
        <v>110935</v>
      </c>
      <c r="G123" s="323">
        <v>14428366.942645121</v>
      </c>
      <c r="H123" s="319">
        <v>9669173.5280000009</v>
      </c>
      <c r="I123" s="319">
        <v>400577</v>
      </c>
      <c r="J123" s="323">
        <v>51955093.699817732</v>
      </c>
      <c r="K123" s="319">
        <v>34817718.362999998</v>
      </c>
      <c r="L123" s="319">
        <v>106361</v>
      </c>
      <c r="M123" s="323">
        <v>14014501.591812529</v>
      </c>
      <c r="N123" s="319">
        <v>9391821.5649999995</v>
      </c>
      <c r="O123" s="319">
        <v>74860</v>
      </c>
      <c r="P123" s="323">
        <v>9734776.4240852837</v>
      </c>
      <c r="Q123" s="319">
        <v>6523762.7290000003</v>
      </c>
      <c r="R123" s="319">
        <v>181221</v>
      </c>
      <c r="S123" s="323">
        <v>23749278.01589781</v>
      </c>
      <c r="T123" s="319">
        <v>15915584.294</v>
      </c>
      <c r="U123" s="319">
        <v>396003</v>
      </c>
      <c r="V123" s="323">
        <v>51541228.348985136</v>
      </c>
      <c r="W123" s="319">
        <v>34540366.399999999</v>
      </c>
      <c r="X123" s="319">
        <v>185795</v>
      </c>
      <c r="Y123" s="323">
        <v>24163143.366730403</v>
      </c>
      <c r="Z123" s="319">
        <v>16192936.256999999</v>
      </c>
      <c r="AA123" s="319">
        <v>581798</v>
      </c>
      <c r="AB123" s="323">
        <v>75704371.715715542</v>
      </c>
      <c r="AC123" s="319">
        <v>50733302.656999998</v>
      </c>
    </row>
    <row r="124" spans="2:29" hidden="1" outlineLevel="1" x14ac:dyDescent="0.25">
      <c r="B124" s="318">
        <v>41974</v>
      </c>
      <c r="C124" s="319">
        <v>290598</v>
      </c>
      <c r="D124" s="323">
        <v>37893829.353215687</v>
      </c>
      <c r="E124" s="319">
        <v>25289592.285999998</v>
      </c>
      <c r="F124" s="319">
        <v>111058</v>
      </c>
      <c r="G124" s="323">
        <v>14463850.026710318</v>
      </c>
      <c r="H124" s="319">
        <v>9652887.4570000004</v>
      </c>
      <c r="I124" s="319">
        <v>401656</v>
      </c>
      <c r="J124" s="323">
        <v>52357679.379926004</v>
      </c>
      <c r="K124" s="319">
        <v>34942479.743000001</v>
      </c>
      <c r="L124" s="319">
        <v>106311</v>
      </c>
      <c r="M124" s="323">
        <v>14017419.434808737</v>
      </c>
      <c r="N124" s="319">
        <v>9354948.5089999996</v>
      </c>
      <c r="O124" s="319">
        <v>75235</v>
      </c>
      <c r="P124" s="323">
        <v>9716006.9912738837</v>
      </c>
      <c r="Q124" s="319">
        <v>6484270.9129999997</v>
      </c>
      <c r="R124" s="319">
        <v>181546</v>
      </c>
      <c r="S124" s="323">
        <v>23733426.426082622</v>
      </c>
      <c r="T124" s="319">
        <v>15839219.422</v>
      </c>
      <c r="U124" s="319">
        <v>396909</v>
      </c>
      <c r="V124" s="323">
        <v>51911248.788024418</v>
      </c>
      <c r="W124" s="319">
        <v>34644540.795000002</v>
      </c>
      <c r="X124" s="319">
        <v>186293</v>
      </c>
      <c r="Y124" s="323">
        <v>24179857.0179842</v>
      </c>
      <c r="Z124" s="319">
        <v>16137158.369999999</v>
      </c>
      <c r="AA124" s="319">
        <v>583202</v>
      </c>
      <c r="AB124" s="323">
        <v>76091105.806008622</v>
      </c>
      <c r="AC124" s="319">
        <v>50781699.164999999</v>
      </c>
    </row>
    <row r="125" spans="2:29" collapsed="1" x14ac:dyDescent="0.25">
      <c r="B125" s="321" t="s">
        <v>696</v>
      </c>
      <c r="C125" s="322">
        <v>288530.41666666669</v>
      </c>
      <c r="D125" s="324">
        <v>37373696.783281676</v>
      </c>
      <c r="E125" s="322"/>
      <c r="F125" s="322">
        <v>111136.16666666667</v>
      </c>
      <c r="G125" s="324">
        <v>14404531.59613453</v>
      </c>
      <c r="H125" s="322"/>
      <c r="I125" s="322">
        <v>399666.58333333331</v>
      </c>
      <c r="J125" s="324">
        <v>51778228.379416198</v>
      </c>
      <c r="K125" s="322"/>
      <c r="L125" s="322">
        <v>107377.16666666667</v>
      </c>
      <c r="M125" s="324">
        <v>14162015.692112299</v>
      </c>
      <c r="N125" s="322"/>
      <c r="O125" s="322">
        <v>75527.833333333328</v>
      </c>
      <c r="P125" s="324">
        <v>9787732.9251336847</v>
      </c>
      <c r="Q125" s="322"/>
      <c r="R125" s="322">
        <v>182905</v>
      </c>
      <c r="S125" s="324">
        <v>23949748.617245987</v>
      </c>
      <c r="T125" s="322"/>
      <c r="U125" s="322">
        <v>395907.58333333331</v>
      </c>
      <c r="V125" s="324">
        <v>51535712.475393973</v>
      </c>
      <c r="W125" s="322"/>
      <c r="X125" s="322">
        <v>186664</v>
      </c>
      <c r="Y125" s="324">
        <v>24192264.521268215</v>
      </c>
      <c r="Z125" s="322"/>
      <c r="AA125" s="322">
        <v>582571.58333333337</v>
      </c>
      <c r="AB125" s="324">
        <v>75727976.996662185</v>
      </c>
      <c r="AC125" s="322"/>
    </row>
    <row r="126" spans="2:29" hidden="1" outlineLevel="1" x14ac:dyDescent="0.25">
      <c r="B126" s="318">
        <v>42005</v>
      </c>
      <c r="C126" s="319">
        <v>288077</v>
      </c>
      <c r="D126" s="323">
        <v>37493514.854481101</v>
      </c>
      <c r="E126" s="319">
        <v>25041804.984999999</v>
      </c>
      <c r="F126" s="319">
        <v>110424</v>
      </c>
      <c r="G126" s="323">
        <v>14374814.138922308</v>
      </c>
      <c r="H126" s="319">
        <v>9600894.8149999995</v>
      </c>
      <c r="I126" s="319">
        <v>398501</v>
      </c>
      <c r="J126" s="323">
        <v>51868328.993403412</v>
      </c>
      <c r="K126" s="319">
        <v>34642699.799999997</v>
      </c>
      <c r="L126" s="319">
        <v>105707</v>
      </c>
      <c r="M126" s="323">
        <v>13941813.261885706</v>
      </c>
      <c r="N126" s="319">
        <v>9311694.841</v>
      </c>
      <c r="O126" s="319">
        <v>74385</v>
      </c>
      <c r="P126" s="323">
        <v>9681371.5071698222</v>
      </c>
      <c r="Q126" s="319">
        <v>6466158.7000000002</v>
      </c>
      <c r="R126" s="319">
        <v>180092</v>
      </c>
      <c r="S126" s="323">
        <v>23623184.769055527</v>
      </c>
      <c r="T126" s="319">
        <v>15777853.540999999</v>
      </c>
      <c r="U126" s="319">
        <v>393784</v>
      </c>
      <c r="V126" s="323">
        <v>51435328.116366811</v>
      </c>
      <c r="W126" s="319">
        <v>34353499.825999998</v>
      </c>
      <c r="X126" s="319">
        <v>184809</v>
      </c>
      <c r="Y126" s="323">
        <v>24056185.646092128</v>
      </c>
      <c r="Z126" s="319">
        <v>16067053.515000001</v>
      </c>
      <c r="AA126" s="319">
        <v>578593</v>
      </c>
      <c r="AB126" s="323">
        <v>75491513.762458935</v>
      </c>
      <c r="AC126" s="319">
        <v>50420553.340999998</v>
      </c>
    </row>
    <row r="127" spans="2:29" hidden="1" outlineLevel="1" x14ac:dyDescent="0.25">
      <c r="B127" s="318">
        <v>42036</v>
      </c>
      <c r="C127" s="319">
        <v>288289</v>
      </c>
      <c r="D127" s="323">
        <v>37275518.44983077</v>
      </c>
      <c r="E127" s="319">
        <v>24983780.566</v>
      </c>
      <c r="F127" s="319">
        <v>110423</v>
      </c>
      <c r="G127" s="323">
        <v>14298402.074088451</v>
      </c>
      <c r="H127" s="319">
        <v>9583451.9470000006</v>
      </c>
      <c r="I127" s="319">
        <v>398712</v>
      </c>
      <c r="J127" s="323">
        <v>51573920.523919217</v>
      </c>
      <c r="K127" s="319">
        <v>34567232.512999997</v>
      </c>
      <c r="L127" s="319">
        <v>105538</v>
      </c>
      <c r="M127" s="323">
        <v>13810421.848583406</v>
      </c>
      <c r="N127" s="319">
        <v>9256384.977</v>
      </c>
      <c r="O127" s="319">
        <v>74432</v>
      </c>
      <c r="P127" s="323">
        <v>9615644.6876715291</v>
      </c>
      <c r="Q127" s="319">
        <v>6444850.8530000001</v>
      </c>
      <c r="R127" s="319">
        <v>179970</v>
      </c>
      <c r="S127" s="323">
        <v>23426066.536254935</v>
      </c>
      <c r="T127" s="319">
        <v>15701235.83</v>
      </c>
      <c r="U127" s="319">
        <v>393827</v>
      </c>
      <c r="V127" s="323">
        <v>51085940.298414178</v>
      </c>
      <c r="W127" s="319">
        <v>34240165.542999998</v>
      </c>
      <c r="X127" s="319">
        <v>184855</v>
      </c>
      <c r="Y127" s="323">
        <v>23914046.761759978</v>
      </c>
      <c r="Z127" s="319">
        <v>16028302.800000001</v>
      </c>
      <c r="AA127" s="319">
        <v>578682</v>
      </c>
      <c r="AB127" s="323">
        <v>74999987.060174167</v>
      </c>
      <c r="AC127" s="319">
        <v>50268468.343000002</v>
      </c>
    </row>
    <row r="128" spans="2:29" hidden="1" outlineLevel="1" x14ac:dyDescent="0.25">
      <c r="B128" s="318">
        <v>42064</v>
      </c>
      <c r="C128" s="319">
        <v>288568</v>
      </c>
      <c r="D128" s="323">
        <v>37119316.923982687</v>
      </c>
      <c r="E128" s="319">
        <v>25035526.484999999</v>
      </c>
      <c r="F128" s="319">
        <v>110370</v>
      </c>
      <c r="G128" s="323">
        <v>14187666.469343584</v>
      </c>
      <c r="H128" s="319">
        <v>9569025.7550000008</v>
      </c>
      <c r="I128" s="319">
        <v>398938</v>
      </c>
      <c r="J128" s="323">
        <v>51306983.393326268</v>
      </c>
      <c r="K128" s="319">
        <v>34604552.240000002</v>
      </c>
      <c r="L128" s="319">
        <v>105402</v>
      </c>
      <c r="M128" s="323">
        <v>13651941.569025334</v>
      </c>
      <c r="N128" s="319">
        <v>9207700.2770000007</v>
      </c>
      <c r="O128" s="319">
        <v>74896</v>
      </c>
      <c r="P128" s="323">
        <v>9692166.6555486824</v>
      </c>
      <c r="Q128" s="319">
        <v>6536987.0760000004</v>
      </c>
      <c r="R128" s="319">
        <v>180298</v>
      </c>
      <c r="S128" s="323">
        <v>23344108.224574018</v>
      </c>
      <c r="T128" s="319">
        <v>15744687.353</v>
      </c>
      <c r="U128" s="319">
        <v>393970</v>
      </c>
      <c r="V128" s="323">
        <v>50771258.493008025</v>
      </c>
      <c r="W128" s="319">
        <v>34243226.762000002</v>
      </c>
      <c r="X128" s="319">
        <v>185266</v>
      </c>
      <c r="Y128" s="323">
        <v>23879833.124892265</v>
      </c>
      <c r="Z128" s="319">
        <v>16106012.831</v>
      </c>
      <c r="AA128" s="319">
        <v>579236</v>
      </c>
      <c r="AB128" s="323">
        <v>74651091.617900282</v>
      </c>
      <c r="AC128" s="319">
        <v>50349239.593000002</v>
      </c>
    </row>
    <row r="129" spans="2:29" hidden="1" outlineLevel="1" x14ac:dyDescent="0.25">
      <c r="B129" s="318">
        <v>42095</v>
      </c>
      <c r="C129" s="319">
        <v>288868</v>
      </c>
      <c r="D129" s="323">
        <v>36870794.45181784</v>
      </c>
      <c r="E129" s="319">
        <v>25010859.543000001</v>
      </c>
      <c r="F129" s="319">
        <v>110349</v>
      </c>
      <c r="G129" s="323">
        <v>14086641.099261131</v>
      </c>
      <c r="H129" s="319">
        <v>9555503.4059999995</v>
      </c>
      <c r="I129" s="319">
        <v>399217</v>
      </c>
      <c r="J129" s="323">
        <v>50957435.551078975</v>
      </c>
      <c r="K129" s="319">
        <v>34566362.949000001</v>
      </c>
      <c r="L129" s="319">
        <v>105285</v>
      </c>
      <c r="M129" s="323">
        <v>13639568.173573893</v>
      </c>
      <c r="N129" s="319">
        <v>9252236.8690000009</v>
      </c>
      <c r="O129" s="319">
        <v>74817</v>
      </c>
      <c r="P129" s="323">
        <v>9668105.0145471189</v>
      </c>
      <c r="Q129" s="319">
        <v>6558242.6459999997</v>
      </c>
      <c r="R129" s="319">
        <v>180102</v>
      </c>
      <c r="S129" s="323">
        <v>23307673.18812101</v>
      </c>
      <c r="T129" s="319">
        <v>15810479.515000001</v>
      </c>
      <c r="U129" s="319">
        <v>394153</v>
      </c>
      <c r="V129" s="323">
        <v>50510362.625391729</v>
      </c>
      <c r="W129" s="319">
        <v>34263096.412</v>
      </c>
      <c r="X129" s="319">
        <v>185166</v>
      </c>
      <c r="Y129" s="323">
        <v>23754746.113808252</v>
      </c>
      <c r="Z129" s="319">
        <v>16113746.051999999</v>
      </c>
      <c r="AA129" s="319">
        <v>579319</v>
      </c>
      <c r="AB129" s="323">
        <v>74265108.739199981</v>
      </c>
      <c r="AC129" s="319">
        <v>50376842.464000002</v>
      </c>
    </row>
    <row r="130" spans="2:29" hidden="1" outlineLevel="1" x14ac:dyDescent="0.25">
      <c r="B130" s="318">
        <v>42125</v>
      </c>
      <c r="C130" s="319">
        <v>289236</v>
      </c>
      <c r="D130" s="323">
        <v>36874087.692417279</v>
      </c>
      <c r="E130" s="319">
        <v>25057285.103999998</v>
      </c>
      <c r="F130" s="319">
        <v>110347</v>
      </c>
      <c r="G130" s="323">
        <v>14091860.649806382</v>
      </c>
      <c r="H130" s="319">
        <v>9575932.3699999992</v>
      </c>
      <c r="I130" s="319">
        <v>399583</v>
      </c>
      <c r="J130" s="323">
        <v>50965948.342223667</v>
      </c>
      <c r="K130" s="319">
        <v>34633217.473999999</v>
      </c>
      <c r="L130" s="319">
        <v>105163</v>
      </c>
      <c r="M130" s="323">
        <v>13621991.391626013</v>
      </c>
      <c r="N130" s="319">
        <v>9256639.102</v>
      </c>
      <c r="O130" s="319">
        <v>74786</v>
      </c>
      <c r="P130" s="323">
        <v>9676019.841207426</v>
      </c>
      <c r="Q130" s="319">
        <v>6575207.7680000002</v>
      </c>
      <c r="R130" s="319">
        <v>179949</v>
      </c>
      <c r="S130" s="323">
        <v>23298011.232833438</v>
      </c>
      <c r="T130" s="319">
        <v>15831846.869999999</v>
      </c>
      <c r="U130" s="319">
        <v>394399</v>
      </c>
      <c r="V130" s="323">
        <v>50496079.084043287</v>
      </c>
      <c r="W130" s="319">
        <v>34313924.206</v>
      </c>
      <c r="X130" s="319">
        <v>185133</v>
      </c>
      <c r="Y130" s="323">
        <v>23767880.49101381</v>
      </c>
      <c r="Z130" s="319">
        <v>16151140.138</v>
      </c>
      <c r="AA130" s="319">
        <v>579532</v>
      </c>
      <c r="AB130" s="323">
        <v>74263959.575057104</v>
      </c>
      <c r="AC130" s="319">
        <v>50465064.343999997</v>
      </c>
    </row>
    <row r="131" spans="2:29" hidden="1" outlineLevel="1" x14ac:dyDescent="0.25">
      <c r="B131" s="318">
        <v>42156</v>
      </c>
      <c r="C131" s="319">
        <v>289051</v>
      </c>
      <c r="D131" s="323">
        <v>36653924.658493221</v>
      </c>
      <c r="E131" s="319">
        <v>25028350.239</v>
      </c>
      <c r="F131" s="319">
        <v>110287</v>
      </c>
      <c r="G131" s="323">
        <v>13997102.874050545</v>
      </c>
      <c r="H131" s="319">
        <v>9557622.9920000006</v>
      </c>
      <c r="I131" s="319">
        <v>399338</v>
      </c>
      <c r="J131" s="323">
        <v>50651027.532543764</v>
      </c>
      <c r="K131" s="319">
        <v>34585973.230999999</v>
      </c>
      <c r="L131" s="319">
        <v>104884</v>
      </c>
      <c r="M131" s="323">
        <v>13554134.087073673</v>
      </c>
      <c r="N131" s="319">
        <v>9255151.2090000007</v>
      </c>
      <c r="O131" s="319">
        <v>74517</v>
      </c>
      <c r="P131" s="323">
        <v>9586494.9093491547</v>
      </c>
      <c r="Q131" s="319">
        <v>6545933.4680000003</v>
      </c>
      <c r="R131" s="319">
        <v>179401</v>
      </c>
      <c r="S131" s="323">
        <v>23140628.996422827</v>
      </c>
      <c r="T131" s="319">
        <v>15801084.676999999</v>
      </c>
      <c r="U131" s="319">
        <v>393935</v>
      </c>
      <c r="V131" s="323">
        <v>50208058.745566897</v>
      </c>
      <c r="W131" s="319">
        <v>34283501.447999999</v>
      </c>
      <c r="X131" s="319">
        <v>184804</v>
      </c>
      <c r="Y131" s="323">
        <v>23583597.783399701</v>
      </c>
      <c r="Z131" s="319">
        <v>16103556.460000001</v>
      </c>
      <c r="AA131" s="319">
        <v>578739</v>
      </c>
      <c r="AB131" s="323">
        <v>73791656.528966606</v>
      </c>
      <c r="AC131" s="319">
        <v>50387057.908</v>
      </c>
    </row>
    <row r="132" spans="2:29" hidden="1" outlineLevel="1" x14ac:dyDescent="0.25">
      <c r="B132" s="318">
        <v>42186</v>
      </c>
      <c r="C132" s="319">
        <v>289446</v>
      </c>
      <c r="D132" s="323">
        <v>38122091.930121057</v>
      </c>
      <c r="E132" s="319">
        <v>26140906.973000001</v>
      </c>
      <c r="F132" s="319">
        <v>110438</v>
      </c>
      <c r="G132" s="323">
        <v>14560431.758974086</v>
      </c>
      <c r="H132" s="319">
        <v>9984312.8440000005</v>
      </c>
      <c r="I132" s="319">
        <v>399884</v>
      </c>
      <c r="J132" s="323">
        <v>52682523.68909514</v>
      </c>
      <c r="K132" s="319">
        <v>36125219.817000002</v>
      </c>
      <c r="L132" s="319">
        <v>105035</v>
      </c>
      <c r="M132" s="323">
        <v>14219435.848755896</v>
      </c>
      <c r="N132" s="319">
        <v>9750486.6840000004</v>
      </c>
      <c r="O132" s="319">
        <v>74672</v>
      </c>
      <c r="P132" s="323">
        <v>10105217.813353823</v>
      </c>
      <c r="Q132" s="319">
        <v>6929303.8609999996</v>
      </c>
      <c r="R132" s="319">
        <v>179707</v>
      </c>
      <c r="S132" s="323">
        <v>24324653.662109718</v>
      </c>
      <c r="T132" s="319">
        <v>16679790.545</v>
      </c>
      <c r="U132" s="319">
        <v>394481</v>
      </c>
      <c r="V132" s="323">
        <v>52341527.778876945</v>
      </c>
      <c r="W132" s="319">
        <v>35891393.656999998</v>
      </c>
      <c r="X132" s="319">
        <v>185110</v>
      </c>
      <c r="Y132" s="323">
        <v>24665649.572327912</v>
      </c>
      <c r="Z132" s="319">
        <v>16913616.704999998</v>
      </c>
      <c r="AA132" s="319">
        <v>579591</v>
      </c>
      <c r="AB132" s="323">
        <v>77007177.351204857</v>
      </c>
      <c r="AC132" s="319">
        <v>52805010.362000003</v>
      </c>
    </row>
    <row r="133" spans="2:29" hidden="1" outlineLevel="1" x14ac:dyDescent="0.25">
      <c r="B133" s="318">
        <v>42217</v>
      </c>
      <c r="C133" s="319">
        <v>289186</v>
      </c>
      <c r="D133" s="323">
        <v>37739979.75229612</v>
      </c>
      <c r="E133" s="319">
        <v>26053736.006000001</v>
      </c>
      <c r="F133" s="319">
        <v>110169</v>
      </c>
      <c r="G133" s="323">
        <v>14387049.755614996</v>
      </c>
      <c r="H133" s="319">
        <v>9932077.3010000009</v>
      </c>
      <c r="I133" s="319">
        <v>399355</v>
      </c>
      <c r="J133" s="323">
        <v>52127029.507911116</v>
      </c>
      <c r="K133" s="319">
        <v>35985813.306999996</v>
      </c>
      <c r="L133" s="319">
        <v>104933</v>
      </c>
      <c r="M133" s="323">
        <v>14075620.780460479</v>
      </c>
      <c r="N133" s="319">
        <v>9717082.7949999999</v>
      </c>
      <c r="O133" s="319">
        <v>74524</v>
      </c>
      <c r="P133" s="323">
        <v>9896842.0297154672</v>
      </c>
      <c r="Q133" s="319">
        <v>6832269.4189999998</v>
      </c>
      <c r="R133" s="319">
        <v>179457</v>
      </c>
      <c r="S133" s="323">
        <v>23972462.810175944</v>
      </c>
      <c r="T133" s="319">
        <v>16549352.214</v>
      </c>
      <c r="U133" s="319">
        <v>394119</v>
      </c>
      <c r="V133" s="323">
        <v>51815600.532756597</v>
      </c>
      <c r="W133" s="319">
        <v>35770818.800999999</v>
      </c>
      <c r="X133" s="319">
        <v>184693</v>
      </c>
      <c r="Y133" s="323">
        <v>24283891.785330463</v>
      </c>
      <c r="Z133" s="319">
        <v>16764346.720000001</v>
      </c>
      <c r="AA133" s="319">
        <v>578812</v>
      </c>
      <c r="AB133" s="323">
        <v>76099492.318087071</v>
      </c>
      <c r="AC133" s="319">
        <v>52535165.520999998</v>
      </c>
    </row>
    <row r="134" spans="2:29" hidden="1" outlineLevel="1" x14ac:dyDescent="0.25">
      <c r="B134" s="318">
        <v>42248</v>
      </c>
      <c r="C134" s="319">
        <v>289306</v>
      </c>
      <c r="D134" s="323">
        <v>37730039.974614024</v>
      </c>
      <c r="E134" s="319">
        <v>26180153.942000002</v>
      </c>
      <c r="F134" s="319">
        <v>109983</v>
      </c>
      <c r="G134" s="323">
        <v>14358057.183991574</v>
      </c>
      <c r="H134" s="319">
        <v>9962781.5830000006</v>
      </c>
      <c r="I134" s="319">
        <v>399289</v>
      </c>
      <c r="J134" s="323">
        <v>52088097.158605598</v>
      </c>
      <c r="K134" s="319">
        <v>36142935.524999999</v>
      </c>
      <c r="L134" s="319">
        <v>104826</v>
      </c>
      <c r="M134" s="323">
        <v>14076293.796154039</v>
      </c>
      <c r="N134" s="319">
        <v>9767271.3509999998</v>
      </c>
      <c r="O134" s="319">
        <v>74536</v>
      </c>
      <c r="P134" s="323">
        <v>9933686.0997075848</v>
      </c>
      <c r="Q134" s="319">
        <v>6892795.0109999999</v>
      </c>
      <c r="R134" s="319">
        <v>179362</v>
      </c>
      <c r="S134" s="323">
        <v>24009979.895861622</v>
      </c>
      <c r="T134" s="319">
        <v>16660066.362</v>
      </c>
      <c r="U134" s="319">
        <v>394132</v>
      </c>
      <c r="V134" s="323">
        <v>51806333.770768069</v>
      </c>
      <c r="W134" s="319">
        <v>35947425.292999998</v>
      </c>
      <c r="X134" s="319">
        <v>184519</v>
      </c>
      <c r="Y134" s="323">
        <v>24291743.283699159</v>
      </c>
      <c r="Z134" s="319">
        <v>16855576.594000001</v>
      </c>
      <c r="AA134" s="319">
        <v>578651</v>
      </c>
      <c r="AB134" s="323">
        <v>76098077.054467231</v>
      </c>
      <c r="AC134" s="319">
        <v>52803001.887000002</v>
      </c>
    </row>
    <row r="135" spans="2:29" hidden="1" outlineLevel="1" x14ac:dyDescent="0.25">
      <c r="B135" s="318">
        <v>42278</v>
      </c>
      <c r="C135" s="319">
        <v>289406</v>
      </c>
      <c r="D135" s="323">
        <v>37580433.595789082</v>
      </c>
      <c r="E135" s="319">
        <v>26182709.629999999</v>
      </c>
      <c r="F135" s="319">
        <v>109773</v>
      </c>
      <c r="G135" s="323">
        <v>14275775.463001169</v>
      </c>
      <c r="H135" s="319">
        <v>9946092.898</v>
      </c>
      <c r="I135" s="319">
        <v>399179</v>
      </c>
      <c r="J135" s="323">
        <v>51856209.058790252</v>
      </c>
      <c r="K135" s="319">
        <v>36128802.527999997</v>
      </c>
      <c r="L135" s="319">
        <v>104834</v>
      </c>
      <c r="M135" s="323">
        <v>14012271.482454058</v>
      </c>
      <c r="N135" s="319">
        <v>9762506.7190000005</v>
      </c>
      <c r="O135" s="319">
        <v>74656</v>
      </c>
      <c r="P135" s="323">
        <v>9894467.9111189414</v>
      </c>
      <c r="Q135" s="319">
        <v>6893586.7810000004</v>
      </c>
      <c r="R135" s="319">
        <v>179490</v>
      </c>
      <c r="S135" s="323">
        <v>23906739.393573001</v>
      </c>
      <c r="T135" s="319">
        <v>16656093.5</v>
      </c>
      <c r="U135" s="319">
        <v>394240</v>
      </c>
      <c r="V135" s="323">
        <v>51592705.078243144</v>
      </c>
      <c r="W135" s="319">
        <v>35945216.348999999</v>
      </c>
      <c r="X135" s="319">
        <v>184429</v>
      </c>
      <c r="Y135" s="323">
        <v>24170243.374120109</v>
      </c>
      <c r="Z135" s="319">
        <v>16839679.679000001</v>
      </c>
      <c r="AA135" s="319">
        <v>578669</v>
      </c>
      <c r="AB135" s="323">
        <v>75762948.452363253</v>
      </c>
      <c r="AC135" s="319">
        <v>52784896.027999997</v>
      </c>
    </row>
    <row r="136" spans="2:29" hidden="1" outlineLevel="1" x14ac:dyDescent="0.25">
      <c r="B136" s="318">
        <v>42309</v>
      </c>
      <c r="C136" s="319">
        <v>289596</v>
      </c>
      <c r="D136" s="323">
        <v>37583296.856826127</v>
      </c>
      <c r="E136" s="319">
        <v>26177962.984999999</v>
      </c>
      <c r="F136" s="319">
        <v>109685</v>
      </c>
      <c r="G136" s="323">
        <v>14274255.371636251</v>
      </c>
      <c r="H136" s="319">
        <v>9942473.3859999999</v>
      </c>
      <c r="I136" s="319">
        <v>399281</v>
      </c>
      <c r="J136" s="323">
        <v>51857552.228462383</v>
      </c>
      <c r="K136" s="319">
        <v>36120436.370999999</v>
      </c>
      <c r="L136" s="319">
        <v>104776</v>
      </c>
      <c r="M136" s="323">
        <v>13972021.800489517</v>
      </c>
      <c r="N136" s="319">
        <v>9731958.0800000001</v>
      </c>
      <c r="O136" s="319">
        <v>74747</v>
      </c>
      <c r="P136" s="323">
        <v>9881969.665673675</v>
      </c>
      <c r="Q136" s="319">
        <v>6883106.5329999998</v>
      </c>
      <c r="R136" s="319">
        <v>179523</v>
      </c>
      <c r="S136" s="323">
        <v>23853991.466163192</v>
      </c>
      <c r="T136" s="319">
        <v>16615064.613</v>
      </c>
      <c r="U136" s="319">
        <v>394372</v>
      </c>
      <c r="V136" s="323">
        <v>51555318.657315642</v>
      </c>
      <c r="W136" s="319">
        <v>35909921.064999998</v>
      </c>
      <c r="X136" s="319">
        <v>184432</v>
      </c>
      <c r="Y136" s="323">
        <v>24156225.037309926</v>
      </c>
      <c r="Z136" s="319">
        <v>16825579.919</v>
      </c>
      <c r="AA136" s="319">
        <v>578804</v>
      </c>
      <c r="AB136" s="323">
        <v>75711543.694625571</v>
      </c>
      <c r="AC136" s="319">
        <v>52735500.983999997</v>
      </c>
    </row>
    <row r="137" spans="2:29" hidden="1" outlineLevel="1" x14ac:dyDescent="0.25">
      <c r="B137" s="318">
        <v>42339</v>
      </c>
      <c r="C137" s="319">
        <v>289818</v>
      </c>
      <c r="D137" s="323">
        <v>37615763.346781597</v>
      </c>
      <c r="E137" s="319">
        <v>26203198.941</v>
      </c>
      <c r="F137" s="319">
        <v>109696</v>
      </c>
      <c r="G137" s="323">
        <v>14256336.835589241</v>
      </c>
      <c r="H137" s="319">
        <v>9930986.2949999999</v>
      </c>
      <c r="I137" s="319">
        <v>399514</v>
      </c>
      <c r="J137" s="323">
        <v>51872100.182370834</v>
      </c>
      <c r="K137" s="319">
        <v>36134185.236000001</v>
      </c>
      <c r="L137" s="319">
        <v>104882</v>
      </c>
      <c r="M137" s="323">
        <v>13993660.462311372</v>
      </c>
      <c r="N137" s="319">
        <v>9748005.5270000007</v>
      </c>
      <c r="O137" s="319">
        <v>74896</v>
      </c>
      <c r="P137" s="323">
        <v>9901943.6163574867</v>
      </c>
      <c r="Q137" s="319">
        <v>6897709.2419999996</v>
      </c>
      <c r="R137" s="319">
        <v>179778</v>
      </c>
      <c r="S137" s="323">
        <v>23895604.078668863</v>
      </c>
      <c r="T137" s="319">
        <v>16645714.768999999</v>
      </c>
      <c r="U137" s="319">
        <v>394700</v>
      </c>
      <c r="V137" s="323">
        <v>51609423.809092961</v>
      </c>
      <c r="W137" s="319">
        <v>35951204.468000002</v>
      </c>
      <c r="X137" s="319">
        <v>184592</v>
      </c>
      <c r="Y137" s="323">
        <v>24158280.451946728</v>
      </c>
      <c r="Z137" s="319">
        <v>16828695.537</v>
      </c>
      <c r="AA137" s="319">
        <v>579292</v>
      </c>
      <c r="AB137" s="323">
        <v>75767704.261039689</v>
      </c>
      <c r="AC137" s="319">
        <v>52779900.005000003</v>
      </c>
    </row>
    <row r="138" spans="2:29" collapsed="1" x14ac:dyDescent="0.25">
      <c r="B138" s="321" t="s">
        <v>697</v>
      </c>
      <c r="C138" s="322">
        <v>289070.58333333331</v>
      </c>
      <c r="D138" s="324">
        <v>37388230.207287572</v>
      </c>
      <c r="E138" s="322"/>
      <c r="F138" s="322">
        <v>110162</v>
      </c>
      <c r="G138" s="324">
        <v>14262366.139523307</v>
      </c>
      <c r="H138" s="322"/>
      <c r="I138" s="322">
        <v>399232.58333333331</v>
      </c>
      <c r="J138" s="324">
        <v>51650596.346810877</v>
      </c>
      <c r="K138" s="322"/>
      <c r="L138" s="322">
        <v>105105.41666666667</v>
      </c>
      <c r="M138" s="324">
        <v>13880764.541866114</v>
      </c>
      <c r="N138" s="322"/>
      <c r="O138" s="322">
        <v>74655.333333333328</v>
      </c>
      <c r="P138" s="324">
        <v>9794494.1459517255</v>
      </c>
      <c r="Q138" s="322"/>
      <c r="R138" s="322">
        <v>179760.75</v>
      </c>
      <c r="S138" s="324">
        <v>23675258.687817842</v>
      </c>
      <c r="T138" s="322"/>
      <c r="U138" s="322">
        <v>394176</v>
      </c>
      <c r="V138" s="324">
        <v>51268994.749153696</v>
      </c>
      <c r="W138" s="322"/>
      <c r="X138" s="322">
        <v>184817.33333333334</v>
      </c>
      <c r="Y138" s="324">
        <v>24056860.285475034</v>
      </c>
      <c r="Z138" s="322"/>
      <c r="AA138" s="322">
        <v>578993.33333333337</v>
      </c>
      <c r="AB138" s="324">
        <v>75325855.034628734</v>
      </c>
      <c r="AC138" s="322"/>
    </row>
    <row r="139" spans="2:29" hidden="1" outlineLevel="1" x14ac:dyDescent="0.25">
      <c r="B139" s="318">
        <v>42370</v>
      </c>
      <c r="C139" s="319">
        <v>289772</v>
      </c>
      <c r="D139" s="323">
        <v>37415862.935572691</v>
      </c>
      <c r="E139" s="319">
        <v>26186624.079999998</v>
      </c>
      <c r="F139" s="319">
        <v>109526</v>
      </c>
      <c r="G139" s="323">
        <v>14169177.006166089</v>
      </c>
      <c r="H139" s="319">
        <v>9916727.3629999999</v>
      </c>
      <c r="I139" s="319">
        <v>399298</v>
      </c>
      <c r="J139" s="323">
        <v>51585039.941738784</v>
      </c>
      <c r="K139" s="319">
        <v>36103351.443000004</v>
      </c>
      <c r="L139" s="319">
        <v>104970</v>
      </c>
      <c r="M139" s="323">
        <v>13973948.119508123</v>
      </c>
      <c r="N139" s="319">
        <v>9780090.5179999992</v>
      </c>
      <c r="O139" s="319">
        <v>74980</v>
      </c>
      <c r="P139" s="323">
        <v>9844345.60026039</v>
      </c>
      <c r="Q139" s="319">
        <v>6889863.2110000001</v>
      </c>
      <c r="R139" s="319">
        <v>179950</v>
      </c>
      <c r="S139" s="323">
        <v>23818293.719768513</v>
      </c>
      <c r="T139" s="319">
        <v>16669953.729</v>
      </c>
      <c r="U139" s="319">
        <v>394742</v>
      </c>
      <c r="V139" s="323">
        <v>51389811.055080816</v>
      </c>
      <c r="W139" s="319">
        <v>35966714.597999997</v>
      </c>
      <c r="X139" s="319">
        <v>184506</v>
      </c>
      <c r="Y139" s="323">
        <v>24013522.606426481</v>
      </c>
      <c r="Z139" s="319">
        <v>16806590.574000001</v>
      </c>
      <c r="AA139" s="319">
        <v>579248</v>
      </c>
      <c r="AB139" s="323">
        <v>75403333.661507294</v>
      </c>
      <c r="AC139" s="319">
        <v>52773305.171999998</v>
      </c>
    </row>
    <row r="140" spans="2:29" hidden="1" outlineLevel="1" x14ac:dyDescent="0.25">
      <c r="B140" s="318">
        <v>42401</v>
      </c>
      <c r="C140" s="319">
        <v>290041</v>
      </c>
      <c r="D140" s="323">
        <v>37397207.472036399</v>
      </c>
      <c r="E140" s="319">
        <v>26246322.202</v>
      </c>
      <c r="F140" s="319">
        <v>109494</v>
      </c>
      <c r="G140" s="323">
        <v>14161319.532786351</v>
      </c>
      <c r="H140" s="319">
        <v>9938778.3310000002</v>
      </c>
      <c r="I140" s="319">
        <v>399535</v>
      </c>
      <c r="J140" s="323">
        <v>51558527.004822753</v>
      </c>
      <c r="K140" s="319">
        <v>36185100.533</v>
      </c>
      <c r="L140" s="319">
        <v>105124</v>
      </c>
      <c r="M140" s="323">
        <v>13958724.43377657</v>
      </c>
      <c r="N140" s="319">
        <v>9796591.8790000007</v>
      </c>
      <c r="O140" s="319">
        <v>75133</v>
      </c>
      <c r="P140" s="323">
        <v>9879530.6881888583</v>
      </c>
      <c r="Q140" s="319">
        <v>6933708.7759999996</v>
      </c>
      <c r="R140" s="319">
        <v>180257</v>
      </c>
      <c r="S140" s="323">
        <v>23838255.121965431</v>
      </c>
      <c r="T140" s="319">
        <v>16730300.654999999</v>
      </c>
      <c r="U140" s="319">
        <v>395165</v>
      </c>
      <c r="V140" s="323">
        <v>51355931.905812971</v>
      </c>
      <c r="W140" s="319">
        <v>36042914.081</v>
      </c>
      <c r="X140" s="319">
        <v>184627</v>
      </c>
      <c r="Y140" s="323">
        <v>24040850.220975209</v>
      </c>
      <c r="Z140" s="319">
        <v>16872487.107000001</v>
      </c>
      <c r="AA140" s="319">
        <v>579792</v>
      </c>
      <c r="AB140" s="323">
        <v>75396782.126788184</v>
      </c>
      <c r="AC140" s="319">
        <v>52915401.188000001</v>
      </c>
    </row>
    <row r="141" spans="2:29" hidden="1" outlineLevel="1" x14ac:dyDescent="0.25">
      <c r="B141" s="318">
        <v>42430</v>
      </c>
      <c r="C141" s="319">
        <v>289522</v>
      </c>
      <c r="D141" s="323">
        <v>37033781.635761268</v>
      </c>
      <c r="E141" s="319">
        <v>26089860.443</v>
      </c>
      <c r="F141" s="319">
        <v>109195</v>
      </c>
      <c r="G141" s="323">
        <v>13985399.944001958</v>
      </c>
      <c r="H141" s="319">
        <v>9852548.5830000006</v>
      </c>
      <c r="I141" s="319">
        <v>398717</v>
      </c>
      <c r="J141" s="323">
        <v>51019181.579763219</v>
      </c>
      <c r="K141" s="319">
        <v>35942409.026000001</v>
      </c>
      <c r="L141" s="319">
        <v>105070</v>
      </c>
      <c r="M141" s="323">
        <v>13764638.160827063</v>
      </c>
      <c r="N141" s="319">
        <v>9697024.5219999999</v>
      </c>
      <c r="O141" s="319">
        <v>74986</v>
      </c>
      <c r="P141" s="323">
        <v>9718324.3361079004</v>
      </c>
      <c r="Q141" s="319">
        <v>6846444.3669999996</v>
      </c>
      <c r="R141" s="319">
        <v>180056</v>
      </c>
      <c r="S141" s="323">
        <v>23482962.496934962</v>
      </c>
      <c r="T141" s="319">
        <v>16543468.889</v>
      </c>
      <c r="U141" s="319">
        <v>394592</v>
      </c>
      <c r="V141" s="323">
        <v>50798419.796588324</v>
      </c>
      <c r="W141" s="319">
        <v>35786884.965000004</v>
      </c>
      <c r="X141" s="319">
        <v>184181</v>
      </c>
      <c r="Y141" s="323">
        <v>23703724.28010986</v>
      </c>
      <c r="Z141" s="319">
        <v>16698992.949999999</v>
      </c>
      <c r="AA141" s="319">
        <v>578773</v>
      </c>
      <c r="AB141" s="323">
        <v>74502144.076698184</v>
      </c>
      <c r="AC141" s="319">
        <v>52485877.914999999</v>
      </c>
    </row>
    <row r="142" spans="2:29" hidden="1" outlineLevel="1" x14ac:dyDescent="0.25">
      <c r="B142" s="318">
        <v>42461</v>
      </c>
      <c r="C142" s="319">
        <v>290006</v>
      </c>
      <c r="D142" s="323">
        <v>37178438.84198235</v>
      </c>
      <c r="E142" s="319">
        <v>26277141.800000001</v>
      </c>
      <c r="F142" s="319">
        <v>109202</v>
      </c>
      <c r="G142" s="323">
        <v>13997526.363612542</v>
      </c>
      <c r="H142" s="319">
        <v>9893233.7280000001</v>
      </c>
      <c r="I142" s="319">
        <v>399208</v>
      </c>
      <c r="J142" s="323">
        <v>51175965.205594897</v>
      </c>
      <c r="K142" s="319">
        <v>36170375.527999997</v>
      </c>
      <c r="L142" s="319">
        <v>105346</v>
      </c>
      <c r="M142" s="323">
        <v>13889415.664676527</v>
      </c>
      <c r="N142" s="319">
        <v>9816822.7689999994</v>
      </c>
      <c r="O142" s="319">
        <v>75254</v>
      </c>
      <c r="P142" s="323">
        <v>9865551.4777675252</v>
      </c>
      <c r="Q142" s="319">
        <v>6972818.2029999997</v>
      </c>
      <c r="R142" s="319">
        <v>180600</v>
      </c>
      <c r="S142" s="323">
        <v>23754967.142444052</v>
      </c>
      <c r="T142" s="319">
        <v>16789640.971999999</v>
      </c>
      <c r="U142" s="319">
        <v>395352</v>
      </c>
      <c r="V142" s="323">
        <v>51067854.506658882</v>
      </c>
      <c r="W142" s="319">
        <v>36093964.568999998</v>
      </c>
      <c r="X142" s="319">
        <v>184456</v>
      </c>
      <c r="Y142" s="323">
        <v>23863077.841380067</v>
      </c>
      <c r="Z142" s="319">
        <v>16866051.931000002</v>
      </c>
      <c r="AA142" s="319">
        <v>579808</v>
      </c>
      <c r="AB142" s="323">
        <v>74930932.348038942</v>
      </c>
      <c r="AC142" s="319">
        <v>52960016.5</v>
      </c>
    </row>
    <row r="143" spans="2:29" hidden="1" outlineLevel="1" x14ac:dyDescent="0.25">
      <c r="B143" s="318">
        <v>42491</v>
      </c>
      <c r="C143" s="319">
        <v>290387</v>
      </c>
      <c r="D143" s="323">
        <v>37103965.919262245</v>
      </c>
      <c r="E143" s="319">
        <v>26283366.634</v>
      </c>
      <c r="F143" s="319">
        <v>109075</v>
      </c>
      <c r="G143" s="323">
        <v>13962151.088780053</v>
      </c>
      <c r="H143" s="319">
        <v>9890380.3670000006</v>
      </c>
      <c r="I143" s="319">
        <v>399462</v>
      </c>
      <c r="J143" s="323">
        <v>51066117.008042298</v>
      </c>
      <c r="K143" s="319">
        <v>36173747.001000002</v>
      </c>
      <c r="L143" s="319">
        <v>105384</v>
      </c>
      <c r="M143" s="323">
        <v>13709761.27001147</v>
      </c>
      <c r="N143" s="319">
        <v>9711594.7850000001</v>
      </c>
      <c r="O143" s="319">
        <v>75437</v>
      </c>
      <c r="P143" s="323">
        <v>9784215.7941281181</v>
      </c>
      <c r="Q143" s="319">
        <v>6930852.9309999999</v>
      </c>
      <c r="R143" s="319">
        <v>180821</v>
      </c>
      <c r="S143" s="323">
        <v>23493977.064139586</v>
      </c>
      <c r="T143" s="319">
        <v>16642447.716</v>
      </c>
      <c r="U143" s="319">
        <v>395771</v>
      </c>
      <c r="V143" s="323">
        <v>50813727.189273715</v>
      </c>
      <c r="W143" s="319">
        <v>35994961.419</v>
      </c>
      <c r="X143" s="319">
        <v>184512</v>
      </c>
      <c r="Y143" s="323">
        <v>23746366.882908173</v>
      </c>
      <c r="Z143" s="319">
        <v>16821233.298</v>
      </c>
      <c r="AA143" s="319">
        <v>580283</v>
      </c>
      <c r="AB143" s="323">
        <v>74560094.07218188</v>
      </c>
      <c r="AC143" s="319">
        <v>52816194.717</v>
      </c>
    </row>
    <row r="144" spans="2:29" hidden="1" outlineLevel="1" x14ac:dyDescent="0.25">
      <c r="B144" s="318">
        <v>42522</v>
      </c>
      <c r="C144" s="319">
        <v>290710</v>
      </c>
      <c r="D144" s="323">
        <v>36888326.093914837</v>
      </c>
      <c r="E144" s="319">
        <v>26248141.977000002</v>
      </c>
      <c r="F144" s="319">
        <v>109011</v>
      </c>
      <c r="G144" s="323">
        <v>13835210.840161096</v>
      </c>
      <c r="H144" s="319">
        <v>9844539.3670000006</v>
      </c>
      <c r="I144" s="319">
        <v>399721</v>
      </c>
      <c r="J144" s="323">
        <v>50723536.934075937</v>
      </c>
      <c r="K144" s="319">
        <v>36092681.343999997</v>
      </c>
      <c r="L144" s="319">
        <v>105613</v>
      </c>
      <c r="M144" s="323">
        <v>13822292.021799821</v>
      </c>
      <c r="N144" s="319">
        <v>9835346.8929999992</v>
      </c>
      <c r="O144" s="319">
        <v>75584</v>
      </c>
      <c r="P144" s="323">
        <v>9807438.439241292</v>
      </c>
      <c r="Q144" s="319">
        <v>6978550.2309999997</v>
      </c>
      <c r="R144" s="319">
        <v>181197</v>
      </c>
      <c r="S144" s="323">
        <v>23629730.461041115</v>
      </c>
      <c r="T144" s="319">
        <v>16813897.124000002</v>
      </c>
      <c r="U144" s="319">
        <v>396323</v>
      </c>
      <c r="V144" s="323">
        <v>50710618.115714654</v>
      </c>
      <c r="W144" s="319">
        <v>36083488.869999997</v>
      </c>
      <c r="X144" s="319">
        <v>184595</v>
      </c>
      <c r="Y144" s="323">
        <v>23642649.27940239</v>
      </c>
      <c r="Z144" s="319">
        <v>16823089.598000001</v>
      </c>
      <c r="AA144" s="319">
        <v>580918</v>
      </c>
      <c r="AB144" s="323">
        <v>74353267.395117044</v>
      </c>
      <c r="AC144" s="319">
        <v>52906578.468000002</v>
      </c>
    </row>
    <row r="145" spans="2:29" hidden="1" outlineLevel="1" x14ac:dyDescent="0.25">
      <c r="B145" s="318">
        <v>42552</v>
      </c>
      <c r="C145" s="319">
        <v>290754</v>
      </c>
      <c r="D145" s="323">
        <v>38322536.362991929</v>
      </c>
      <c r="E145" s="319">
        <v>27334633.774</v>
      </c>
      <c r="F145" s="319">
        <v>108892</v>
      </c>
      <c r="G145" s="323">
        <v>14387248.268210799</v>
      </c>
      <c r="H145" s="319">
        <v>10262112.056</v>
      </c>
      <c r="I145" s="319">
        <v>399646</v>
      </c>
      <c r="J145" s="323">
        <v>52709784.631202728</v>
      </c>
      <c r="K145" s="319">
        <v>37596745.829999998</v>
      </c>
      <c r="L145" s="319">
        <v>105761</v>
      </c>
      <c r="M145" s="323">
        <v>14282772.410057278</v>
      </c>
      <c r="N145" s="319">
        <v>10187591.693</v>
      </c>
      <c r="O145" s="319">
        <v>75723</v>
      </c>
      <c r="P145" s="323">
        <v>10150057.950616462</v>
      </c>
      <c r="Q145" s="319">
        <v>7239816.1289999997</v>
      </c>
      <c r="R145" s="319">
        <v>181484</v>
      </c>
      <c r="S145" s="323">
        <v>24432830.360673741</v>
      </c>
      <c r="T145" s="319">
        <v>17427407.822000001</v>
      </c>
      <c r="U145" s="319">
        <v>396515</v>
      </c>
      <c r="V145" s="323">
        <v>52605308.773049213</v>
      </c>
      <c r="W145" s="319">
        <v>37522225.467</v>
      </c>
      <c r="X145" s="319">
        <v>184615</v>
      </c>
      <c r="Y145" s="323">
        <v>24537306.218827259</v>
      </c>
      <c r="Z145" s="319">
        <v>17501928.184999999</v>
      </c>
      <c r="AA145" s="319">
        <v>581130</v>
      </c>
      <c r="AB145" s="323">
        <v>77142614.991876468</v>
      </c>
      <c r="AC145" s="319">
        <v>55024153.652000003</v>
      </c>
    </row>
    <row r="146" spans="2:29" hidden="1" outlineLevel="1" x14ac:dyDescent="0.25">
      <c r="B146" s="318">
        <v>42583</v>
      </c>
      <c r="C146" s="319">
        <v>290722</v>
      </c>
      <c r="D146" s="323">
        <v>38334914.452351816</v>
      </c>
      <c r="E146" s="319">
        <v>27356818.116</v>
      </c>
      <c r="F146" s="319">
        <v>108727</v>
      </c>
      <c r="G146" s="323">
        <v>14356483.413654737</v>
      </c>
      <c r="H146" s="319">
        <v>10245169.74</v>
      </c>
      <c r="I146" s="319">
        <v>399449</v>
      </c>
      <c r="J146" s="323">
        <v>52691397.866006553</v>
      </c>
      <c r="K146" s="319">
        <v>37601987.855999999</v>
      </c>
      <c r="L146" s="319">
        <v>105741</v>
      </c>
      <c r="M146" s="323">
        <v>14242013.509245403</v>
      </c>
      <c r="N146" s="319">
        <v>10163480.960999999</v>
      </c>
      <c r="O146" s="319">
        <v>75743</v>
      </c>
      <c r="P146" s="323">
        <v>10106091.804053219</v>
      </c>
      <c r="Q146" s="319">
        <v>7211976.8439999996</v>
      </c>
      <c r="R146" s="319">
        <v>181484</v>
      </c>
      <c r="S146" s="323">
        <v>24348105.31329862</v>
      </c>
      <c r="T146" s="319">
        <v>17375457.805</v>
      </c>
      <c r="U146" s="319">
        <v>396463</v>
      </c>
      <c r="V146" s="323">
        <v>52576927.961597212</v>
      </c>
      <c r="W146" s="319">
        <v>37520299.077</v>
      </c>
      <c r="X146" s="319">
        <v>184470</v>
      </c>
      <c r="Y146" s="323">
        <v>24462575.217707958</v>
      </c>
      <c r="Z146" s="319">
        <v>17457146.583999999</v>
      </c>
      <c r="AA146" s="319">
        <v>580933</v>
      </c>
      <c r="AB146" s="323">
        <v>77039503.179305181</v>
      </c>
      <c r="AC146" s="319">
        <v>54977445.660999998</v>
      </c>
    </row>
    <row r="147" spans="2:29" hidden="1" outlineLevel="1" x14ac:dyDescent="0.25">
      <c r="B147" s="318">
        <v>42614</v>
      </c>
      <c r="C147" s="319">
        <v>290590</v>
      </c>
      <c r="D147" s="323">
        <v>38223393.553429887</v>
      </c>
      <c r="E147" s="319">
        <v>27343619.532000002</v>
      </c>
      <c r="F147" s="319">
        <v>108480</v>
      </c>
      <c r="G147" s="323">
        <v>14312020.11249193</v>
      </c>
      <c r="H147" s="319">
        <v>10238296.402000001</v>
      </c>
      <c r="I147" s="319">
        <v>399070</v>
      </c>
      <c r="J147" s="323">
        <v>52535413.665921815</v>
      </c>
      <c r="K147" s="319">
        <v>37581915.934</v>
      </c>
      <c r="L147" s="319">
        <v>105661</v>
      </c>
      <c r="M147" s="323">
        <v>14226141.666937143</v>
      </c>
      <c r="N147" s="319">
        <v>10176862.098999999</v>
      </c>
      <c r="O147" s="319">
        <v>75770</v>
      </c>
      <c r="P147" s="323">
        <v>10113356.907444078</v>
      </c>
      <c r="Q147" s="319">
        <v>7234726.1129999999</v>
      </c>
      <c r="R147" s="319">
        <v>181431</v>
      </c>
      <c r="S147" s="323">
        <v>24339498.574381221</v>
      </c>
      <c r="T147" s="319">
        <v>17411588.212000001</v>
      </c>
      <c r="U147" s="319">
        <v>396251</v>
      </c>
      <c r="V147" s="323">
        <v>52449535.220367029</v>
      </c>
      <c r="W147" s="319">
        <v>37520481.630999997</v>
      </c>
      <c r="X147" s="319">
        <v>184250</v>
      </c>
      <c r="Y147" s="323">
        <v>24425377.01993601</v>
      </c>
      <c r="Z147" s="319">
        <v>17473022.515000001</v>
      </c>
      <c r="AA147" s="319">
        <v>580501</v>
      </c>
      <c r="AB147" s="323">
        <v>76874912.24030304</v>
      </c>
      <c r="AC147" s="319">
        <v>54993504.145999998</v>
      </c>
    </row>
    <row r="148" spans="2:29" hidden="1" outlineLevel="1" x14ac:dyDescent="0.25">
      <c r="B148" s="318">
        <v>42644</v>
      </c>
      <c r="C148" s="319">
        <v>290392</v>
      </c>
      <c r="D148" s="323">
        <v>38116707.767541073</v>
      </c>
      <c r="E148" s="319">
        <v>27312508.570999999</v>
      </c>
      <c r="F148" s="319">
        <v>108234</v>
      </c>
      <c r="G148" s="323">
        <v>14215431.451628344</v>
      </c>
      <c r="H148" s="319">
        <v>10186060.551999999</v>
      </c>
      <c r="I148" s="319">
        <v>398626</v>
      </c>
      <c r="J148" s="323">
        <v>52332139.219169416</v>
      </c>
      <c r="K148" s="319">
        <v>37498569.123000003</v>
      </c>
      <c r="L148" s="319">
        <v>105680</v>
      </c>
      <c r="M148" s="323">
        <v>14202670.587552879</v>
      </c>
      <c r="N148" s="319">
        <v>10176916.761</v>
      </c>
      <c r="O148" s="319">
        <v>75906</v>
      </c>
      <c r="P148" s="323">
        <v>10138564.852144333</v>
      </c>
      <c r="Q148" s="319">
        <v>7264783.7560000001</v>
      </c>
      <c r="R148" s="319">
        <v>181586</v>
      </c>
      <c r="S148" s="323">
        <v>24341235.439697213</v>
      </c>
      <c r="T148" s="319">
        <v>17441700.517000001</v>
      </c>
      <c r="U148" s="319">
        <v>396072</v>
      </c>
      <c r="V148" s="323">
        <v>52319378.355093956</v>
      </c>
      <c r="W148" s="319">
        <v>37489425.332000002</v>
      </c>
      <c r="X148" s="319">
        <v>184140</v>
      </c>
      <c r="Y148" s="323">
        <v>24353996.303772673</v>
      </c>
      <c r="Z148" s="319">
        <v>17450844.307999998</v>
      </c>
      <c r="AA148" s="319">
        <v>580212</v>
      </c>
      <c r="AB148" s="323">
        <v>76673374.658866629</v>
      </c>
      <c r="AC148" s="319">
        <v>54940269.640000001</v>
      </c>
    </row>
    <row r="149" spans="2:29" hidden="1" outlineLevel="1" x14ac:dyDescent="0.25">
      <c r="B149" s="318">
        <v>42675</v>
      </c>
      <c r="C149" s="319">
        <v>290974</v>
      </c>
      <c r="D149" s="323">
        <v>38378481.616830923</v>
      </c>
      <c r="E149" s="319">
        <v>27514866.809999999</v>
      </c>
      <c r="F149" s="319">
        <v>108240</v>
      </c>
      <c r="G149" s="323">
        <v>14295734.186016168</v>
      </c>
      <c r="H149" s="319">
        <v>10249108.498</v>
      </c>
      <c r="I149" s="319">
        <v>399214</v>
      </c>
      <c r="J149" s="323">
        <v>52674215.802847102</v>
      </c>
      <c r="K149" s="319">
        <v>37763975.307999998</v>
      </c>
      <c r="L149" s="319">
        <v>105692</v>
      </c>
      <c r="M149" s="323">
        <v>14219785.597082399</v>
      </c>
      <c r="N149" s="319">
        <v>10194658.316</v>
      </c>
      <c r="O149" s="319">
        <v>76030</v>
      </c>
      <c r="P149" s="323">
        <v>10159576.272384856</v>
      </c>
      <c r="Q149" s="319">
        <v>7283753.1919999998</v>
      </c>
      <c r="R149" s="319">
        <v>181722</v>
      </c>
      <c r="S149" s="323">
        <v>24379361.869467255</v>
      </c>
      <c r="T149" s="319">
        <v>17478411.508000001</v>
      </c>
      <c r="U149" s="319">
        <v>396666</v>
      </c>
      <c r="V149" s="323">
        <v>52598267.213913329</v>
      </c>
      <c r="W149" s="319">
        <v>37709525.126000002</v>
      </c>
      <c r="X149" s="319">
        <v>184270</v>
      </c>
      <c r="Y149" s="323">
        <v>24455310.458401024</v>
      </c>
      <c r="Z149" s="319">
        <v>17532861.690000001</v>
      </c>
      <c r="AA149" s="319">
        <v>580936</v>
      </c>
      <c r="AB149" s="323">
        <v>77053577.672314346</v>
      </c>
      <c r="AC149" s="319">
        <v>55242386.816</v>
      </c>
    </row>
    <row r="150" spans="2:29" hidden="1" outlineLevel="1" x14ac:dyDescent="0.25">
      <c r="B150" s="318">
        <v>42705</v>
      </c>
      <c r="C150" s="319">
        <v>290606</v>
      </c>
      <c r="D150" s="323">
        <v>38148581.842498668</v>
      </c>
      <c r="E150" s="319">
        <v>27294187.395</v>
      </c>
      <c r="F150" s="319">
        <v>108045</v>
      </c>
      <c r="G150" s="323">
        <v>14197935.846106794</v>
      </c>
      <c r="H150" s="319">
        <v>10158205.177999999</v>
      </c>
      <c r="I150" s="319">
        <v>398651</v>
      </c>
      <c r="J150" s="323">
        <v>52346517.688605458</v>
      </c>
      <c r="K150" s="319">
        <v>37452392.572999999</v>
      </c>
      <c r="L150" s="319">
        <v>105476</v>
      </c>
      <c r="M150" s="323">
        <v>14117429.55438998</v>
      </c>
      <c r="N150" s="319">
        <v>10100605.296</v>
      </c>
      <c r="O150" s="319">
        <v>75845</v>
      </c>
      <c r="P150" s="323">
        <v>10101363.631353969</v>
      </c>
      <c r="Q150" s="319">
        <v>7227228.3420000002</v>
      </c>
      <c r="R150" s="319">
        <v>181321</v>
      </c>
      <c r="S150" s="323">
        <v>24218793.18574395</v>
      </c>
      <c r="T150" s="319">
        <v>17327833.638</v>
      </c>
      <c r="U150" s="319">
        <v>396082</v>
      </c>
      <c r="V150" s="323">
        <v>52266011.396888651</v>
      </c>
      <c r="W150" s="319">
        <v>37394792.691</v>
      </c>
      <c r="X150" s="319">
        <v>183890</v>
      </c>
      <c r="Y150" s="323">
        <v>24299299.477460764</v>
      </c>
      <c r="Z150" s="319">
        <v>17385433.52</v>
      </c>
      <c r="AA150" s="319">
        <v>579972</v>
      </c>
      <c r="AB150" s="323">
        <v>76565310.874349415</v>
      </c>
      <c r="AC150" s="319">
        <v>54780226.211000003</v>
      </c>
    </row>
    <row r="151" spans="2:29" collapsed="1" x14ac:dyDescent="0.25">
      <c r="B151" s="321" t="s">
        <v>698</v>
      </c>
      <c r="C151" s="322">
        <v>290373</v>
      </c>
      <c r="D151" s="324">
        <v>37711849.874514513</v>
      </c>
      <c r="E151" s="322"/>
      <c r="F151" s="322">
        <v>108843.41666666667</v>
      </c>
      <c r="G151" s="324">
        <v>14156303.17113474</v>
      </c>
      <c r="H151" s="322"/>
      <c r="I151" s="322">
        <v>399216.41666666669</v>
      </c>
      <c r="J151" s="324">
        <v>51868153.045649253</v>
      </c>
      <c r="K151" s="322"/>
      <c r="L151" s="322">
        <v>105459.83333333333</v>
      </c>
      <c r="M151" s="324">
        <v>14034132.749655388</v>
      </c>
      <c r="N151" s="322"/>
      <c r="O151" s="322">
        <v>75532.583333333328</v>
      </c>
      <c r="P151" s="324">
        <v>9972368.1461409163</v>
      </c>
      <c r="Q151" s="322"/>
      <c r="R151" s="322">
        <v>180992.41666666666</v>
      </c>
      <c r="S151" s="324">
        <v>24006500.895796303</v>
      </c>
      <c r="T151" s="322"/>
      <c r="U151" s="322">
        <v>395832.83333333331</v>
      </c>
      <c r="V151" s="324">
        <v>51745982.624169894</v>
      </c>
      <c r="W151" s="322"/>
      <c r="X151" s="322">
        <v>184376</v>
      </c>
      <c r="Y151" s="324">
        <v>24128671.317275655</v>
      </c>
      <c r="Z151" s="322"/>
      <c r="AA151" s="322">
        <v>580208.83333333337</v>
      </c>
      <c r="AB151" s="324">
        <v>75874653.941445544</v>
      </c>
      <c r="AC151" s="322"/>
    </row>
    <row r="152" spans="2:29" hidden="1" outlineLevel="1" x14ac:dyDescent="0.25">
      <c r="B152" s="318">
        <v>42736</v>
      </c>
      <c r="C152" s="319">
        <v>291095</v>
      </c>
      <c r="D152" s="323">
        <v>41957970.063625164</v>
      </c>
      <c r="E152" s="319">
        <v>30181828.090999998</v>
      </c>
      <c r="F152" s="319">
        <v>108041</v>
      </c>
      <c r="G152" s="323">
        <v>15577721.590482626</v>
      </c>
      <c r="H152" s="319">
        <v>11205597.277000001</v>
      </c>
      <c r="I152" s="319">
        <v>399136</v>
      </c>
      <c r="J152" s="323">
        <v>57535691.654107794</v>
      </c>
      <c r="K152" s="319">
        <v>41387425.368000001</v>
      </c>
      <c r="L152" s="319">
        <v>105535</v>
      </c>
      <c r="M152" s="323">
        <v>15541783.391850241</v>
      </c>
      <c r="N152" s="319">
        <v>11179745.68</v>
      </c>
      <c r="O152" s="319">
        <v>75921</v>
      </c>
      <c r="P152" s="323">
        <v>11100062.510553824</v>
      </c>
      <c r="Q152" s="319">
        <v>7984661.2690000003</v>
      </c>
      <c r="R152" s="319">
        <v>181456</v>
      </c>
      <c r="S152" s="323">
        <v>26641845.902404062</v>
      </c>
      <c r="T152" s="319">
        <v>19164406.949000001</v>
      </c>
      <c r="U152" s="319">
        <v>396630</v>
      </c>
      <c r="V152" s="323">
        <v>57499753.455475412</v>
      </c>
      <c r="W152" s="319">
        <v>41361573.770999998</v>
      </c>
      <c r="X152" s="319">
        <v>183962</v>
      </c>
      <c r="Y152" s="323">
        <v>26677784.101036448</v>
      </c>
      <c r="Z152" s="319">
        <v>19190258.546</v>
      </c>
      <c r="AA152" s="319">
        <v>580592</v>
      </c>
      <c r="AB152" s="323">
        <v>84177537.556511849</v>
      </c>
      <c r="AC152" s="319">
        <v>60551832.317000002</v>
      </c>
    </row>
    <row r="153" spans="2:29" hidden="1" outlineLevel="1" x14ac:dyDescent="0.25">
      <c r="B153" s="318">
        <v>42767</v>
      </c>
      <c r="C153" s="319">
        <v>291502</v>
      </c>
      <c r="D153" s="323">
        <v>41907000.645283788</v>
      </c>
      <c r="E153" s="319">
        <v>30217329.635000002</v>
      </c>
      <c r="F153" s="319">
        <v>108057</v>
      </c>
      <c r="G153" s="323">
        <v>15533738.887801718</v>
      </c>
      <c r="H153" s="319">
        <v>11200708.741</v>
      </c>
      <c r="I153" s="319">
        <v>399559</v>
      </c>
      <c r="J153" s="323">
        <v>57440739.53308551</v>
      </c>
      <c r="K153" s="319">
        <v>41418038.376000002</v>
      </c>
      <c r="L153" s="319">
        <v>105511</v>
      </c>
      <c r="M153" s="323">
        <v>15426582.01297006</v>
      </c>
      <c r="N153" s="319">
        <v>11123442.543</v>
      </c>
      <c r="O153" s="319">
        <v>75979</v>
      </c>
      <c r="P153" s="323">
        <v>11048162.260889221</v>
      </c>
      <c r="Q153" s="319">
        <v>7966353.0140000004</v>
      </c>
      <c r="R153" s="319">
        <v>181490</v>
      </c>
      <c r="S153" s="323">
        <v>26474744.273859285</v>
      </c>
      <c r="T153" s="319">
        <v>19089795.557</v>
      </c>
      <c r="U153" s="319">
        <v>397013</v>
      </c>
      <c r="V153" s="323">
        <v>57333582.658253856</v>
      </c>
      <c r="W153" s="319">
        <v>41340772.178000003</v>
      </c>
      <c r="X153" s="319">
        <v>184036</v>
      </c>
      <c r="Y153" s="323">
        <v>26581901.148690943</v>
      </c>
      <c r="Z153" s="319">
        <v>19167061.754999999</v>
      </c>
      <c r="AA153" s="319">
        <v>581049</v>
      </c>
      <c r="AB153" s="323">
        <v>83915483.806944788</v>
      </c>
      <c r="AC153" s="319">
        <v>60507833.932999998</v>
      </c>
    </row>
    <row r="154" spans="2:29" hidden="1" outlineLevel="1" x14ac:dyDescent="0.25">
      <c r="B154" s="318">
        <v>42795</v>
      </c>
      <c r="C154" s="319">
        <v>291371</v>
      </c>
      <c r="D154" s="323">
        <v>41667818.543721795</v>
      </c>
      <c r="E154" s="319">
        <v>30159711.811999999</v>
      </c>
      <c r="F154" s="319">
        <v>107931</v>
      </c>
      <c r="G154" s="323">
        <v>15450567.344358414</v>
      </c>
      <c r="H154" s="319">
        <v>11183322.639</v>
      </c>
      <c r="I154" s="319">
        <v>399302</v>
      </c>
      <c r="J154" s="323">
        <v>57118385.888080209</v>
      </c>
      <c r="K154" s="319">
        <v>41343034.450999998</v>
      </c>
      <c r="L154" s="319">
        <v>105627</v>
      </c>
      <c r="M154" s="323">
        <v>15405172.771924444</v>
      </c>
      <c r="N154" s="319">
        <v>11150465.454</v>
      </c>
      <c r="O154" s="319">
        <v>76113</v>
      </c>
      <c r="P154" s="323">
        <v>11060419.237444023</v>
      </c>
      <c r="Q154" s="319">
        <v>8005676.0439999998</v>
      </c>
      <c r="R154" s="319">
        <v>181740</v>
      </c>
      <c r="S154" s="323">
        <v>26465592.009368464</v>
      </c>
      <c r="T154" s="319">
        <v>19156141.498</v>
      </c>
      <c r="U154" s="319">
        <v>396998</v>
      </c>
      <c r="V154" s="323">
        <v>57072991.315646231</v>
      </c>
      <c r="W154" s="319">
        <v>41310177.266000003</v>
      </c>
      <c r="X154" s="319">
        <v>184044</v>
      </c>
      <c r="Y154" s="323">
        <v>26510986.581802435</v>
      </c>
      <c r="Z154" s="319">
        <v>19188998.682999998</v>
      </c>
      <c r="AA154" s="319">
        <v>581042</v>
      </c>
      <c r="AB154" s="323">
        <v>83583977.897448674</v>
      </c>
      <c r="AC154" s="319">
        <v>60499175.949000001</v>
      </c>
    </row>
    <row r="155" spans="2:29" hidden="1" outlineLevel="1" x14ac:dyDescent="0.25">
      <c r="B155" s="318">
        <v>42826</v>
      </c>
      <c r="C155" s="319">
        <v>291764</v>
      </c>
      <c r="D155" s="323">
        <v>41713746.389809728</v>
      </c>
      <c r="E155" s="319">
        <v>30265242.559</v>
      </c>
      <c r="F155" s="319">
        <v>108038</v>
      </c>
      <c r="G155" s="323">
        <v>15467024.709271245</v>
      </c>
      <c r="H155" s="319">
        <v>11222038.176999999</v>
      </c>
      <c r="I155" s="319">
        <v>399802</v>
      </c>
      <c r="J155" s="323">
        <v>57180771.099080972</v>
      </c>
      <c r="K155" s="319">
        <v>41487280.736000001</v>
      </c>
      <c r="L155" s="319">
        <v>105610</v>
      </c>
      <c r="M155" s="323">
        <v>15309612.759815594</v>
      </c>
      <c r="N155" s="319">
        <v>11107828.563999999</v>
      </c>
      <c r="O155" s="319">
        <v>76247</v>
      </c>
      <c r="P155" s="323">
        <v>11025463.215933863</v>
      </c>
      <c r="Q155" s="319">
        <v>7999480.9249999998</v>
      </c>
      <c r="R155" s="319">
        <v>181857</v>
      </c>
      <c r="S155" s="323">
        <v>26335075.975749455</v>
      </c>
      <c r="T155" s="319">
        <v>19107309.489</v>
      </c>
      <c r="U155" s="319">
        <v>397374</v>
      </c>
      <c r="V155" s="323">
        <v>57023359.149625324</v>
      </c>
      <c r="W155" s="319">
        <v>41373071.123000003</v>
      </c>
      <c r="X155" s="319">
        <v>184285</v>
      </c>
      <c r="Y155" s="323">
        <v>26492487.925205108</v>
      </c>
      <c r="Z155" s="319">
        <v>19221519.102000002</v>
      </c>
      <c r="AA155" s="319">
        <v>581659</v>
      </c>
      <c r="AB155" s="323">
        <v>83515847.074830428</v>
      </c>
      <c r="AC155" s="319">
        <v>60594590.225000001</v>
      </c>
    </row>
    <row r="156" spans="2:29" hidden="1" outlineLevel="1" x14ac:dyDescent="0.25">
      <c r="B156" s="318">
        <v>42856</v>
      </c>
      <c r="C156" s="319">
        <v>292373</v>
      </c>
      <c r="D156" s="323">
        <v>41789654.095752291</v>
      </c>
      <c r="E156" s="319">
        <v>30358785.506000001</v>
      </c>
      <c r="F156" s="319">
        <v>108173</v>
      </c>
      <c r="G156" s="323">
        <v>15475916.586171135</v>
      </c>
      <c r="H156" s="319">
        <v>11242735.607999999</v>
      </c>
      <c r="I156" s="319">
        <v>400546</v>
      </c>
      <c r="J156" s="323">
        <v>57265570.681923427</v>
      </c>
      <c r="K156" s="319">
        <v>41601521.114</v>
      </c>
      <c r="L156" s="319">
        <v>105793</v>
      </c>
      <c r="M156" s="323">
        <v>15385775.220800374</v>
      </c>
      <c r="N156" s="319">
        <v>11177250.922</v>
      </c>
      <c r="O156" s="319">
        <v>76469</v>
      </c>
      <c r="P156" s="323">
        <v>11054887.931818601</v>
      </c>
      <c r="Q156" s="319">
        <v>8031006.2089999998</v>
      </c>
      <c r="R156" s="319">
        <v>182262</v>
      </c>
      <c r="S156" s="323">
        <v>26440663.152618974</v>
      </c>
      <c r="T156" s="319">
        <v>19208257.131000001</v>
      </c>
      <c r="U156" s="319">
        <v>398166</v>
      </c>
      <c r="V156" s="323">
        <v>57175429.316552661</v>
      </c>
      <c r="W156" s="319">
        <v>41536036.428000003</v>
      </c>
      <c r="X156" s="319">
        <v>184642</v>
      </c>
      <c r="Y156" s="323">
        <v>26530804.51798974</v>
      </c>
      <c r="Z156" s="319">
        <v>19273741.817000002</v>
      </c>
      <c r="AA156" s="319">
        <v>582808</v>
      </c>
      <c r="AB156" s="323">
        <v>83706233.834542394</v>
      </c>
      <c r="AC156" s="319">
        <v>60809778.244999997</v>
      </c>
    </row>
    <row r="157" spans="2:29" hidden="1" outlineLevel="1" x14ac:dyDescent="0.25">
      <c r="B157" s="318">
        <v>42887</v>
      </c>
      <c r="C157" s="319">
        <v>291766</v>
      </c>
      <c r="D157" s="323">
        <v>41607888.833391309</v>
      </c>
      <c r="E157" s="319">
        <v>30108905.912</v>
      </c>
      <c r="F157" s="319">
        <v>107911</v>
      </c>
      <c r="G157" s="323">
        <v>15387064.2262014</v>
      </c>
      <c r="H157" s="319">
        <v>11134611.297</v>
      </c>
      <c r="I157" s="319">
        <v>399677</v>
      </c>
      <c r="J157" s="323">
        <v>56994953.059592709</v>
      </c>
      <c r="K157" s="319">
        <v>41243517.208999999</v>
      </c>
      <c r="L157" s="319">
        <v>105559</v>
      </c>
      <c r="M157" s="323">
        <v>15320395.83260322</v>
      </c>
      <c r="N157" s="319">
        <v>11086367.744000001</v>
      </c>
      <c r="O157" s="319">
        <v>76366</v>
      </c>
      <c r="P157" s="323">
        <v>11027928.730194435</v>
      </c>
      <c r="Q157" s="319">
        <v>7980190.2439999999</v>
      </c>
      <c r="R157" s="319">
        <v>181925</v>
      </c>
      <c r="S157" s="323">
        <v>26348324.562797654</v>
      </c>
      <c r="T157" s="319">
        <v>19066557.988000002</v>
      </c>
      <c r="U157" s="319">
        <v>397325</v>
      </c>
      <c r="V157" s="323">
        <v>56928284.665994532</v>
      </c>
      <c r="W157" s="319">
        <v>41195273.656000003</v>
      </c>
      <c r="X157" s="319">
        <v>184277</v>
      </c>
      <c r="Y157" s="323">
        <v>26414992.956395835</v>
      </c>
      <c r="Z157" s="319">
        <v>19114801.541000001</v>
      </c>
      <c r="AA157" s="319">
        <v>581602</v>
      </c>
      <c r="AB157" s="323">
        <v>83343277.62239036</v>
      </c>
      <c r="AC157" s="319">
        <v>60310075.196999997</v>
      </c>
    </row>
    <row r="158" spans="2:29" hidden="1" outlineLevel="1" x14ac:dyDescent="0.25">
      <c r="B158" s="318">
        <v>42917</v>
      </c>
      <c r="C158" s="319">
        <v>291786</v>
      </c>
      <c r="D158" s="323">
        <v>42611761.844955742</v>
      </c>
      <c r="E158" s="319">
        <v>30909688.848000001</v>
      </c>
      <c r="F158" s="319">
        <v>107824</v>
      </c>
      <c r="G158" s="323">
        <v>15769705.241805846</v>
      </c>
      <c r="H158" s="319">
        <v>11439017.331</v>
      </c>
      <c r="I158" s="319">
        <v>399610</v>
      </c>
      <c r="J158" s="323">
        <v>58381467.086761586</v>
      </c>
      <c r="K158" s="319">
        <v>42348706.178999998</v>
      </c>
      <c r="L158" s="319">
        <v>105652</v>
      </c>
      <c r="M158" s="323">
        <v>15757204.458654528</v>
      </c>
      <c r="N158" s="319">
        <v>11429949.522</v>
      </c>
      <c r="O158" s="319">
        <v>76509</v>
      </c>
      <c r="P158" s="323">
        <v>11334746.923174445</v>
      </c>
      <c r="Q158" s="319">
        <v>8221990.4879999999</v>
      </c>
      <c r="R158" s="319">
        <v>182161</v>
      </c>
      <c r="S158" s="323">
        <v>27091951.381828971</v>
      </c>
      <c r="T158" s="319">
        <v>19651940.010000002</v>
      </c>
      <c r="U158" s="319">
        <v>397438</v>
      </c>
      <c r="V158" s="323">
        <v>58368966.303610273</v>
      </c>
      <c r="W158" s="319">
        <v>42339638.369999997</v>
      </c>
      <c r="X158" s="319">
        <v>184333</v>
      </c>
      <c r="Y158" s="323">
        <v>27104452.164980289</v>
      </c>
      <c r="Z158" s="319">
        <v>19661007.818999998</v>
      </c>
      <c r="AA158" s="319">
        <v>581771</v>
      </c>
      <c r="AB158" s="323">
        <v>85473418.468590558</v>
      </c>
      <c r="AC158" s="319">
        <v>62000646.189000003</v>
      </c>
    </row>
    <row r="159" spans="2:29" hidden="1" outlineLevel="1" x14ac:dyDescent="0.25">
      <c r="B159" s="318">
        <v>42948</v>
      </c>
      <c r="C159" s="319">
        <v>291749</v>
      </c>
      <c r="D159" s="323">
        <v>42297371.245517284</v>
      </c>
      <c r="E159" s="319">
        <v>30743653.221000001</v>
      </c>
      <c r="F159" s="319">
        <v>107568</v>
      </c>
      <c r="G159" s="323">
        <v>15604233.596470522</v>
      </c>
      <c r="H159" s="319">
        <v>11341866.700999999</v>
      </c>
      <c r="I159" s="319">
        <v>399317</v>
      </c>
      <c r="J159" s="323">
        <v>57901604.841987804</v>
      </c>
      <c r="K159" s="319">
        <v>42085519.921999998</v>
      </c>
      <c r="L159" s="319">
        <v>105661</v>
      </c>
      <c r="M159" s="323">
        <v>15627290.759785537</v>
      </c>
      <c r="N159" s="319">
        <v>11358625.696</v>
      </c>
      <c r="O159" s="319">
        <v>76579</v>
      </c>
      <c r="P159" s="323">
        <v>11235716.419903269</v>
      </c>
      <c r="Q159" s="319">
        <v>8166629.7249999996</v>
      </c>
      <c r="R159" s="319">
        <v>182240</v>
      </c>
      <c r="S159" s="323">
        <v>26863007.179688804</v>
      </c>
      <c r="T159" s="319">
        <v>19525255.421</v>
      </c>
      <c r="U159" s="319">
        <v>397410</v>
      </c>
      <c r="V159" s="323">
        <v>57924662.005302817</v>
      </c>
      <c r="W159" s="319">
        <v>42102278.917000003</v>
      </c>
      <c r="X159" s="319">
        <v>184147</v>
      </c>
      <c r="Y159" s="323">
        <v>26839950.016373791</v>
      </c>
      <c r="Z159" s="319">
        <v>19508496.425999999</v>
      </c>
      <c r="AA159" s="319">
        <v>581557</v>
      </c>
      <c r="AB159" s="323">
        <v>84764612.0216766</v>
      </c>
      <c r="AC159" s="319">
        <v>61610775.343000002</v>
      </c>
    </row>
    <row r="160" spans="2:29" hidden="1" outlineLevel="1" x14ac:dyDescent="0.25">
      <c r="B160" s="318">
        <v>42979</v>
      </c>
      <c r="C160" s="319">
        <v>291749</v>
      </c>
      <c r="D160" s="323">
        <v>42334010.826421574</v>
      </c>
      <c r="E160" s="319">
        <v>30723767.350000001</v>
      </c>
      <c r="F160" s="319">
        <v>107329</v>
      </c>
      <c r="G160" s="323">
        <v>15598801.738771453</v>
      </c>
      <c r="H160" s="319">
        <v>11320778.404999999</v>
      </c>
      <c r="I160" s="319">
        <v>399078</v>
      </c>
      <c r="J160" s="323">
        <v>57932812.565193035</v>
      </c>
      <c r="K160" s="319">
        <v>42044545.755000003</v>
      </c>
      <c r="L160" s="319">
        <v>105608</v>
      </c>
      <c r="M160" s="323">
        <v>15605076.247761196</v>
      </c>
      <c r="N160" s="319">
        <v>11325332.108999999</v>
      </c>
      <c r="O160" s="319">
        <v>76689</v>
      </c>
      <c r="P160" s="323">
        <v>11264367.845212538</v>
      </c>
      <c r="Q160" s="319">
        <v>8175077.4440000001</v>
      </c>
      <c r="R160" s="319">
        <v>182297</v>
      </c>
      <c r="S160" s="323">
        <v>26869444.092973731</v>
      </c>
      <c r="T160" s="319">
        <v>19500409.552999999</v>
      </c>
      <c r="U160" s="319">
        <v>397357</v>
      </c>
      <c r="V160" s="323">
        <v>57939087.074182779</v>
      </c>
      <c r="W160" s="319">
        <v>42049099.458999999</v>
      </c>
      <c r="X160" s="319">
        <v>184018</v>
      </c>
      <c r="Y160" s="323">
        <v>26863169.583983995</v>
      </c>
      <c r="Z160" s="319">
        <v>19495855.848999999</v>
      </c>
      <c r="AA160" s="319">
        <v>581375</v>
      </c>
      <c r="AB160" s="323">
        <v>84802256.658166766</v>
      </c>
      <c r="AC160" s="319">
        <v>61544955.307999998</v>
      </c>
    </row>
    <row r="161" spans="2:29" hidden="1" outlineLevel="1" x14ac:dyDescent="0.25">
      <c r="B161" s="318">
        <v>43009</v>
      </c>
      <c r="C161" s="319">
        <v>291575</v>
      </c>
      <c r="D161" s="323">
        <v>42117172.225987293</v>
      </c>
      <c r="E161" s="319">
        <v>30745743.68</v>
      </c>
      <c r="F161" s="319">
        <v>107184</v>
      </c>
      <c r="G161" s="323">
        <v>15497903.548701961</v>
      </c>
      <c r="H161" s="319">
        <v>11313546.112</v>
      </c>
      <c r="I161" s="319">
        <v>398759</v>
      </c>
      <c r="J161" s="323">
        <v>57615075.77468925</v>
      </c>
      <c r="K161" s="319">
        <v>42059289.792000003</v>
      </c>
      <c r="L161" s="319">
        <v>105489</v>
      </c>
      <c r="M161" s="323">
        <v>15503743.344819494</v>
      </c>
      <c r="N161" s="319">
        <v>11317809.192</v>
      </c>
      <c r="O161" s="319">
        <v>76751</v>
      </c>
      <c r="P161" s="323">
        <v>11213969.666613251</v>
      </c>
      <c r="Q161" s="319">
        <v>8186253.2259999998</v>
      </c>
      <c r="R161" s="319">
        <v>182240</v>
      </c>
      <c r="S161" s="323">
        <v>26717713.011432748</v>
      </c>
      <c r="T161" s="319">
        <v>19504062.418000001</v>
      </c>
      <c r="U161" s="319">
        <v>397064</v>
      </c>
      <c r="V161" s="323">
        <v>57620915.570806786</v>
      </c>
      <c r="W161" s="319">
        <v>42063552.872000001</v>
      </c>
      <c r="X161" s="319">
        <v>183935</v>
      </c>
      <c r="Y161" s="323">
        <v>26711873.215315212</v>
      </c>
      <c r="Z161" s="319">
        <v>19499799.338</v>
      </c>
      <c r="AA161" s="319">
        <v>580999</v>
      </c>
      <c r="AB161" s="323">
        <v>84332788.786121994</v>
      </c>
      <c r="AC161" s="319">
        <v>61563352.210000001</v>
      </c>
    </row>
    <row r="162" spans="2:29" hidden="1" outlineLevel="1" x14ac:dyDescent="0.25">
      <c r="B162" s="318">
        <v>43040</v>
      </c>
      <c r="C162" s="319">
        <v>291941</v>
      </c>
      <c r="D162" s="323">
        <v>42118147.971416026</v>
      </c>
      <c r="E162" s="319">
        <v>30772771.949000001</v>
      </c>
      <c r="F162" s="319">
        <v>107149</v>
      </c>
      <c r="G162" s="323">
        <v>15475084.241204856</v>
      </c>
      <c r="H162" s="319">
        <v>11306556.939999999</v>
      </c>
      <c r="I162" s="319">
        <v>399090</v>
      </c>
      <c r="J162" s="323">
        <v>57593232.212620877</v>
      </c>
      <c r="K162" s="319">
        <v>42079328.888999999</v>
      </c>
      <c r="L162" s="319">
        <v>105467</v>
      </c>
      <c r="M162" s="323">
        <v>15548818.341074409</v>
      </c>
      <c r="N162" s="319">
        <v>11360429.267000001</v>
      </c>
      <c r="O162" s="319">
        <v>76753</v>
      </c>
      <c r="P162" s="323">
        <v>11206551.59611805</v>
      </c>
      <c r="Q162" s="319">
        <v>8187839.9979999997</v>
      </c>
      <c r="R162" s="319">
        <v>182220</v>
      </c>
      <c r="S162" s="323">
        <v>26755369.937192459</v>
      </c>
      <c r="T162" s="319">
        <v>19548269.265000001</v>
      </c>
      <c r="U162" s="319">
        <v>397408</v>
      </c>
      <c r="V162" s="323">
        <v>57666966.312490433</v>
      </c>
      <c r="W162" s="319">
        <v>42133201.215999998</v>
      </c>
      <c r="X162" s="319">
        <v>183902</v>
      </c>
      <c r="Y162" s="323">
        <v>26681635.837322906</v>
      </c>
      <c r="Z162" s="319">
        <v>19494396.938000001</v>
      </c>
      <c r="AA162" s="319">
        <v>581310</v>
      </c>
      <c r="AB162" s="323">
        <v>84348602.149813339</v>
      </c>
      <c r="AC162" s="319">
        <v>61627598.153999999</v>
      </c>
    </row>
    <row r="163" spans="2:29" hidden="1" outlineLevel="1" x14ac:dyDescent="0.25">
      <c r="B163" s="318">
        <v>43070</v>
      </c>
      <c r="C163" s="319">
        <v>292377</v>
      </c>
      <c r="D163" s="323">
        <v>42151259.722106308</v>
      </c>
      <c r="E163" s="319">
        <v>30842449.318</v>
      </c>
      <c r="F163" s="319">
        <v>107133</v>
      </c>
      <c r="G163" s="323">
        <v>15451337.967786089</v>
      </c>
      <c r="H163" s="319">
        <v>11305880.567</v>
      </c>
      <c r="I163" s="319">
        <v>399510</v>
      </c>
      <c r="J163" s="323">
        <v>57602597.689892404</v>
      </c>
      <c r="K163" s="319">
        <v>42148329.884999998</v>
      </c>
      <c r="L163" s="319">
        <v>105470</v>
      </c>
      <c r="M163" s="323">
        <v>15467168.899956046</v>
      </c>
      <c r="N163" s="319">
        <v>11317464.199999999</v>
      </c>
      <c r="O163" s="319">
        <v>76834</v>
      </c>
      <c r="P163" s="323">
        <v>11186161.81407856</v>
      </c>
      <c r="Q163" s="319">
        <v>8185013.4749999996</v>
      </c>
      <c r="R163" s="319">
        <v>182304</v>
      </c>
      <c r="S163" s="323">
        <v>26653330.714034602</v>
      </c>
      <c r="T163" s="319">
        <v>19502477.675000001</v>
      </c>
      <c r="U163" s="319">
        <v>397847</v>
      </c>
      <c r="V163" s="323">
        <v>57618428.622062355</v>
      </c>
      <c r="W163" s="319">
        <v>42159913.517999999</v>
      </c>
      <c r="X163" s="319">
        <v>183967</v>
      </c>
      <c r="Y163" s="323">
        <v>26637499.781864647</v>
      </c>
      <c r="Z163" s="319">
        <v>19490894.041999999</v>
      </c>
      <c r="AA163" s="319">
        <v>581814</v>
      </c>
      <c r="AB163" s="323">
        <v>84255928.403926998</v>
      </c>
      <c r="AC163" s="319">
        <v>61650807.560000002</v>
      </c>
    </row>
    <row r="164" spans="2:29" collapsed="1" x14ac:dyDescent="0.25">
      <c r="B164" s="321" t="s">
        <v>699</v>
      </c>
      <c r="C164" s="322">
        <v>291754</v>
      </c>
      <c r="D164" s="324">
        <v>42022816.867332362</v>
      </c>
      <c r="E164" s="322"/>
      <c r="F164" s="322">
        <v>107694.83333333333</v>
      </c>
      <c r="G164" s="324">
        <v>15524091.639918944</v>
      </c>
      <c r="H164" s="322"/>
      <c r="I164" s="322">
        <v>399448.83333333331</v>
      </c>
      <c r="J164" s="324">
        <v>57546908.5072513</v>
      </c>
      <c r="K164" s="322"/>
      <c r="L164" s="322">
        <v>105581.83333333333</v>
      </c>
      <c r="M164" s="324">
        <v>15491552.003501261</v>
      </c>
      <c r="N164" s="322"/>
      <c r="O164" s="322">
        <v>76434.166666666672</v>
      </c>
      <c r="P164" s="324">
        <v>11146536.512661172</v>
      </c>
      <c r="Q164" s="322"/>
      <c r="R164" s="322">
        <v>182016</v>
      </c>
      <c r="S164" s="324">
        <v>26638088.516162436</v>
      </c>
      <c r="T164" s="322"/>
      <c r="U164" s="322">
        <v>397335.83333333331</v>
      </c>
      <c r="V164" s="324">
        <v>57514368.870833613</v>
      </c>
      <c r="W164" s="322"/>
      <c r="X164" s="322">
        <v>184129</v>
      </c>
      <c r="Y164" s="324">
        <v>26670628.152580112</v>
      </c>
      <c r="Z164" s="322"/>
      <c r="AA164" s="322">
        <v>581464.83333333337</v>
      </c>
      <c r="AB164" s="324">
        <v>84184997.023413718</v>
      </c>
      <c r="AC164" s="322"/>
    </row>
    <row r="165" spans="2:29" hidden="1" outlineLevel="1" x14ac:dyDescent="0.25">
      <c r="B165" s="318">
        <v>43101</v>
      </c>
      <c r="C165" s="319">
        <v>292583</v>
      </c>
      <c r="D165" s="323">
        <v>41929671.890256941</v>
      </c>
      <c r="E165" s="319">
        <v>30821601.517000001</v>
      </c>
      <c r="F165" s="319">
        <v>107127</v>
      </c>
      <c r="G165" s="323">
        <v>15360771.561084064</v>
      </c>
      <c r="H165" s="319">
        <v>11291373.357000001</v>
      </c>
      <c r="I165" s="319">
        <v>399710</v>
      </c>
      <c r="J165" s="323">
        <v>57290443.451341003</v>
      </c>
      <c r="K165" s="319">
        <v>42112974.873999998</v>
      </c>
      <c r="L165" s="319">
        <v>105437</v>
      </c>
      <c r="M165" s="323">
        <v>15392661.228770634</v>
      </c>
      <c r="N165" s="319">
        <v>11314814.767000001</v>
      </c>
      <c r="O165" s="319">
        <v>76961</v>
      </c>
      <c r="P165" s="323">
        <v>11166200.68856856</v>
      </c>
      <c r="Q165" s="319">
        <v>8208034.3720000004</v>
      </c>
      <c r="R165" s="319">
        <v>182398</v>
      </c>
      <c r="S165" s="323">
        <v>26558861.917339195</v>
      </c>
      <c r="T165" s="319">
        <v>19522849.138999999</v>
      </c>
      <c r="U165" s="319">
        <v>398020</v>
      </c>
      <c r="V165" s="323">
        <v>57322333.11902757</v>
      </c>
      <c r="W165" s="319">
        <v>42136416.284000002</v>
      </c>
      <c r="X165" s="319">
        <v>184088</v>
      </c>
      <c r="Y165" s="323">
        <v>26526972.249652628</v>
      </c>
      <c r="Z165" s="319">
        <v>19499407.728999998</v>
      </c>
      <c r="AA165" s="319">
        <v>582108</v>
      </c>
      <c r="AB165" s="323">
        <v>83849305.368680209</v>
      </c>
      <c r="AC165" s="319">
        <v>61635824.012999997</v>
      </c>
    </row>
    <row r="166" spans="2:29" hidden="1" outlineLevel="1" x14ac:dyDescent="0.25">
      <c r="B166" s="318">
        <v>43132</v>
      </c>
      <c r="C166" s="319">
        <v>293042</v>
      </c>
      <c r="D166" s="323">
        <v>42000343.660372548</v>
      </c>
      <c r="E166" s="319">
        <v>30887435.579</v>
      </c>
      <c r="F166" s="319">
        <v>107132</v>
      </c>
      <c r="G166" s="323">
        <v>15370827.483422935</v>
      </c>
      <c r="H166" s="319">
        <v>11303846.642999999</v>
      </c>
      <c r="I166" s="319">
        <v>400174</v>
      </c>
      <c r="J166" s="323">
        <v>57371171.143795498</v>
      </c>
      <c r="K166" s="319">
        <v>42191282.222000003</v>
      </c>
      <c r="L166" s="319">
        <v>105456</v>
      </c>
      <c r="M166" s="323">
        <v>15422467.634739026</v>
      </c>
      <c r="N166" s="319">
        <v>11341823.280999999</v>
      </c>
      <c r="O166" s="319">
        <v>77084</v>
      </c>
      <c r="P166" s="323">
        <v>11164388.517549777</v>
      </c>
      <c r="Q166" s="319">
        <v>8210393.0839999998</v>
      </c>
      <c r="R166" s="319">
        <v>182540</v>
      </c>
      <c r="S166" s="323">
        <v>26586856.152288802</v>
      </c>
      <c r="T166" s="319">
        <v>19552216.364999998</v>
      </c>
      <c r="U166" s="319">
        <v>398498</v>
      </c>
      <c r="V166" s="323">
        <v>57422811.295111582</v>
      </c>
      <c r="W166" s="319">
        <v>42229258.859999999</v>
      </c>
      <c r="X166" s="319">
        <v>184216</v>
      </c>
      <c r="Y166" s="323">
        <v>26535216.000972714</v>
      </c>
      <c r="Z166" s="319">
        <v>19514239.727000002</v>
      </c>
      <c r="AA166" s="319">
        <v>582714</v>
      </c>
      <c r="AB166" s="323">
        <v>83958027.296084285</v>
      </c>
      <c r="AC166" s="319">
        <v>61743498.586999997</v>
      </c>
    </row>
    <row r="167" spans="2:29" hidden="1" outlineLevel="1" x14ac:dyDescent="0.25">
      <c r="B167" s="318">
        <v>43160</v>
      </c>
      <c r="C167" s="319">
        <v>293567</v>
      </c>
      <c r="D167" s="323">
        <v>42083057.339854248</v>
      </c>
      <c r="E167" s="319">
        <v>31011594.394000001</v>
      </c>
      <c r="F167" s="319">
        <v>107103</v>
      </c>
      <c r="G167" s="323">
        <v>15355329.266047966</v>
      </c>
      <c r="H167" s="319">
        <v>11315557.211999999</v>
      </c>
      <c r="I167" s="319">
        <v>400670</v>
      </c>
      <c r="J167" s="323">
        <v>57438386.605902217</v>
      </c>
      <c r="K167" s="319">
        <v>42327151.605999999</v>
      </c>
      <c r="L167" s="319">
        <v>105616</v>
      </c>
      <c r="M167" s="323">
        <v>15419849.18502713</v>
      </c>
      <c r="N167" s="319">
        <v>11363102.844000001</v>
      </c>
      <c r="O167" s="319">
        <v>77234</v>
      </c>
      <c r="P167" s="323">
        <v>11201593.411370324</v>
      </c>
      <c r="Q167" s="319">
        <v>8254611.0810000002</v>
      </c>
      <c r="R167" s="319">
        <v>182850</v>
      </c>
      <c r="S167" s="323">
        <v>26621442.596397452</v>
      </c>
      <c r="T167" s="319">
        <v>19617713.925000001</v>
      </c>
      <c r="U167" s="319">
        <v>399183</v>
      </c>
      <c r="V167" s="323">
        <v>57502906.524881378</v>
      </c>
      <c r="W167" s="319">
        <v>42374697.237999998</v>
      </c>
      <c r="X167" s="319">
        <v>184337</v>
      </c>
      <c r="Y167" s="323">
        <v>26556922.677418288</v>
      </c>
      <c r="Z167" s="319">
        <v>19570168.293000001</v>
      </c>
      <c r="AA167" s="319">
        <v>583520</v>
      </c>
      <c r="AB167" s="323">
        <v>84059829.202299669</v>
      </c>
      <c r="AC167" s="319">
        <v>61944865.531000003</v>
      </c>
    </row>
    <row r="168" spans="2:29" hidden="1" outlineLevel="1" x14ac:dyDescent="0.25">
      <c r="B168" s="318">
        <v>43191</v>
      </c>
      <c r="C168" s="319">
        <v>294247</v>
      </c>
      <c r="D168" s="323">
        <v>42024809.816318825</v>
      </c>
      <c r="E168" s="319">
        <v>31066575.741</v>
      </c>
      <c r="F168" s="319">
        <v>107208</v>
      </c>
      <c r="G168" s="323">
        <v>15321820.664984966</v>
      </c>
      <c r="H168" s="319">
        <v>11326559.341</v>
      </c>
      <c r="I168" s="319">
        <v>401455</v>
      </c>
      <c r="J168" s="323">
        <v>57346630.481303789</v>
      </c>
      <c r="K168" s="319">
        <v>42393135.082000002</v>
      </c>
      <c r="L168" s="319">
        <v>105655</v>
      </c>
      <c r="M168" s="323">
        <v>15311970.960432377</v>
      </c>
      <c r="N168" s="319">
        <v>11319278.009</v>
      </c>
      <c r="O168" s="319">
        <v>77305</v>
      </c>
      <c r="P168" s="323">
        <v>11117229.468672857</v>
      </c>
      <c r="Q168" s="319">
        <v>8218341.8039999995</v>
      </c>
      <c r="R168" s="319">
        <v>182960</v>
      </c>
      <c r="S168" s="323">
        <v>26429200.429105237</v>
      </c>
      <c r="T168" s="319">
        <v>19537619.813000001</v>
      </c>
      <c r="U168" s="319">
        <v>399902</v>
      </c>
      <c r="V168" s="323">
        <v>57336780.776751198</v>
      </c>
      <c r="W168" s="319">
        <v>42385853.75</v>
      </c>
      <c r="X168" s="319">
        <v>184513</v>
      </c>
      <c r="Y168" s="323">
        <v>26439050.133657824</v>
      </c>
      <c r="Z168" s="319">
        <v>19544901.145</v>
      </c>
      <c r="AA168" s="319">
        <v>584415</v>
      </c>
      <c r="AB168" s="323">
        <v>83775830.910409033</v>
      </c>
      <c r="AC168" s="319">
        <v>61930754.895000003</v>
      </c>
    </row>
    <row r="169" spans="2:29" hidden="1" outlineLevel="1" x14ac:dyDescent="0.25">
      <c r="B169" s="318">
        <v>43221</v>
      </c>
      <c r="C169" s="319">
        <v>294732</v>
      </c>
      <c r="D169" s="323">
        <v>41960054.115896769</v>
      </c>
      <c r="E169" s="319">
        <v>31105473.313000001</v>
      </c>
      <c r="F169" s="319">
        <v>107281</v>
      </c>
      <c r="G169" s="323">
        <v>15290302.693339961</v>
      </c>
      <c r="H169" s="319">
        <v>11334878.193</v>
      </c>
      <c r="I169" s="319">
        <v>402013</v>
      </c>
      <c r="J169" s="323">
        <v>57250356.809236728</v>
      </c>
      <c r="K169" s="319">
        <v>42440351.505999997</v>
      </c>
      <c r="L169" s="319">
        <v>105715</v>
      </c>
      <c r="M169" s="323">
        <v>15284686.880494088</v>
      </c>
      <c r="N169" s="319">
        <v>11330715.126</v>
      </c>
      <c r="O169" s="319">
        <v>77366</v>
      </c>
      <c r="P169" s="323">
        <v>11106259.765190404</v>
      </c>
      <c r="Q169" s="319">
        <v>8233198.7889999999</v>
      </c>
      <c r="R169" s="319">
        <v>183081</v>
      </c>
      <c r="S169" s="323">
        <v>26390946.645684492</v>
      </c>
      <c r="T169" s="319">
        <v>19563913.914999999</v>
      </c>
      <c r="U169" s="319">
        <v>400447</v>
      </c>
      <c r="V169" s="323">
        <v>57244740.996390857</v>
      </c>
      <c r="W169" s="319">
        <v>42436188.439000003</v>
      </c>
      <c r="X169" s="319">
        <v>184647</v>
      </c>
      <c r="Y169" s="323">
        <v>26396562.458530363</v>
      </c>
      <c r="Z169" s="319">
        <v>19568076.982000001</v>
      </c>
      <c r="AA169" s="319">
        <v>585094</v>
      </c>
      <c r="AB169" s="323">
        <v>83641303.454921216</v>
      </c>
      <c r="AC169" s="319">
        <v>62004265.420999996</v>
      </c>
    </row>
    <row r="170" spans="2:29" hidden="1" outlineLevel="1" x14ac:dyDescent="0.25">
      <c r="B170" s="318">
        <v>43252</v>
      </c>
      <c r="C170" s="319">
        <v>295169</v>
      </c>
      <c r="D170" s="323">
        <v>41961736.846016981</v>
      </c>
      <c r="E170" s="319">
        <v>31138783.287999999</v>
      </c>
      <c r="F170" s="319">
        <v>107282</v>
      </c>
      <c r="G170" s="323">
        <v>15262699.381170357</v>
      </c>
      <c r="H170" s="319">
        <v>11326077.616</v>
      </c>
      <c r="I170" s="319">
        <v>402451</v>
      </c>
      <c r="J170" s="323">
        <v>57224436.227187343</v>
      </c>
      <c r="K170" s="319">
        <v>42464860.903999999</v>
      </c>
      <c r="L170" s="319">
        <v>105807</v>
      </c>
      <c r="M170" s="323">
        <v>15328933.737161553</v>
      </c>
      <c r="N170" s="319">
        <v>11375228.518999999</v>
      </c>
      <c r="O170" s="319">
        <v>77464</v>
      </c>
      <c r="P170" s="323">
        <v>11119200.810784657</v>
      </c>
      <c r="Q170" s="319">
        <v>8251288.2070000004</v>
      </c>
      <c r="R170" s="319">
        <v>183271</v>
      </c>
      <c r="S170" s="323">
        <v>26448134.547946207</v>
      </c>
      <c r="T170" s="319">
        <v>19626516.726</v>
      </c>
      <c r="U170" s="319">
        <v>400976</v>
      </c>
      <c r="V170" s="323">
        <v>57290670.583178535</v>
      </c>
      <c r="W170" s="319">
        <v>42514011.806999996</v>
      </c>
      <c r="X170" s="319">
        <v>184746</v>
      </c>
      <c r="Y170" s="323">
        <v>26381900.191955015</v>
      </c>
      <c r="Z170" s="319">
        <v>19577365.822999999</v>
      </c>
      <c r="AA170" s="319">
        <v>585722</v>
      </c>
      <c r="AB170" s="323">
        <v>83672570.77513355</v>
      </c>
      <c r="AC170" s="319">
        <v>62091377.630000003</v>
      </c>
    </row>
    <row r="171" spans="2:29" hidden="1" outlineLevel="1" x14ac:dyDescent="0.25">
      <c r="B171" s="318">
        <v>43282</v>
      </c>
      <c r="C171" s="319">
        <v>295634</v>
      </c>
      <c r="D171" s="323">
        <v>42896431.347486608</v>
      </c>
      <c r="E171" s="319">
        <v>31945149.120999999</v>
      </c>
      <c r="F171" s="319">
        <v>107234</v>
      </c>
      <c r="G171" s="323">
        <v>15558013.561595695</v>
      </c>
      <c r="H171" s="319">
        <v>11586116.785</v>
      </c>
      <c r="I171" s="319">
        <v>402868</v>
      </c>
      <c r="J171" s="323">
        <v>58454444.909082308</v>
      </c>
      <c r="K171" s="319">
        <v>43531265.906000003</v>
      </c>
      <c r="L171" s="319">
        <v>105788</v>
      </c>
      <c r="M171" s="323">
        <v>15593438.139386892</v>
      </c>
      <c r="N171" s="319">
        <v>11612497.614</v>
      </c>
      <c r="O171" s="319">
        <v>77547</v>
      </c>
      <c r="P171" s="323">
        <v>11356719.389084186</v>
      </c>
      <c r="Q171" s="319">
        <v>8457395.7090000007</v>
      </c>
      <c r="R171" s="319">
        <v>183335</v>
      </c>
      <c r="S171" s="323">
        <v>26950157.528471082</v>
      </c>
      <c r="T171" s="319">
        <v>20069893.322999999</v>
      </c>
      <c r="U171" s="319">
        <v>401422</v>
      </c>
      <c r="V171" s="323">
        <v>58489869.486873507</v>
      </c>
      <c r="W171" s="319">
        <v>43557646.734999999</v>
      </c>
      <c r="X171" s="319">
        <v>184781</v>
      </c>
      <c r="Y171" s="323">
        <v>26914732.950679883</v>
      </c>
      <c r="Z171" s="319">
        <v>20043512.493999999</v>
      </c>
      <c r="AA171" s="319">
        <v>586203</v>
      </c>
      <c r="AB171" s="323">
        <v>85404602.437553391</v>
      </c>
      <c r="AC171" s="319">
        <v>63601159.229000002</v>
      </c>
    </row>
    <row r="172" spans="2:29" hidden="1" outlineLevel="1" x14ac:dyDescent="0.25">
      <c r="B172" s="318">
        <v>43313</v>
      </c>
      <c r="C172" s="319">
        <v>295924</v>
      </c>
      <c r="D172" s="323">
        <v>42875054.557088748</v>
      </c>
      <c r="E172" s="319">
        <v>31984105.603999998</v>
      </c>
      <c r="F172" s="319">
        <v>107093</v>
      </c>
      <c r="G172" s="323">
        <v>15519750.582195403</v>
      </c>
      <c r="H172" s="319">
        <v>11577485.946</v>
      </c>
      <c r="I172" s="319">
        <v>403017</v>
      </c>
      <c r="J172" s="323">
        <v>58394805.139284149</v>
      </c>
      <c r="K172" s="319">
        <v>43561591.549999997</v>
      </c>
      <c r="L172" s="319">
        <v>105679</v>
      </c>
      <c r="M172" s="323">
        <v>15542494.861589821</v>
      </c>
      <c r="N172" s="319">
        <v>11594452.814999999</v>
      </c>
      <c r="O172" s="319">
        <v>77605</v>
      </c>
      <c r="P172" s="323">
        <v>11338346.402331218</v>
      </c>
      <c r="Q172" s="319">
        <v>8458225.2420000006</v>
      </c>
      <c r="R172" s="319">
        <v>183284</v>
      </c>
      <c r="S172" s="323">
        <v>26880841.263921041</v>
      </c>
      <c r="T172" s="319">
        <v>20052678.057</v>
      </c>
      <c r="U172" s="319">
        <v>401603</v>
      </c>
      <c r="V172" s="323">
        <v>58417549.418678567</v>
      </c>
      <c r="W172" s="319">
        <v>43578558.419</v>
      </c>
      <c r="X172" s="319">
        <v>184698</v>
      </c>
      <c r="Y172" s="323">
        <v>26858096.984526623</v>
      </c>
      <c r="Z172" s="319">
        <v>20035711.188000001</v>
      </c>
      <c r="AA172" s="319">
        <v>586301</v>
      </c>
      <c r="AB172" s="323">
        <v>85275646.403205186</v>
      </c>
      <c r="AC172" s="319">
        <v>63614269.607000001</v>
      </c>
    </row>
    <row r="173" spans="2:29" hidden="1" outlineLevel="1" x14ac:dyDescent="0.25">
      <c r="B173" s="318">
        <v>43344</v>
      </c>
      <c r="C173" s="319">
        <v>296093</v>
      </c>
      <c r="D173" s="323">
        <v>42765712.471180163</v>
      </c>
      <c r="E173" s="319">
        <v>32010968.695</v>
      </c>
      <c r="F173" s="319">
        <v>106961</v>
      </c>
      <c r="G173" s="323">
        <v>15452137.934862487</v>
      </c>
      <c r="H173" s="319">
        <v>11566226.192</v>
      </c>
      <c r="I173" s="319">
        <v>403054</v>
      </c>
      <c r="J173" s="323">
        <v>58217850.406042658</v>
      </c>
      <c r="K173" s="319">
        <v>43577194.887000002</v>
      </c>
      <c r="L173" s="319">
        <v>105529</v>
      </c>
      <c r="M173" s="323">
        <v>15489204.36383995</v>
      </c>
      <c r="N173" s="319">
        <v>11593971.136</v>
      </c>
      <c r="O173" s="319">
        <v>77584</v>
      </c>
      <c r="P173" s="323">
        <v>11291235.048103409</v>
      </c>
      <c r="Q173" s="319">
        <v>8451709.3430000003</v>
      </c>
      <c r="R173" s="319">
        <v>183113</v>
      </c>
      <c r="S173" s="323">
        <v>26780439.411943361</v>
      </c>
      <c r="T173" s="319">
        <v>20045680.478999998</v>
      </c>
      <c r="U173" s="319">
        <v>401622</v>
      </c>
      <c r="V173" s="323">
        <v>58254916.835020117</v>
      </c>
      <c r="W173" s="319">
        <v>43604939.831</v>
      </c>
      <c r="X173" s="319">
        <v>184545</v>
      </c>
      <c r="Y173" s="323">
        <v>26743372.982965898</v>
      </c>
      <c r="Z173" s="319">
        <v>20017935.535</v>
      </c>
      <c r="AA173" s="319">
        <v>586167</v>
      </c>
      <c r="AB173" s="323">
        <v>84998289.817986012</v>
      </c>
      <c r="AC173" s="319">
        <v>63622875.365999997</v>
      </c>
    </row>
    <row r="174" spans="2:29" hidden="1" outlineLevel="1" x14ac:dyDescent="0.25">
      <c r="B174" s="318">
        <v>43374</v>
      </c>
      <c r="C174" s="319">
        <v>296516</v>
      </c>
      <c r="D174" s="323">
        <v>42731773.046313316</v>
      </c>
      <c r="E174" s="319">
        <v>32102815.280999999</v>
      </c>
      <c r="F174" s="319">
        <v>106848</v>
      </c>
      <c r="G174" s="323">
        <v>15391223.823257281</v>
      </c>
      <c r="H174" s="319">
        <v>11562862.482000001</v>
      </c>
      <c r="I174" s="319">
        <v>403364</v>
      </c>
      <c r="J174" s="323">
        <v>58122996.869570598</v>
      </c>
      <c r="K174" s="319">
        <v>43665677.762999997</v>
      </c>
      <c r="L174" s="319">
        <v>105419</v>
      </c>
      <c r="M174" s="323">
        <v>15415796.638930084</v>
      </c>
      <c r="N174" s="319">
        <v>11581323.138</v>
      </c>
      <c r="O174" s="319">
        <v>77638</v>
      </c>
      <c r="P174" s="323">
        <v>11281237.10141309</v>
      </c>
      <c r="Q174" s="319">
        <v>8475180.0590000004</v>
      </c>
      <c r="R174" s="319">
        <v>183057</v>
      </c>
      <c r="S174" s="323">
        <v>26697033.740343176</v>
      </c>
      <c r="T174" s="319">
        <v>20056503.197000001</v>
      </c>
      <c r="U174" s="319">
        <v>401935</v>
      </c>
      <c r="V174" s="323">
        <v>58147569.685243398</v>
      </c>
      <c r="W174" s="319">
        <v>43684138.419</v>
      </c>
      <c r="X174" s="319">
        <v>184486</v>
      </c>
      <c r="Y174" s="323">
        <v>26672460.924670368</v>
      </c>
      <c r="Z174" s="319">
        <v>20038042.541000001</v>
      </c>
      <c r="AA174" s="319">
        <v>586421</v>
      </c>
      <c r="AB174" s="323">
        <v>84820030.609913766</v>
      </c>
      <c r="AC174" s="319">
        <v>63722180.960000001</v>
      </c>
    </row>
    <row r="175" spans="2:29" hidden="1" outlineLevel="1" x14ac:dyDescent="0.25">
      <c r="B175" s="318">
        <v>43405</v>
      </c>
      <c r="C175" s="319">
        <v>297058</v>
      </c>
      <c r="D175" s="323">
        <v>42754726.641863644</v>
      </c>
      <c r="E175" s="319">
        <v>32118362.077</v>
      </c>
      <c r="F175" s="319">
        <v>106809</v>
      </c>
      <c r="G175" s="323">
        <v>15360500.066039335</v>
      </c>
      <c r="H175" s="319">
        <v>11539171.024</v>
      </c>
      <c r="I175" s="319">
        <v>403867</v>
      </c>
      <c r="J175" s="323">
        <v>58115226.707902983</v>
      </c>
      <c r="K175" s="319">
        <v>43657533.101000004</v>
      </c>
      <c r="L175" s="319">
        <v>105310</v>
      </c>
      <c r="M175" s="323">
        <v>15397198.236769872</v>
      </c>
      <c r="N175" s="319">
        <v>11566739.558</v>
      </c>
      <c r="O175" s="319">
        <v>77607</v>
      </c>
      <c r="P175" s="323">
        <v>11267455.787233811</v>
      </c>
      <c r="Q175" s="319">
        <v>8464379.3350000009</v>
      </c>
      <c r="R175" s="319">
        <v>182917</v>
      </c>
      <c r="S175" s="323">
        <v>26664654.024003681</v>
      </c>
      <c r="T175" s="319">
        <v>20031118.892999999</v>
      </c>
      <c r="U175" s="319">
        <v>402368</v>
      </c>
      <c r="V175" s="323">
        <v>58151924.878633514</v>
      </c>
      <c r="W175" s="319">
        <v>43685101.634999998</v>
      </c>
      <c r="X175" s="319">
        <v>184416</v>
      </c>
      <c r="Y175" s="323">
        <v>26627955.853273146</v>
      </c>
      <c r="Z175" s="319">
        <v>20003550.359000001</v>
      </c>
      <c r="AA175" s="319">
        <v>586784</v>
      </c>
      <c r="AB175" s="323">
        <v>84779880.731906667</v>
      </c>
      <c r="AC175" s="319">
        <v>63688651.994000003</v>
      </c>
    </row>
    <row r="176" spans="2:29" hidden="1" outlineLevel="1" x14ac:dyDescent="0.25">
      <c r="B176" s="318">
        <v>43435</v>
      </c>
      <c r="C176" s="319">
        <v>297497</v>
      </c>
      <c r="D176" s="323">
        <v>42877495.668958291</v>
      </c>
      <c r="E176" s="319">
        <v>32178023.912999999</v>
      </c>
      <c r="F176" s="319">
        <v>106851</v>
      </c>
      <c r="G176" s="323">
        <v>15405712.73071805</v>
      </c>
      <c r="H176" s="319">
        <v>11561435.314999999</v>
      </c>
      <c r="I176" s="319">
        <v>404348</v>
      </c>
      <c r="J176" s="323">
        <v>58283208.399676345</v>
      </c>
      <c r="K176" s="319">
        <v>43739459.228</v>
      </c>
      <c r="L176" s="319">
        <v>105302</v>
      </c>
      <c r="M176" s="323">
        <v>15483521.731937639</v>
      </c>
      <c r="N176" s="319">
        <v>11619828.182</v>
      </c>
      <c r="O176" s="319">
        <v>77609</v>
      </c>
      <c r="P176" s="323">
        <v>11313576.091757527</v>
      </c>
      <c r="Q176" s="319">
        <v>8490433.4159999993</v>
      </c>
      <c r="R176" s="319">
        <v>182911</v>
      </c>
      <c r="S176" s="323">
        <v>26797097.823695164</v>
      </c>
      <c r="T176" s="319">
        <v>20110261.598000001</v>
      </c>
      <c r="U176" s="319">
        <v>402799</v>
      </c>
      <c r="V176" s="323">
        <v>58361017.400895938</v>
      </c>
      <c r="W176" s="319">
        <v>43797852.094999999</v>
      </c>
      <c r="X176" s="319">
        <v>184460</v>
      </c>
      <c r="Y176" s="323">
        <v>26719288.822475579</v>
      </c>
      <c r="Z176" s="319">
        <v>20051868.730999999</v>
      </c>
      <c r="AA176" s="319">
        <v>587259</v>
      </c>
      <c r="AB176" s="323">
        <v>85080306.223371506</v>
      </c>
      <c r="AC176" s="319">
        <v>63849720.825999998</v>
      </c>
    </row>
    <row r="177" spans="2:29" collapsed="1" x14ac:dyDescent="0.25">
      <c r="B177" s="321" t="s">
        <v>700</v>
      </c>
      <c r="C177" s="322">
        <v>295171.83333333331</v>
      </c>
      <c r="D177" s="324">
        <v>42405072.283467248</v>
      </c>
      <c r="E177" s="322"/>
      <c r="F177" s="322">
        <v>107077.41666666667</v>
      </c>
      <c r="G177" s="324">
        <v>15387424.145726539</v>
      </c>
      <c r="H177" s="322"/>
      <c r="I177" s="322">
        <v>402249.25</v>
      </c>
      <c r="J177" s="324">
        <v>57792496.429193795</v>
      </c>
      <c r="K177" s="322"/>
      <c r="L177" s="322">
        <v>105559.41666666667</v>
      </c>
      <c r="M177" s="324">
        <v>15423518.63325659</v>
      </c>
      <c r="N177" s="322"/>
      <c r="O177" s="322">
        <v>77417</v>
      </c>
      <c r="P177" s="324">
        <v>11226953.540171651</v>
      </c>
      <c r="Q177" s="322"/>
      <c r="R177" s="322">
        <v>182976.41666666666</v>
      </c>
      <c r="S177" s="324">
        <v>26650472.173428241</v>
      </c>
      <c r="T177" s="322"/>
      <c r="U177" s="322">
        <v>400731.25</v>
      </c>
      <c r="V177" s="324">
        <v>57828590.916723847</v>
      </c>
      <c r="W177" s="322"/>
      <c r="X177" s="322">
        <v>184494.41666666666</v>
      </c>
      <c r="Y177" s="324">
        <v>26614377.685898189</v>
      </c>
      <c r="Z177" s="322"/>
      <c r="AA177" s="322">
        <v>585225.66666666663</v>
      </c>
      <c r="AB177" s="324">
        <v>84442968.602622032</v>
      </c>
      <c r="AC177" s="322"/>
    </row>
    <row r="178" spans="2:29" hidden="1" outlineLevel="1" x14ac:dyDescent="0.25">
      <c r="B178" s="318">
        <v>43466</v>
      </c>
      <c r="C178" s="319">
        <v>298080</v>
      </c>
      <c r="D178" s="323">
        <v>42958363.156821936</v>
      </c>
      <c r="E178" s="319">
        <v>32274734.541999999</v>
      </c>
      <c r="F178" s="319">
        <v>106872</v>
      </c>
      <c r="G178" s="323">
        <v>15398459.096707413</v>
      </c>
      <c r="H178" s="319">
        <v>11568904.007999999</v>
      </c>
      <c r="I178" s="319">
        <v>404952</v>
      </c>
      <c r="J178" s="323">
        <v>58356822.253529347</v>
      </c>
      <c r="K178" s="319">
        <v>43843638.549999997</v>
      </c>
      <c r="L178" s="319">
        <v>105208</v>
      </c>
      <c r="M178" s="323">
        <v>15404810.679036971</v>
      </c>
      <c r="N178" s="319">
        <v>11573675.969000001</v>
      </c>
      <c r="O178" s="319">
        <v>77670</v>
      </c>
      <c r="P178" s="323">
        <v>11286944.399794484</v>
      </c>
      <c r="Q178" s="319">
        <v>8479911.8849999998</v>
      </c>
      <c r="R178" s="319">
        <v>182878</v>
      </c>
      <c r="S178" s="323">
        <v>26691755.078831457</v>
      </c>
      <c r="T178" s="319">
        <v>20053587.853999998</v>
      </c>
      <c r="U178" s="319">
        <v>403288</v>
      </c>
      <c r="V178" s="323">
        <v>58363173.835858911</v>
      </c>
      <c r="W178" s="319">
        <v>43848410.511</v>
      </c>
      <c r="X178" s="319">
        <v>184542</v>
      </c>
      <c r="Y178" s="323">
        <v>26685403.496501897</v>
      </c>
      <c r="Z178" s="319">
        <v>20048815.892999999</v>
      </c>
      <c r="AA178" s="319">
        <v>587830</v>
      </c>
      <c r="AB178" s="323">
        <v>85048577.332360804</v>
      </c>
      <c r="AC178" s="319">
        <v>63897226.403999999</v>
      </c>
    </row>
    <row r="179" spans="2:29" hidden="1" outlineLevel="1" x14ac:dyDescent="0.25">
      <c r="B179" s="318">
        <v>43497</v>
      </c>
      <c r="C179" s="319">
        <v>298635</v>
      </c>
      <c r="D179" s="323">
        <v>42952455.838884212</v>
      </c>
      <c r="E179" s="319">
        <v>32285206.327</v>
      </c>
      <c r="F179" s="319">
        <v>106895</v>
      </c>
      <c r="G179" s="323">
        <v>15384889.563822001</v>
      </c>
      <c r="H179" s="319">
        <v>11564049.696</v>
      </c>
      <c r="I179" s="319">
        <v>405530</v>
      </c>
      <c r="J179" s="323">
        <v>58337345.402706206</v>
      </c>
      <c r="K179" s="319">
        <v>43849256.023000002</v>
      </c>
      <c r="L179" s="319">
        <v>105188</v>
      </c>
      <c r="M179" s="323">
        <v>15389305.984670097</v>
      </c>
      <c r="N179" s="319">
        <v>11567369.298</v>
      </c>
      <c r="O179" s="319">
        <v>77752</v>
      </c>
      <c r="P179" s="323">
        <v>11301647.595665911</v>
      </c>
      <c r="Q179" s="319">
        <v>8494881.5460000001</v>
      </c>
      <c r="R179" s="319">
        <v>182940</v>
      </c>
      <c r="S179" s="323">
        <v>26690953.580336008</v>
      </c>
      <c r="T179" s="319">
        <v>20062250.844000001</v>
      </c>
      <c r="U179" s="319">
        <v>403823</v>
      </c>
      <c r="V179" s="323">
        <v>58341761.823554307</v>
      </c>
      <c r="W179" s="319">
        <v>43852575.625</v>
      </c>
      <c r="X179" s="319">
        <v>184647</v>
      </c>
      <c r="Y179" s="323">
        <v>26686537.159487911</v>
      </c>
      <c r="Z179" s="319">
        <v>20058931.241999999</v>
      </c>
      <c r="AA179" s="319">
        <v>588470</v>
      </c>
      <c r="AB179" s="323">
        <v>85028298.983042225</v>
      </c>
      <c r="AC179" s="319">
        <v>63911506.866999999</v>
      </c>
    </row>
    <row r="180" spans="2:29" hidden="1" outlineLevel="1" x14ac:dyDescent="0.25">
      <c r="B180" s="318">
        <v>43525</v>
      </c>
      <c r="C180" s="319">
        <v>299080</v>
      </c>
      <c r="D180" s="323">
        <v>42842026.633362271</v>
      </c>
      <c r="E180" s="319">
        <v>32354929.274999999</v>
      </c>
      <c r="F180" s="319">
        <v>106958</v>
      </c>
      <c r="G180" s="323">
        <v>15333759.326880738</v>
      </c>
      <c r="H180" s="319">
        <v>11580280.801999999</v>
      </c>
      <c r="I180" s="319">
        <v>406038</v>
      </c>
      <c r="J180" s="323">
        <v>58175785.960243009</v>
      </c>
      <c r="K180" s="319">
        <v>43935210.077</v>
      </c>
      <c r="L180" s="319">
        <v>105239</v>
      </c>
      <c r="M180" s="323">
        <v>15296622.54425812</v>
      </c>
      <c r="N180" s="319">
        <v>11552234.557</v>
      </c>
      <c r="O180" s="319">
        <v>77866</v>
      </c>
      <c r="P180" s="323">
        <v>11271208.007739315</v>
      </c>
      <c r="Q180" s="319">
        <v>8512182.2329999991</v>
      </c>
      <c r="R180" s="319">
        <v>183105</v>
      </c>
      <c r="S180" s="323">
        <v>26567830.551997438</v>
      </c>
      <c r="T180" s="319">
        <v>20064416.789999999</v>
      </c>
      <c r="U180" s="319">
        <v>404319</v>
      </c>
      <c r="V180" s="323">
        <v>58138649.177620396</v>
      </c>
      <c r="W180" s="319">
        <v>43907163.832000002</v>
      </c>
      <c r="X180" s="319">
        <v>184824</v>
      </c>
      <c r="Y180" s="323">
        <v>26604967.334620051</v>
      </c>
      <c r="Z180" s="319">
        <v>20092463.035</v>
      </c>
      <c r="AA180" s="319">
        <v>589143</v>
      </c>
      <c r="AB180" s="323">
        <v>84743616.512240455</v>
      </c>
      <c r="AC180" s="319">
        <v>63999626.866999999</v>
      </c>
    </row>
    <row r="181" spans="2:29" hidden="1" outlineLevel="1" x14ac:dyDescent="0.25">
      <c r="B181" s="318">
        <v>43556</v>
      </c>
      <c r="C181" s="319">
        <v>299513</v>
      </c>
      <c r="D181" s="323">
        <v>42739852.46746511</v>
      </c>
      <c r="E181" s="319">
        <v>32361884.473999999</v>
      </c>
      <c r="F181" s="319">
        <v>106957</v>
      </c>
      <c r="G181" s="323">
        <v>15265522.460844537</v>
      </c>
      <c r="H181" s="319">
        <v>11558792.222999999</v>
      </c>
      <c r="I181" s="319">
        <v>406470</v>
      </c>
      <c r="J181" s="323">
        <v>58005374.928309657</v>
      </c>
      <c r="K181" s="319">
        <v>43920676.696999997</v>
      </c>
      <c r="L181" s="319">
        <v>105215</v>
      </c>
      <c r="M181" s="323">
        <v>15255787.549742717</v>
      </c>
      <c r="N181" s="319">
        <v>11551421.115</v>
      </c>
      <c r="O181" s="319">
        <v>77900</v>
      </c>
      <c r="P181" s="323">
        <v>11190690.372320073</v>
      </c>
      <c r="Q181" s="319">
        <v>8473399.1370000001</v>
      </c>
      <c r="R181" s="319">
        <v>183115</v>
      </c>
      <c r="S181" s="323">
        <v>26446477.922062788</v>
      </c>
      <c r="T181" s="319">
        <v>20024820.252</v>
      </c>
      <c r="U181" s="319">
        <v>404728</v>
      </c>
      <c r="V181" s="323">
        <v>57995640.017207831</v>
      </c>
      <c r="W181" s="319">
        <v>43913305.589000002</v>
      </c>
      <c r="X181" s="319">
        <v>184857</v>
      </c>
      <c r="Y181" s="323">
        <v>26456212.833164606</v>
      </c>
      <c r="Z181" s="319">
        <v>20032191.359999999</v>
      </c>
      <c r="AA181" s="319">
        <v>589585</v>
      </c>
      <c r="AB181" s="323">
        <v>84451852.850372434</v>
      </c>
      <c r="AC181" s="319">
        <v>63945496.949000001</v>
      </c>
    </row>
    <row r="182" spans="2:29" hidden="1" outlineLevel="1" x14ac:dyDescent="0.25">
      <c r="B182" s="318">
        <v>43586</v>
      </c>
      <c r="C182" s="319">
        <v>299970</v>
      </c>
      <c r="D182" s="323">
        <v>42559623.45591943</v>
      </c>
      <c r="E182" s="319">
        <v>32420201.219000001</v>
      </c>
      <c r="F182" s="319">
        <v>107023</v>
      </c>
      <c r="G182" s="323">
        <v>15187606.092390586</v>
      </c>
      <c r="H182" s="319">
        <v>11569304.556</v>
      </c>
      <c r="I182" s="319">
        <v>406993</v>
      </c>
      <c r="J182" s="323">
        <v>57747229.548310004</v>
      </c>
      <c r="K182" s="319">
        <v>43989505.774999999</v>
      </c>
      <c r="L182" s="319">
        <v>105207</v>
      </c>
      <c r="M182" s="323">
        <v>15140437.685747145</v>
      </c>
      <c r="N182" s="319">
        <v>11533373.57</v>
      </c>
      <c r="O182" s="319">
        <v>77981</v>
      </c>
      <c r="P182" s="323">
        <v>11182530.242972583</v>
      </c>
      <c r="Q182" s="319">
        <v>8518399.6280000005</v>
      </c>
      <c r="R182" s="319">
        <v>183188</v>
      </c>
      <c r="S182" s="323">
        <v>26322967.928719725</v>
      </c>
      <c r="T182" s="319">
        <v>20051773.197999999</v>
      </c>
      <c r="U182" s="319">
        <v>405177</v>
      </c>
      <c r="V182" s="323">
        <v>57700061.141666561</v>
      </c>
      <c r="W182" s="319">
        <v>43953574.788999997</v>
      </c>
      <c r="X182" s="319">
        <v>185004</v>
      </c>
      <c r="Y182" s="323">
        <v>26370136.335363168</v>
      </c>
      <c r="Z182" s="319">
        <v>20087704.184</v>
      </c>
      <c r="AA182" s="319">
        <v>590181</v>
      </c>
      <c r="AB182" s="323">
        <v>84070197.477029741</v>
      </c>
      <c r="AC182" s="319">
        <v>64041278.972999997</v>
      </c>
    </row>
    <row r="183" spans="2:29" hidden="1" outlineLevel="1" x14ac:dyDescent="0.25">
      <c r="B183" s="318">
        <v>43617</v>
      </c>
      <c r="C183" s="319">
        <v>299952</v>
      </c>
      <c r="D183" s="323">
        <v>42500527.323799193</v>
      </c>
      <c r="E183" s="319">
        <v>32390976.789999999</v>
      </c>
      <c r="F183" s="319">
        <v>106910</v>
      </c>
      <c r="G183" s="323">
        <v>15166891.147510249</v>
      </c>
      <c r="H183" s="319">
        <v>11559160.558</v>
      </c>
      <c r="I183" s="319">
        <v>406862</v>
      </c>
      <c r="J183" s="323">
        <v>57667418.471309446</v>
      </c>
      <c r="K183" s="319">
        <v>43950137.347999997</v>
      </c>
      <c r="L183" s="319">
        <v>105150</v>
      </c>
      <c r="M183" s="323">
        <v>15146485.614279097</v>
      </c>
      <c r="N183" s="319">
        <v>11543608.865</v>
      </c>
      <c r="O183" s="319">
        <v>78001</v>
      </c>
      <c r="P183" s="323">
        <v>11146889.381359966</v>
      </c>
      <c r="Q183" s="319">
        <v>8495391.8920000009</v>
      </c>
      <c r="R183" s="319">
        <v>183151</v>
      </c>
      <c r="S183" s="323">
        <v>26293374.995639063</v>
      </c>
      <c r="T183" s="319">
        <v>20039000.756999999</v>
      </c>
      <c r="U183" s="319">
        <v>405102</v>
      </c>
      <c r="V183" s="323">
        <v>57647012.938078292</v>
      </c>
      <c r="W183" s="319">
        <v>43934585.655000001</v>
      </c>
      <c r="X183" s="319">
        <v>184911</v>
      </c>
      <c r="Y183" s="323">
        <v>26313780.528870218</v>
      </c>
      <c r="Z183" s="319">
        <v>20054552.449999999</v>
      </c>
      <c r="AA183" s="319">
        <v>590013</v>
      </c>
      <c r="AB183" s="323">
        <v>83960793.466948524</v>
      </c>
      <c r="AC183" s="319">
        <v>63989138.104999997</v>
      </c>
    </row>
    <row r="184" spans="2:29" hidden="1" outlineLevel="1" x14ac:dyDescent="0.25">
      <c r="B184" s="318">
        <v>43647</v>
      </c>
      <c r="C184" s="319">
        <v>300192</v>
      </c>
      <c r="D184" s="323">
        <v>43611613.846292734</v>
      </c>
      <c r="E184" s="319">
        <v>33312088.054000001</v>
      </c>
      <c r="F184" s="319">
        <v>106888</v>
      </c>
      <c r="G184" s="323">
        <v>15529007.606516872</v>
      </c>
      <c r="H184" s="319">
        <v>11861603.438999999</v>
      </c>
      <c r="I184" s="319">
        <v>407080</v>
      </c>
      <c r="J184" s="323">
        <v>59140621.452809602</v>
      </c>
      <c r="K184" s="319">
        <v>45173691.493000001</v>
      </c>
      <c r="L184" s="319">
        <v>105129</v>
      </c>
      <c r="M184" s="323">
        <v>15480737.979130993</v>
      </c>
      <c r="N184" s="319">
        <v>11824733.396</v>
      </c>
      <c r="O184" s="319">
        <v>78024</v>
      </c>
      <c r="P184" s="323">
        <v>11416131.122190874</v>
      </c>
      <c r="Q184" s="319">
        <v>8720043.3929999992</v>
      </c>
      <c r="R184" s="319">
        <v>183153</v>
      </c>
      <c r="S184" s="323">
        <v>26896869.101321869</v>
      </c>
      <c r="T184" s="319">
        <v>20544776.789000001</v>
      </c>
      <c r="U184" s="319">
        <v>405321</v>
      </c>
      <c r="V184" s="323">
        <v>59092351.825423725</v>
      </c>
      <c r="W184" s="319">
        <v>45136821.450000003</v>
      </c>
      <c r="X184" s="319">
        <v>184912</v>
      </c>
      <c r="Y184" s="323">
        <v>26945138.728707749</v>
      </c>
      <c r="Z184" s="319">
        <v>20581646.831999999</v>
      </c>
      <c r="AA184" s="319">
        <v>590233</v>
      </c>
      <c r="AB184" s="323">
        <v>86037490.554131463</v>
      </c>
      <c r="AC184" s="319">
        <v>65718468.281999998</v>
      </c>
    </row>
    <row r="185" spans="2:29" hidden="1" outlineLevel="1" x14ac:dyDescent="0.25">
      <c r="B185" s="318">
        <v>43678</v>
      </c>
      <c r="C185" s="319">
        <v>300148</v>
      </c>
      <c r="D185" s="323">
        <v>43501431.895830661</v>
      </c>
      <c r="E185" s="319">
        <v>33290132.502999999</v>
      </c>
      <c r="F185" s="319">
        <v>106680</v>
      </c>
      <c r="G185" s="323">
        <v>15457804.327407815</v>
      </c>
      <c r="H185" s="319">
        <v>11829319.905999999</v>
      </c>
      <c r="I185" s="319">
        <v>406828</v>
      </c>
      <c r="J185" s="323">
        <v>58959236.223238476</v>
      </c>
      <c r="K185" s="319">
        <v>45119452.409000002</v>
      </c>
      <c r="L185" s="319">
        <v>104843</v>
      </c>
      <c r="M185" s="323">
        <v>15379994.223061493</v>
      </c>
      <c r="N185" s="319">
        <v>11769774.539999999</v>
      </c>
      <c r="O185" s="319">
        <v>77895</v>
      </c>
      <c r="P185" s="323">
        <v>11360415.261834996</v>
      </c>
      <c r="Q185" s="319">
        <v>8693730.5940000005</v>
      </c>
      <c r="R185" s="319">
        <v>182738</v>
      </c>
      <c r="S185" s="323">
        <v>26740409.484896488</v>
      </c>
      <c r="T185" s="319">
        <v>20463505.134</v>
      </c>
      <c r="U185" s="319">
        <v>404991</v>
      </c>
      <c r="V185" s="323">
        <v>58881426.118892148</v>
      </c>
      <c r="W185" s="319">
        <v>45059907.042999998</v>
      </c>
      <c r="X185" s="319">
        <v>184575</v>
      </c>
      <c r="Y185" s="323">
        <v>26818219.589242809</v>
      </c>
      <c r="Z185" s="319">
        <v>20523050.5</v>
      </c>
      <c r="AA185" s="319">
        <v>589566</v>
      </c>
      <c r="AB185" s="323">
        <v>85699645.708134964</v>
      </c>
      <c r="AC185" s="319">
        <v>65582957.542999998</v>
      </c>
    </row>
    <row r="186" spans="2:29" hidden="1" outlineLevel="1" x14ac:dyDescent="0.25">
      <c r="B186" s="318">
        <v>43709</v>
      </c>
      <c r="C186" s="319">
        <v>300285</v>
      </c>
      <c r="D186" s="323">
        <v>43544630.976870492</v>
      </c>
      <c r="E186" s="319">
        <v>33327225.112</v>
      </c>
      <c r="F186" s="319">
        <v>106524</v>
      </c>
      <c r="G186" s="323">
        <v>15450723.944593163</v>
      </c>
      <c r="H186" s="319">
        <v>11825332.847999999</v>
      </c>
      <c r="I186" s="319">
        <v>406809</v>
      </c>
      <c r="J186" s="323">
        <v>58995354.921463653</v>
      </c>
      <c r="K186" s="319">
        <v>45152557.960000001</v>
      </c>
      <c r="L186" s="319">
        <v>104591</v>
      </c>
      <c r="M186" s="323">
        <v>15376106.327417118</v>
      </c>
      <c r="N186" s="319">
        <v>11768223.669</v>
      </c>
      <c r="O186" s="319">
        <v>77795</v>
      </c>
      <c r="P186" s="323">
        <v>11375465.112468924</v>
      </c>
      <c r="Q186" s="319">
        <v>8706301.5130000003</v>
      </c>
      <c r="R186" s="319">
        <v>182386</v>
      </c>
      <c r="S186" s="323">
        <v>26751571.439886045</v>
      </c>
      <c r="T186" s="319">
        <v>20474525.182</v>
      </c>
      <c r="U186" s="319">
        <v>404876</v>
      </c>
      <c r="V186" s="323">
        <v>58920737.304287605</v>
      </c>
      <c r="W186" s="319">
        <v>45095448.781000003</v>
      </c>
      <c r="X186" s="319">
        <v>184319</v>
      </c>
      <c r="Y186" s="323">
        <v>26826189.057062086</v>
      </c>
      <c r="Z186" s="319">
        <v>20531634.361000001</v>
      </c>
      <c r="AA186" s="319">
        <v>589195</v>
      </c>
      <c r="AB186" s="323">
        <v>85746926.361349702</v>
      </c>
      <c r="AC186" s="319">
        <v>65627083.141999997</v>
      </c>
    </row>
    <row r="187" spans="2:29" hidden="1" outlineLevel="1" x14ac:dyDescent="0.25">
      <c r="B187" s="318">
        <v>43739</v>
      </c>
      <c r="C187" s="319">
        <v>300301</v>
      </c>
      <c r="D187" s="323">
        <v>43204366.470038325</v>
      </c>
      <c r="E187" s="319">
        <v>33335034.397</v>
      </c>
      <c r="F187" s="319">
        <v>106310</v>
      </c>
      <c r="G187" s="323">
        <v>15292624.620374162</v>
      </c>
      <c r="H187" s="319">
        <v>11799274.226</v>
      </c>
      <c r="I187" s="319">
        <v>406611</v>
      </c>
      <c r="J187" s="323">
        <v>58496991.090412483</v>
      </c>
      <c r="K187" s="319">
        <v>45134308.623000003</v>
      </c>
      <c r="L187" s="319">
        <v>104481</v>
      </c>
      <c r="M187" s="323">
        <v>15296804.233820701</v>
      </c>
      <c r="N187" s="319">
        <v>11802499.074999999</v>
      </c>
      <c r="O187" s="319">
        <v>77796</v>
      </c>
      <c r="P187" s="323">
        <v>11308351.24182776</v>
      </c>
      <c r="Q187" s="319">
        <v>8725143.0449999999</v>
      </c>
      <c r="R187" s="319">
        <v>182277</v>
      </c>
      <c r="S187" s="323">
        <v>26605155.475648459</v>
      </c>
      <c r="T187" s="319">
        <v>20527642.120000001</v>
      </c>
      <c r="U187" s="319">
        <v>404782</v>
      </c>
      <c r="V187" s="323">
        <v>58501170.703859024</v>
      </c>
      <c r="W187" s="319">
        <v>45137533.472000003</v>
      </c>
      <c r="X187" s="319">
        <v>184106</v>
      </c>
      <c r="Y187" s="323">
        <v>26600975.862201922</v>
      </c>
      <c r="Z187" s="319">
        <v>20524417.271000002</v>
      </c>
      <c r="AA187" s="319">
        <v>588888</v>
      </c>
      <c r="AB187" s="323">
        <v>85102146.566060945</v>
      </c>
      <c r="AC187" s="319">
        <v>65661950.743000001</v>
      </c>
    </row>
    <row r="188" spans="2:29" hidden="1" outlineLevel="1" x14ac:dyDescent="0.25">
      <c r="B188" s="318">
        <v>43770</v>
      </c>
      <c r="C188" s="319">
        <v>300782</v>
      </c>
      <c r="D188" s="323">
        <v>43240489.922689617</v>
      </c>
      <c r="E188" s="319">
        <v>33391211.605</v>
      </c>
      <c r="F188" s="319">
        <v>106300</v>
      </c>
      <c r="G188" s="323">
        <v>15272625.279686933</v>
      </c>
      <c r="H188" s="319">
        <v>11793840.99</v>
      </c>
      <c r="I188" s="319">
        <v>407082</v>
      </c>
      <c r="J188" s="323">
        <v>58513115.202376552</v>
      </c>
      <c r="K188" s="319">
        <v>45185052.594999999</v>
      </c>
      <c r="L188" s="319">
        <v>104343</v>
      </c>
      <c r="M188" s="323">
        <v>15273382.30008444</v>
      </c>
      <c r="N188" s="319">
        <v>11794425.577</v>
      </c>
      <c r="O188" s="319">
        <v>77764</v>
      </c>
      <c r="P188" s="323">
        <v>11309480.219797587</v>
      </c>
      <c r="Q188" s="319">
        <v>8733417.4020000007</v>
      </c>
      <c r="R188" s="319">
        <v>182107</v>
      </c>
      <c r="S188" s="323">
        <v>26582862.519882027</v>
      </c>
      <c r="T188" s="319">
        <v>20527842.978999998</v>
      </c>
      <c r="U188" s="319">
        <v>405125</v>
      </c>
      <c r="V188" s="323">
        <v>58513872.222774059</v>
      </c>
      <c r="W188" s="319">
        <v>45185637.181999996</v>
      </c>
      <c r="X188" s="319">
        <v>184064</v>
      </c>
      <c r="Y188" s="323">
        <v>26582105.49948452</v>
      </c>
      <c r="Z188" s="319">
        <v>20527258.392000001</v>
      </c>
      <c r="AA188" s="319">
        <v>589189</v>
      </c>
      <c r="AB188" s="323">
        <v>85095977.722258583</v>
      </c>
      <c r="AC188" s="319">
        <v>65712895.574000001</v>
      </c>
    </row>
    <row r="189" spans="2:29" hidden="1" outlineLevel="1" x14ac:dyDescent="0.25">
      <c r="B189" s="318">
        <v>43800</v>
      </c>
      <c r="C189" s="319">
        <v>300920</v>
      </c>
      <c r="D189" s="323">
        <v>55839033.226028822</v>
      </c>
      <c r="E189" s="319">
        <v>43162878.689999998</v>
      </c>
      <c r="F189" s="319">
        <v>106146</v>
      </c>
      <c r="G189" s="323">
        <v>19598608.932358317</v>
      </c>
      <c r="H189" s="319">
        <v>15149481.124</v>
      </c>
      <c r="I189" s="319">
        <v>407066</v>
      </c>
      <c r="J189" s="323">
        <v>75437642.158387139</v>
      </c>
      <c r="K189" s="319">
        <v>58312359.814000003</v>
      </c>
      <c r="L189" s="319">
        <v>104196</v>
      </c>
      <c r="M189" s="323">
        <v>18681162.609649878</v>
      </c>
      <c r="N189" s="319">
        <v>14440306.518999999</v>
      </c>
      <c r="O189" s="319">
        <v>77761</v>
      </c>
      <c r="P189" s="323">
        <v>13884129.90230887</v>
      </c>
      <c r="Q189" s="319">
        <v>10732259.856000001</v>
      </c>
      <c r="R189" s="319">
        <v>181957</v>
      </c>
      <c r="S189" s="323">
        <v>32565292.511958752</v>
      </c>
      <c r="T189" s="319">
        <v>25172566.375</v>
      </c>
      <c r="U189" s="319">
        <v>405116</v>
      </c>
      <c r="V189" s="323">
        <v>74520195.835678712</v>
      </c>
      <c r="W189" s="319">
        <v>57603185.208999999</v>
      </c>
      <c r="X189" s="319">
        <v>183907</v>
      </c>
      <c r="Y189" s="323">
        <v>33482738.834667191</v>
      </c>
      <c r="Z189" s="319">
        <v>25881740.98</v>
      </c>
      <c r="AA189" s="319">
        <v>589023</v>
      </c>
      <c r="AB189" s="323">
        <v>108002934.6703459</v>
      </c>
      <c r="AC189" s="319">
        <v>83484926.188999996</v>
      </c>
    </row>
    <row r="190" spans="2:29" collapsed="1" x14ac:dyDescent="0.25">
      <c r="B190" s="321" t="s">
        <v>701</v>
      </c>
      <c r="C190" s="322">
        <v>299821.5</v>
      </c>
      <c r="D190" s="324">
        <v>44124534.601166897</v>
      </c>
      <c r="E190" s="322"/>
      <c r="F190" s="322">
        <v>106705.25</v>
      </c>
      <c r="G190" s="324">
        <v>15694876.866591066</v>
      </c>
      <c r="H190" s="322"/>
      <c r="I190" s="322">
        <v>406526.75</v>
      </c>
      <c r="J190" s="324">
        <v>59819411.46775797</v>
      </c>
      <c r="K190" s="322"/>
      <c r="L190" s="322">
        <v>104899.16666666667</v>
      </c>
      <c r="M190" s="324">
        <v>15593469.81090823</v>
      </c>
      <c r="N190" s="322"/>
      <c r="O190" s="322">
        <v>77850.416666666672</v>
      </c>
      <c r="P190" s="324">
        <v>11502823.571690112</v>
      </c>
      <c r="Q190" s="322"/>
      <c r="R190" s="322">
        <v>182749.58333333334</v>
      </c>
      <c r="S190" s="324">
        <v>27096293.382598344</v>
      </c>
      <c r="T190" s="322"/>
      <c r="U190" s="322">
        <v>404720.66666666669</v>
      </c>
      <c r="V190" s="324">
        <v>59718004.412075125</v>
      </c>
      <c r="W190" s="322"/>
      <c r="X190" s="322">
        <v>184555.66666666666</v>
      </c>
      <c r="Y190" s="324">
        <v>27197700.438281178</v>
      </c>
      <c r="Z190" s="322"/>
      <c r="AA190" s="322">
        <v>589276.33333333337</v>
      </c>
      <c r="AB190" s="324">
        <v>86915704.850356311</v>
      </c>
      <c r="AC190" s="322"/>
    </row>
    <row r="191" spans="2:29" hidden="1" outlineLevel="1" x14ac:dyDescent="0.25">
      <c r="B191" s="318">
        <v>43831</v>
      </c>
      <c r="C191" s="319">
        <v>301556</v>
      </c>
      <c r="D191" s="323">
        <v>58035185.195681028</v>
      </c>
      <c r="E191" s="319">
        <v>45114474.414999999</v>
      </c>
      <c r="F191" s="319">
        <v>106262</v>
      </c>
      <c r="G191" s="323">
        <v>20887098.438095376</v>
      </c>
      <c r="H191" s="319">
        <v>16236882.244999999</v>
      </c>
      <c r="I191" s="319">
        <v>407818</v>
      </c>
      <c r="J191" s="323">
        <v>78922283.633776411</v>
      </c>
      <c r="K191" s="319">
        <v>61351356.659999996</v>
      </c>
      <c r="L191" s="319">
        <v>104225</v>
      </c>
      <c r="M191" s="323">
        <v>19266879.863548003</v>
      </c>
      <c r="N191" s="319">
        <v>14977382.354</v>
      </c>
      <c r="O191" s="319">
        <v>77856</v>
      </c>
      <c r="P191" s="323">
        <v>14293649.18116842</v>
      </c>
      <c r="Q191" s="319">
        <v>11111370.939999999</v>
      </c>
      <c r="R191" s="319">
        <v>182081</v>
      </c>
      <c r="S191" s="323">
        <v>33560529.044716425</v>
      </c>
      <c r="T191" s="319">
        <v>26088753.294</v>
      </c>
      <c r="U191" s="319">
        <v>405781</v>
      </c>
      <c r="V191" s="323">
        <v>77302065.059229031</v>
      </c>
      <c r="W191" s="319">
        <v>60091856.769000001</v>
      </c>
      <c r="X191" s="319">
        <v>184118</v>
      </c>
      <c r="Y191" s="323">
        <v>35180747.619263791</v>
      </c>
      <c r="Z191" s="319">
        <v>27348253.184999999</v>
      </c>
      <c r="AA191" s="319">
        <v>589899</v>
      </c>
      <c r="AB191" s="323">
        <v>112482812.67849283</v>
      </c>
      <c r="AC191" s="319">
        <v>87440109.953999996</v>
      </c>
    </row>
    <row r="192" spans="2:29" hidden="1" outlineLevel="1" x14ac:dyDescent="0.25">
      <c r="B192" s="318">
        <v>43862</v>
      </c>
      <c r="C192" s="319">
        <v>302529</v>
      </c>
      <c r="D192" s="323">
        <v>56444852.986223914</v>
      </c>
      <c r="E192" s="319">
        <v>44074943.619000003</v>
      </c>
      <c r="F192" s="319">
        <v>106478</v>
      </c>
      <c r="G192" s="323">
        <v>20052517.928741589</v>
      </c>
      <c r="H192" s="319">
        <v>15658001.578</v>
      </c>
      <c r="I192" s="319">
        <v>409007</v>
      </c>
      <c r="J192" s="323">
        <v>76497370.914965495</v>
      </c>
      <c r="K192" s="319">
        <v>59732945.196999997</v>
      </c>
      <c r="L192" s="319">
        <v>104288</v>
      </c>
      <c r="M192" s="323">
        <v>18389603.511933025</v>
      </c>
      <c r="N192" s="319">
        <v>14359515.439999999</v>
      </c>
      <c r="O192" s="319">
        <v>77902</v>
      </c>
      <c r="P192" s="323">
        <v>13734591.094927834</v>
      </c>
      <c r="Q192" s="319">
        <v>10724650.630000001</v>
      </c>
      <c r="R192" s="319">
        <v>182190</v>
      </c>
      <c r="S192" s="323">
        <v>32124194.606860857</v>
      </c>
      <c r="T192" s="319">
        <v>25084166.07</v>
      </c>
      <c r="U192" s="319">
        <v>406817</v>
      </c>
      <c r="V192" s="323">
        <v>74834456.498156935</v>
      </c>
      <c r="W192" s="319">
        <v>58434459.059</v>
      </c>
      <c r="X192" s="319">
        <v>184380</v>
      </c>
      <c r="Y192" s="323">
        <v>33787109.023669422</v>
      </c>
      <c r="Z192" s="319">
        <v>26382652.208000001</v>
      </c>
      <c r="AA192" s="319">
        <v>591197</v>
      </c>
      <c r="AB192" s="323">
        <v>108621565.52182636</v>
      </c>
      <c r="AC192" s="319">
        <v>84817111.267000005</v>
      </c>
    </row>
    <row r="193" spans="2:29" hidden="1" outlineLevel="1" x14ac:dyDescent="0.25">
      <c r="B193" s="318">
        <v>43891</v>
      </c>
      <c r="C193" s="319">
        <v>302939</v>
      </c>
      <c r="D193" s="323">
        <v>56337488.720108531</v>
      </c>
      <c r="E193" s="319">
        <v>44136538.858999997</v>
      </c>
      <c r="F193" s="319">
        <v>106463</v>
      </c>
      <c r="G193" s="323">
        <v>19984826.636416536</v>
      </c>
      <c r="H193" s="319">
        <v>15656734.040999999</v>
      </c>
      <c r="I193" s="319">
        <v>409402</v>
      </c>
      <c r="J193" s="323">
        <v>76322315.356525064</v>
      </c>
      <c r="K193" s="319">
        <v>59793272.899999999</v>
      </c>
      <c r="L193" s="319">
        <v>104495</v>
      </c>
      <c r="M193" s="323">
        <v>18365405.459975906</v>
      </c>
      <c r="N193" s="319">
        <v>14388029.182</v>
      </c>
      <c r="O193" s="319">
        <v>77989</v>
      </c>
      <c r="P193" s="323">
        <v>13704350.066317407</v>
      </c>
      <c r="Q193" s="319">
        <v>10736413.585000001</v>
      </c>
      <c r="R193" s="319">
        <v>182484</v>
      </c>
      <c r="S193" s="323">
        <v>32069755.526293311</v>
      </c>
      <c r="T193" s="319">
        <v>25124442.767000001</v>
      </c>
      <c r="U193" s="319">
        <v>407434</v>
      </c>
      <c r="V193" s="323">
        <v>74702894.180084422</v>
      </c>
      <c r="W193" s="319">
        <v>58524568.041000001</v>
      </c>
      <c r="X193" s="319">
        <v>184452</v>
      </c>
      <c r="Y193" s="323">
        <v>33689176.702733941</v>
      </c>
      <c r="Z193" s="319">
        <v>26393147.625999998</v>
      </c>
      <c r="AA193" s="319">
        <v>591886</v>
      </c>
      <c r="AB193" s="323">
        <v>108392070.88281837</v>
      </c>
      <c r="AC193" s="319">
        <v>84917715.666999996</v>
      </c>
    </row>
    <row r="194" spans="2:29" hidden="1" outlineLevel="1" x14ac:dyDescent="0.25">
      <c r="B194" s="318">
        <v>43922</v>
      </c>
      <c r="C194" s="319">
        <v>303117</v>
      </c>
      <c r="D194" s="323">
        <v>56400342.586219475</v>
      </c>
      <c r="E194" s="319">
        <v>44167807.281000003</v>
      </c>
      <c r="F194" s="319">
        <v>106371</v>
      </c>
      <c r="G194" s="323">
        <v>19978574.396744922</v>
      </c>
      <c r="H194" s="319">
        <v>15645469.216</v>
      </c>
      <c r="I194" s="319">
        <v>409488</v>
      </c>
      <c r="J194" s="323">
        <v>76378916.982964396</v>
      </c>
      <c r="K194" s="319">
        <v>59813276.497000001</v>
      </c>
      <c r="L194" s="319">
        <v>104476</v>
      </c>
      <c r="M194" s="323">
        <v>18369535.435872652</v>
      </c>
      <c r="N194" s="319">
        <v>14385410.864</v>
      </c>
      <c r="O194" s="319">
        <v>78073</v>
      </c>
      <c r="P194" s="323">
        <v>13729238.140330164</v>
      </c>
      <c r="Q194" s="319">
        <v>10751536.541999999</v>
      </c>
      <c r="R194" s="319">
        <v>182549</v>
      </c>
      <c r="S194" s="323">
        <v>32098773.576202814</v>
      </c>
      <c r="T194" s="319">
        <v>25136947.405999999</v>
      </c>
      <c r="U194" s="319">
        <v>407593</v>
      </c>
      <c r="V194" s="323">
        <v>74769878.022092134</v>
      </c>
      <c r="W194" s="319">
        <v>58553218.145000003</v>
      </c>
      <c r="X194" s="319">
        <v>184444</v>
      </c>
      <c r="Y194" s="323">
        <v>33707812.537075087</v>
      </c>
      <c r="Z194" s="319">
        <v>26397005.758000001</v>
      </c>
      <c r="AA194" s="319">
        <v>592037</v>
      </c>
      <c r="AB194" s="323">
        <v>108477690.55916721</v>
      </c>
      <c r="AC194" s="319">
        <v>84950223.902999997</v>
      </c>
    </row>
    <row r="195" spans="2:29" hidden="1" outlineLevel="1" x14ac:dyDescent="0.25">
      <c r="B195" s="318">
        <v>43952</v>
      </c>
      <c r="C195" s="319">
        <v>303106</v>
      </c>
      <c r="D195" s="323">
        <v>56440957.704126462</v>
      </c>
      <c r="E195" s="319">
        <v>44177632.133000001</v>
      </c>
      <c r="F195" s="319">
        <v>106379</v>
      </c>
      <c r="G195" s="323">
        <v>19995564.35139912</v>
      </c>
      <c r="H195" s="319">
        <v>15650986.839</v>
      </c>
      <c r="I195" s="319">
        <v>409485</v>
      </c>
      <c r="J195" s="323">
        <v>76436522.055525586</v>
      </c>
      <c r="K195" s="319">
        <v>59828618.972000003</v>
      </c>
      <c r="L195" s="319">
        <v>104421</v>
      </c>
      <c r="M195" s="323">
        <v>18368856.673365261</v>
      </c>
      <c r="N195" s="319">
        <v>14377725.429</v>
      </c>
      <c r="O195" s="319">
        <v>78092</v>
      </c>
      <c r="P195" s="323">
        <v>13734875.31993158</v>
      </c>
      <c r="Q195" s="319">
        <v>10750601.937999999</v>
      </c>
      <c r="R195" s="319">
        <v>182513</v>
      </c>
      <c r="S195" s="323">
        <v>32103731.993296839</v>
      </c>
      <c r="T195" s="319">
        <v>25128327.366999999</v>
      </c>
      <c r="U195" s="319">
        <v>407527</v>
      </c>
      <c r="V195" s="323">
        <v>74809814.377491727</v>
      </c>
      <c r="W195" s="319">
        <v>58555357.561999999</v>
      </c>
      <c r="X195" s="319">
        <v>184471</v>
      </c>
      <c r="Y195" s="323">
        <v>33730439.671330698</v>
      </c>
      <c r="Z195" s="319">
        <v>26401588.776999999</v>
      </c>
      <c r="AA195" s="319">
        <v>591998</v>
      </c>
      <c r="AB195" s="323">
        <v>108540254.04882243</v>
      </c>
      <c r="AC195" s="319">
        <v>84956946.339000002</v>
      </c>
    </row>
    <row r="196" spans="2:29" hidden="1" outlineLevel="1" x14ac:dyDescent="0.25">
      <c r="B196" s="318">
        <v>43983</v>
      </c>
      <c r="C196" s="319">
        <v>303034</v>
      </c>
      <c r="D196" s="323">
        <v>56478047.044284187</v>
      </c>
      <c r="E196" s="319">
        <v>44174881.732000001</v>
      </c>
      <c r="F196" s="319">
        <v>106296</v>
      </c>
      <c r="G196" s="323">
        <v>19996026.434507851</v>
      </c>
      <c r="H196" s="319">
        <v>15640096.446</v>
      </c>
      <c r="I196" s="319">
        <v>409330</v>
      </c>
      <c r="J196" s="323">
        <v>76474073.478792042</v>
      </c>
      <c r="K196" s="319">
        <v>59814978.178000003</v>
      </c>
      <c r="L196" s="319">
        <v>104307</v>
      </c>
      <c r="M196" s="323">
        <v>18362297.846121255</v>
      </c>
      <c r="N196" s="319">
        <v>14362258.933</v>
      </c>
      <c r="O196" s="319">
        <v>78085</v>
      </c>
      <c r="P196" s="323">
        <v>13742924.700947378</v>
      </c>
      <c r="Q196" s="319">
        <v>10749169.015000001</v>
      </c>
      <c r="R196" s="319">
        <v>182392</v>
      </c>
      <c r="S196" s="323">
        <v>32105222.547068633</v>
      </c>
      <c r="T196" s="319">
        <v>25111427.947999999</v>
      </c>
      <c r="U196" s="319">
        <v>407341</v>
      </c>
      <c r="V196" s="323">
        <v>74840344.890405446</v>
      </c>
      <c r="W196" s="319">
        <v>58537140.664999999</v>
      </c>
      <c r="X196" s="319">
        <v>184381</v>
      </c>
      <c r="Y196" s="323">
        <v>33738951.135455228</v>
      </c>
      <c r="Z196" s="319">
        <v>26389265.460999999</v>
      </c>
      <c r="AA196" s="319">
        <v>591722</v>
      </c>
      <c r="AB196" s="323">
        <v>108579296.02586067</v>
      </c>
      <c r="AC196" s="319">
        <v>84926406.126000002</v>
      </c>
    </row>
    <row r="197" spans="2:29" hidden="1" outlineLevel="1" x14ac:dyDescent="0.25">
      <c r="B197" s="318">
        <v>44013</v>
      </c>
      <c r="C197" s="319">
        <v>303114</v>
      </c>
      <c r="D197" s="323">
        <v>57917142.525419414</v>
      </c>
      <c r="E197" s="319">
        <v>45345935.370999999</v>
      </c>
      <c r="F197" s="319">
        <v>106052</v>
      </c>
      <c r="G197" s="323">
        <v>20450803.351173636</v>
      </c>
      <c r="H197" s="319">
        <v>16011853.6</v>
      </c>
      <c r="I197" s="319">
        <v>409166</v>
      </c>
      <c r="J197" s="323">
        <v>78367945.876593053</v>
      </c>
      <c r="K197" s="319">
        <v>61357788.971000001</v>
      </c>
      <c r="L197" s="319">
        <v>104212</v>
      </c>
      <c r="M197" s="323">
        <v>18804580.351223946</v>
      </c>
      <c r="N197" s="319">
        <v>14722951.584000001</v>
      </c>
      <c r="O197" s="319">
        <v>77973</v>
      </c>
      <c r="P197" s="323">
        <v>14067301.957613939</v>
      </c>
      <c r="Q197" s="319">
        <v>11013923.298</v>
      </c>
      <c r="R197" s="319">
        <v>182185</v>
      </c>
      <c r="S197" s="323">
        <v>32871882.308837883</v>
      </c>
      <c r="T197" s="319">
        <v>25736874.881999999</v>
      </c>
      <c r="U197" s="319">
        <v>407326</v>
      </c>
      <c r="V197" s="323">
        <v>76721722.87664336</v>
      </c>
      <c r="W197" s="319">
        <v>60068886.954999998</v>
      </c>
      <c r="X197" s="319">
        <v>184025</v>
      </c>
      <c r="Y197" s="323">
        <v>34518105.308787577</v>
      </c>
      <c r="Z197" s="319">
        <v>27025776.897999998</v>
      </c>
      <c r="AA197" s="319">
        <v>591351</v>
      </c>
      <c r="AB197" s="323">
        <v>111239828.18543094</v>
      </c>
      <c r="AC197" s="319">
        <v>87094663.853</v>
      </c>
    </row>
    <row r="198" spans="2:29" hidden="1" outlineLevel="1" x14ac:dyDescent="0.25">
      <c r="B198" s="318">
        <v>44044</v>
      </c>
      <c r="C198" s="319">
        <v>302726</v>
      </c>
      <c r="D198" s="323">
        <v>57789928.64804738</v>
      </c>
      <c r="E198" s="319">
        <v>45306102.685000002</v>
      </c>
      <c r="F198" s="319">
        <v>105522</v>
      </c>
      <c r="G198" s="323">
        <v>20328966.795842532</v>
      </c>
      <c r="H198" s="319">
        <v>15937487.356000001</v>
      </c>
      <c r="I198" s="319">
        <v>408248</v>
      </c>
      <c r="J198" s="323">
        <v>78118895.443889901</v>
      </c>
      <c r="K198" s="319">
        <v>61243590.041000001</v>
      </c>
      <c r="L198" s="319">
        <v>104019</v>
      </c>
      <c r="M198" s="323">
        <v>18750000.434118215</v>
      </c>
      <c r="N198" s="319">
        <v>14699610.552999999</v>
      </c>
      <c r="O198" s="319">
        <v>77954</v>
      </c>
      <c r="P198" s="323">
        <v>14049153.801090783</v>
      </c>
      <c r="Q198" s="319">
        <v>11014244.517000001</v>
      </c>
      <c r="R198" s="319">
        <v>181973</v>
      </c>
      <c r="S198" s="323">
        <v>32799154.235208996</v>
      </c>
      <c r="T198" s="319">
        <v>25713855.07</v>
      </c>
      <c r="U198" s="319">
        <v>406745</v>
      </c>
      <c r="V198" s="323">
        <v>76539929.082165584</v>
      </c>
      <c r="W198" s="319">
        <v>60005713.237999998</v>
      </c>
      <c r="X198" s="319">
        <v>183476</v>
      </c>
      <c r="Y198" s="323">
        <v>34378120.59693332</v>
      </c>
      <c r="Z198" s="319">
        <v>26951731.873</v>
      </c>
      <c r="AA198" s="319">
        <v>590221</v>
      </c>
      <c r="AB198" s="323">
        <v>110918049.6790989</v>
      </c>
      <c r="AC198" s="319">
        <v>86957445.111000001</v>
      </c>
    </row>
    <row r="199" spans="2:29" hidden="1" outlineLevel="1" x14ac:dyDescent="0.25">
      <c r="B199" s="318">
        <v>44075</v>
      </c>
      <c r="C199" s="319">
        <v>302786</v>
      </c>
      <c r="D199" s="323">
        <v>57445054.344067819</v>
      </c>
      <c r="E199" s="319">
        <v>45321808.817000002</v>
      </c>
      <c r="F199" s="319">
        <v>105100</v>
      </c>
      <c r="G199" s="323">
        <v>20123621.091342095</v>
      </c>
      <c r="H199" s="319">
        <v>15876717.642999999</v>
      </c>
      <c r="I199" s="319">
        <v>407886</v>
      </c>
      <c r="J199" s="323">
        <v>77568675.435409918</v>
      </c>
      <c r="K199" s="319">
        <v>61198526.460000001</v>
      </c>
      <c r="L199" s="319">
        <v>103817</v>
      </c>
      <c r="M199" s="323">
        <v>18594821.608456701</v>
      </c>
      <c r="N199" s="319">
        <v>14670557.101</v>
      </c>
      <c r="O199" s="319">
        <v>77928</v>
      </c>
      <c r="P199" s="323">
        <v>13955032.602172418</v>
      </c>
      <c r="Q199" s="319">
        <v>11009952.499</v>
      </c>
      <c r="R199" s="319">
        <v>181745</v>
      </c>
      <c r="S199" s="323">
        <v>32549854.210629117</v>
      </c>
      <c r="T199" s="319">
        <v>25680509.600000001</v>
      </c>
      <c r="U199" s="319">
        <v>406603</v>
      </c>
      <c r="V199" s="323">
        <v>76039875.952524528</v>
      </c>
      <c r="W199" s="319">
        <v>59992365.917999998</v>
      </c>
      <c r="X199" s="319">
        <v>183028</v>
      </c>
      <c r="Y199" s="323">
        <v>34078653.693514511</v>
      </c>
      <c r="Z199" s="319">
        <v>26886670.142000001</v>
      </c>
      <c r="AA199" s="319">
        <v>589631</v>
      </c>
      <c r="AB199" s="323">
        <v>110118529.64603904</v>
      </c>
      <c r="AC199" s="319">
        <v>86879036.060000002</v>
      </c>
    </row>
    <row r="200" spans="2:29" hidden="1" outlineLevel="1" x14ac:dyDescent="0.25">
      <c r="B200" s="318">
        <v>44105</v>
      </c>
      <c r="C200" s="319">
        <v>302124</v>
      </c>
      <c r="D200" s="323">
        <v>56945804.997460201</v>
      </c>
      <c r="E200" s="319">
        <v>45236459.303999998</v>
      </c>
      <c r="F200" s="319">
        <v>104702</v>
      </c>
      <c r="G200" s="323">
        <v>19917880.717020255</v>
      </c>
      <c r="H200" s="319">
        <v>15822313.874</v>
      </c>
      <c r="I200" s="319">
        <v>406826</v>
      </c>
      <c r="J200" s="323">
        <v>76863685.71448046</v>
      </c>
      <c r="K200" s="319">
        <v>61058773.178000003</v>
      </c>
      <c r="L200" s="319">
        <v>103576</v>
      </c>
      <c r="M200" s="323">
        <v>18425104.186948255</v>
      </c>
      <c r="N200" s="319">
        <v>14636485.967</v>
      </c>
      <c r="O200" s="319">
        <v>77950</v>
      </c>
      <c r="P200" s="323">
        <v>13863766.796202023</v>
      </c>
      <c r="Q200" s="319">
        <v>11013062.727</v>
      </c>
      <c r="R200" s="319">
        <v>181526</v>
      </c>
      <c r="S200" s="323">
        <v>32288870.983150277</v>
      </c>
      <c r="T200" s="319">
        <v>25649548.693999998</v>
      </c>
      <c r="U200" s="319">
        <v>405700</v>
      </c>
      <c r="V200" s="323">
        <v>75370909.184408456</v>
      </c>
      <c r="W200" s="319">
        <v>59872945.270999998</v>
      </c>
      <c r="X200" s="319">
        <v>182652</v>
      </c>
      <c r="Y200" s="323">
        <v>33781647.513222277</v>
      </c>
      <c r="Z200" s="319">
        <v>26835376.601</v>
      </c>
      <c r="AA200" s="319">
        <v>588352</v>
      </c>
      <c r="AB200" s="323">
        <v>109152556.69763073</v>
      </c>
      <c r="AC200" s="319">
        <v>86708321.871999994</v>
      </c>
    </row>
    <row r="201" spans="2:29" hidden="1" outlineLevel="1" x14ac:dyDescent="0.25">
      <c r="B201" s="318">
        <v>44136</v>
      </c>
      <c r="C201" s="319">
        <v>302029</v>
      </c>
      <c r="D201" s="323">
        <v>57019195.557513811</v>
      </c>
      <c r="E201" s="319">
        <v>45232599.262999997</v>
      </c>
      <c r="F201" s="319">
        <v>104460</v>
      </c>
      <c r="G201" s="323">
        <v>19903017.849871069</v>
      </c>
      <c r="H201" s="319">
        <v>15788809.745999999</v>
      </c>
      <c r="I201" s="319">
        <v>406489</v>
      </c>
      <c r="J201" s="323">
        <v>76922213.407384887</v>
      </c>
      <c r="K201" s="319">
        <v>61021409.009000003</v>
      </c>
      <c r="L201" s="319">
        <v>103373</v>
      </c>
      <c r="M201" s="323">
        <v>18414247.240987077</v>
      </c>
      <c r="N201" s="319">
        <v>14607787.045</v>
      </c>
      <c r="O201" s="319">
        <v>77999</v>
      </c>
      <c r="P201" s="323">
        <v>13891546.617514543</v>
      </c>
      <c r="Q201" s="319">
        <v>11019986.43</v>
      </c>
      <c r="R201" s="319">
        <v>181372</v>
      </c>
      <c r="S201" s="323">
        <v>32305793.858501621</v>
      </c>
      <c r="T201" s="319">
        <v>25627773.475000001</v>
      </c>
      <c r="U201" s="319">
        <v>405402</v>
      </c>
      <c r="V201" s="323">
        <v>75433442.798500881</v>
      </c>
      <c r="W201" s="319">
        <v>59840386.307999998</v>
      </c>
      <c r="X201" s="319">
        <v>182459</v>
      </c>
      <c r="Y201" s="323">
        <v>33794564.467385612</v>
      </c>
      <c r="Z201" s="319">
        <v>26808796.175999999</v>
      </c>
      <c r="AA201" s="319">
        <v>587861</v>
      </c>
      <c r="AB201" s="323">
        <v>109228007.2658865</v>
      </c>
      <c r="AC201" s="319">
        <v>86649182.483999997</v>
      </c>
    </row>
    <row r="202" spans="2:29" hidden="1" outlineLevel="1" x14ac:dyDescent="0.25">
      <c r="B202" s="318">
        <v>44166</v>
      </c>
      <c r="C202" s="319">
        <v>302560</v>
      </c>
      <c r="D202" s="323">
        <v>56964405.486473195</v>
      </c>
      <c r="E202" s="319">
        <v>45341815.088</v>
      </c>
      <c r="F202" s="319">
        <v>104548</v>
      </c>
      <c r="G202" s="323">
        <v>19863497.646803681</v>
      </c>
      <c r="H202" s="319">
        <v>15810698.446</v>
      </c>
      <c r="I202" s="319">
        <v>407108</v>
      </c>
      <c r="J202" s="323">
        <v>76827903.133276865</v>
      </c>
      <c r="K202" s="319">
        <v>61152513.534000002</v>
      </c>
      <c r="L202" s="319">
        <v>103131</v>
      </c>
      <c r="M202" s="323">
        <v>18316344.011602197</v>
      </c>
      <c r="N202" s="319">
        <v>14579214.444</v>
      </c>
      <c r="O202" s="319">
        <v>78045</v>
      </c>
      <c r="P202" s="323">
        <v>13863539.112823334</v>
      </c>
      <c r="Q202" s="319">
        <v>11034926.487</v>
      </c>
      <c r="R202" s="319">
        <v>181176</v>
      </c>
      <c r="S202" s="323">
        <v>32179883.12442553</v>
      </c>
      <c r="T202" s="319">
        <v>25614140.931000002</v>
      </c>
      <c r="U202" s="319">
        <v>405691</v>
      </c>
      <c r="V202" s="323">
        <v>75280749.498075396</v>
      </c>
      <c r="W202" s="319">
        <v>59921029.531999998</v>
      </c>
      <c r="X202" s="319">
        <v>182593</v>
      </c>
      <c r="Y202" s="323">
        <v>33727036.759627014</v>
      </c>
      <c r="Z202" s="319">
        <v>26845624.932999998</v>
      </c>
      <c r="AA202" s="319">
        <v>588284</v>
      </c>
      <c r="AB202" s="323">
        <v>109007786.25770241</v>
      </c>
      <c r="AC202" s="319">
        <v>86766654.465000004</v>
      </c>
    </row>
    <row r="203" spans="2:29" collapsed="1" x14ac:dyDescent="0.25">
      <c r="B203" s="321" t="s">
        <v>702</v>
      </c>
      <c r="C203" s="322">
        <v>302635</v>
      </c>
      <c r="D203" s="324">
        <v>57018200.482968785</v>
      </c>
      <c r="E203" s="322"/>
      <c r="F203" s="322">
        <v>105719.41666666667</v>
      </c>
      <c r="G203" s="324">
        <v>20123532.969829887</v>
      </c>
      <c r="H203" s="322"/>
      <c r="I203" s="322">
        <v>408354.41666666669</v>
      </c>
      <c r="J203" s="324">
        <v>77141733.452798679</v>
      </c>
      <c r="K203" s="322"/>
      <c r="L203" s="322">
        <v>104028.33333333333</v>
      </c>
      <c r="M203" s="324">
        <v>18535639.718679372</v>
      </c>
      <c r="N203" s="322"/>
      <c r="O203" s="322">
        <v>77987.166666666672</v>
      </c>
      <c r="P203" s="324">
        <v>13885830.782586655</v>
      </c>
      <c r="Q203" s="322"/>
      <c r="R203" s="322">
        <v>182015.5</v>
      </c>
      <c r="S203" s="324">
        <v>32421470.501266029</v>
      </c>
      <c r="T203" s="322"/>
      <c r="U203" s="322">
        <v>406663.33333333331</v>
      </c>
      <c r="V203" s="324">
        <v>75553840.201648146</v>
      </c>
      <c r="W203" s="322"/>
      <c r="X203" s="322">
        <v>183706.58333333334</v>
      </c>
      <c r="Y203" s="324">
        <v>34009363.752416544</v>
      </c>
      <c r="Z203" s="322"/>
      <c r="AA203" s="322">
        <v>590369.91666666663</v>
      </c>
      <c r="AB203" s="324">
        <v>109563203.95406468</v>
      </c>
      <c r="AC203" s="322"/>
    </row>
    <row r="204" spans="2:29" hidden="1" outlineLevel="1" x14ac:dyDescent="0.25">
      <c r="B204" s="318">
        <v>44197</v>
      </c>
      <c r="C204" s="319">
        <v>303535</v>
      </c>
      <c r="D204" s="323">
        <v>62013115.143935487</v>
      </c>
      <c r="E204" s="319">
        <v>49707068.979999997</v>
      </c>
      <c r="F204" s="319">
        <v>104773</v>
      </c>
      <c r="G204" s="323">
        <v>21479535.43148439</v>
      </c>
      <c r="H204" s="319">
        <v>17217079.756000001</v>
      </c>
      <c r="I204" s="319">
        <v>408308</v>
      </c>
      <c r="J204" s="323">
        <v>83492650.575419873</v>
      </c>
      <c r="K204" s="319">
        <v>66924148.736000001</v>
      </c>
      <c r="L204" s="319">
        <v>102915</v>
      </c>
      <c r="M204" s="323">
        <v>20328416.805644233</v>
      </c>
      <c r="N204" s="319">
        <v>16294392.147</v>
      </c>
      <c r="O204" s="319">
        <v>78093</v>
      </c>
      <c r="P204" s="323">
        <v>15425330.348395636</v>
      </c>
      <c r="Q204" s="319">
        <v>12364287.101</v>
      </c>
      <c r="R204" s="319">
        <v>181008</v>
      </c>
      <c r="S204" s="323">
        <v>35753747.154039875</v>
      </c>
      <c r="T204" s="319">
        <v>28658679.248</v>
      </c>
      <c r="U204" s="319">
        <v>406450</v>
      </c>
      <c r="V204" s="323">
        <v>82341531.949579716</v>
      </c>
      <c r="W204" s="319">
        <v>66001461.126999997</v>
      </c>
      <c r="X204" s="319">
        <v>182866</v>
      </c>
      <c r="Y204" s="323">
        <v>36904865.779880024</v>
      </c>
      <c r="Z204" s="319">
        <v>29581366.857000001</v>
      </c>
      <c r="AA204" s="319">
        <v>589316</v>
      </c>
      <c r="AB204" s="323">
        <v>119246397.72945975</v>
      </c>
      <c r="AC204" s="319">
        <v>95582827.983999997</v>
      </c>
    </row>
    <row r="205" spans="2:29" hidden="1" outlineLevel="1" x14ac:dyDescent="0.25">
      <c r="B205" s="318">
        <v>44228</v>
      </c>
      <c r="C205" s="319">
        <v>303509</v>
      </c>
      <c r="D205" s="323">
        <v>61902339.599681154</v>
      </c>
      <c r="E205" s="319">
        <v>49710219.506999999</v>
      </c>
      <c r="F205" s="319">
        <v>104543</v>
      </c>
      <c r="G205" s="323">
        <v>21391942.840389993</v>
      </c>
      <c r="H205" s="319">
        <v>17178642.699999999</v>
      </c>
      <c r="I205" s="319">
        <v>408052</v>
      </c>
      <c r="J205" s="323">
        <v>83294282.440071136</v>
      </c>
      <c r="K205" s="319">
        <v>66888862.207000002</v>
      </c>
      <c r="L205" s="319">
        <v>102585</v>
      </c>
      <c r="M205" s="323">
        <v>20225612.940842267</v>
      </c>
      <c r="N205" s="319">
        <v>16242030.034</v>
      </c>
      <c r="O205" s="319">
        <v>78054</v>
      </c>
      <c r="P205" s="323">
        <v>15392526.924299572</v>
      </c>
      <c r="Q205" s="319">
        <v>12360855.778999999</v>
      </c>
      <c r="R205" s="319">
        <v>180639</v>
      </c>
      <c r="S205" s="323">
        <v>35618139.865141839</v>
      </c>
      <c r="T205" s="319">
        <v>28602885.813000001</v>
      </c>
      <c r="U205" s="319">
        <v>406094</v>
      </c>
      <c r="V205" s="323">
        <v>82127952.540523425</v>
      </c>
      <c r="W205" s="319">
        <v>65952249.541000001</v>
      </c>
      <c r="X205" s="319">
        <v>182597</v>
      </c>
      <c r="Y205" s="323">
        <v>36784469.764689557</v>
      </c>
      <c r="Z205" s="319">
        <v>29539498.478999998</v>
      </c>
      <c r="AA205" s="319">
        <v>588691</v>
      </c>
      <c r="AB205" s="323">
        <v>118912422.30521299</v>
      </c>
      <c r="AC205" s="319">
        <v>95491748.019999996</v>
      </c>
    </row>
    <row r="206" spans="2:29" hidden="1" outlineLevel="1" x14ac:dyDescent="0.25">
      <c r="B206" s="318">
        <v>44256</v>
      </c>
      <c r="C206" s="319">
        <v>303836</v>
      </c>
      <c r="D206" s="323">
        <v>61732313.529562853</v>
      </c>
      <c r="E206" s="319">
        <v>49759756.866999999</v>
      </c>
      <c r="F206" s="319">
        <v>104524</v>
      </c>
      <c r="G206" s="323">
        <v>21306935.975974448</v>
      </c>
      <c r="H206" s="319">
        <v>17174602.620999999</v>
      </c>
      <c r="I206" s="319">
        <v>408360</v>
      </c>
      <c r="J206" s="323">
        <v>83039249.505537286</v>
      </c>
      <c r="K206" s="319">
        <v>66934359.487999998</v>
      </c>
      <c r="L206" s="319">
        <v>102435</v>
      </c>
      <c r="M206" s="323">
        <v>20119914.825462904</v>
      </c>
      <c r="N206" s="319">
        <v>16217796.039999999</v>
      </c>
      <c r="O206" s="319">
        <v>78131</v>
      </c>
      <c r="P206" s="323">
        <v>15346230.279828923</v>
      </c>
      <c r="Q206" s="319">
        <v>12369934.705</v>
      </c>
      <c r="R206" s="319">
        <v>180566</v>
      </c>
      <c r="S206" s="323">
        <v>35466145.105291821</v>
      </c>
      <c r="T206" s="319">
        <v>28587730.745000001</v>
      </c>
      <c r="U206" s="319">
        <v>406271</v>
      </c>
      <c r="V206" s="323">
        <v>81852228.355025753</v>
      </c>
      <c r="W206" s="319">
        <v>65977552.906999998</v>
      </c>
      <c r="X206" s="319">
        <v>182655</v>
      </c>
      <c r="Y206" s="323">
        <v>36653166.255803369</v>
      </c>
      <c r="Z206" s="319">
        <v>29544537.326000001</v>
      </c>
      <c r="AA206" s="319">
        <v>588926</v>
      </c>
      <c r="AB206" s="323">
        <v>118505394.61082913</v>
      </c>
      <c r="AC206" s="319">
        <v>95522090.232999995</v>
      </c>
    </row>
    <row r="207" spans="2:29" hidden="1" outlineLevel="1" x14ac:dyDescent="0.25">
      <c r="B207" s="318">
        <v>44287</v>
      </c>
      <c r="C207" s="319">
        <v>304229</v>
      </c>
      <c r="D207" s="323">
        <v>61569784.010239288</v>
      </c>
      <c r="E207" s="319">
        <v>49815834.487999998</v>
      </c>
      <c r="F207" s="319">
        <v>104568</v>
      </c>
      <c r="G207" s="323">
        <v>21233925.874251809</v>
      </c>
      <c r="H207" s="319">
        <v>17180273.634</v>
      </c>
      <c r="I207" s="319">
        <v>408797</v>
      </c>
      <c r="J207" s="323">
        <v>82803709.884491086</v>
      </c>
      <c r="K207" s="319">
        <v>66996108.122000001</v>
      </c>
      <c r="L207" s="319">
        <v>102581</v>
      </c>
      <c r="M207" s="323">
        <v>20072950.104366552</v>
      </c>
      <c r="N207" s="319">
        <v>16240933.376</v>
      </c>
      <c r="O207" s="319">
        <v>78384</v>
      </c>
      <c r="P207" s="323">
        <v>15337660.759514283</v>
      </c>
      <c r="Q207" s="319">
        <v>12409632.129000001</v>
      </c>
      <c r="R207" s="319">
        <v>180965</v>
      </c>
      <c r="S207" s="323">
        <v>35410610.863880835</v>
      </c>
      <c r="T207" s="319">
        <v>28650565.504999999</v>
      </c>
      <c r="U207" s="319">
        <v>406810</v>
      </c>
      <c r="V207" s="323">
        <v>81642734.114605829</v>
      </c>
      <c r="W207" s="319">
        <v>66056767.864</v>
      </c>
      <c r="X207" s="319">
        <v>182952</v>
      </c>
      <c r="Y207" s="323">
        <v>36571586.633766092</v>
      </c>
      <c r="Z207" s="319">
        <v>29589905.763</v>
      </c>
      <c r="AA207" s="319">
        <v>589762</v>
      </c>
      <c r="AB207" s="323">
        <v>118214320.74837193</v>
      </c>
      <c r="AC207" s="319">
        <v>95646673.627000004</v>
      </c>
    </row>
    <row r="208" spans="2:29" hidden="1" outlineLevel="1" x14ac:dyDescent="0.25">
      <c r="B208" s="318">
        <v>44317</v>
      </c>
      <c r="C208" s="319">
        <v>304427</v>
      </c>
      <c r="D208" s="323">
        <v>61437665.552214302</v>
      </c>
      <c r="E208" s="319">
        <v>49842484.652000003</v>
      </c>
      <c r="F208" s="319">
        <v>104477</v>
      </c>
      <c r="G208" s="323">
        <v>21158419.417748064</v>
      </c>
      <c r="H208" s="319">
        <v>17165173.605</v>
      </c>
      <c r="I208" s="319">
        <v>408904</v>
      </c>
      <c r="J208" s="323">
        <v>82596084.969962358</v>
      </c>
      <c r="K208" s="319">
        <v>67007658.256999999</v>
      </c>
      <c r="L208" s="319">
        <v>102248</v>
      </c>
      <c r="M208" s="323">
        <v>19953979.425251242</v>
      </c>
      <c r="N208" s="319">
        <v>16188048.558</v>
      </c>
      <c r="O208" s="319">
        <v>78324</v>
      </c>
      <c r="P208" s="323">
        <v>15284575.869792785</v>
      </c>
      <c r="Q208" s="319">
        <v>12399905.357000001</v>
      </c>
      <c r="R208" s="319">
        <v>180572</v>
      </c>
      <c r="S208" s="323">
        <v>35238555.295044027</v>
      </c>
      <c r="T208" s="319">
        <v>28587953.914999999</v>
      </c>
      <c r="U208" s="319">
        <v>406675</v>
      </c>
      <c r="V208" s="323">
        <v>81391644.97746554</v>
      </c>
      <c r="W208" s="319">
        <v>66030533.210000001</v>
      </c>
      <c r="X208" s="319">
        <v>182801</v>
      </c>
      <c r="Y208" s="323">
        <v>36442995.287540846</v>
      </c>
      <c r="Z208" s="319">
        <v>29565078.962000001</v>
      </c>
      <c r="AA208" s="319">
        <v>589476</v>
      </c>
      <c r="AB208" s="323">
        <v>117834640.26500639</v>
      </c>
      <c r="AC208" s="319">
        <v>95595612.172000006</v>
      </c>
    </row>
    <row r="209" spans="2:29" hidden="1" outlineLevel="1" x14ac:dyDescent="0.25">
      <c r="B209" s="318">
        <v>44348</v>
      </c>
      <c r="C209" s="319">
        <v>304385</v>
      </c>
      <c r="D209" s="323">
        <v>61373058.962980367</v>
      </c>
      <c r="E209" s="319">
        <v>49829768.321999997</v>
      </c>
      <c r="F209" s="319">
        <v>104256</v>
      </c>
      <c r="G209" s="323">
        <v>21095821.517586391</v>
      </c>
      <c r="H209" s="319">
        <v>17128034.947999999</v>
      </c>
      <c r="I209" s="319">
        <v>408641</v>
      </c>
      <c r="J209" s="323">
        <v>82468880.480566755</v>
      </c>
      <c r="K209" s="319">
        <v>66957803.270000003</v>
      </c>
      <c r="L209" s="319">
        <v>102342</v>
      </c>
      <c r="M209" s="323">
        <v>19955890.27954277</v>
      </c>
      <c r="N209" s="319">
        <v>16202506.540999999</v>
      </c>
      <c r="O209" s="319">
        <v>78508</v>
      </c>
      <c r="P209" s="323">
        <v>15307913.718439659</v>
      </c>
      <c r="Q209" s="319">
        <v>12428740.02</v>
      </c>
      <c r="R209" s="319">
        <v>180850</v>
      </c>
      <c r="S209" s="323">
        <v>35263803.997982427</v>
      </c>
      <c r="T209" s="319">
        <v>28631246.561000001</v>
      </c>
      <c r="U209" s="319">
        <v>406727</v>
      </c>
      <c r="V209" s="323">
        <v>81328949.242523134</v>
      </c>
      <c r="W209" s="319">
        <v>66032274.862999998</v>
      </c>
      <c r="X209" s="319">
        <v>182764</v>
      </c>
      <c r="Y209" s="323">
        <v>36403735.236026056</v>
      </c>
      <c r="Z209" s="319">
        <v>29556774.967999998</v>
      </c>
      <c r="AA209" s="319">
        <v>589491</v>
      </c>
      <c r="AB209" s="323">
        <v>117732684.4785492</v>
      </c>
      <c r="AC209" s="319">
        <v>95589049.831</v>
      </c>
    </row>
    <row r="210" spans="2:29" hidden="1" outlineLevel="1" x14ac:dyDescent="0.25">
      <c r="B210" s="318">
        <v>44378</v>
      </c>
      <c r="C210" s="319">
        <v>304412</v>
      </c>
      <c r="D210" s="323">
        <v>63144433.961821802</v>
      </c>
      <c r="E210" s="319">
        <v>51682733.987000003</v>
      </c>
      <c r="F210" s="319">
        <v>104136</v>
      </c>
      <c r="G210" s="323">
        <v>21678217.424913052</v>
      </c>
      <c r="H210" s="319">
        <v>17743282.728</v>
      </c>
      <c r="I210" s="319">
        <v>408548</v>
      </c>
      <c r="J210" s="323">
        <v>84822651.386734843</v>
      </c>
      <c r="K210" s="319">
        <v>69426016.715000004</v>
      </c>
      <c r="L210" s="319">
        <v>102344</v>
      </c>
      <c r="M210" s="323">
        <v>20531390.466620401</v>
      </c>
      <c r="N210" s="319">
        <v>16804622.756000001</v>
      </c>
      <c r="O210" s="319">
        <v>78636</v>
      </c>
      <c r="P210" s="323">
        <v>15775168.122163394</v>
      </c>
      <c r="Q210" s="319">
        <v>12911728.976</v>
      </c>
      <c r="R210" s="319">
        <v>180980</v>
      </c>
      <c r="S210" s="323">
        <v>36306558.588783793</v>
      </c>
      <c r="T210" s="319">
        <v>29716351.732000001</v>
      </c>
      <c r="U210" s="319">
        <v>406756</v>
      </c>
      <c r="V210" s="323">
        <v>83675824.428442195</v>
      </c>
      <c r="W210" s="319">
        <v>68487356.743000001</v>
      </c>
      <c r="X210" s="319">
        <v>182772</v>
      </c>
      <c r="Y210" s="323">
        <v>37453385.547076449</v>
      </c>
      <c r="Z210" s="319">
        <v>30655011.704</v>
      </c>
      <c r="AA210" s="319">
        <v>589528</v>
      </c>
      <c r="AB210" s="323">
        <v>121129209.97551864</v>
      </c>
      <c r="AC210" s="319">
        <v>99142368.446999997</v>
      </c>
    </row>
    <row r="211" spans="2:29" hidden="1" outlineLevel="1" x14ac:dyDescent="0.25">
      <c r="B211" s="318">
        <v>44409</v>
      </c>
      <c r="C211" s="319">
        <v>304998</v>
      </c>
      <c r="D211" s="323">
        <v>63080348.464314342</v>
      </c>
      <c r="E211" s="319">
        <v>51815794.846000001</v>
      </c>
      <c r="F211" s="319">
        <v>104304</v>
      </c>
      <c r="G211" s="323">
        <v>21649507.034958672</v>
      </c>
      <c r="H211" s="319">
        <v>17783453.046</v>
      </c>
      <c r="I211" s="319">
        <v>409302</v>
      </c>
      <c r="J211" s="323">
        <v>84729855.499273017</v>
      </c>
      <c r="K211" s="319">
        <v>69599247.892000005</v>
      </c>
      <c r="L211" s="319">
        <v>102353</v>
      </c>
      <c r="M211" s="323">
        <v>20475114.867765132</v>
      </c>
      <c r="N211" s="319">
        <v>16818777.594999999</v>
      </c>
      <c r="O211" s="319">
        <v>78808</v>
      </c>
      <c r="P211" s="323">
        <v>15764748.644714162</v>
      </c>
      <c r="Q211" s="319">
        <v>12949563.556</v>
      </c>
      <c r="R211" s="319">
        <v>181161</v>
      </c>
      <c r="S211" s="323">
        <v>36239863.51247929</v>
      </c>
      <c r="T211" s="319">
        <v>29768341.151000001</v>
      </c>
      <c r="U211" s="319">
        <v>407351</v>
      </c>
      <c r="V211" s="323">
        <v>83555463.33207947</v>
      </c>
      <c r="W211" s="319">
        <v>68634572.441</v>
      </c>
      <c r="X211" s="319">
        <v>183112</v>
      </c>
      <c r="Y211" s="323">
        <v>37414255.67967283</v>
      </c>
      <c r="Z211" s="319">
        <v>30733016.602000002</v>
      </c>
      <c r="AA211" s="319">
        <v>590463</v>
      </c>
      <c r="AB211" s="323">
        <v>120969719.01175231</v>
      </c>
      <c r="AC211" s="319">
        <v>99367589.042999998</v>
      </c>
    </row>
    <row r="212" spans="2:29" hidden="1" outlineLevel="1" x14ac:dyDescent="0.25">
      <c r="B212" s="318">
        <v>44440</v>
      </c>
      <c r="C212" s="319">
        <v>305471</v>
      </c>
      <c r="D212" s="323">
        <v>62436542.185448945</v>
      </c>
      <c r="E212" s="319">
        <v>51891053.582999997</v>
      </c>
      <c r="F212" s="319">
        <v>104316</v>
      </c>
      <c r="G212" s="323">
        <v>21396858.945114795</v>
      </c>
      <c r="H212" s="319">
        <v>17782944.333000001</v>
      </c>
      <c r="I212" s="319">
        <v>409787</v>
      </c>
      <c r="J212" s="323">
        <v>83833401.130563736</v>
      </c>
      <c r="K212" s="319">
        <v>69673997.915999994</v>
      </c>
      <c r="L212" s="319">
        <v>102289</v>
      </c>
      <c r="M212" s="323">
        <v>20224672.612880934</v>
      </c>
      <c r="N212" s="319">
        <v>16808739.458000001</v>
      </c>
      <c r="O212" s="319">
        <v>78880</v>
      </c>
      <c r="P212" s="323">
        <v>15595548.842822649</v>
      </c>
      <c r="Q212" s="319">
        <v>12961471.477</v>
      </c>
      <c r="R212" s="319">
        <v>181169</v>
      </c>
      <c r="S212" s="323">
        <v>35820221.455703586</v>
      </c>
      <c r="T212" s="319">
        <v>29770210.934999999</v>
      </c>
      <c r="U212" s="319">
        <v>407760</v>
      </c>
      <c r="V212" s="323">
        <v>82661214.798329875</v>
      </c>
      <c r="W212" s="319">
        <v>68699793.040999994</v>
      </c>
      <c r="X212" s="319">
        <v>183196</v>
      </c>
      <c r="Y212" s="323">
        <v>36992407.787937447</v>
      </c>
      <c r="Z212" s="319">
        <v>30744415.809999999</v>
      </c>
      <c r="AA212" s="319">
        <v>590956</v>
      </c>
      <c r="AB212" s="323">
        <v>119653622.58626734</v>
      </c>
      <c r="AC212" s="319">
        <v>99444208.850999996</v>
      </c>
    </row>
    <row r="213" spans="2:29" hidden="1" outlineLevel="1" x14ac:dyDescent="0.25">
      <c r="B213" s="318">
        <v>44470</v>
      </c>
      <c r="C213" s="319">
        <v>306429</v>
      </c>
      <c r="D213" s="323">
        <v>61788813.090265051</v>
      </c>
      <c r="E213" s="319">
        <v>52041374.004000001</v>
      </c>
      <c r="F213" s="319">
        <v>104673</v>
      </c>
      <c r="G213" s="323">
        <v>21184375.800484512</v>
      </c>
      <c r="H213" s="319">
        <v>17842453.495000001</v>
      </c>
      <c r="I213" s="319">
        <v>411102</v>
      </c>
      <c r="J213" s="323">
        <v>82973188.890749574</v>
      </c>
      <c r="K213" s="319">
        <v>69883827.498999998</v>
      </c>
      <c r="L213" s="319">
        <v>102399</v>
      </c>
      <c r="M213" s="323">
        <v>19978966.816595811</v>
      </c>
      <c r="N213" s="319">
        <v>16827202.73</v>
      </c>
      <c r="O213" s="319">
        <v>79105</v>
      </c>
      <c r="P213" s="323">
        <v>15432340.466921048</v>
      </c>
      <c r="Q213" s="319">
        <v>12997825.364</v>
      </c>
      <c r="R213" s="319">
        <v>181504</v>
      </c>
      <c r="S213" s="323">
        <v>35411307.283516861</v>
      </c>
      <c r="T213" s="319">
        <v>29825028.094000001</v>
      </c>
      <c r="U213" s="319">
        <v>408828</v>
      </c>
      <c r="V213" s="323">
        <v>81767779.906860873</v>
      </c>
      <c r="W213" s="319">
        <v>68868576.733999997</v>
      </c>
      <c r="X213" s="319">
        <v>183778</v>
      </c>
      <c r="Y213" s="323">
        <v>36616716.267405562</v>
      </c>
      <c r="Z213" s="319">
        <v>30840278.859000001</v>
      </c>
      <c r="AA213" s="319">
        <v>592606</v>
      </c>
      <c r="AB213" s="323">
        <v>118384496.17426643</v>
      </c>
      <c r="AC213" s="319">
        <v>99708855.592999995</v>
      </c>
    </row>
    <row r="214" spans="2:29" hidden="1" outlineLevel="1" x14ac:dyDescent="0.25">
      <c r="B214" s="318">
        <v>44501</v>
      </c>
      <c r="C214" s="319">
        <v>307296</v>
      </c>
      <c r="D214" s="323">
        <v>61646115.60984315</v>
      </c>
      <c r="E214" s="319">
        <v>52180158.678999998</v>
      </c>
      <c r="F214" s="319">
        <v>105079</v>
      </c>
      <c r="G214" s="323">
        <v>21160013.066807225</v>
      </c>
      <c r="H214" s="319">
        <v>17910825.824999999</v>
      </c>
      <c r="I214" s="319">
        <v>412375</v>
      </c>
      <c r="J214" s="323">
        <v>82806128.676650375</v>
      </c>
      <c r="K214" s="319">
        <v>70090984.503999993</v>
      </c>
      <c r="L214" s="319">
        <v>102500</v>
      </c>
      <c r="M214" s="323">
        <v>19900576.400934801</v>
      </c>
      <c r="N214" s="319">
        <v>16844779.660999998</v>
      </c>
      <c r="O214" s="319">
        <v>79398</v>
      </c>
      <c r="P214" s="323">
        <v>15412579.331414312</v>
      </c>
      <c r="Q214" s="319">
        <v>13045928.801999999</v>
      </c>
      <c r="R214" s="319">
        <v>181898</v>
      </c>
      <c r="S214" s="323">
        <v>35313155.732349113</v>
      </c>
      <c r="T214" s="319">
        <v>29890708.463</v>
      </c>
      <c r="U214" s="319">
        <v>409796</v>
      </c>
      <c r="V214" s="323">
        <v>81546692.01077795</v>
      </c>
      <c r="W214" s="319">
        <v>69024938.340000004</v>
      </c>
      <c r="X214" s="319">
        <v>184477</v>
      </c>
      <c r="Y214" s="323">
        <v>36572592.398221537</v>
      </c>
      <c r="Z214" s="319">
        <v>30956754.627</v>
      </c>
      <c r="AA214" s="319">
        <v>594273</v>
      </c>
      <c r="AB214" s="323">
        <v>118119284.40899949</v>
      </c>
      <c r="AC214" s="319">
        <v>99981692.966999993</v>
      </c>
    </row>
    <row r="215" spans="2:29" hidden="1" outlineLevel="1" x14ac:dyDescent="0.25">
      <c r="B215" s="318">
        <v>44531</v>
      </c>
      <c r="C215" s="319">
        <v>308126</v>
      </c>
      <c r="D215" s="323">
        <v>61316141.862699255</v>
      </c>
      <c r="E215" s="319">
        <v>52306407.840999998</v>
      </c>
      <c r="F215" s="319">
        <v>105397</v>
      </c>
      <c r="G215" s="323">
        <v>21055403.80909178</v>
      </c>
      <c r="H215" s="319">
        <v>17961543.329999998</v>
      </c>
      <c r="I215" s="319">
        <v>413523</v>
      </c>
      <c r="J215" s="323">
        <v>82371545.671791047</v>
      </c>
      <c r="K215" s="319">
        <v>70267951.171000004</v>
      </c>
      <c r="L215" s="319">
        <v>102539</v>
      </c>
      <c r="M215" s="323">
        <v>19752733.327309888</v>
      </c>
      <c r="N215" s="319">
        <v>16850285.977000002</v>
      </c>
      <c r="O215" s="319">
        <v>79548</v>
      </c>
      <c r="P215" s="323">
        <v>15324754.645954525</v>
      </c>
      <c r="Q215" s="319">
        <v>13072950.16</v>
      </c>
      <c r="R215" s="319">
        <v>182087</v>
      </c>
      <c r="S215" s="323">
        <v>35077487.973264411</v>
      </c>
      <c r="T215" s="319">
        <v>29923236.136999998</v>
      </c>
      <c r="U215" s="319">
        <v>410665</v>
      </c>
      <c r="V215" s="323">
        <v>81068875.190009147</v>
      </c>
      <c r="W215" s="319">
        <v>69156693.818000004</v>
      </c>
      <c r="X215" s="319">
        <v>184945</v>
      </c>
      <c r="Y215" s="323">
        <v>36380158.455046311</v>
      </c>
      <c r="Z215" s="319">
        <v>31034493.489999998</v>
      </c>
      <c r="AA215" s="319">
        <v>595610</v>
      </c>
      <c r="AB215" s="323">
        <v>117449033.64505544</v>
      </c>
      <c r="AC215" s="319">
        <v>100191187.308</v>
      </c>
    </row>
    <row r="216" spans="2:29" collapsed="1" x14ac:dyDescent="0.25">
      <c r="B216" s="321" t="s">
        <v>703</v>
      </c>
      <c r="C216" s="322">
        <v>305054.41666666669</v>
      </c>
      <c r="D216" s="324">
        <v>61953389.331083834</v>
      </c>
      <c r="E216" s="322"/>
      <c r="F216" s="322">
        <v>104587.16666666667</v>
      </c>
      <c r="G216" s="324">
        <v>21315913.094900426</v>
      </c>
      <c r="H216" s="322"/>
      <c r="I216" s="322">
        <v>409641.58333333331</v>
      </c>
      <c r="J216" s="324">
        <v>83269302.425984263</v>
      </c>
      <c r="K216" s="322"/>
      <c r="L216" s="322">
        <v>102460.83333333333</v>
      </c>
      <c r="M216" s="324">
        <v>20126684.906101413</v>
      </c>
      <c r="N216" s="322"/>
      <c r="O216" s="322">
        <v>78655.75</v>
      </c>
      <c r="P216" s="324">
        <v>15449948.162855079</v>
      </c>
      <c r="Q216" s="322"/>
      <c r="R216" s="322">
        <v>181116.58333333334</v>
      </c>
      <c r="S216" s="324">
        <v>35576633.068956494</v>
      </c>
      <c r="T216" s="322"/>
      <c r="U216" s="322">
        <v>407515.25</v>
      </c>
      <c r="V216" s="324">
        <v>82080074.23718524</v>
      </c>
      <c r="W216" s="322"/>
      <c r="X216" s="322">
        <v>183242.91666666666</v>
      </c>
      <c r="Y216" s="324">
        <v>36765861.257755511</v>
      </c>
      <c r="Z216" s="322"/>
      <c r="AA216" s="322">
        <v>590758.16666666663</v>
      </c>
      <c r="AB216" s="324">
        <v>118845935.49494077</v>
      </c>
      <c r="AC216" s="322"/>
    </row>
    <row r="217" spans="2:29" hidden="1" outlineLevel="1" x14ac:dyDescent="0.25">
      <c r="B217" s="318">
        <v>44562</v>
      </c>
      <c r="C217" s="319">
        <v>309032</v>
      </c>
      <c r="D217" s="323">
        <v>62915122.707933098</v>
      </c>
      <c r="E217" s="319">
        <v>54315078.549999997</v>
      </c>
      <c r="F217" s="319">
        <v>105909</v>
      </c>
      <c r="G217" s="323">
        <v>21598659.043128859</v>
      </c>
      <c r="H217" s="319">
        <v>18646277.905999999</v>
      </c>
      <c r="I217" s="319">
        <v>414941</v>
      </c>
      <c r="J217" s="323">
        <v>84513781.751061961</v>
      </c>
      <c r="K217" s="319">
        <v>72961356.456</v>
      </c>
      <c r="L217" s="319">
        <v>102612</v>
      </c>
      <c r="M217" s="323">
        <v>20925957.86718794</v>
      </c>
      <c r="N217" s="319">
        <v>18065530.136</v>
      </c>
      <c r="O217" s="319">
        <v>79732</v>
      </c>
      <c r="P217" s="323">
        <v>16259458.974842669</v>
      </c>
      <c r="Q217" s="319">
        <v>14036908.034</v>
      </c>
      <c r="R217" s="319">
        <v>182344</v>
      </c>
      <c r="S217" s="323">
        <v>37185416.842030607</v>
      </c>
      <c r="T217" s="319">
        <v>32102438.170000002</v>
      </c>
      <c r="U217" s="319">
        <v>411644</v>
      </c>
      <c r="V217" s="323">
        <v>83841080.57512103</v>
      </c>
      <c r="W217" s="319">
        <v>72380608.686000004</v>
      </c>
      <c r="X217" s="319">
        <v>185641</v>
      </c>
      <c r="Y217" s="323">
        <v>37858118.017971531</v>
      </c>
      <c r="Z217" s="319">
        <v>32683185.940000001</v>
      </c>
      <c r="AA217" s="319">
        <v>597285</v>
      </c>
      <c r="AB217" s="323">
        <v>121699198.59309256</v>
      </c>
      <c r="AC217" s="319">
        <v>105063794.626</v>
      </c>
    </row>
    <row r="218" spans="2:29" hidden="1" outlineLevel="1" x14ac:dyDescent="0.25">
      <c r="B218" s="318">
        <v>44593</v>
      </c>
      <c r="C218" s="319"/>
      <c r="D218" s="323"/>
      <c r="E218" s="319"/>
      <c r="F218" s="319"/>
      <c r="G218" s="323"/>
      <c r="H218" s="319"/>
      <c r="I218" s="319"/>
      <c r="J218" s="323"/>
      <c r="K218" s="319"/>
      <c r="L218" s="319">
        <v>102691</v>
      </c>
      <c r="M218" s="323">
        <v>21936661.050805517</v>
      </c>
      <c r="N218" s="319">
        <v>18992871.736000001</v>
      </c>
      <c r="O218" s="319">
        <v>79908</v>
      </c>
      <c r="P218" s="323">
        <v>17069504.856273696</v>
      </c>
      <c r="Q218" s="319">
        <v>14778863.364</v>
      </c>
      <c r="R218" s="319">
        <v>182599</v>
      </c>
      <c r="S218" s="323">
        <v>39006165.907079205</v>
      </c>
      <c r="T218" s="319">
        <v>33771735.100000001</v>
      </c>
      <c r="U218" s="319">
        <v>102691</v>
      </c>
      <c r="V218" s="323">
        <v>21936661.050805517</v>
      </c>
      <c r="W218" s="319">
        <v>18992871.736000001</v>
      </c>
      <c r="X218" s="319">
        <v>79908</v>
      </c>
      <c r="Y218" s="323">
        <v>17069504.856273696</v>
      </c>
      <c r="Z218" s="319">
        <v>14778863.364</v>
      </c>
      <c r="AA218" s="319">
        <v>182599</v>
      </c>
      <c r="AB218" s="323">
        <v>39006165.907079205</v>
      </c>
      <c r="AC218" s="319">
        <v>33771735.100000001</v>
      </c>
    </row>
    <row r="219" spans="2:29" hidden="1" outlineLevel="1" x14ac:dyDescent="0.25">
      <c r="B219" s="318">
        <v>44621</v>
      </c>
      <c r="C219" s="319"/>
      <c r="D219" s="323"/>
      <c r="E219" s="319"/>
      <c r="F219" s="319"/>
      <c r="G219" s="323"/>
      <c r="H219" s="319"/>
      <c r="I219" s="319"/>
      <c r="J219" s="323"/>
      <c r="K219" s="319"/>
      <c r="L219" s="319">
        <v>102784</v>
      </c>
      <c r="M219" s="323">
        <v>21556626.150845829</v>
      </c>
      <c r="N219" s="319">
        <v>19009957.752999999</v>
      </c>
      <c r="O219" s="319">
        <v>80074</v>
      </c>
      <c r="P219" s="323">
        <v>16792582.742474027</v>
      </c>
      <c r="Q219" s="319">
        <v>14808731.49</v>
      </c>
      <c r="R219" s="319">
        <v>182858</v>
      </c>
      <c r="S219" s="323">
        <v>38349208.893319853</v>
      </c>
      <c r="T219" s="319">
        <v>33818689.243000001</v>
      </c>
      <c r="U219" s="319">
        <v>102784</v>
      </c>
      <c r="V219" s="323">
        <v>21556626.150845829</v>
      </c>
      <c r="W219" s="319">
        <v>19009957.752999999</v>
      </c>
      <c r="X219" s="319">
        <v>80074</v>
      </c>
      <c r="Y219" s="323">
        <v>16792582.742474027</v>
      </c>
      <c r="Z219" s="319">
        <v>14808731.49</v>
      </c>
      <c r="AA219" s="319">
        <v>182858</v>
      </c>
      <c r="AB219" s="323">
        <v>38349208.893319853</v>
      </c>
      <c r="AC219" s="319">
        <v>33818689.243000001</v>
      </c>
    </row>
    <row r="220" spans="2:29" hidden="1" outlineLevel="1" x14ac:dyDescent="0.25">
      <c r="B220" s="318">
        <v>44652</v>
      </c>
      <c r="C220" s="319"/>
      <c r="D220" s="323"/>
      <c r="E220" s="319"/>
      <c r="F220" s="319"/>
      <c r="G220" s="323"/>
      <c r="H220" s="319"/>
      <c r="I220" s="319"/>
      <c r="J220" s="323"/>
      <c r="K220" s="319"/>
      <c r="L220" s="319">
        <v>102632</v>
      </c>
      <c r="M220" s="323">
        <v>21227751.254026212</v>
      </c>
      <c r="N220" s="319">
        <v>18981692.515000001</v>
      </c>
      <c r="O220" s="319">
        <v>80110</v>
      </c>
      <c r="P220" s="323">
        <v>16568443.664381344</v>
      </c>
      <c r="Q220" s="319">
        <v>14815375.369999999</v>
      </c>
      <c r="R220" s="319">
        <v>182742</v>
      </c>
      <c r="S220" s="323">
        <v>37796194.918407552</v>
      </c>
      <c r="T220" s="319">
        <v>33797067.884999998</v>
      </c>
      <c r="U220" s="319">
        <v>102632</v>
      </c>
      <c r="V220" s="323">
        <v>21227751.254026212</v>
      </c>
      <c r="W220" s="319">
        <v>18981692.515000001</v>
      </c>
      <c r="X220" s="319">
        <v>80110</v>
      </c>
      <c r="Y220" s="323">
        <v>16568443.664381344</v>
      </c>
      <c r="Z220" s="319">
        <v>14815375.369999999</v>
      </c>
      <c r="AA220" s="319">
        <v>182742</v>
      </c>
      <c r="AB220" s="323">
        <v>37796194.918407552</v>
      </c>
      <c r="AC220" s="319">
        <v>33797067.884999998</v>
      </c>
    </row>
    <row r="221" spans="2:29" hidden="1" outlineLevel="1" x14ac:dyDescent="0.25">
      <c r="B221" s="318">
        <v>44682</v>
      </c>
      <c r="C221" s="319"/>
      <c r="D221" s="323"/>
      <c r="E221" s="319"/>
      <c r="F221" s="319"/>
      <c r="G221" s="323"/>
      <c r="H221" s="319"/>
      <c r="I221" s="319"/>
      <c r="J221" s="323"/>
      <c r="K221" s="319"/>
      <c r="L221" s="319">
        <v>102856</v>
      </c>
      <c r="M221" s="323">
        <v>21021099.662568804</v>
      </c>
      <c r="N221" s="319">
        <v>19022253.818</v>
      </c>
      <c r="O221" s="319">
        <v>80398</v>
      </c>
      <c r="P221" s="323">
        <v>16430275.775814561</v>
      </c>
      <c r="Q221" s="319">
        <v>14867960.341</v>
      </c>
      <c r="R221" s="319">
        <v>183254</v>
      </c>
      <c r="S221" s="323">
        <v>37451375.438383371</v>
      </c>
      <c r="T221" s="319">
        <v>33890214.159000002</v>
      </c>
      <c r="U221" s="319">
        <v>102856</v>
      </c>
      <c r="V221" s="323">
        <v>21021099.662568804</v>
      </c>
      <c r="W221" s="319">
        <v>19022253.818</v>
      </c>
      <c r="X221" s="319">
        <v>80398</v>
      </c>
      <c r="Y221" s="323">
        <v>16430275.775814561</v>
      </c>
      <c r="Z221" s="319">
        <v>14867960.341</v>
      </c>
      <c r="AA221" s="319">
        <v>183254</v>
      </c>
      <c r="AB221" s="323">
        <v>37451375.438383371</v>
      </c>
      <c r="AC221" s="319">
        <v>33890214.159000002</v>
      </c>
    </row>
    <row r="222" spans="2:29" hidden="1" outlineLevel="1" x14ac:dyDescent="0.25">
      <c r="B222" s="318">
        <v>44713</v>
      </c>
      <c r="C222" s="319"/>
      <c r="D222" s="323"/>
      <c r="E222" s="319"/>
      <c r="F222" s="319"/>
      <c r="G222" s="323"/>
      <c r="H222" s="319"/>
      <c r="I222" s="319"/>
      <c r="J222" s="323"/>
      <c r="K222" s="319"/>
      <c r="L222" s="319">
        <v>103404</v>
      </c>
      <c r="M222" s="323">
        <v>20937596.010687292</v>
      </c>
      <c r="N222" s="319">
        <v>19123392.921</v>
      </c>
      <c r="O222" s="319">
        <v>80766</v>
      </c>
      <c r="P222" s="323">
        <v>16352534.158059057</v>
      </c>
      <c r="Q222" s="319">
        <v>14935618.005000001</v>
      </c>
      <c r="R222" s="319">
        <v>184170</v>
      </c>
      <c r="S222" s="323">
        <v>37290130.168746345</v>
      </c>
      <c r="T222" s="319">
        <v>34059010.925999999</v>
      </c>
      <c r="U222" s="319">
        <v>103404</v>
      </c>
      <c r="V222" s="323">
        <v>20937596.010687292</v>
      </c>
      <c r="W222" s="319">
        <v>19123392.921</v>
      </c>
      <c r="X222" s="319">
        <v>80766</v>
      </c>
      <c r="Y222" s="323">
        <v>16352534.158059057</v>
      </c>
      <c r="Z222" s="319">
        <v>14935618.005000001</v>
      </c>
      <c r="AA222" s="319">
        <v>184170</v>
      </c>
      <c r="AB222" s="323">
        <v>37290130.168746345</v>
      </c>
      <c r="AC222" s="319">
        <v>34059010.925999999</v>
      </c>
    </row>
    <row r="223" spans="2:29" hidden="1" outlineLevel="1" x14ac:dyDescent="0.25">
      <c r="B223" s="318">
        <v>44743</v>
      </c>
      <c r="C223" s="319"/>
      <c r="D223" s="323"/>
      <c r="E223" s="319"/>
      <c r="F223" s="319"/>
      <c r="G223" s="323"/>
      <c r="H223" s="319"/>
      <c r="I223" s="319"/>
      <c r="J223" s="323"/>
      <c r="K223" s="319"/>
      <c r="L223" s="319">
        <v>103650</v>
      </c>
      <c r="M223" s="323">
        <v>21700852.538379174</v>
      </c>
      <c r="N223" s="319">
        <v>20092998.521000002</v>
      </c>
      <c r="O223" s="319">
        <v>81031</v>
      </c>
      <c r="P223" s="323">
        <v>16963717.013340607</v>
      </c>
      <c r="Q223" s="319">
        <v>15706845.630000001</v>
      </c>
      <c r="R223" s="319">
        <v>184681</v>
      </c>
      <c r="S223" s="323">
        <v>38664569.551719777</v>
      </c>
      <c r="T223" s="319">
        <v>35799844.151000001</v>
      </c>
      <c r="U223" s="319">
        <v>103650</v>
      </c>
      <c r="V223" s="323">
        <v>21700852.538379174</v>
      </c>
      <c r="W223" s="319">
        <v>20092998.521000002</v>
      </c>
      <c r="X223" s="319">
        <v>81031</v>
      </c>
      <c r="Y223" s="323">
        <v>16963717.013340607</v>
      </c>
      <c r="Z223" s="319">
        <v>15706845.630000001</v>
      </c>
      <c r="AA223" s="319">
        <v>184681</v>
      </c>
      <c r="AB223" s="323">
        <v>38664569.551719777</v>
      </c>
      <c r="AC223" s="319">
        <v>35799844.151000001</v>
      </c>
    </row>
    <row r="224" spans="2:29" hidden="1" outlineLevel="1" x14ac:dyDescent="0.25">
      <c r="B224" s="318">
        <v>44774</v>
      </c>
      <c r="C224" s="319"/>
      <c r="D224" s="323"/>
      <c r="E224" s="319"/>
      <c r="F224" s="319"/>
      <c r="G224" s="323"/>
      <c r="H224" s="319"/>
      <c r="I224" s="319"/>
      <c r="J224" s="323"/>
      <c r="K224" s="319"/>
      <c r="L224" s="319">
        <v>103890</v>
      </c>
      <c r="M224" s="323">
        <v>21490088.46644507</v>
      </c>
      <c r="N224" s="319">
        <v>20138797.901000001</v>
      </c>
      <c r="O224" s="319">
        <v>81219</v>
      </c>
      <c r="P224" s="323">
        <v>16799697.836235221</v>
      </c>
      <c r="Q224" s="319">
        <v>15743337.681</v>
      </c>
      <c r="R224" s="319">
        <v>185109</v>
      </c>
      <c r="S224" s="323">
        <v>38289786.302680291</v>
      </c>
      <c r="T224" s="319">
        <v>35882135.582000002</v>
      </c>
      <c r="U224" s="319">
        <v>103890</v>
      </c>
      <c r="V224" s="323">
        <v>21490088.46644507</v>
      </c>
      <c r="W224" s="319">
        <v>20138797.901000001</v>
      </c>
      <c r="X224" s="319">
        <v>81219</v>
      </c>
      <c r="Y224" s="323">
        <v>16799697.836235221</v>
      </c>
      <c r="Z224" s="319">
        <v>15743337.681</v>
      </c>
      <c r="AA224" s="319">
        <v>185109</v>
      </c>
      <c r="AB224" s="323">
        <v>38289786.302680291</v>
      </c>
      <c r="AC224" s="319">
        <v>35882135.582000002</v>
      </c>
    </row>
    <row r="225" spans="2:29" hidden="1" outlineLevel="1" x14ac:dyDescent="0.25">
      <c r="B225" s="318">
        <v>44805</v>
      </c>
      <c r="C225" s="319"/>
      <c r="D225" s="323"/>
      <c r="E225" s="319"/>
      <c r="F225" s="319"/>
      <c r="G225" s="323"/>
      <c r="H225" s="319"/>
      <c r="I225" s="319"/>
      <c r="J225" s="323"/>
      <c r="K225" s="319"/>
      <c r="L225" s="319">
        <v>103948</v>
      </c>
      <c r="M225" s="323">
        <v>21316585.50932838</v>
      </c>
      <c r="N225" s="319">
        <v>20148903.199000001</v>
      </c>
      <c r="O225" s="319">
        <v>81350</v>
      </c>
      <c r="P225" s="323">
        <v>16681581.142607387</v>
      </c>
      <c r="Q225" s="319">
        <v>15767795.620999999</v>
      </c>
      <c r="R225" s="319">
        <v>185298</v>
      </c>
      <c r="S225" s="323">
        <v>37998166.651935771</v>
      </c>
      <c r="T225" s="319">
        <v>35916698.82</v>
      </c>
      <c r="U225" s="319">
        <v>103948</v>
      </c>
      <c r="V225" s="323">
        <v>21316585.50932838</v>
      </c>
      <c r="W225" s="319">
        <v>20148903.199000001</v>
      </c>
      <c r="X225" s="319">
        <v>81350</v>
      </c>
      <c r="Y225" s="323">
        <v>16681581.142607387</v>
      </c>
      <c r="Z225" s="319">
        <v>15767795.620999999</v>
      </c>
      <c r="AA225" s="319">
        <v>185298</v>
      </c>
      <c r="AB225" s="323">
        <v>37998166.651935771</v>
      </c>
      <c r="AC225" s="319">
        <v>35916698.82</v>
      </c>
    </row>
    <row r="226" spans="2:29" hidden="1" outlineLevel="1" x14ac:dyDescent="0.25">
      <c r="B226" s="318">
        <v>44835</v>
      </c>
      <c r="C226" s="319"/>
      <c r="D226" s="323"/>
      <c r="E226" s="319"/>
      <c r="F226" s="319"/>
      <c r="G226" s="323"/>
      <c r="H226" s="319"/>
      <c r="I226" s="319"/>
      <c r="J226" s="323"/>
      <c r="K226" s="319"/>
      <c r="L226" s="319">
        <v>103979</v>
      </c>
      <c r="M226" s="323">
        <v>21213140.194503225</v>
      </c>
      <c r="N226" s="319">
        <v>20154801.070999999</v>
      </c>
      <c r="O226" s="319">
        <v>81414</v>
      </c>
      <c r="P226" s="323">
        <v>16608704.024780499</v>
      </c>
      <c r="Q226" s="319">
        <v>15780083.598999999</v>
      </c>
      <c r="R226" s="319">
        <v>185393</v>
      </c>
      <c r="S226" s="323">
        <v>37821844.219283722</v>
      </c>
      <c r="T226" s="319">
        <v>35934884.670000002</v>
      </c>
      <c r="U226" s="319">
        <v>103979</v>
      </c>
      <c r="V226" s="323">
        <v>21213140.194503225</v>
      </c>
      <c r="W226" s="319">
        <v>20154801.070999999</v>
      </c>
      <c r="X226" s="319">
        <v>81414</v>
      </c>
      <c r="Y226" s="323">
        <v>16608704.024780499</v>
      </c>
      <c r="Z226" s="319">
        <v>15780083.598999999</v>
      </c>
      <c r="AA226" s="319">
        <v>185393</v>
      </c>
      <c r="AB226" s="323">
        <v>37821844.219283722</v>
      </c>
      <c r="AC226" s="319">
        <v>35934884.670000002</v>
      </c>
    </row>
    <row r="227" spans="2:29" hidden="1" outlineLevel="1" x14ac:dyDescent="0.25">
      <c r="B227" s="318">
        <v>44866</v>
      </c>
      <c r="C227" s="319"/>
      <c r="D227" s="323"/>
      <c r="E227" s="319"/>
      <c r="F227" s="319"/>
      <c r="G227" s="323"/>
      <c r="H227" s="319"/>
      <c r="I227" s="319"/>
      <c r="J227" s="323"/>
      <c r="K227" s="319"/>
      <c r="L227" s="319">
        <v>103866</v>
      </c>
      <c r="M227" s="323">
        <v>20985253.198400199</v>
      </c>
      <c r="N227" s="319">
        <v>20132730.649</v>
      </c>
      <c r="O227" s="319">
        <v>81490</v>
      </c>
      <c r="P227" s="323">
        <v>16463263.644170998</v>
      </c>
      <c r="Q227" s="319">
        <v>15794446.196</v>
      </c>
      <c r="R227" s="319">
        <v>185356</v>
      </c>
      <c r="S227" s="323">
        <v>37448516.842571199</v>
      </c>
      <c r="T227" s="319">
        <v>35927176.844999999</v>
      </c>
      <c r="U227" s="319">
        <v>103866</v>
      </c>
      <c r="V227" s="323">
        <v>20985253.198400199</v>
      </c>
      <c r="W227" s="319">
        <v>20132730.649</v>
      </c>
      <c r="X227" s="319">
        <v>81490</v>
      </c>
      <c r="Y227" s="323">
        <v>16463263.644170998</v>
      </c>
      <c r="Z227" s="319">
        <v>15794446.196</v>
      </c>
      <c r="AA227" s="319">
        <v>185356</v>
      </c>
      <c r="AB227" s="323">
        <v>37448516.842571199</v>
      </c>
      <c r="AC227" s="319">
        <v>35927176.844999999</v>
      </c>
    </row>
    <row r="228" spans="2:29" hidden="1" outlineLevel="1" x14ac:dyDescent="0.25">
      <c r="B228" s="318">
        <v>44896</v>
      </c>
      <c r="C228" s="319"/>
      <c r="D228" s="323"/>
      <c r="E228" s="319"/>
      <c r="F228" s="319"/>
      <c r="G228" s="323"/>
      <c r="H228" s="319"/>
      <c r="I228" s="319"/>
      <c r="J228" s="323"/>
      <c r="K228" s="319"/>
      <c r="L228" s="319">
        <v>103979</v>
      </c>
      <c r="M228" s="323">
        <v>20947838.151537929</v>
      </c>
      <c r="N228" s="319">
        <v>20153837.159000002</v>
      </c>
      <c r="O228" s="319">
        <v>81605</v>
      </c>
      <c r="P228" s="323">
        <v>16439296.673613248</v>
      </c>
      <c r="Q228" s="319">
        <v>15816186.175000001</v>
      </c>
      <c r="R228" s="319">
        <v>185584</v>
      </c>
      <c r="S228" s="323">
        <v>37387134.825151175</v>
      </c>
      <c r="T228" s="319">
        <v>35970023.333999999</v>
      </c>
      <c r="U228" s="319">
        <v>103979</v>
      </c>
      <c r="V228" s="323">
        <v>20947838.151537929</v>
      </c>
      <c r="W228" s="319">
        <v>20153837.159000002</v>
      </c>
      <c r="X228" s="319">
        <v>81605</v>
      </c>
      <c r="Y228" s="323">
        <v>16439296.673613248</v>
      </c>
      <c r="Z228" s="319">
        <v>15816186.175000001</v>
      </c>
      <c r="AA228" s="319">
        <v>185584</v>
      </c>
      <c r="AB228" s="323">
        <v>37387134.825151175</v>
      </c>
      <c r="AC228" s="319">
        <v>35970023.333999999</v>
      </c>
    </row>
    <row r="229" spans="2:29" collapsed="1" x14ac:dyDescent="0.25">
      <c r="B229" s="321" t="s">
        <v>704</v>
      </c>
      <c r="C229" s="322">
        <v>309032</v>
      </c>
      <c r="D229" s="324">
        <v>62915122.707933098</v>
      </c>
      <c r="E229" s="322"/>
      <c r="F229" s="322">
        <v>105909</v>
      </c>
      <c r="G229" s="324">
        <v>21598659.043128859</v>
      </c>
      <c r="H229" s="322"/>
      <c r="I229" s="322">
        <v>414941</v>
      </c>
      <c r="J229" s="324">
        <v>84513781.751061961</v>
      </c>
      <c r="K229" s="322"/>
      <c r="L229" s="322">
        <v>103357.58333333333</v>
      </c>
      <c r="M229" s="324">
        <v>21271620.837892961</v>
      </c>
      <c r="N229" s="322"/>
      <c r="O229" s="322">
        <v>80758.083333333328</v>
      </c>
      <c r="P229" s="324">
        <v>16619088.375549445</v>
      </c>
      <c r="Q229" s="322"/>
      <c r="R229" s="322">
        <v>184115.66666666666</v>
      </c>
      <c r="S229" s="324">
        <v>37890709.213442408</v>
      </c>
      <c r="T229" s="322"/>
      <c r="U229" s="322">
        <v>129110.25</v>
      </c>
      <c r="V229" s="324">
        <v>26514547.730220724</v>
      </c>
      <c r="W229" s="322"/>
      <c r="X229" s="322">
        <v>89583.833333333328</v>
      </c>
      <c r="Y229" s="324">
        <v>18418976.629143517</v>
      </c>
      <c r="Z229" s="322"/>
      <c r="AA229" s="322">
        <v>218694.08333333334</v>
      </c>
      <c r="AB229" s="324">
        <v>44933524.359364234</v>
      </c>
      <c r="AC229" s="322"/>
    </row>
    <row r="230" spans="2:29" outlineLevel="1" x14ac:dyDescent="0.25">
      <c r="B230" s="318">
        <v>44927</v>
      </c>
      <c r="C230" s="319"/>
      <c r="D230" s="323"/>
      <c r="E230" s="319"/>
      <c r="F230" s="319"/>
      <c r="G230" s="323"/>
      <c r="H230" s="319"/>
      <c r="I230" s="319"/>
      <c r="J230" s="323"/>
      <c r="K230" s="319"/>
      <c r="L230" s="319">
        <v>104230</v>
      </c>
      <c r="M230" s="323">
        <v>20830070.470036034</v>
      </c>
      <c r="N230" s="319">
        <v>20201881.583999999</v>
      </c>
      <c r="O230" s="319">
        <v>81876</v>
      </c>
      <c r="P230" s="323">
        <v>16361963.283865761</v>
      </c>
      <c r="Q230" s="319">
        <v>15868522.635</v>
      </c>
      <c r="R230" s="319">
        <v>186106</v>
      </c>
      <c r="S230" s="323">
        <v>37192033.753901795</v>
      </c>
      <c r="T230" s="319">
        <v>36070404.218999997</v>
      </c>
      <c r="U230" s="319">
        <v>104230</v>
      </c>
      <c r="V230" s="323">
        <v>20830070.470036034</v>
      </c>
      <c r="W230" s="319">
        <v>20201881.583999999</v>
      </c>
      <c r="X230" s="319">
        <v>81876</v>
      </c>
      <c r="Y230" s="323">
        <v>16361963.283865761</v>
      </c>
      <c r="Z230" s="319">
        <v>15868522.635</v>
      </c>
      <c r="AA230" s="319">
        <v>186106</v>
      </c>
      <c r="AB230" s="323">
        <v>37192033.753901795</v>
      </c>
      <c r="AC230" s="319">
        <v>36070404.218999997</v>
      </c>
    </row>
    <row r="231" spans="2:29" outlineLevel="1" x14ac:dyDescent="0.25">
      <c r="B231" s="318">
        <v>44958</v>
      </c>
      <c r="C231" s="319"/>
      <c r="D231" s="323"/>
      <c r="E231" s="319"/>
      <c r="F231" s="319"/>
      <c r="G231" s="323"/>
      <c r="H231" s="319"/>
      <c r="I231" s="319"/>
      <c r="J231" s="323"/>
      <c r="K231" s="319"/>
      <c r="L231" s="319">
        <v>104475</v>
      </c>
      <c r="M231" s="323">
        <v>22213450.911999583</v>
      </c>
      <c r="N231" s="319">
        <v>21529706.804000001</v>
      </c>
      <c r="O231" s="319">
        <v>82037</v>
      </c>
      <c r="P231" s="323">
        <v>17442266.13544314</v>
      </c>
      <c r="Q231" s="319">
        <v>16905382.120999999</v>
      </c>
      <c r="R231" s="319">
        <v>186512</v>
      </c>
      <c r="S231" s="323">
        <v>39655717.047442719</v>
      </c>
      <c r="T231" s="319">
        <v>38435088.924999997</v>
      </c>
      <c r="U231" s="319">
        <v>104475</v>
      </c>
      <c r="V231" s="323">
        <v>22213450.911999583</v>
      </c>
      <c r="W231" s="319">
        <v>21529706.804000001</v>
      </c>
      <c r="X231" s="319">
        <v>82037</v>
      </c>
      <c r="Y231" s="323">
        <v>17442266.13544314</v>
      </c>
      <c r="Z231" s="319">
        <v>16905382.120999999</v>
      </c>
      <c r="AA231" s="319">
        <v>186512</v>
      </c>
      <c r="AB231" s="323">
        <v>39655717.047442719</v>
      </c>
      <c r="AC231" s="319">
        <v>38435088.924999997</v>
      </c>
    </row>
    <row r="232" spans="2:29" outlineLevel="1" x14ac:dyDescent="0.25">
      <c r="B232" s="318">
        <v>44986</v>
      </c>
      <c r="C232" s="319"/>
      <c r="D232" s="323"/>
      <c r="E232" s="319"/>
      <c r="F232" s="319"/>
      <c r="G232" s="323"/>
      <c r="H232" s="319"/>
      <c r="I232" s="319"/>
      <c r="J232" s="323"/>
      <c r="K232" s="319"/>
      <c r="L232" s="319">
        <v>104804</v>
      </c>
      <c r="M232" s="323">
        <v>22043265.783784453</v>
      </c>
      <c r="N232" s="319">
        <v>21596971.883000001</v>
      </c>
      <c r="O232" s="319">
        <v>82313</v>
      </c>
      <c r="P232" s="323">
        <v>17312805.597770676</v>
      </c>
      <c r="Q232" s="319">
        <v>16962285.868999999</v>
      </c>
      <c r="R232" s="319">
        <v>187117</v>
      </c>
      <c r="S232" s="323">
        <v>39356071.381555133</v>
      </c>
      <c r="T232" s="319">
        <v>38559257.751999997</v>
      </c>
      <c r="U232" s="319">
        <v>104804</v>
      </c>
      <c r="V232" s="323">
        <v>22043265.783784453</v>
      </c>
      <c r="W232" s="319">
        <v>21596971.883000001</v>
      </c>
      <c r="X232" s="319">
        <v>82313</v>
      </c>
      <c r="Y232" s="323">
        <v>17312805.597770676</v>
      </c>
      <c r="Z232" s="319">
        <v>16962285.868999999</v>
      </c>
      <c r="AA232" s="319">
        <v>187117</v>
      </c>
      <c r="AB232" s="323">
        <v>39356071.381555133</v>
      </c>
      <c r="AC232" s="319">
        <v>38559257.751999997</v>
      </c>
    </row>
    <row r="233" spans="2:29" outlineLevel="1" x14ac:dyDescent="0.25">
      <c r="B233" s="318">
        <v>45017</v>
      </c>
      <c r="C233" s="319"/>
      <c r="D233" s="323"/>
      <c r="E233" s="319"/>
      <c r="F233" s="319"/>
      <c r="G233" s="323"/>
      <c r="H233" s="319"/>
      <c r="I233" s="319"/>
      <c r="J233" s="323"/>
      <c r="K233" s="319"/>
      <c r="L233" s="319">
        <v>105039</v>
      </c>
      <c r="M233" s="323">
        <v>22023506.550860848</v>
      </c>
      <c r="N233" s="319">
        <v>21644219.971000001</v>
      </c>
      <c r="O233" s="319">
        <v>82539</v>
      </c>
      <c r="P233" s="323">
        <v>17306223.138864979</v>
      </c>
      <c r="Q233" s="319">
        <v>17008177.131999999</v>
      </c>
      <c r="R233" s="319">
        <v>187578</v>
      </c>
      <c r="S233" s="323">
        <v>39329729.689725831</v>
      </c>
      <c r="T233" s="319">
        <v>38652397.103</v>
      </c>
      <c r="U233" s="319">
        <v>105039</v>
      </c>
      <c r="V233" s="323">
        <v>22023506.550860848</v>
      </c>
      <c r="W233" s="319">
        <v>21644219.971000001</v>
      </c>
      <c r="X233" s="319">
        <v>82539</v>
      </c>
      <c r="Y233" s="323">
        <v>17306223.138864979</v>
      </c>
      <c r="Z233" s="319">
        <v>17008177.131999999</v>
      </c>
      <c r="AA233" s="319">
        <v>187578</v>
      </c>
      <c r="AB233" s="323">
        <v>39329729.689725831</v>
      </c>
      <c r="AC233" s="319">
        <v>38652397.103</v>
      </c>
    </row>
    <row r="234" spans="2:29" outlineLevel="1" x14ac:dyDescent="0.25">
      <c r="B234" s="318">
        <v>45047</v>
      </c>
      <c r="C234" s="319"/>
      <c r="D234" s="323"/>
      <c r="E234" s="319"/>
      <c r="F234" s="319"/>
      <c r="G234" s="323"/>
      <c r="H234" s="319"/>
      <c r="I234" s="319"/>
      <c r="J234" s="323"/>
      <c r="K234" s="319"/>
      <c r="L234" s="319">
        <v>105332</v>
      </c>
      <c r="M234" s="323">
        <v>22059860.814331647</v>
      </c>
      <c r="N234" s="319">
        <v>21704304.68</v>
      </c>
      <c r="O234" s="319">
        <v>82778</v>
      </c>
      <c r="P234" s="323">
        <v>17336918.437848564</v>
      </c>
      <c r="Q234" s="319">
        <v>17057485.682</v>
      </c>
      <c r="R234" s="319">
        <v>188110</v>
      </c>
      <c r="S234" s="323">
        <v>39396779.252180211</v>
      </c>
      <c r="T234" s="319">
        <v>38761790.362000003</v>
      </c>
      <c r="U234" s="319">
        <v>105332</v>
      </c>
      <c r="V234" s="323">
        <v>22059860.814331647</v>
      </c>
      <c r="W234" s="319">
        <v>21704304.68</v>
      </c>
      <c r="X234" s="319">
        <v>82778</v>
      </c>
      <c r="Y234" s="323">
        <v>17336918.437848564</v>
      </c>
      <c r="Z234" s="319">
        <v>17057485.682</v>
      </c>
      <c r="AA234" s="319">
        <v>188110</v>
      </c>
      <c r="AB234" s="323">
        <v>39396779.252180211</v>
      </c>
      <c r="AC234" s="319">
        <v>38761790.362000003</v>
      </c>
    </row>
    <row r="235" spans="2:29" outlineLevel="1" x14ac:dyDescent="0.25">
      <c r="B235" s="318">
        <v>45078</v>
      </c>
      <c r="C235" s="319"/>
      <c r="D235" s="323"/>
      <c r="E235" s="319"/>
      <c r="F235" s="319"/>
      <c r="G235" s="323"/>
      <c r="H235" s="319"/>
      <c r="I235" s="319"/>
      <c r="J235" s="323"/>
      <c r="K235" s="319"/>
      <c r="L235" s="319">
        <v>105767</v>
      </c>
      <c r="M235" s="323">
        <v>22184725.959889136</v>
      </c>
      <c r="N235" s="319">
        <v>21793851.675000001</v>
      </c>
      <c r="O235" s="319">
        <v>83130</v>
      </c>
      <c r="P235" s="323">
        <v>17437005.751508884</v>
      </c>
      <c r="Q235" s="319">
        <v>17129781.890999999</v>
      </c>
      <c r="R235" s="319">
        <v>188897</v>
      </c>
      <c r="S235" s="323">
        <v>39621731.71139802</v>
      </c>
      <c r="T235" s="319">
        <v>38923633.566</v>
      </c>
      <c r="U235" s="319">
        <v>105767</v>
      </c>
      <c r="V235" s="323">
        <v>22184725.959889136</v>
      </c>
      <c r="W235" s="319">
        <v>21793851.675000001</v>
      </c>
      <c r="X235" s="319">
        <v>83130</v>
      </c>
      <c r="Y235" s="323">
        <v>17437005.751508884</v>
      </c>
      <c r="Z235" s="319">
        <v>17129781.890999999</v>
      </c>
      <c r="AA235" s="319">
        <v>188897</v>
      </c>
      <c r="AB235" s="323">
        <v>39621731.71139802</v>
      </c>
      <c r="AC235" s="319">
        <v>38923633.566</v>
      </c>
    </row>
    <row r="236" spans="2:29" outlineLevel="1" x14ac:dyDescent="0.25">
      <c r="B236" s="318">
        <v>45108</v>
      </c>
      <c r="C236" s="319"/>
      <c r="D236" s="323"/>
      <c r="E236" s="319"/>
      <c r="F236" s="319"/>
      <c r="G236" s="323"/>
      <c r="H236" s="319"/>
      <c r="I236" s="319"/>
      <c r="J236" s="323"/>
      <c r="K236" s="319"/>
      <c r="L236" s="319">
        <v>106121</v>
      </c>
      <c r="M236" s="323">
        <v>22180625.130421486</v>
      </c>
      <c r="N236" s="319">
        <v>21866468.298</v>
      </c>
      <c r="O236" s="319">
        <v>83495</v>
      </c>
      <c r="P236" s="323">
        <v>17452019.639455337</v>
      </c>
      <c r="Q236" s="319">
        <v>17204836.741</v>
      </c>
      <c r="R236" s="319">
        <v>189616</v>
      </c>
      <c r="S236" s="323">
        <v>39632644.769876823</v>
      </c>
      <c r="T236" s="319">
        <v>39071305.038999997</v>
      </c>
      <c r="U236" s="319">
        <v>106121</v>
      </c>
      <c r="V236" s="323">
        <v>22180625.130421486</v>
      </c>
      <c r="W236" s="319">
        <v>21866468.298</v>
      </c>
      <c r="X236" s="319">
        <v>83495</v>
      </c>
      <c r="Y236" s="323">
        <v>17452019.639455337</v>
      </c>
      <c r="Z236" s="319">
        <v>17204836.741</v>
      </c>
      <c r="AA236" s="319">
        <v>189616</v>
      </c>
      <c r="AB236" s="323">
        <v>39632644.769876823</v>
      </c>
      <c r="AC236" s="319">
        <v>39071305.038999997</v>
      </c>
    </row>
    <row r="237" spans="2:29" outlineLevel="1" x14ac:dyDescent="0.25">
      <c r="B237" s="318">
        <v>45139</v>
      </c>
      <c r="C237" s="319"/>
      <c r="D237" s="323"/>
      <c r="E237" s="319"/>
      <c r="F237" s="319"/>
      <c r="G237" s="323"/>
      <c r="H237" s="319"/>
      <c r="I237" s="319"/>
      <c r="J237" s="323"/>
      <c r="K237" s="319"/>
      <c r="L237" s="319">
        <v>106570</v>
      </c>
      <c r="M237" s="323">
        <v>22249393.770662345</v>
      </c>
      <c r="N237" s="319">
        <v>21958709.622000001</v>
      </c>
      <c r="O237" s="319">
        <v>83812</v>
      </c>
      <c r="P237" s="323">
        <v>17498999.722078618</v>
      </c>
      <c r="Q237" s="319">
        <v>17270378.579</v>
      </c>
      <c r="R237" s="319">
        <v>190382</v>
      </c>
      <c r="S237" s="323">
        <v>39748393.492740959</v>
      </c>
      <c r="T237" s="319">
        <v>39229088.200999998</v>
      </c>
      <c r="U237" s="319">
        <v>106570</v>
      </c>
      <c r="V237" s="323">
        <v>22249393.770662345</v>
      </c>
      <c r="W237" s="319">
        <v>21958709.622000001</v>
      </c>
      <c r="X237" s="319">
        <v>83812</v>
      </c>
      <c r="Y237" s="323">
        <v>17498999.722078618</v>
      </c>
      <c r="Z237" s="319">
        <v>17270378.579</v>
      </c>
      <c r="AA237" s="319">
        <v>190382</v>
      </c>
      <c r="AB237" s="323">
        <v>39748393.492740959</v>
      </c>
      <c r="AC237" s="319">
        <v>39229088.200999998</v>
      </c>
    </row>
    <row r="238" spans="2:29" outlineLevel="1" x14ac:dyDescent="0.25">
      <c r="B238" s="318">
        <v>45170</v>
      </c>
      <c r="C238" s="319"/>
      <c r="D238" s="323"/>
      <c r="E238" s="319"/>
      <c r="F238" s="319"/>
      <c r="G238" s="323"/>
      <c r="H238" s="319"/>
      <c r="I238" s="319"/>
      <c r="J238" s="323"/>
      <c r="K238" s="319"/>
      <c r="L238" s="319">
        <v>106868</v>
      </c>
      <c r="M238" s="323">
        <v>22163858.760776967</v>
      </c>
      <c r="N238" s="319">
        <v>22021397.412</v>
      </c>
      <c r="O238" s="319">
        <v>84043</v>
      </c>
      <c r="P238" s="323">
        <v>17431333.836954877</v>
      </c>
      <c r="Q238" s="319">
        <v>17319291.464000002</v>
      </c>
      <c r="R238" s="319">
        <v>190911</v>
      </c>
      <c r="S238" s="323">
        <v>39595192.597731844</v>
      </c>
      <c r="T238" s="319">
        <v>39340688.876000002</v>
      </c>
      <c r="U238" s="319">
        <v>106868</v>
      </c>
      <c r="V238" s="323">
        <v>22163858.760776967</v>
      </c>
      <c r="W238" s="319">
        <v>22021397.412</v>
      </c>
      <c r="X238" s="319">
        <v>84043</v>
      </c>
      <c r="Y238" s="323">
        <v>17431333.836954877</v>
      </c>
      <c r="Z238" s="319">
        <v>17319291.464000002</v>
      </c>
      <c r="AA238" s="319">
        <v>190911</v>
      </c>
      <c r="AB238" s="323">
        <v>39595192.597731844</v>
      </c>
      <c r="AC238" s="319">
        <v>39340688.876000002</v>
      </c>
    </row>
    <row r="239" spans="2:29" outlineLevel="1" x14ac:dyDescent="0.25">
      <c r="B239" s="318">
        <v>45200</v>
      </c>
      <c r="C239" s="319"/>
      <c r="D239" s="323"/>
      <c r="E239" s="319"/>
      <c r="F239" s="319"/>
      <c r="G239" s="323"/>
      <c r="H239" s="319"/>
      <c r="I239" s="319"/>
      <c r="J239" s="323"/>
      <c r="K239" s="319"/>
      <c r="L239" s="319">
        <v>107612</v>
      </c>
      <c r="M239" s="323">
        <v>22219186.633793321</v>
      </c>
      <c r="N239" s="319">
        <v>22173725.000999998</v>
      </c>
      <c r="O239" s="319">
        <v>84447</v>
      </c>
      <c r="P239" s="323">
        <v>17437561.36320911</v>
      </c>
      <c r="Q239" s="319">
        <v>17401883.188999999</v>
      </c>
      <c r="R239" s="319">
        <v>192059</v>
      </c>
      <c r="S239" s="323">
        <v>39656747.99700243</v>
      </c>
      <c r="T239" s="319">
        <v>39575608.189999998</v>
      </c>
      <c r="U239" s="319">
        <v>107612</v>
      </c>
      <c r="V239" s="323">
        <v>22219186.633793321</v>
      </c>
      <c r="W239" s="319">
        <v>22173725.000999998</v>
      </c>
      <c r="X239" s="319">
        <v>84447</v>
      </c>
      <c r="Y239" s="323">
        <v>17437561.36320911</v>
      </c>
      <c r="Z239" s="319">
        <v>17401883.188999999</v>
      </c>
      <c r="AA239" s="319">
        <v>192059</v>
      </c>
      <c r="AB239" s="323">
        <v>39656747.99700243</v>
      </c>
      <c r="AC239" s="319">
        <v>39575608.189999998</v>
      </c>
    </row>
    <row r="240" spans="2:29" outlineLevel="1" x14ac:dyDescent="0.25">
      <c r="B240" s="318">
        <v>45231</v>
      </c>
      <c r="C240" s="319"/>
      <c r="D240" s="323"/>
      <c r="E240" s="319"/>
      <c r="F240" s="319"/>
      <c r="G240" s="323"/>
      <c r="H240" s="319"/>
      <c r="I240" s="319"/>
      <c r="J240" s="323"/>
      <c r="K240" s="319"/>
      <c r="L240" s="319">
        <v>107578</v>
      </c>
      <c r="M240" s="323">
        <v>22048665.627863813</v>
      </c>
      <c r="N240" s="319">
        <v>22167675.300999999</v>
      </c>
      <c r="O240" s="319">
        <v>84680</v>
      </c>
      <c r="P240" s="323">
        <v>17356771.177839432</v>
      </c>
      <c r="Q240" s="319">
        <v>17450455.925000001</v>
      </c>
      <c r="R240" s="319">
        <v>192258</v>
      </c>
      <c r="S240" s="323">
        <v>39405436.805703245</v>
      </c>
      <c r="T240" s="319">
        <v>39618131.226000004</v>
      </c>
      <c r="U240" s="319">
        <v>107578</v>
      </c>
      <c r="V240" s="323">
        <v>22048665.627863813</v>
      </c>
      <c r="W240" s="319">
        <v>22167675.300999999</v>
      </c>
      <c r="X240" s="319">
        <v>84680</v>
      </c>
      <c r="Y240" s="323">
        <v>17356771.177839432</v>
      </c>
      <c r="Z240" s="319">
        <v>17450455.925000001</v>
      </c>
      <c r="AA240" s="319">
        <v>192258</v>
      </c>
      <c r="AB240" s="323">
        <v>39405436.805703245</v>
      </c>
      <c r="AC240" s="319">
        <v>39618131.226000004</v>
      </c>
    </row>
    <row r="241" spans="2:29" outlineLevel="1" x14ac:dyDescent="0.25">
      <c r="B241" s="318">
        <v>45261</v>
      </c>
      <c r="C241" s="319"/>
      <c r="D241" s="323"/>
      <c r="E241" s="319"/>
      <c r="F241" s="319"/>
      <c r="G241" s="323"/>
      <c r="H241" s="319"/>
      <c r="I241" s="319"/>
      <c r="J241" s="323"/>
      <c r="K241" s="319"/>
      <c r="L241" s="319">
        <v>107857</v>
      </c>
      <c r="M241" s="323">
        <v>22224554.960999999</v>
      </c>
      <c r="N241" s="319">
        <v>22224554.960999999</v>
      </c>
      <c r="O241" s="319">
        <v>84948</v>
      </c>
      <c r="P241" s="323">
        <v>17505535.237</v>
      </c>
      <c r="Q241" s="319">
        <v>17505535.237</v>
      </c>
      <c r="R241" s="319">
        <v>192805</v>
      </c>
      <c r="S241" s="323">
        <v>39730090.197999999</v>
      </c>
      <c r="T241" s="319">
        <v>39730090.197999999</v>
      </c>
      <c r="U241" s="319">
        <v>107857</v>
      </c>
      <c r="V241" s="323">
        <v>22224554.960999999</v>
      </c>
      <c r="W241" s="319">
        <v>22224554.960999999</v>
      </c>
      <c r="X241" s="319">
        <v>84948</v>
      </c>
      <c r="Y241" s="323">
        <v>17505535.237</v>
      </c>
      <c r="Z241" s="319">
        <v>17505535.237</v>
      </c>
      <c r="AA241" s="319">
        <v>192805</v>
      </c>
      <c r="AB241" s="323">
        <v>39730090.197999999</v>
      </c>
      <c r="AC241" s="319">
        <v>39730090.197999999</v>
      </c>
    </row>
    <row r="242" spans="2:29" x14ac:dyDescent="0.25">
      <c r="B242" s="321" t="s">
        <v>869</v>
      </c>
      <c r="C242" s="322"/>
      <c r="D242" s="324"/>
      <c r="E242" s="322"/>
      <c r="F242" s="322"/>
      <c r="G242" s="324"/>
      <c r="H242" s="322"/>
      <c r="I242" s="322"/>
      <c r="J242" s="324"/>
      <c r="K242" s="322"/>
      <c r="L242" s="322">
        <v>106021.08333333333</v>
      </c>
      <c r="M242" s="324">
        <v>22036763.781284969</v>
      </c>
      <c r="N242" s="322"/>
      <c r="O242" s="322">
        <v>83341.5</v>
      </c>
      <c r="P242" s="324">
        <v>17323283.610153276</v>
      </c>
      <c r="Q242" s="322"/>
      <c r="R242" s="322">
        <v>189362.58333333334</v>
      </c>
      <c r="S242" s="324">
        <v>39360047.391438253</v>
      </c>
      <c r="T242" s="322"/>
      <c r="U242" s="322">
        <v>106021.08333333333</v>
      </c>
      <c r="V242" s="324">
        <v>22036763.781284969</v>
      </c>
      <c r="W242" s="322"/>
      <c r="X242" s="322">
        <v>83341.5</v>
      </c>
      <c r="Y242" s="324">
        <v>17323283.610153276</v>
      </c>
      <c r="Z242" s="322"/>
      <c r="AA242" s="322">
        <v>189362.58333333334</v>
      </c>
      <c r="AB242" s="324">
        <v>39360047.391438253</v>
      </c>
      <c r="AC242" s="322"/>
    </row>
    <row r="243" spans="2:29" x14ac:dyDescent="0.25">
      <c r="B243" s="4" t="s">
        <v>788</v>
      </c>
      <c r="C243" s="5"/>
      <c r="D243" s="5"/>
      <c r="E243" s="5"/>
      <c r="F243" s="5"/>
      <c r="G243" s="5"/>
      <c r="H243" s="5"/>
      <c r="I243" s="5"/>
      <c r="J243" s="5"/>
      <c r="K243" s="5"/>
      <c r="L243" s="5"/>
      <c r="M243" s="5"/>
    </row>
    <row r="244" spans="2:29" ht="15" customHeight="1" x14ac:dyDescent="0.25">
      <c r="B244" s="397" t="s">
        <v>896</v>
      </c>
      <c r="C244" s="397"/>
      <c r="D244" s="397"/>
      <c r="E244" s="397"/>
      <c r="F244" s="397"/>
      <c r="G244" s="397"/>
      <c r="H244" s="397"/>
      <c r="I244" s="397"/>
      <c r="J244" s="397"/>
      <c r="K244" s="397"/>
      <c r="L244" s="397"/>
      <c r="M244" s="397"/>
      <c r="N244" s="397"/>
      <c r="O244" s="397"/>
      <c r="P244" s="397"/>
      <c r="Q244" s="397"/>
      <c r="R244" s="397"/>
      <c r="S244" s="397"/>
      <c r="T244" s="397"/>
      <c r="U244" s="397"/>
      <c r="V244" s="397"/>
      <c r="W244" s="397"/>
      <c r="X244" s="397"/>
      <c r="Y244" s="397"/>
      <c r="Z244" s="397"/>
      <c r="AA244" s="397"/>
      <c r="AB244" s="397"/>
      <c r="AC244" s="397"/>
    </row>
    <row r="245" spans="2:29" x14ac:dyDescent="0.25">
      <c r="B245" s="253" t="s">
        <v>893</v>
      </c>
      <c r="C245" s="5"/>
      <c r="D245" s="5"/>
      <c r="E245" s="5"/>
      <c r="F245" s="5"/>
      <c r="G245" s="5"/>
      <c r="H245" s="5"/>
      <c r="I245" s="5"/>
      <c r="J245" s="5"/>
      <c r="K245" s="5"/>
      <c r="L245" s="5"/>
      <c r="M245" s="5"/>
    </row>
    <row r="246" spans="2:29" x14ac:dyDescent="0.25">
      <c r="C246" s="4"/>
      <c r="D246" s="4"/>
      <c r="E246" s="4"/>
      <c r="F246" s="4"/>
      <c r="G246" s="4"/>
      <c r="H246" s="4"/>
      <c r="I246" s="4"/>
      <c r="J246" s="4"/>
      <c r="K246" s="4"/>
      <c r="L246" s="255"/>
      <c r="M246" s="255"/>
    </row>
    <row r="247" spans="2:29" x14ac:dyDescent="0.25">
      <c r="B247" s="215"/>
      <c r="C247" s="4"/>
      <c r="D247" s="4"/>
      <c r="E247" s="4"/>
      <c r="F247" s="4"/>
      <c r="G247" s="4"/>
      <c r="H247" s="4"/>
      <c r="I247" s="4"/>
      <c r="J247" s="4"/>
      <c r="K247" s="4"/>
    </row>
    <row r="248" spans="2:29" x14ac:dyDescent="0.25">
      <c r="B248" s="215"/>
      <c r="C248" s="4"/>
      <c r="D248" s="4"/>
      <c r="E248" s="4"/>
      <c r="F248" s="4"/>
      <c r="G248" s="4"/>
      <c r="H248" s="4"/>
      <c r="I248" s="4"/>
      <c r="J248" s="4"/>
      <c r="K248" s="4"/>
    </row>
    <row r="249" spans="2:29" x14ac:dyDescent="0.25">
      <c r="B249" s="215"/>
      <c r="C249" s="4"/>
      <c r="D249" s="4"/>
      <c r="E249" s="4"/>
      <c r="F249" s="4"/>
      <c r="G249" s="4"/>
      <c r="H249" s="4"/>
      <c r="I249" s="4"/>
      <c r="J249" s="4"/>
      <c r="K249" s="4"/>
    </row>
    <row r="250" spans="2:29" x14ac:dyDescent="0.25">
      <c r="B250" s="215"/>
      <c r="C250" s="4"/>
      <c r="D250" s="4"/>
      <c r="E250" s="4"/>
      <c r="F250" s="4"/>
      <c r="G250" s="4"/>
      <c r="H250" s="4"/>
      <c r="I250" s="4"/>
      <c r="J250" s="4"/>
      <c r="K250" s="4"/>
    </row>
    <row r="251" spans="2:29" x14ac:dyDescent="0.25">
      <c r="B251" s="215"/>
      <c r="C251" s="4"/>
      <c r="D251" s="4"/>
      <c r="E251" s="4"/>
      <c r="F251" s="4"/>
      <c r="G251" s="4"/>
      <c r="H251" s="4"/>
      <c r="I251" s="4"/>
      <c r="J251" s="4"/>
      <c r="K251" s="4"/>
    </row>
    <row r="252" spans="2:29" x14ac:dyDescent="0.25">
      <c r="B252" s="215"/>
      <c r="C252" s="4"/>
      <c r="D252" s="4"/>
      <c r="E252" s="4"/>
      <c r="F252" s="4"/>
      <c r="G252" s="4"/>
      <c r="H252" s="4"/>
      <c r="I252" s="4"/>
      <c r="J252" s="4"/>
      <c r="K252" s="4"/>
    </row>
  </sheetData>
  <mergeCells count="24">
    <mergeCell ref="D7:F7"/>
    <mergeCell ref="J7:L7"/>
    <mergeCell ref="G7:I7"/>
    <mergeCell ref="B33:M33"/>
    <mergeCell ref="B31:L31"/>
    <mergeCell ref="D25:F25"/>
    <mergeCell ref="B27:B29"/>
    <mergeCell ref="B19:L19"/>
    <mergeCell ref="B15:B17"/>
    <mergeCell ref="B9:B11"/>
    <mergeCell ref="B12:B14"/>
    <mergeCell ref="B244:AC244"/>
    <mergeCell ref="U38:AC38"/>
    <mergeCell ref="U39:W39"/>
    <mergeCell ref="X39:Z39"/>
    <mergeCell ref="AA39:AC39"/>
    <mergeCell ref="C39:E39"/>
    <mergeCell ref="F39:H39"/>
    <mergeCell ref="I39:K39"/>
    <mergeCell ref="C38:K38"/>
    <mergeCell ref="L38:T38"/>
    <mergeCell ref="L39:N39"/>
    <mergeCell ref="O39:Q39"/>
    <mergeCell ref="R39:T39"/>
  </mergeCells>
  <phoneticPr fontId="27" type="noConversion"/>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1C951-B6AC-44BC-BF55-48E92991B705}">
  <sheetPr>
    <tabColor theme="9"/>
  </sheetPr>
  <dimension ref="A1:S133"/>
  <sheetViews>
    <sheetView workbookViewId="0"/>
  </sheetViews>
  <sheetFormatPr baseColWidth="10" defaultRowHeight="15" x14ac:dyDescent="0.25"/>
  <cols>
    <col min="1" max="1" width="17.5703125" bestFit="1" customWidth="1"/>
    <col min="2" max="2" width="29.7109375" bestFit="1" customWidth="1"/>
    <col min="3" max="3" width="31.5703125" bestFit="1" customWidth="1"/>
    <col min="4" max="4" width="29" bestFit="1" customWidth="1"/>
    <col min="5" max="5" width="30.7109375" bestFit="1" customWidth="1"/>
    <col min="6" max="6" width="27.28515625" bestFit="1" customWidth="1"/>
    <col min="7" max="7" width="29" bestFit="1" customWidth="1"/>
    <col min="9" max="9" width="17.5703125" bestFit="1" customWidth="1"/>
    <col min="10" max="10" width="29.28515625" bestFit="1" customWidth="1"/>
    <col min="11" max="11" width="31" bestFit="1" customWidth="1"/>
    <col min="12" max="12" width="33.7109375" bestFit="1" customWidth="1"/>
    <col min="13" max="13" width="35.42578125" bestFit="1" customWidth="1"/>
    <col min="14" max="14" width="29" bestFit="1" customWidth="1"/>
    <col min="15" max="15" width="17.5703125" bestFit="1" customWidth="1"/>
    <col min="16" max="16" width="25.7109375" bestFit="1" customWidth="1"/>
    <col min="17" max="17" width="27.5703125" bestFit="1" customWidth="1"/>
    <col min="18" max="18" width="25" bestFit="1" customWidth="1"/>
    <col min="19" max="19" width="26.85546875" bestFit="1" customWidth="1"/>
  </cols>
  <sheetData>
    <row r="1" spans="1:19" x14ac:dyDescent="0.25">
      <c r="A1" s="206" t="s">
        <v>7</v>
      </c>
      <c r="B1" t="s">
        <v>596</v>
      </c>
      <c r="I1" s="206" t="s">
        <v>7</v>
      </c>
      <c r="J1" t="s">
        <v>596</v>
      </c>
      <c r="O1" s="206" t="s">
        <v>7</v>
      </c>
      <c r="P1" t="s">
        <v>596</v>
      </c>
    </row>
    <row r="3" spans="1:19" x14ac:dyDescent="0.25">
      <c r="A3" s="206" t="s">
        <v>543</v>
      </c>
      <c r="B3" t="s">
        <v>619</v>
      </c>
      <c r="C3" t="s">
        <v>620</v>
      </c>
      <c r="D3" t="s">
        <v>621</v>
      </c>
      <c r="E3" t="s">
        <v>622</v>
      </c>
      <c r="F3" t="s">
        <v>623</v>
      </c>
      <c r="G3" t="s">
        <v>624</v>
      </c>
      <c r="I3" s="206" t="s">
        <v>543</v>
      </c>
      <c r="J3" t="s">
        <v>631</v>
      </c>
      <c r="K3" t="s">
        <v>632</v>
      </c>
      <c r="L3" t="s">
        <v>633</v>
      </c>
      <c r="M3" t="s">
        <v>634</v>
      </c>
      <c r="O3" s="206" t="s">
        <v>543</v>
      </c>
      <c r="P3" t="s">
        <v>643</v>
      </c>
      <c r="Q3" t="s">
        <v>644</v>
      </c>
      <c r="R3" t="s">
        <v>645</v>
      </c>
      <c r="S3" t="s">
        <v>646</v>
      </c>
    </row>
    <row r="4" spans="1:19" x14ac:dyDescent="0.25">
      <c r="A4" s="207" t="s">
        <v>559</v>
      </c>
      <c r="B4">
        <v>327413</v>
      </c>
      <c r="C4">
        <v>190531</v>
      </c>
      <c r="D4">
        <v>137530</v>
      </c>
      <c r="E4">
        <v>139864</v>
      </c>
      <c r="F4">
        <v>464943</v>
      </c>
      <c r="G4">
        <v>330395</v>
      </c>
      <c r="I4" s="207" t="s">
        <v>559</v>
      </c>
      <c r="J4" s="208">
        <v>69469277.144999996</v>
      </c>
      <c r="K4" s="208">
        <v>40636215.887999997</v>
      </c>
      <c r="L4" s="208">
        <v>22985156.960000001</v>
      </c>
      <c r="M4" s="208">
        <v>22214072.743999999</v>
      </c>
      <c r="O4" s="207" t="s">
        <v>559</v>
      </c>
      <c r="P4" s="208">
        <v>69114843.282755256</v>
      </c>
      <c r="Q4" s="208">
        <v>40428576.18180979</v>
      </c>
      <c r="R4" s="208">
        <v>22868011.248085368</v>
      </c>
      <c r="S4" s="208">
        <v>22101174.072249502</v>
      </c>
    </row>
    <row r="5" spans="1:19" x14ac:dyDescent="0.25">
      <c r="A5" s="210" t="s">
        <v>584</v>
      </c>
      <c r="B5">
        <v>109393</v>
      </c>
      <c r="C5">
        <v>63815</v>
      </c>
      <c r="D5">
        <v>45739</v>
      </c>
      <c r="E5">
        <v>46381</v>
      </c>
      <c r="F5">
        <v>155132</v>
      </c>
      <c r="G5">
        <v>110196</v>
      </c>
      <c r="I5" s="210" t="s">
        <v>584</v>
      </c>
      <c r="J5" s="208">
        <v>23196045.528999999</v>
      </c>
      <c r="K5" s="208">
        <v>13590242.085999999</v>
      </c>
      <c r="L5" s="208">
        <v>7659976.4989999998</v>
      </c>
      <c r="M5" s="208">
        <v>7378442.3490000004</v>
      </c>
      <c r="O5" s="210" t="s">
        <v>584</v>
      </c>
      <c r="P5" s="208">
        <v>22907039.828335743</v>
      </c>
      <c r="Q5" s="208">
        <v>13420917.645273631</v>
      </c>
      <c r="R5" s="208">
        <v>7564538.8144861665</v>
      </c>
      <c r="S5" s="208">
        <v>7286512.3733402435</v>
      </c>
    </row>
    <row r="6" spans="1:19" x14ac:dyDescent="0.25">
      <c r="A6" s="210" t="s">
        <v>585</v>
      </c>
      <c r="B6">
        <v>109031</v>
      </c>
      <c r="C6">
        <v>63526</v>
      </c>
      <c r="D6">
        <v>45910</v>
      </c>
      <c r="E6">
        <v>46666</v>
      </c>
      <c r="F6">
        <v>154941</v>
      </c>
      <c r="G6">
        <v>110192</v>
      </c>
      <c r="I6" s="210" t="s">
        <v>585</v>
      </c>
      <c r="J6" s="208">
        <v>23133193.734000001</v>
      </c>
      <c r="K6" s="208">
        <v>13546987.07</v>
      </c>
      <c r="L6" s="208">
        <v>7675227.1699999999</v>
      </c>
      <c r="M6" s="208">
        <v>7413824.5259999996</v>
      </c>
      <c r="O6" s="210" t="s">
        <v>585</v>
      </c>
      <c r="P6" s="208">
        <v>23067765.572419517</v>
      </c>
      <c r="Q6" s="208">
        <v>13508671.80453616</v>
      </c>
      <c r="R6" s="208">
        <v>7653519.1425991999</v>
      </c>
      <c r="S6" s="208">
        <v>7392855.8299092585</v>
      </c>
    </row>
    <row r="7" spans="1:19" x14ac:dyDescent="0.25">
      <c r="A7" s="210" t="s">
        <v>586</v>
      </c>
      <c r="B7">
        <v>108989</v>
      </c>
      <c r="C7">
        <v>63190</v>
      </c>
      <c r="D7">
        <v>45881</v>
      </c>
      <c r="E7">
        <v>46817</v>
      </c>
      <c r="F7">
        <v>154870</v>
      </c>
      <c r="G7">
        <v>110007</v>
      </c>
      <c r="I7" s="210" t="s">
        <v>586</v>
      </c>
      <c r="J7" s="208">
        <v>23140037.881999999</v>
      </c>
      <c r="K7" s="208">
        <v>13498986.732000001</v>
      </c>
      <c r="L7" s="208">
        <v>7649953.2910000002</v>
      </c>
      <c r="M7" s="208">
        <v>7421805.8689999999</v>
      </c>
      <c r="O7" s="210" t="s">
        <v>586</v>
      </c>
      <c r="P7" s="208">
        <v>23140037.881999999</v>
      </c>
      <c r="Q7" s="208">
        <v>13498986.732000001</v>
      </c>
      <c r="R7" s="208">
        <v>7649953.2910000002</v>
      </c>
      <c r="S7" s="208">
        <v>7421805.8689999999</v>
      </c>
    </row>
    <row r="11" spans="1:19" x14ac:dyDescent="0.25">
      <c r="A11" s="206" t="s">
        <v>7</v>
      </c>
      <c r="B11" t="s">
        <v>596</v>
      </c>
    </row>
    <row r="13" spans="1:19" x14ac:dyDescent="0.25">
      <c r="A13" s="206" t="s">
        <v>543</v>
      </c>
      <c r="B13" t="s">
        <v>619</v>
      </c>
      <c r="C13" t="s">
        <v>620</v>
      </c>
      <c r="D13" t="s">
        <v>621</v>
      </c>
      <c r="E13" t="s">
        <v>622</v>
      </c>
      <c r="F13" t="s">
        <v>623</v>
      </c>
      <c r="G13" t="s">
        <v>624</v>
      </c>
    </row>
    <row r="14" spans="1:19" x14ac:dyDescent="0.25">
      <c r="A14" s="207" t="s">
        <v>559</v>
      </c>
      <c r="B14" s="208">
        <v>2017877</v>
      </c>
      <c r="C14" s="208">
        <v>1478761</v>
      </c>
      <c r="D14" s="208">
        <v>540602</v>
      </c>
      <c r="E14" s="208">
        <v>538156</v>
      </c>
      <c r="F14" s="208">
        <v>2558479</v>
      </c>
      <c r="G14" s="208">
        <v>2016917</v>
      </c>
    </row>
    <row r="17" spans="1:7" x14ac:dyDescent="0.25">
      <c r="A17" s="206" t="s">
        <v>7</v>
      </c>
      <c r="B17" t="s">
        <v>596</v>
      </c>
    </row>
    <row r="19" spans="1:7" x14ac:dyDescent="0.25">
      <c r="A19" s="206" t="s">
        <v>543</v>
      </c>
      <c r="B19" t="s">
        <v>625</v>
      </c>
      <c r="C19" t="s">
        <v>626</v>
      </c>
      <c r="D19" t="s">
        <v>627</v>
      </c>
      <c r="E19" t="s">
        <v>628</v>
      </c>
      <c r="F19" t="s">
        <v>629</v>
      </c>
      <c r="G19" t="s">
        <v>630</v>
      </c>
    </row>
    <row r="20" spans="1:7" x14ac:dyDescent="0.25">
      <c r="A20" s="207" t="s">
        <v>559</v>
      </c>
      <c r="B20" s="208">
        <v>168156.41666666666</v>
      </c>
      <c r="C20" s="208">
        <v>123230.08333333333</v>
      </c>
      <c r="D20" s="208">
        <v>45050.166666666664</v>
      </c>
      <c r="E20" s="208">
        <v>44846.333333333336</v>
      </c>
      <c r="F20" s="208">
        <v>213206.58333333334</v>
      </c>
      <c r="G20" s="208">
        <v>168076.41666666666</v>
      </c>
    </row>
    <row r="23" spans="1:7" x14ac:dyDescent="0.25">
      <c r="A23" s="206" t="s">
        <v>7</v>
      </c>
      <c r="B23" t="s">
        <v>596</v>
      </c>
    </row>
    <row r="25" spans="1:7" x14ac:dyDescent="0.25">
      <c r="A25" s="206" t="s">
        <v>543</v>
      </c>
      <c r="B25" t="s">
        <v>631</v>
      </c>
      <c r="C25" t="s">
        <v>632</v>
      </c>
      <c r="D25" t="s">
        <v>633</v>
      </c>
      <c r="E25" t="s">
        <v>634</v>
      </c>
      <c r="F25" t="s">
        <v>635</v>
      </c>
      <c r="G25" t="s">
        <v>636</v>
      </c>
    </row>
    <row r="26" spans="1:7" x14ac:dyDescent="0.25">
      <c r="A26" s="207" t="s">
        <v>559</v>
      </c>
      <c r="B26" s="208">
        <v>362446009.15000004</v>
      </c>
      <c r="C26" s="208">
        <v>250516499.96700001</v>
      </c>
      <c r="D26" s="208">
        <v>89129736.667999998</v>
      </c>
      <c r="E26" s="208">
        <v>84667893.447999999</v>
      </c>
      <c r="F26" s="208">
        <v>451575745.81799996</v>
      </c>
      <c r="G26" s="208">
        <v>335184393.41500002</v>
      </c>
    </row>
    <row r="29" spans="1:7" x14ac:dyDescent="0.25">
      <c r="A29" s="206" t="s">
        <v>7</v>
      </c>
      <c r="B29" t="s">
        <v>596</v>
      </c>
    </row>
    <row r="31" spans="1:7" x14ac:dyDescent="0.25">
      <c r="A31" s="206" t="s">
        <v>543</v>
      </c>
      <c r="B31" t="s">
        <v>637</v>
      </c>
      <c r="C31" t="s">
        <v>638</v>
      </c>
      <c r="D31" t="s">
        <v>639</v>
      </c>
      <c r="E31" t="s">
        <v>640</v>
      </c>
      <c r="F31" t="s">
        <v>641</v>
      </c>
      <c r="G31" t="s">
        <v>642</v>
      </c>
    </row>
    <row r="32" spans="1:7" x14ac:dyDescent="0.25">
      <c r="A32" s="207" t="s">
        <v>559</v>
      </c>
      <c r="B32" s="208">
        <v>30203834.095833335</v>
      </c>
      <c r="C32" s="208">
        <v>20876374.997250002</v>
      </c>
      <c r="D32" s="208">
        <v>7427478.0556666665</v>
      </c>
      <c r="E32" s="208">
        <v>7055657.7873333329</v>
      </c>
      <c r="F32" s="208">
        <v>37631312.151499994</v>
      </c>
      <c r="G32" s="208">
        <v>27932032.784583334</v>
      </c>
    </row>
    <row r="35" spans="1:5" x14ac:dyDescent="0.25">
      <c r="A35" s="206" t="s">
        <v>7</v>
      </c>
      <c r="B35" t="s">
        <v>596</v>
      </c>
    </row>
    <row r="37" spans="1:5" x14ac:dyDescent="0.25">
      <c r="A37" s="206" t="s">
        <v>543</v>
      </c>
      <c r="B37" t="s">
        <v>643</v>
      </c>
      <c r="C37" t="s">
        <v>644</v>
      </c>
      <c r="D37" t="s">
        <v>645</v>
      </c>
      <c r="E37" t="s">
        <v>646</v>
      </c>
    </row>
    <row r="38" spans="1:5" x14ac:dyDescent="0.25">
      <c r="A38" s="207" t="s">
        <v>559</v>
      </c>
      <c r="B38" s="208">
        <v>340851773.50069964</v>
      </c>
      <c r="C38" s="208">
        <v>234463200.48189491</v>
      </c>
      <c r="D38" s="208">
        <v>85046489.557917848</v>
      </c>
      <c r="E38" s="208">
        <v>80830615.958772197</v>
      </c>
    </row>
    <row r="42" spans="1:5" x14ac:dyDescent="0.25">
      <c r="A42" s="206" t="s">
        <v>7</v>
      </c>
      <c r="B42" t="s">
        <v>596</v>
      </c>
    </row>
    <row r="44" spans="1:5" x14ac:dyDescent="0.25">
      <c r="A44" s="206" t="s">
        <v>543</v>
      </c>
      <c r="B44" t="s">
        <v>647</v>
      </c>
      <c r="C44" t="s">
        <v>648</v>
      </c>
      <c r="D44" t="s">
        <v>649</v>
      </c>
      <c r="E44" t="s">
        <v>650</v>
      </c>
    </row>
    <row r="45" spans="1:5" x14ac:dyDescent="0.25">
      <c r="A45" s="207" t="s">
        <v>559</v>
      </c>
      <c r="B45" s="208">
        <v>28404314.458391637</v>
      </c>
      <c r="C45" s="208">
        <v>19538600.04015791</v>
      </c>
      <c r="D45" s="208">
        <v>7087207.463159821</v>
      </c>
      <c r="E45" s="208">
        <v>6735884.6632310161</v>
      </c>
    </row>
    <row r="51" spans="1:5" x14ac:dyDescent="0.25">
      <c r="A51" s="206" t="s">
        <v>543</v>
      </c>
      <c r="B51" t="s">
        <v>625</v>
      </c>
      <c r="C51" t="s">
        <v>626</v>
      </c>
      <c r="D51" t="s">
        <v>627</v>
      </c>
      <c r="E51" t="s">
        <v>628</v>
      </c>
    </row>
    <row r="52" spans="1:5" x14ac:dyDescent="0.25">
      <c r="A52" s="207" t="s">
        <v>545</v>
      </c>
      <c r="B52" s="208">
        <v>2920.6666666666665</v>
      </c>
      <c r="C52" s="208">
        <v>1116</v>
      </c>
      <c r="D52" s="208">
        <v>286.33333333333331</v>
      </c>
      <c r="E52" s="208">
        <v>290.33333333333331</v>
      </c>
    </row>
    <row r="53" spans="1:5" x14ac:dyDescent="0.25">
      <c r="A53" s="207" t="s">
        <v>546</v>
      </c>
      <c r="B53" s="208">
        <v>35080.083333333336</v>
      </c>
      <c r="C53" s="208">
        <v>24939.75</v>
      </c>
      <c r="D53" s="208">
        <v>2213.8333333333335</v>
      </c>
      <c r="E53" s="208">
        <v>1769.75</v>
      </c>
    </row>
    <row r="54" spans="1:5" x14ac:dyDescent="0.25">
      <c r="A54" s="207" t="s">
        <v>547</v>
      </c>
      <c r="B54" s="208">
        <v>184671.58333333334</v>
      </c>
      <c r="C54" s="208">
        <v>128661.83333333333</v>
      </c>
      <c r="D54" s="208">
        <v>8050.916666666667</v>
      </c>
      <c r="E54" s="208">
        <v>5922.916666666667</v>
      </c>
    </row>
    <row r="55" spans="1:5" x14ac:dyDescent="0.25">
      <c r="A55" s="207" t="s">
        <v>548</v>
      </c>
      <c r="B55" s="208">
        <v>232153.66666666666</v>
      </c>
      <c r="C55" s="208">
        <v>168868.75</v>
      </c>
      <c r="D55" s="208">
        <v>12883.083333333334</v>
      </c>
      <c r="E55" s="208">
        <v>9283.4166666666661</v>
      </c>
    </row>
    <row r="56" spans="1:5" x14ac:dyDescent="0.25">
      <c r="A56" s="207" t="s">
        <v>549</v>
      </c>
      <c r="B56" s="208">
        <v>279628</v>
      </c>
      <c r="C56" s="208">
        <v>203893.75</v>
      </c>
      <c r="D56" s="208">
        <v>19231.416666666668</v>
      </c>
      <c r="E56" s="208">
        <v>14584.75</v>
      </c>
    </row>
    <row r="57" spans="1:5" x14ac:dyDescent="0.25">
      <c r="A57" s="207" t="s">
        <v>550</v>
      </c>
      <c r="B57" s="208">
        <v>327092.08333333331</v>
      </c>
      <c r="C57" s="208">
        <v>237763.33333333334</v>
      </c>
      <c r="D57" s="208">
        <v>26607.083333333332</v>
      </c>
      <c r="E57" s="208">
        <v>21058.833333333332</v>
      </c>
    </row>
    <row r="58" spans="1:5" x14ac:dyDescent="0.25">
      <c r="A58" s="207" t="s">
        <v>551</v>
      </c>
      <c r="B58" s="208">
        <v>354831.83333333331</v>
      </c>
      <c r="C58" s="208">
        <v>258135.41666666666</v>
      </c>
      <c r="D58" s="208">
        <v>33075.25</v>
      </c>
      <c r="E58" s="208">
        <v>26998.166666666668</v>
      </c>
    </row>
    <row r="59" spans="1:5" x14ac:dyDescent="0.25">
      <c r="A59" s="207" t="s">
        <v>552</v>
      </c>
      <c r="B59" s="208">
        <v>385388.58333333331</v>
      </c>
      <c r="C59" s="208">
        <v>279293.16666666669</v>
      </c>
      <c r="D59" s="208">
        <v>35497.583333333336</v>
      </c>
      <c r="E59" s="208">
        <v>29292.083333333332</v>
      </c>
    </row>
    <row r="60" spans="1:5" x14ac:dyDescent="0.25">
      <c r="A60" s="207" t="s">
        <v>553</v>
      </c>
      <c r="B60" s="208">
        <v>409696.25</v>
      </c>
      <c r="C60" s="208">
        <v>297461.08333333331</v>
      </c>
      <c r="D60" s="208">
        <v>35477.75</v>
      </c>
      <c r="E60" s="208">
        <v>29444.666666666668</v>
      </c>
    </row>
    <row r="61" spans="1:5" x14ac:dyDescent="0.25">
      <c r="A61" s="207" t="s">
        <v>554</v>
      </c>
      <c r="B61" s="208">
        <v>434014.41666666669</v>
      </c>
      <c r="C61" s="208">
        <v>315115.08333333331</v>
      </c>
      <c r="D61" s="208">
        <v>35236.416666666664</v>
      </c>
      <c r="E61" s="208">
        <v>29440.416666666668</v>
      </c>
    </row>
    <row r="62" spans="1:5" x14ac:dyDescent="0.25">
      <c r="A62" s="207" t="s">
        <v>555</v>
      </c>
      <c r="B62" s="208">
        <v>472783.58333333331</v>
      </c>
      <c r="C62" s="208">
        <v>343894.41666666669</v>
      </c>
      <c r="D62" s="208">
        <v>35802.166666666664</v>
      </c>
      <c r="E62" s="208">
        <v>30349.5</v>
      </c>
    </row>
    <row r="63" spans="1:5" x14ac:dyDescent="0.25">
      <c r="A63" s="207" t="s">
        <v>556</v>
      </c>
      <c r="B63" s="208">
        <v>513930.5</v>
      </c>
      <c r="C63" s="208">
        <v>376625</v>
      </c>
      <c r="D63" s="208">
        <v>36751.75</v>
      </c>
      <c r="E63" s="208">
        <v>31642.25</v>
      </c>
    </row>
    <row r="64" spans="1:5" x14ac:dyDescent="0.25">
      <c r="A64" s="207" t="s">
        <v>557</v>
      </c>
      <c r="B64" s="208">
        <v>569814.16666666663</v>
      </c>
      <c r="C64" s="208">
        <v>419795.08333333331</v>
      </c>
      <c r="D64" s="208">
        <v>38063.25</v>
      </c>
      <c r="E64" s="208">
        <v>33240.166666666664</v>
      </c>
    </row>
    <row r="65" spans="1:5" s="225" customFormat="1" x14ac:dyDescent="0.25">
      <c r="A65" s="223" t="s">
        <v>558</v>
      </c>
      <c r="B65" s="224">
        <v>627987.08333333337</v>
      </c>
      <c r="C65" s="224">
        <v>462603.16666666669</v>
      </c>
      <c r="D65" s="224">
        <v>41110.25</v>
      </c>
      <c r="E65" s="224">
        <v>37794.333333333336</v>
      </c>
    </row>
    <row r="66" spans="1:5" x14ac:dyDescent="0.25">
      <c r="A66" s="210" t="s">
        <v>575</v>
      </c>
      <c r="B66" s="208">
        <v>600842</v>
      </c>
      <c r="C66" s="208">
        <v>443662</v>
      </c>
      <c r="D66" s="208">
        <v>38683</v>
      </c>
      <c r="E66" s="208">
        <v>34228</v>
      </c>
    </row>
    <row r="67" spans="1:5" x14ac:dyDescent="0.25">
      <c r="A67" s="210" t="s">
        <v>576</v>
      </c>
      <c r="B67" s="208">
        <v>605436</v>
      </c>
      <c r="C67" s="208">
        <v>447257</v>
      </c>
      <c r="D67" s="208">
        <v>38750</v>
      </c>
      <c r="E67" s="208">
        <v>34279</v>
      </c>
    </row>
    <row r="68" spans="1:5" x14ac:dyDescent="0.25">
      <c r="A68" s="210" t="s">
        <v>577</v>
      </c>
      <c r="B68" s="208">
        <v>610095</v>
      </c>
      <c r="C68" s="208">
        <v>450099</v>
      </c>
      <c r="D68" s="208">
        <v>38777</v>
      </c>
      <c r="E68" s="208">
        <v>34317</v>
      </c>
    </row>
    <row r="69" spans="1:5" x14ac:dyDescent="0.25">
      <c r="A69" s="210" t="s">
        <v>578</v>
      </c>
      <c r="B69" s="208">
        <v>615165</v>
      </c>
      <c r="C69" s="208">
        <v>453554</v>
      </c>
      <c r="D69" s="208">
        <v>39434</v>
      </c>
      <c r="E69" s="208">
        <v>35231</v>
      </c>
    </row>
    <row r="70" spans="1:5" x14ac:dyDescent="0.25">
      <c r="A70" s="210" t="s">
        <v>579</v>
      </c>
      <c r="B70" s="208">
        <v>619925</v>
      </c>
      <c r="C70" s="208">
        <v>456843</v>
      </c>
      <c r="D70" s="208">
        <v>40665</v>
      </c>
      <c r="E70" s="208">
        <v>36858</v>
      </c>
    </row>
    <row r="71" spans="1:5" x14ac:dyDescent="0.25">
      <c r="A71" s="210" t="s">
        <v>580</v>
      </c>
      <c r="B71" s="208">
        <v>624280</v>
      </c>
      <c r="C71" s="208">
        <v>459648</v>
      </c>
      <c r="D71" s="208">
        <v>41406</v>
      </c>
      <c r="E71" s="208">
        <v>37901</v>
      </c>
    </row>
    <row r="72" spans="1:5" x14ac:dyDescent="0.25">
      <c r="A72" s="210" t="s">
        <v>581</v>
      </c>
      <c r="B72" s="208">
        <v>628233</v>
      </c>
      <c r="C72" s="208">
        <v>462542</v>
      </c>
      <c r="D72" s="208">
        <v>41969</v>
      </c>
      <c r="E72" s="208">
        <v>38877</v>
      </c>
    </row>
    <row r="73" spans="1:5" x14ac:dyDescent="0.25">
      <c r="A73" s="210" t="s">
        <v>582</v>
      </c>
      <c r="B73" s="208">
        <v>632311</v>
      </c>
      <c r="C73" s="208">
        <v>464709</v>
      </c>
      <c r="D73" s="208">
        <v>42296</v>
      </c>
      <c r="E73" s="208">
        <v>39447</v>
      </c>
    </row>
    <row r="74" spans="1:5" x14ac:dyDescent="0.25">
      <c r="A74" s="210" t="s">
        <v>583</v>
      </c>
      <c r="B74" s="208">
        <v>638396</v>
      </c>
      <c r="C74" s="208">
        <v>469874</v>
      </c>
      <c r="D74" s="208">
        <v>42481</v>
      </c>
      <c r="E74" s="208">
        <v>39831</v>
      </c>
    </row>
    <row r="75" spans="1:5" x14ac:dyDescent="0.25">
      <c r="A75" s="210" t="s">
        <v>584</v>
      </c>
      <c r="B75" s="208">
        <v>645913</v>
      </c>
      <c r="C75" s="208">
        <v>475311</v>
      </c>
      <c r="D75" s="208">
        <v>42530</v>
      </c>
      <c r="E75" s="208">
        <v>40062</v>
      </c>
    </row>
    <row r="76" spans="1:5" x14ac:dyDescent="0.25">
      <c r="A76" s="210" t="s">
        <v>585</v>
      </c>
      <c r="B76" s="208">
        <v>654021</v>
      </c>
      <c r="C76" s="208">
        <v>481364</v>
      </c>
      <c r="D76" s="208">
        <v>43059</v>
      </c>
      <c r="E76" s="208">
        <v>41024</v>
      </c>
    </row>
    <row r="77" spans="1:5" x14ac:dyDescent="0.25">
      <c r="A77" s="210" t="s">
        <v>586</v>
      </c>
      <c r="B77" s="208">
        <v>661228</v>
      </c>
      <c r="C77" s="208">
        <v>486375</v>
      </c>
      <c r="D77" s="208">
        <v>43273</v>
      </c>
      <c r="E77" s="208">
        <v>41477</v>
      </c>
    </row>
    <row r="78" spans="1:5" s="225" customFormat="1" x14ac:dyDescent="0.25">
      <c r="A78" s="223" t="s">
        <v>559</v>
      </c>
      <c r="B78" s="224">
        <v>168156.41666666666</v>
      </c>
      <c r="C78" s="224">
        <v>123230.08333333333</v>
      </c>
      <c r="D78" s="224">
        <v>45050.166666666664</v>
      </c>
      <c r="E78" s="224">
        <v>44846.333333333336</v>
      </c>
    </row>
    <row r="79" spans="1:5" x14ac:dyDescent="0.25">
      <c r="A79" s="210" t="s">
        <v>575</v>
      </c>
      <c r="B79" s="208">
        <v>669074</v>
      </c>
      <c r="C79" s="208">
        <v>492231</v>
      </c>
      <c r="D79" s="208">
        <v>43561</v>
      </c>
      <c r="E79" s="208">
        <v>41983</v>
      </c>
    </row>
    <row r="80" spans="1:5" x14ac:dyDescent="0.25">
      <c r="A80" s="210" t="s">
        <v>576</v>
      </c>
      <c r="B80" s="208">
        <v>157011</v>
      </c>
      <c r="C80" s="208">
        <v>156303</v>
      </c>
      <c r="D80" s="208">
        <v>43796</v>
      </c>
      <c r="E80" s="208">
        <v>42423</v>
      </c>
    </row>
    <row r="81" spans="1:5" x14ac:dyDescent="0.25">
      <c r="A81" s="210" t="s">
        <v>577</v>
      </c>
      <c r="B81" s="208">
        <v>158373</v>
      </c>
      <c r="C81" s="208">
        <v>158291</v>
      </c>
      <c r="D81" s="208">
        <v>44375</v>
      </c>
      <c r="E81" s="208">
        <v>43297</v>
      </c>
    </row>
    <row r="82" spans="1:5" x14ac:dyDescent="0.25">
      <c r="A82" s="210" t="s">
        <v>578</v>
      </c>
      <c r="B82" s="208">
        <v>154818</v>
      </c>
      <c r="C82" s="208">
        <v>157061</v>
      </c>
      <c r="D82" s="208">
        <v>44630</v>
      </c>
      <c r="E82" s="208">
        <v>43805</v>
      </c>
    </row>
    <row r="83" spans="1:5" x14ac:dyDescent="0.25">
      <c r="A83" s="210" t="s">
        <v>579</v>
      </c>
      <c r="B83" s="208">
        <v>111871</v>
      </c>
      <c r="C83" s="208">
        <v>65720</v>
      </c>
      <c r="D83" s="208">
        <v>44880</v>
      </c>
      <c r="E83" s="208">
        <v>44391</v>
      </c>
    </row>
    <row r="84" spans="1:5" x14ac:dyDescent="0.25">
      <c r="A84" s="210" t="s">
        <v>580</v>
      </c>
      <c r="B84" s="208">
        <v>109948</v>
      </c>
      <c r="C84" s="208">
        <v>64976</v>
      </c>
      <c r="D84" s="208">
        <v>45192</v>
      </c>
      <c r="E84" s="208">
        <v>45010</v>
      </c>
    </row>
    <row r="85" spans="1:5" x14ac:dyDescent="0.25">
      <c r="A85" s="210" t="s">
        <v>581</v>
      </c>
      <c r="B85" s="208">
        <v>109799</v>
      </c>
      <c r="C85" s="208">
        <v>64729</v>
      </c>
      <c r="D85" s="208">
        <v>45366</v>
      </c>
      <c r="E85" s="208">
        <v>45364</v>
      </c>
    </row>
    <row r="86" spans="1:5" x14ac:dyDescent="0.25">
      <c r="A86" s="210" t="s">
        <v>582</v>
      </c>
      <c r="B86" s="208">
        <v>109904</v>
      </c>
      <c r="C86" s="208">
        <v>64644</v>
      </c>
      <c r="D86" s="208">
        <v>45575</v>
      </c>
      <c r="E86" s="208">
        <v>45817</v>
      </c>
    </row>
    <row r="87" spans="1:5" x14ac:dyDescent="0.25">
      <c r="A87" s="210" t="s">
        <v>583</v>
      </c>
      <c r="B87" s="208">
        <v>109666</v>
      </c>
      <c r="C87" s="208">
        <v>64275</v>
      </c>
      <c r="D87" s="208">
        <v>45697</v>
      </c>
      <c r="E87" s="208">
        <v>46202</v>
      </c>
    </row>
    <row r="88" spans="1:5" x14ac:dyDescent="0.25">
      <c r="A88" s="210" t="s">
        <v>584</v>
      </c>
      <c r="B88" s="208">
        <v>109393</v>
      </c>
      <c r="C88" s="208">
        <v>63815</v>
      </c>
      <c r="D88" s="208">
        <v>45739</v>
      </c>
      <c r="E88" s="208">
        <v>46381</v>
      </c>
    </row>
    <row r="89" spans="1:5" x14ac:dyDescent="0.25">
      <c r="A89" s="210" t="s">
        <v>585</v>
      </c>
      <c r="B89" s="208">
        <v>109031</v>
      </c>
      <c r="C89" s="208">
        <v>63526</v>
      </c>
      <c r="D89" s="208">
        <v>45910</v>
      </c>
      <c r="E89" s="208">
        <v>46666</v>
      </c>
    </row>
    <row r="90" spans="1:5" x14ac:dyDescent="0.25">
      <c r="A90" s="210" t="s">
        <v>586</v>
      </c>
      <c r="B90" s="208">
        <v>108989</v>
      </c>
      <c r="C90" s="208">
        <v>63190</v>
      </c>
      <c r="D90" s="208">
        <v>45881</v>
      </c>
      <c r="E90" s="208">
        <v>46817</v>
      </c>
    </row>
    <row r="94" spans="1:5" x14ac:dyDescent="0.25">
      <c r="A94" s="206" t="s">
        <v>543</v>
      </c>
      <c r="B94" t="s">
        <v>647</v>
      </c>
      <c r="C94" t="s">
        <v>648</v>
      </c>
      <c r="D94" t="s">
        <v>649</v>
      </c>
      <c r="E94" t="s">
        <v>650</v>
      </c>
    </row>
    <row r="95" spans="1:5" x14ac:dyDescent="0.25">
      <c r="A95" s="207" t="s">
        <v>545</v>
      </c>
      <c r="B95" s="208">
        <v>156325.61370400709</v>
      </c>
      <c r="C95" s="208">
        <v>77435.603686702554</v>
      </c>
      <c r="D95" s="208">
        <v>15483.202248388579</v>
      </c>
      <c r="E95" s="208">
        <v>15243.679179104918</v>
      </c>
    </row>
    <row r="96" spans="1:5" x14ac:dyDescent="0.25">
      <c r="A96" s="207" t="s">
        <v>546</v>
      </c>
      <c r="B96" s="208">
        <v>772303.7687463793</v>
      </c>
      <c r="C96" s="208">
        <v>553043.39554315945</v>
      </c>
      <c r="D96" s="208">
        <v>120809.2661856684</v>
      </c>
      <c r="E96" s="208">
        <v>93245.041899224161</v>
      </c>
    </row>
    <row r="97" spans="1:5" x14ac:dyDescent="0.25">
      <c r="A97" s="207" t="s">
        <v>547</v>
      </c>
      <c r="B97" s="208">
        <v>3418827.2571331747</v>
      </c>
      <c r="C97" s="208">
        <v>2476323.6803078842</v>
      </c>
      <c r="D97" s="208">
        <v>396627.09478933923</v>
      </c>
      <c r="E97" s="208">
        <v>287837.12706121668</v>
      </c>
    </row>
    <row r="98" spans="1:5" x14ac:dyDescent="0.25">
      <c r="A98" s="207" t="s">
        <v>548</v>
      </c>
      <c r="B98" s="208">
        <v>6247614.1601618873</v>
      </c>
      <c r="C98" s="208">
        <v>4603741.038574772</v>
      </c>
      <c r="D98" s="208">
        <v>662081.86303150852</v>
      </c>
      <c r="E98" s="208">
        <v>475799.91798954178</v>
      </c>
    </row>
    <row r="99" spans="1:5" x14ac:dyDescent="0.25">
      <c r="A99" s="207" t="s">
        <v>549</v>
      </c>
      <c r="B99" s="208">
        <v>8655068.6755060498</v>
      </c>
      <c r="C99" s="208">
        <v>6361345.5984722832</v>
      </c>
      <c r="D99" s="208">
        <v>999427.57781844714</v>
      </c>
      <c r="E99" s="208">
        <v>752510.08723908092</v>
      </c>
    </row>
    <row r="100" spans="1:5" x14ac:dyDescent="0.25">
      <c r="A100" s="207" t="s">
        <v>550</v>
      </c>
      <c r="B100" s="208">
        <v>10274152.252564007</v>
      </c>
      <c r="C100" s="208">
        <v>7549289.2571261423</v>
      </c>
      <c r="D100" s="208">
        <v>1394976.8004118858</v>
      </c>
      <c r="E100" s="208">
        <v>1080341.7336039112</v>
      </c>
    </row>
    <row r="101" spans="1:5" x14ac:dyDescent="0.25">
      <c r="A101" s="207" t="s">
        <v>551</v>
      </c>
      <c r="B101" s="208">
        <v>12384536.661468254</v>
      </c>
      <c r="C101" s="208">
        <v>9088379.0428815652</v>
      </c>
      <c r="D101" s="208">
        <v>1873609.1069966659</v>
      </c>
      <c r="E101" s="208">
        <v>1487596.9449784867</v>
      </c>
    </row>
    <row r="102" spans="1:5" x14ac:dyDescent="0.25">
      <c r="A102" s="207" t="s">
        <v>552</v>
      </c>
      <c r="B102" s="208">
        <v>15028398.368320284</v>
      </c>
      <c r="C102" s="208">
        <v>10934864.934245305</v>
      </c>
      <c r="D102" s="208">
        <v>2145117.4776902464</v>
      </c>
      <c r="E102" s="208">
        <v>1726456.0997398666</v>
      </c>
    </row>
    <row r="103" spans="1:5" x14ac:dyDescent="0.25">
      <c r="A103" s="207" t="s">
        <v>553</v>
      </c>
      <c r="B103" s="208">
        <v>17693062.052085578</v>
      </c>
      <c r="C103" s="208">
        <v>12778832.993547233</v>
      </c>
      <c r="D103" s="208">
        <v>2309466.3017106852</v>
      </c>
      <c r="E103" s="208">
        <v>1870817.0617767142</v>
      </c>
    </row>
    <row r="104" spans="1:5" x14ac:dyDescent="0.25">
      <c r="A104" s="207" t="s">
        <v>554</v>
      </c>
      <c r="B104" s="208">
        <v>22026093.42393636</v>
      </c>
      <c r="C104" s="208">
        <v>15785831.809762007</v>
      </c>
      <c r="D104" s="208">
        <v>2656108.6514058975</v>
      </c>
      <c r="E104" s="208">
        <v>2170783.9154642965</v>
      </c>
    </row>
    <row r="105" spans="1:5" x14ac:dyDescent="0.25">
      <c r="A105" s="207" t="s">
        <v>555</v>
      </c>
      <c r="B105" s="208">
        <v>25758208.861809745</v>
      </c>
      <c r="C105" s="208">
        <v>18313834.917808082</v>
      </c>
      <c r="D105" s="208">
        <v>2811976.0036181766</v>
      </c>
      <c r="E105" s="208">
        <v>2328781.0642876038</v>
      </c>
    </row>
    <row r="106" spans="1:5" x14ac:dyDescent="0.25">
      <c r="A106" s="207" t="s">
        <v>556</v>
      </c>
      <c r="B106" s="208">
        <v>31325043.761277139</v>
      </c>
      <c r="C106" s="208">
        <v>22124351.396135092</v>
      </c>
      <c r="D106" s="208">
        <v>3077999.2799660643</v>
      </c>
      <c r="E106" s="208">
        <v>2588562.3438297664</v>
      </c>
    </row>
    <row r="107" spans="1:5" x14ac:dyDescent="0.25">
      <c r="A107" s="207" t="s">
        <v>557</v>
      </c>
      <c r="B107" s="208">
        <v>52124871.761183031</v>
      </c>
      <c r="C107" s="208">
        <v>36060454.038666867</v>
      </c>
      <c r="D107" s="208">
        <v>4073396.1219694219</v>
      </c>
      <c r="E107" s="208">
        <v>3463066.8552737548</v>
      </c>
    </row>
    <row r="108" spans="1:5" x14ac:dyDescent="0.25">
      <c r="A108" s="223" t="s">
        <v>558</v>
      </c>
      <c r="B108" s="224">
        <v>70325409.227225527</v>
      </c>
      <c r="C108" s="224">
        <v>48621672.881336205</v>
      </c>
      <c r="D108" s="224">
        <v>5150957.0731636398</v>
      </c>
      <c r="E108" s="224">
        <v>4569506.209414009</v>
      </c>
    </row>
    <row r="109" spans="1:5" x14ac:dyDescent="0.25">
      <c r="A109" s="210" t="s">
        <v>575</v>
      </c>
      <c r="B109" s="208">
        <v>63696362.958414577</v>
      </c>
      <c r="C109" s="208">
        <v>44309021.858175702</v>
      </c>
      <c r="D109" s="208">
        <v>4762977.5698647648</v>
      </c>
      <c r="E109" s="208">
        <v>4091361.7391424058</v>
      </c>
    </row>
    <row r="110" spans="1:5" x14ac:dyDescent="0.25">
      <c r="A110" s="210" t="s">
        <v>576</v>
      </c>
      <c r="B110" s="208">
        <v>63994907.637665316</v>
      </c>
      <c r="C110" s="208">
        <v>44520514.941822201</v>
      </c>
      <c r="D110" s="208">
        <v>4770319.8015366821</v>
      </c>
      <c r="E110" s="208">
        <v>4099156.4931002227</v>
      </c>
    </row>
    <row r="111" spans="1:5" x14ac:dyDescent="0.25">
      <c r="A111" s="210" t="s">
        <v>577</v>
      </c>
      <c r="B111" s="208">
        <v>64860053.544890635</v>
      </c>
      <c r="C111" s="208">
        <v>44970556.341564067</v>
      </c>
      <c r="D111" s="208">
        <v>4790436.5807098188</v>
      </c>
      <c r="E111" s="208">
        <v>4120914.664349474</v>
      </c>
    </row>
    <row r="112" spans="1:5" x14ac:dyDescent="0.25">
      <c r="A112" s="210" t="s">
        <v>578</v>
      </c>
      <c r="B112" s="208">
        <v>65728334.705676571</v>
      </c>
      <c r="C112" s="208">
        <v>45436158.618098512</v>
      </c>
      <c r="D112" s="208">
        <v>4853879.4257550761</v>
      </c>
      <c r="E112" s="208">
        <v>4205557.1092847055</v>
      </c>
    </row>
    <row r="113" spans="1:5" x14ac:dyDescent="0.25">
      <c r="A113" s="210" t="s">
        <v>579</v>
      </c>
      <c r="B113" s="208">
        <v>66487237.463731125</v>
      </c>
      <c r="C113" s="208">
        <v>45869113.586396888</v>
      </c>
      <c r="D113" s="208">
        <v>4942107.9733611783</v>
      </c>
      <c r="E113" s="208">
        <v>4317325.5893974723</v>
      </c>
    </row>
    <row r="114" spans="1:5" x14ac:dyDescent="0.25">
      <c r="A114" s="210" t="s">
        <v>580</v>
      </c>
      <c r="B114" s="208">
        <v>67158507.375148997</v>
      </c>
      <c r="C114" s="208">
        <v>46243176.301030934</v>
      </c>
      <c r="D114" s="208">
        <v>4996697.9239287786</v>
      </c>
      <c r="E114" s="208">
        <v>4398896.771803827</v>
      </c>
    </row>
    <row r="115" spans="1:5" x14ac:dyDescent="0.25">
      <c r="A115" s="210" t="s">
        <v>581</v>
      </c>
      <c r="B115" s="208">
        <v>71495305.011722028</v>
      </c>
      <c r="C115" s="208">
        <v>49293780.097641803</v>
      </c>
      <c r="D115" s="208">
        <v>5285358.0406123968</v>
      </c>
      <c r="E115" s="208">
        <v>4703728.2221015217</v>
      </c>
    </row>
    <row r="116" spans="1:5" x14ac:dyDescent="0.25">
      <c r="A116" s="210" t="s">
        <v>582</v>
      </c>
      <c r="B116" s="208">
        <v>72562820.255994841</v>
      </c>
      <c r="C116" s="208">
        <v>50049476.158138156</v>
      </c>
      <c r="D116" s="208">
        <v>5343223.9759224355</v>
      </c>
      <c r="E116" s="208">
        <v>4791257.5344296834</v>
      </c>
    </row>
    <row r="117" spans="1:5" x14ac:dyDescent="0.25">
      <c r="A117" s="210" t="s">
        <v>583</v>
      </c>
      <c r="B117" s="208">
        <v>74341706.803722784</v>
      </c>
      <c r="C117" s="208">
        <v>51336522.716239899</v>
      </c>
      <c r="D117" s="208">
        <v>5419614.7033567168</v>
      </c>
      <c r="E117" s="208">
        <v>4887790.7821044028</v>
      </c>
    </row>
    <row r="118" spans="1:5" x14ac:dyDescent="0.25">
      <c r="A118" s="210" t="s">
        <v>584</v>
      </c>
      <c r="B118" s="208">
        <v>76383252.740311757</v>
      </c>
      <c r="C118" s="208">
        <v>52777445.495826118</v>
      </c>
      <c r="D118" s="208">
        <v>5494279.9203069536</v>
      </c>
      <c r="E118" s="208">
        <v>4985450.6875939816</v>
      </c>
    </row>
    <row r="119" spans="1:5" x14ac:dyDescent="0.25">
      <c r="A119" s="210" t="s">
        <v>585</v>
      </c>
      <c r="B119" s="208">
        <v>77822215.433380589</v>
      </c>
      <c r="C119" s="208">
        <v>53790438.48087886</v>
      </c>
      <c r="D119" s="208">
        <v>5553125.5563144684</v>
      </c>
      <c r="E119" s="208">
        <v>5084684.765986192</v>
      </c>
    </row>
    <row r="120" spans="1:5" x14ac:dyDescent="0.25">
      <c r="A120" s="210" t="s">
        <v>586</v>
      </c>
      <c r="B120" s="208">
        <v>79374206.796047181</v>
      </c>
      <c r="C120" s="208">
        <v>54863869.980221249</v>
      </c>
      <c r="D120" s="208">
        <v>5599463.4062944036</v>
      </c>
      <c r="E120" s="208">
        <v>5147950.1536742188</v>
      </c>
    </row>
    <row r="121" spans="1:5" x14ac:dyDescent="0.25">
      <c r="A121" s="223" t="s">
        <v>559</v>
      </c>
      <c r="B121" s="224">
        <v>28404314.458391637</v>
      </c>
      <c r="C121" s="224">
        <v>19538600.04015791</v>
      </c>
      <c r="D121" s="224">
        <v>7087207.4631598182</v>
      </c>
      <c r="E121" s="224">
        <v>6735884.6632310161</v>
      </c>
    </row>
    <row r="122" spans="1:5" x14ac:dyDescent="0.25">
      <c r="A122" s="210" t="s">
        <v>575</v>
      </c>
      <c r="B122" s="208">
        <v>85329225.032237858</v>
      </c>
      <c r="C122" s="208">
        <v>59281217.267202884</v>
      </c>
      <c r="D122" s="208">
        <v>6132700.1791782491</v>
      </c>
      <c r="E122" s="208">
        <v>5679553.632685883</v>
      </c>
    </row>
    <row r="123" spans="1:5" x14ac:dyDescent="0.25">
      <c r="A123" s="210" t="s">
        <v>576</v>
      </c>
      <c r="B123" s="208">
        <v>25600211.370473564</v>
      </c>
      <c r="C123" s="208">
        <v>23066984.063865762</v>
      </c>
      <c r="D123" s="208">
        <v>6498751.6686510267</v>
      </c>
      <c r="E123" s="208">
        <v>6057090.6828516349</v>
      </c>
    </row>
    <row r="124" spans="1:5" x14ac:dyDescent="0.25">
      <c r="A124" s="210" t="s">
        <v>577</v>
      </c>
      <c r="B124" s="208">
        <v>26343023.491362132</v>
      </c>
      <c r="C124" s="208">
        <v>23864446.290870335</v>
      </c>
      <c r="D124" s="208">
        <v>6658569.4005818935</v>
      </c>
      <c r="E124" s="208">
        <v>6232259.3259341298</v>
      </c>
    </row>
    <row r="125" spans="1:5" x14ac:dyDescent="0.25">
      <c r="A125" s="210" t="s">
        <v>578</v>
      </c>
      <c r="B125" s="208">
        <v>26307696.940407004</v>
      </c>
      <c r="C125" s="208">
        <v>24186619.725794081</v>
      </c>
      <c r="D125" s="208">
        <v>6756216.970998928</v>
      </c>
      <c r="E125" s="208">
        <v>6351773.5113056358</v>
      </c>
    </row>
    <row r="126" spans="1:5" x14ac:dyDescent="0.25">
      <c r="A126" s="210" t="s">
        <v>579</v>
      </c>
      <c r="B126" s="208">
        <v>20202999.442572609</v>
      </c>
      <c r="C126" s="208">
        <v>11805726.360177547</v>
      </c>
      <c r="D126" s="208">
        <v>6834328.4957676977</v>
      </c>
      <c r="E126" s="208">
        <v>6450792.0539269475</v>
      </c>
    </row>
    <row r="127" spans="1:5" x14ac:dyDescent="0.25">
      <c r="A127" s="210" t="s">
        <v>580</v>
      </c>
      <c r="B127" s="208">
        <v>20053029.638470855</v>
      </c>
      <c r="C127" s="208">
        <v>11793055.343836</v>
      </c>
      <c r="D127" s="208">
        <v>6907765.9940315234</v>
      </c>
      <c r="E127" s="208">
        <v>6550657.2089116909</v>
      </c>
    </row>
    <row r="128" spans="1:5" x14ac:dyDescent="0.25">
      <c r="A128" s="210" t="s">
        <v>581</v>
      </c>
      <c r="B128" s="208">
        <v>22377324.760191623</v>
      </c>
      <c r="C128" s="208">
        <v>13224117.54782065</v>
      </c>
      <c r="D128" s="208">
        <v>7376892.1677712034</v>
      </c>
      <c r="E128" s="208">
        <v>7023761.3156361412</v>
      </c>
    </row>
    <row r="129" spans="1:5" x14ac:dyDescent="0.25">
      <c r="A129" s="210" t="s">
        <v>582</v>
      </c>
      <c r="B129" s="208">
        <v>22684708.714051336</v>
      </c>
      <c r="C129" s="208">
        <v>13379686.190742709</v>
      </c>
      <c r="D129" s="208">
        <v>7478883.8662241418</v>
      </c>
      <c r="E129" s="208">
        <v>7148149.1247316077</v>
      </c>
    </row>
    <row r="130" spans="1:5" x14ac:dyDescent="0.25">
      <c r="A130" s="210" t="s">
        <v>583</v>
      </c>
      <c r="B130" s="208">
        <v>22838710.828177366</v>
      </c>
      <c r="C130" s="208">
        <v>13432771.509775188</v>
      </c>
      <c r="D130" s="208">
        <v>7534369.5666278116</v>
      </c>
      <c r="E130" s="208">
        <v>7235405.0305390116</v>
      </c>
    </row>
    <row r="131" spans="1:5" x14ac:dyDescent="0.25">
      <c r="A131" s="210" t="s">
        <v>584</v>
      </c>
      <c r="B131" s="208">
        <v>22907039.828335743</v>
      </c>
      <c r="C131" s="208">
        <v>13420917.645273631</v>
      </c>
      <c r="D131" s="208">
        <v>7564538.8144861665</v>
      </c>
      <c r="E131" s="208">
        <v>7286512.3733402435</v>
      </c>
    </row>
    <row r="132" spans="1:5" x14ac:dyDescent="0.25">
      <c r="A132" s="210" t="s">
        <v>585</v>
      </c>
      <c r="B132" s="208">
        <v>23067765.572419517</v>
      </c>
      <c r="C132" s="208">
        <v>13508671.80453616</v>
      </c>
      <c r="D132" s="208">
        <v>7653519.1425991999</v>
      </c>
      <c r="E132" s="208">
        <v>7392855.8299092585</v>
      </c>
    </row>
    <row r="133" spans="1:5" x14ac:dyDescent="0.25">
      <c r="A133" s="210" t="s">
        <v>586</v>
      </c>
      <c r="B133" s="208">
        <v>23140037.881999999</v>
      </c>
      <c r="C133" s="208">
        <v>13498986.732000001</v>
      </c>
      <c r="D133" s="208">
        <v>7649953.2910000002</v>
      </c>
      <c r="E133" s="208">
        <v>7421805.8689999999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319F6-925B-4008-8FC0-367BEBFFF7D7}">
  <sheetPr>
    <tabColor theme="9"/>
  </sheetPr>
  <dimension ref="B2:AC252"/>
  <sheetViews>
    <sheetView showGridLines="0" workbookViewId="0"/>
  </sheetViews>
  <sheetFormatPr baseColWidth="10" defaultRowHeight="15" outlineLevelRow="1" x14ac:dyDescent="0.25"/>
  <cols>
    <col min="2" max="2" width="21.7109375" customWidth="1"/>
    <col min="3" max="3" width="13" customWidth="1"/>
    <col min="4" max="4" width="14.85546875" customWidth="1"/>
    <col min="5" max="5" width="15.140625" customWidth="1"/>
    <col min="6" max="6" width="17.7109375" customWidth="1"/>
    <col min="7" max="7" width="15.5703125" customWidth="1"/>
    <col min="8" max="8" width="14.7109375" customWidth="1"/>
    <col min="9" max="9" width="16.28515625" customWidth="1"/>
    <col min="10" max="10" width="15.42578125" customWidth="1"/>
    <col min="11" max="11" width="16.85546875" customWidth="1"/>
    <col min="12" max="12" width="18.28515625" customWidth="1"/>
    <col min="13" max="13" width="13.5703125" customWidth="1"/>
    <col min="14" max="14" width="15.28515625" customWidth="1"/>
    <col min="15" max="16" width="12.85546875" bestFit="1" customWidth="1"/>
    <col min="17" max="17" width="13.7109375" bestFit="1" customWidth="1"/>
    <col min="18" max="18" width="13.5703125" customWidth="1"/>
    <col min="19" max="19" width="12" bestFit="1" customWidth="1"/>
    <col min="20" max="21" width="12.85546875" bestFit="1" customWidth="1"/>
    <col min="22" max="23" width="13.7109375" bestFit="1" customWidth="1"/>
    <col min="24" max="24" width="12.28515625" customWidth="1"/>
    <col min="27" max="27" width="17.42578125" bestFit="1" customWidth="1"/>
    <col min="28" max="28" width="13.7109375" customWidth="1"/>
    <col min="29" max="29" width="13.42578125" customWidth="1"/>
    <col min="33" max="33" width="13.140625" customWidth="1"/>
    <col min="34" max="34" width="12.85546875" customWidth="1"/>
    <col min="35" max="35" width="13.42578125" customWidth="1"/>
  </cols>
  <sheetData>
    <row r="2" spans="2:14" ht="23.25" x14ac:dyDescent="0.25">
      <c r="B2" s="1" t="s">
        <v>709</v>
      </c>
      <c r="C2" s="4"/>
      <c r="D2" s="4"/>
      <c r="E2" s="4"/>
      <c r="F2" s="4"/>
      <c r="G2" s="4"/>
      <c r="H2" s="4"/>
      <c r="I2" s="4"/>
      <c r="J2" s="4"/>
      <c r="K2" s="4"/>
    </row>
    <row r="3" spans="2:14" x14ac:dyDescent="0.25">
      <c r="B3" s="4"/>
      <c r="C3" s="4"/>
      <c r="D3" s="4"/>
      <c r="E3" s="4"/>
      <c r="F3" s="4"/>
      <c r="G3" s="4"/>
      <c r="H3" s="4"/>
      <c r="I3" s="4"/>
      <c r="J3" s="4"/>
      <c r="K3" s="4"/>
    </row>
    <row r="4" spans="2:14" ht="18.75" x14ac:dyDescent="0.3">
      <c r="B4" s="2" t="s">
        <v>789</v>
      </c>
      <c r="C4" s="2"/>
      <c r="D4" s="2"/>
      <c r="E4" s="2"/>
      <c r="F4" s="2"/>
      <c r="G4" s="2"/>
      <c r="J4" s="4"/>
      <c r="K4" s="4"/>
    </row>
    <row r="5" spans="2:14" x14ac:dyDescent="0.25">
      <c r="B5" s="3" t="s">
        <v>866</v>
      </c>
      <c r="J5" s="4"/>
      <c r="K5" s="4"/>
    </row>
    <row r="6" spans="2:14" x14ac:dyDescent="0.25">
      <c r="J6" s="4"/>
      <c r="K6" s="4"/>
    </row>
    <row r="7" spans="2:14" ht="17.25" x14ac:dyDescent="0.25">
      <c r="D7" s="407" t="s">
        <v>900</v>
      </c>
      <c r="E7" s="407"/>
      <c r="F7" s="407"/>
      <c r="G7" s="407" t="s">
        <v>3</v>
      </c>
      <c r="H7" s="407"/>
      <c r="I7" s="407"/>
      <c r="J7" s="412" t="s">
        <v>618</v>
      </c>
      <c r="K7" s="412"/>
      <c r="L7" s="412"/>
      <c r="N7" s="4"/>
    </row>
    <row r="8" spans="2:14" ht="32.25" x14ac:dyDescent="0.25">
      <c r="B8" s="138" t="s">
        <v>472</v>
      </c>
      <c r="C8" s="161" t="s">
        <v>589</v>
      </c>
      <c r="D8" s="138" t="s">
        <v>880</v>
      </c>
      <c r="E8" s="161" t="s">
        <v>888</v>
      </c>
      <c r="F8" s="138" t="s">
        <v>889</v>
      </c>
      <c r="G8" s="138" t="s">
        <v>880</v>
      </c>
      <c r="H8" s="161" t="s">
        <v>888</v>
      </c>
      <c r="I8" s="138" t="s">
        <v>889</v>
      </c>
      <c r="J8" s="310" t="s">
        <v>880</v>
      </c>
      <c r="K8" s="310" t="s">
        <v>888</v>
      </c>
      <c r="L8" s="310" t="s">
        <v>889</v>
      </c>
      <c r="M8" s="4"/>
    </row>
    <row r="9" spans="2:14" x14ac:dyDescent="0.25">
      <c r="B9" s="403">
        <v>45200</v>
      </c>
      <c r="C9" s="248" t="s">
        <v>73</v>
      </c>
      <c r="D9" s="250">
        <v>106548</v>
      </c>
      <c r="E9" s="250">
        <v>25173157.954999998</v>
      </c>
      <c r="F9" s="264">
        <v>25224769.168864466</v>
      </c>
      <c r="G9" s="250">
        <v>47288</v>
      </c>
      <c r="H9" s="250">
        <v>8347977.699</v>
      </c>
      <c r="I9" s="264">
        <v>8365093.1226242064</v>
      </c>
      <c r="J9" s="294">
        <v>153836</v>
      </c>
      <c r="K9" s="294">
        <v>33521135.653999999</v>
      </c>
      <c r="L9" s="294">
        <v>33589862.29148867</v>
      </c>
    </row>
    <row r="10" spans="2:14" x14ac:dyDescent="0.25">
      <c r="B10" s="416"/>
      <c r="C10" s="248" t="s">
        <v>74</v>
      </c>
      <c r="D10" s="250">
        <v>60882</v>
      </c>
      <c r="E10" s="250">
        <v>14578037.396</v>
      </c>
      <c r="F10" s="264">
        <v>14607925.986343496</v>
      </c>
      <c r="G10" s="250">
        <v>49876</v>
      </c>
      <c r="H10" s="250">
        <v>8352880.7070000004</v>
      </c>
      <c r="I10" s="264">
        <v>8370006.1830059905</v>
      </c>
      <c r="J10" s="294">
        <v>110758</v>
      </c>
      <c r="K10" s="294">
        <v>22930918.103</v>
      </c>
      <c r="L10" s="294">
        <v>22977932.169349488</v>
      </c>
      <c r="M10" s="4"/>
    </row>
    <row r="11" spans="2:14" x14ac:dyDescent="0.25">
      <c r="B11" s="416"/>
      <c r="C11" s="248" t="s">
        <v>25</v>
      </c>
      <c r="D11" s="250">
        <v>167430</v>
      </c>
      <c r="E11" s="250">
        <v>39751195.351000004</v>
      </c>
      <c r="F11" s="264">
        <v>39832695.155207962</v>
      </c>
      <c r="G11" s="250">
        <v>97164</v>
      </c>
      <c r="H11" s="250">
        <v>16700858.405999999</v>
      </c>
      <c r="I11" s="264">
        <v>16735099.305630196</v>
      </c>
      <c r="J11" s="294">
        <v>264594</v>
      </c>
      <c r="K11" s="294">
        <v>56452053.756999999</v>
      </c>
      <c r="L11" s="294">
        <v>56567794.460838154</v>
      </c>
      <c r="M11" s="4"/>
    </row>
    <row r="12" spans="2:14" x14ac:dyDescent="0.25">
      <c r="B12" s="403">
        <v>45231</v>
      </c>
      <c r="C12" s="248" t="s">
        <v>73</v>
      </c>
      <c r="D12" s="250">
        <v>106386</v>
      </c>
      <c r="E12" s="250">
        <v>25126472.482999999</v>
      </c>
      <c r="F12" s="264">
        <v>24991578.172402967</v>
      </c>
      <c r="G12" s="250">
        <v>47294</v>
      </c>
      <c r="H12" s="250">
        <v>8334109.4079999998</v>
      </c>
      <c r="I12" s="264">
        <v>8289366.7986347964</v>
      </c>
      <c r="J12" s="294">
        <v>153680</v>
      </c>
      <c r="K12" s="294">
        <v>33460581.890999999</v>
      </c>
      <c r="L12" s="294">
        <v>33280944.97103776</v>
      </c>
      <c r="M12" s="4"/>
    </row>
    <row r="13" spans="2:14" x14ac:dyDescent="0.25">
      <c r="B13" s="416"/>
      <c r="C13" s="248" t="s">
        <v>74</v>
      </c>
      <c r="D13" s="250">
        <v>60624</v>
      </c>
      <c r="E13" s="250">
        <v>14517267.044</v>
      </c>
      <c r="F13" s="264">
        <v>14439329.453238769</v>
      </c>
      <c r="G13" s="250">
        <v>49989</v>
      </c>
      <c r="H13" s="250">
        <v>8356257.5860000001</v>
      </c>
      <c r="I13" s="264">
        <v>8311396.0716351271</v>
      </c>
      <c r="J13" s="294">
        <v>110613</v>
      </c>
      <c r="K13" s="294">
        <v>22873524.629999999</v>
      </c>
      <c r="L13" s="294">
        <v>22750725.524873894</v>
      </c>
      <c r="M13" s="4"/>
    </row>
    <row r="14" spans="2:14" x14ac:dyDescent="0.25">
      <c r="B14" s="416"/>
      <c r="C14" s="248" t="s">
        <v>25</v>
      </c>
      <c r="D14" s="250">
        <v>167010</v>
      </c>
      <c r="E14" s="250">
        <v>39643739.527000003</v>
      </c>
      <c r="F14" s="264">
        <v>39430907.625641733</v>
      </c>
      <c r="G14" s="250">
        <v>97283</v>
      </c>
      <c r="H14" s="250">
        <v>16690366.994000001</v>
      </c>
      <c r="I14" s="264">
        <v>16600762.870269923</v>
      </c>
      <c r="J14" s="294">
        <v>264293</v>
      </c>
      <c r="K14" s="294">
        <v>56334106.520999998</v>
      </c>
      <c r="L14" s="294">
        <v>56031670.495911658</v>
      </c>
      <c r="M14" s="4"/>
    </row>
    <row r="15" spans="2:14" x14ac:dyDescent="0.25">
      <c r="B15" s="417">
        <v>45261</v>
      </c>
      <c r="C15" s="248" t="s">
        <v>73</v>
      </c>
      <c r="D15" s="250">
        <v>105880</v>
      </c>
      <c r="E15" s="250">
        <v>25039244.065000001</v>
      </c>
      <c r="F15" s="264">
        <v>25039244.065000001</v>
      </c>
      <c r="G15" s="250">
        <v>47405</v>
      </c>
      <c r="H15" s="250">
        <v>8339131.6310000001</v>
      </c>
      <c r="I15" s="264">
        <v>8339131.6310000001</v>
      </c>
      <c r="J15" s="294">
        <v>153285</v>
      </c>
      <c r="K15" s="294">
        <v>33378375.695999999</v>
      </c>
      <c r="L15" s="294">
        <v>33378375.695999999</v>
      </c>
      <c r="M15" s="4"/>
    </row>
    <row r="16" spans="2:14" x14ac:dyDescent="0.25">
      <c r="B16" s="418"/>
      <c r="C16" s="248" t="s">
        <v>74</v>
      </c>
      <c r="D16" s="250">
        <v>60307</v>
      </c>
      <c r="E16" s="250">
        <v>14450349.472999999</v>
      </c>
      <c r="F16" s="264">
        <v>14450349.472999999</v>
      </c>
      <c r="G16" s="250">
        <v>50164</v>
      </c>
      <c r="H16" s="250">
        <v>8365112.523</v>
      </c>
      <c r="I16" s="264">
        <v>8365112.523</v>
      </c>
      <c r="J16" s="294">
        <v>110471</v>
      </c>
      <c r="K16" s="294">
        <v>22815461.995999999</v>
      </c>
      <c r="L16" s="294">
        <v>22815461.995999999</v>
      </c>
      <c r="M16" s="4"/>
    </row>
    <row r="17" spans="2:13" x14ac:dyDescent="0.25">
      <c r="B17" s="418"/>
      <c r="C17" s="249" t="s">
        <v>25</v>
      </c>
      <c r="D17" s="250">
        <v>166187</v>
      </c>
      <c r="E17" s="250">
        <v>39489593.538000003</v>
      </c>
      <c r="F17" s="264">
        <v>39489593.538000003</v>
      </c>
      <c r="G17" s="250">
        <v>97569</v>
      </c>
      <c r="H17" s="250">
        <v>16704244.153999999</v>
      </c>
      <c r="I17" s="264">
        <v>16704244.153999999</v>
      </c>
      <c r="J17" s="294">
        <v>263756</v>
      </c>
      <c r="K17" s="294">
        <v>56193837.692000002</v>
      </c>
      <c r="L17" s="294">
        <v>56193837.692000002</v>
      </c>
    </row>
    <row r="18" spans="2:13" x14ac:dyDescent="0.25">
      <c r="B18" s="4" t="s">
        <v>788</v>
      </c>
      <c r="M18" s="256"/>
    </row>
    <row r="19" spans="2:13" ht="64.5" customHeight="1" x14ac:dyDescent="0.25">
      <c r="B19" s="397" t="s">
        <v>897</v>
      </c>
      <c r="C19" s="397"/>
      <c r="D19" s="397"/>
      <c r="E19" s="397"/>
      <c r="F19" s="397"/>
      <c r="G19" s="397"/>
      <c r="H19" s="397"/>
      <c r="I19" s="397"/>
      <c r="J19" s="397"/>
      <c r="K19" s="397"/>
      <c r="L19" s="397"/>
      <c r="M19" s="256"/>
    </row>
    <row r="20" spans="2:13" x14ac:dyDescent="0.25">
      <c r="B20" s="253" t="s">
        <v>890</v>
      </c>
      <c r="C20" s="244"/>
      <c r="D20" s="244"/>
      <c r="E20" s="244"/>
      <c r="F20" s="244"/>
      <c r="G20" s="244"/>
      <c r="H20" s="244"/>
      <c r="I20" s="244"/>
      <c r="J20" s="244"/>
      <c r="K20" s="244"/>
      <c r="L20" s="244"/>
      <c r="M20" s="258"/>
    </row>
    <row r="21" spans="2:13" x14ac:dyDescent="0.25">
      <c r="B21" s="253"/>
      <c r="C21" s="244"/>
      <c r="D21" s="244"/>
      <c r="E21" s="244"/>
      <c r="F21" s="244"/>
      <c r="G21" s="244"/>
      <c r="H21" s="244"/>
      <c r="I21" s="244"/>
      <c r="J21" s="244"/>
      <c r="K21" s="244"/>
      <c r="L21" s="244"/>
      <c r="M21" s="258"/>
    </row>
    <row r="22" spans="2:13" x14ac:dyDescent="0.25">
      <c r="B22" s="254"/>
      <c r="D22" s="212"/>
      <c r="E22" s="212"/>
      <c r="F22" s="212"/>
      <c r="G22" s="212"/>
      <c r="H22" s="212"/>
      <c r="I22" s="212"/>
      <c r="J22" s="212"/>
      <c r="K22" s="212"/>
    </row>
    <row r="23" spans="2:13" ht="18.75" x14ac:dyDescent="0.3">
      <c r="B23" s="2" t="s">
        <v>852</v>
      </c>
      <c r="C23" s="2"/>
      <c r="D23" s="2"/>
      <c r="E23" s="2"/>
      <c r="F23" s="2"/>
      <c r="G23" s="4"/>
      <c r="H23" s="4"/>
      <c r="I23" s="4"/>
      <c r="J23" s="4"/>
      <c r="K23" s="4"/>
    </row>
    <row r="24" spans="2:13" x14ac:dyDescent="0.25">
      <c r="B24" s="3" t="s">
        <v>867</v>
      </c>
      <c r="C24" s="4"/>
      <c r="D24" s="4"/>
      <c r="E24" s="4"/>
      <c r="F24" s="4"/>
      <c r="G24" s="4"/>
      <c r="H24" s="4"/>
      <c r="I24" s="4"/>
      <c r="J24" s="4"/>
      <c r="K24" s="4"/>
    </row>
    <row r="25" spans="2:13" x14ac:dyDescent="0.25">
      <c r="B25" s="4"/>
      <c r="C25" s="4"/>
      <c r="D25" s="4"/>
      <c r="E25" s="4"/>
      <c r="F25" s="4"/>
      <c r="G25" s="4"/>
      <c r="H25" s="4"/>
      <c r="I25" s="4"/>
      <c r="J25" s="4"/>
      <c r="K25" s="4"/>
    </row>
    <row r="26" spans="2:13" ht="17.25" x14ac:dyDescent="0.25">
      <c r="D26" s="400" t="s">
        <v>900</v>
      </c>
      <c r="E26" s="401"/>
      <c r="F26" s="402"/>
      <c r="G26" s="400" t="s">
        <v>3</v>
      </c>
      <c r="H26" s="401"/>
      <c r="I26" s="402"/>
      <c r="J26" s="412" t="s">
        <v>618</v>
      </c>
      <c r="K26" s="412"/>
      <c r="L26" s="412"/>
    </row>
    <row r="27" spans="2:13" ht="32.25" x14ac:dyDescent="0.25">
      <c r="B27" s="138" t="s">
        <v>472</v>
      </c>
      <c r="C27" s="161" t="s">
        <v>589</v>
      </c>
      <c r="D27" s="161" t="s">
        <v>916</v>
      </c>
      <c r="E27" s="161" t="s">
        <v>883</v>
      </c>
      <c r="F27" s="161" t="s">
        <v>884</v>
      </c>
      <c r="G27" s="161" t="s">
        <v>916</v>
      </c>
      <c r="H27" s="161" t="s">
        <v>883</v>
      </c>
      <c r="I27" s="161" t="s">
        <v>884</v>
      </c>
      <c r="J27" s="299" t="s">
        <v>916</v>
      </c>
      <c r="K27" s="299" t="s">
        <v>883</v>
      </c>
      <c r="L27" s="299" t="s">
        <v>884</v>
      </c>
    </row>
    <row r="28" spans="2:13" x14ac:dyDescent="0.25">
      <c r="B28" s="419" t="s">
        <v>843</v>
      </c>
      <c r="C28" s="248" t="s">
        <v>73</v>
      </c>
      <c r="D28" s="250">
        <v>107656.58333333333</v>
      </c>
      <c r="E28" s="250">
        <v>292131658.86900008</v>
      </c>
      <c r="F28" s="250">
        <v>296078422.52840537</v>
      </c>
      <c r="G28" s="250">
        <v>46872.083333333336</v>
      </c>
      <c r="H28" s="250">
        <v>99131586.085999981</v>
      </c>
      <c r="I28" s="250">
        <v>100489473.19499767</v>
      </c>
      <c r="J28" s="294">
        <v>154528.66666666666</v>
      </c>
      <c r="K28" s="294">
        <v>391263244.95499992</v>
      </c>
      <c r="L28" s="294">
        <v>396567895.72340304</v>
      </c>
    </row>
    <row r="29" spans="2:13" x14ac:dyDescent="0.25">
      <c r="B29" s="419"/>
      <c r="C29" s="248" t="s">
        <v>74</v>
      </c>
      <c r="D29" s="250">
        <v>61733.75</v>
      </c>
      <c r="E29" s="250">
        <v>169307603.46799999</v>
      </c>
      <c r="F29" s="250">
        <v>171599064.80914986</v>
      </c>
      <c r="G29" s="250">
        <v>48903.25</v>
      </c>
      <c r="H29" s="250">
        <v>98307681.952999994</v>
      </c>
      <c r="I29" s="250">
        <v>99645253.582008496</v>
      </c>
      <c r="J29" s="294">
        <v>110637</v>
      </c>
      <c r="K29" s="294">
        <v>267615285.421</v>
      </c>
      <c r="L29" s="294">
        <v>271244318.39115834</v>
      </c>
    </row>
    <row r="30" spans="2:13" x14ac:dyDescent="0.25">
      <c r="B30" s="420"/>
      <c r="C30" s="249" t="s">
        <v>588</v>
      </c>
      <c r="D30" s="250">
        <v>169390.33333333334</v>
      </c>
      <c r="E30" s="250">
        <v>461439262.33700001</v>
      </c>
      <c r="F30" s="250">
        <v>467677487.33755517</v>
      </c>
      <c r="G30" s="250">
        <v>95775.333333333328</v>
      </c>
      <c r="H30" s="250">
        <v>197439268.03899997</v>
      </c>
      <c r="I30" s="250">
        <v>200134726.77700621</v>
      </c>
      <c r="J30" s="294">
        <v>265165.66666666669</v>
      </c>
      <c r="K30" s="294">
        <v>658878530.37600005</v>
      </c>
      <c r="L30" s="294">
        <v>667812214.11456144</v>
      </c>
    </row>
    <row r="31" spans="2:13" x14ac:dyDescent="0.25">
      <c r="B31" s="4" t="s">
        <v>788</v>
      </c>
      <c r="C31" s="259"/>
      <c r="D31" s="259"/>
      <c r="E31" s="259"/>
      <c r="F31" s="259"/>
      <c r="G31" s="259"/>
      <c r="H31" s="259"/>
      <c r="I31" s="259"/>
      <c r="J31" s="259"/>
      <c r="K31" s="259"/>
      <c r="L31" s="259"/>
      <c r="M31" s="259"/>
    </row>
    <row r="32" spans="2:13" ht="63.75" customHeight="1" x14ac:dyDescent="0.25">
      <c r="B32" s="397" t="s">
        <v>897</v>
      </c>
      <c r="C32" s="397"/>
      <c r="D32" s="397"/>
      <c r="E32" s="397"/>
      <c r="F32" s="397"/>
      <c r="G32" s="397"/>
      <c r="H32" s="397"/>
      <c r="I32" s="397"/>
      <c r="J32" s="397"/>
      <c r="K32" s="397"/>
      <c r="L32" s="397"/>
      <c r="M32" s="258"/>
    </row>
    <row r="33" spans="2:29" x14ac:dyDescent="0.25">
      <c r="B33" s="358" t="s">
        <v>908</v>
      </c>
      <c r="C33" s="352"/>
      <c r="D33" s="352"/>
      <c r="E33" s="352"/>
      <c r="F33" s="352"/>
      <c r="G33" s="352"/>
      <c r="H33" s="352"/>
      <c r="I33" s="352"/>
      <c r="J33" s="352"/>
      <c r="K33" s="352"/>
      <c r="L33" s="352"/>
      <c r="M33" s="353"/>
    </row>
    <row r="34" spans="2:29" x14ac:dyDescent="0.25">
      <c r="B34" s="359"/>
      <c r="C34" s="354"/>
      <c r="D34" s="354"/>
      <c r="E34" s="354"/>
      <c r="F34" s="354"/>
      <c r="G34" s="354"/>
      <c r="H34" s="354"/>
      <c r="I34" s="354"/>
      <c r="J34" s="354"/>
      <c r="K34" s="354"/>
      <c r="L34" s="354"/>
      <c r="M34" s="354"/>
    </row>
    <row r="35" spans="2:29" ht="18.75" x14ac:dyDescent="0.3">
      <c r="B35" s="2" t="s">
        <v>792</v>
      </c>
      <c r="C35" s="2"/>
      <c r="D35" s="2"/>
      <c r="E35" s="2"/>
      <c r="F35" s="2"/>
      <c r="G35" s="8"/>
    </row>
    <row r="36" spans="2:29" x14ac:dyDescent="0.25">
      <c r="B36" s="3" t="s">
        <v>868</v>
      </c>
    </row>
    <row r="38" spans="2:29" ht="17.25" x14ac:dyDescent="0.25">
      <c r="C38" s="400" t="s">
        <v>900</v>
      </c>
      <c r="D38" s="401"/>
      <c r="E38" s="401"/>
      <c r="F38" s="401"/>
      <c r="G38" s="401"/>
      <c r="H38" s="401"/>
      <c r="I38" s="401"/>
      <c r="J38" s="401"/>
      <c r="K38" s="402"/>
      <c r="L38" s="400" t="s">
        <v>3</v>
      </c>
      <c r="M38" s="401"/>
      <c r="N38" s="401"/>
      <c r="O38" s="401"/>
      <c r="P38" s="401"/>
      <c r="Q38" s="401"/>
      <c r="R38" s="401"/>
      <c r="S38" s="401"/>
      <c r="T38" s="402"/>
      <c r="U38" s="400" t="s">
        <v>618</v>
      </c>
      <c r="V38" s="401"/>
      <c r="W38" s="401"/>
      <c r="X38" s="401"/>
      <c r="Y38" s="401"/>
      <c r="Z38" s="401"/>
      <c r="AA38" s="401"/>
      <c r="AB38" s="401"/>
      <c r="AC38" s="402"/>
    </row>
    <row r="39" spans="2:29" x14ac:dyDescent="0.25">
      <c r="C39" s="400" t="s">
        <v>73</v>
      </c>
      <c r="D39" s="401"/>
      <c r="E39" s="402"/>
      <c r="F39" s="400" t="s">
        <v>74</v>
      </c>
      <c r="G39" s="401"/>
      <c r="H39" s="402"/>
      <c r="I39" s="400" t="s">
        <v>25</v>
      </c>
      <c r="J39" s="401"/>
      <c r="K39" s="402"/>
      <c r="L39" s="400" t="s">
        <v>73</v>
      </c>
      <c r="M39" s="401"/>
      <c r="N39" s="402"/>
      <c r="O39" s="400" t="s">
        <v>74</v>
      </c>
      <c r="P39" s="401"/>
      <c r="Q39" s="402"/>
      <c r="R39" s="400" t="s">
        <v>25</v>
      </c>
      <c r="S39" s="401"/>
      <c r="T39" s="402"/>
      <c r="U39" s="400" t="s">
        <v>73</v>
      </c>
      <c r="V39" s="401"/>
      <c r="W39" s="402"/>
      <c r="X39" s="400" t="s">
        <v>74</v>
      </c>
      <c r="Y39" s="401"/>
      <c r="Z39" s="402"/>
      <c r="AA39" s="400" t="s">
        <v>25</v>
      </c>
      <c r="AB39" s="401"/>
      <c r="AC39" s="402"/>
    </row>
    <row r="40" spans="2:29" ht="47.25" x14ac:dyDescent="0.25">
      <c r="B40" s="138" t="s">
        <v>472</v>
      </c>
      <c r="C40" s="326" t="s">
        <v>880</v>
      </c>
      <c r="D40" s="317" t="s">
        <v>879</v>
      </c>
      <c r="E40" s="326" t="s">
        <v>883</v>
      </c>
      <c r="F40" s="326" t="s">
        <v>880</v>
      </c>
      <c r="G40" s="317" t="s">
        <v>879</v>
      </c>
      <c r="H40" s="326" t="s">
        <v>883</v>
      </c>
      <c r="I40" s="326" t="s">
        <v>880</v>
      </c>
      <c r="J40" s="317" t="s">
        <v>879</v>
      </c>
      <c r="K40" s="326" t="s">
        <v>883</v>
      </c>
      <c r="L40" s="326" t="s">
        <v>880</v>
      </c>
      <c r="M40" s="317" t="s">
        <v>879</v>
      </c>
      <c r="N40" s="326" t="s">
        <v>883</v>
      </c>
      <c r="O40" s="326" t="s">
        <v>880</v>
      </c>
      <c r="P40" s="317" t="s">
        <v>879</v>
      </c>
      <c r="Q40" s="326" t="s">
        <v>883</v>
      </c>
      <c r="R40" s="326" t="s">
        <v>880</v>
      </c>
      <c r="S40" s="317" t="s">
        <v>879</v>
      </c>
      <c r="T40" s="326" t="s">
        <v>883</v>
      </c>
      <c r="U40" s="326" t="s">
        <v>880</v>
      </c>
      <c r="V40" s="317" t="s">
        <v>879</v>
      </c>
      <c r="W40" s="326" t="s">
        <v>883</v>
      </c>
      <c r="X40" s="326" t="s">
        <v>880</v>
      </c>
      <c r="Y40" s="317" t="s">
        <v>879</v>
      </c>
      <c r="Z40" s="326" t="s">
        <v>883</v>
      </c>
      <c r="AA40" s="326" t="s">
        <v>880</v>
      </c>
      <c r="AB40" s="317" t="s">
        <v>879</v>
      </c>
      <c r="AC40" s="326" t="s">
        <v>883</v>
      </c>
    </row>
    <row r="41" spans="2:29" hidden="1" outlineLevel="1" x14ac:dyDescent="0.25">
      <c r="B41" s="205">
        <v>39630</v>
      </c>
      <c r="C41" s="323"/>
      <c r="D41" s="323"/>
      <c r="E41" s="323"/>
      <c r="F41" s="323"/>
      <c r="G41" s="323"/>
      <c r="H41" s="323"/>
      <c r="I41" s="323"/>
      <c r="J41" s="323"/>
      <c r="K41" s="323"/>
      <c r="L41" s="323"/>
      <c r="M41" s="323"/>
      <c r="N41" s="323"/>
      <c r="O41" s="323"/>
      <c r="P41" s="323"/>
      <c r="Q41" s="323"/>
      <c r="R41" s="323"/>
      <c r="S41" s="323"/>
      <c r="T41" s="323"/>
      <c r="U41" s="323"/>
      <c r="V41" s="323"/>
      <c r="W41" s="323"/>
      <c r="X41" s="323"/>
      <c r="Y41" s="323"/>
      <c r="Z41" s="323"/>
      <c r="AA41" s="323"/>
      <c r="AB41" s="323"/>
      <c r="AC41" s="173"/>
    </row>
    <row r="42" spans="2:29" hidden="1" outlineLevel="1" x14ac:dyDescent="0.25">
      <c r="B42" s="205">
        <v>39661</v>
      </c>
      <c r="C42" s="323"/>
      <c r="D42" s="323"/>
      <c r="E42" s="323"/>
      <c r="F42" s="323"/>
      <c r="G42" s="323"/>
      <c r="H42" s="323"/>
      <c r="I42" s="323"/>
      <c r="J42" s="323"/>
      <c r="K42" s="323"/>
      <c r="L42" s="323"/>
      <c r="M42" s="323"/>
      <c r="N42" s="323"/>
      <c r="O42" s="323"/>
      <c r="P42" s="323"/>
      <c r="Q42" s="323"/>
      <c r="R42" s="323"/>
      <c r="S42" s="323"/>
      <c r="T42" s="323"/>
      <c r="U42" s="323"/>
      <c r="V42" s="323"/>
      <c r="W42" s="323"/>
      <c r="X42" s="323"/>
      <c r="Y42" s="323"/>
      <c r="Z42" s="323"/>
      <c r="AA42" s="323"/>
      <c r="AB42" s="323"/>
      <c r="AC42" s="173"/>
    </row>
    <row r="43" spans="2:29" hidden="1" outlineLevel="1" x14ac:dyDescent="0.25">
      <c r="B43" s="205">
        <v>39692</v>
      </c>
      <c r="C43" s="323"/>
      <c r="D43" s="323"/>
      <c r="E43" s="323"/>
      <c r="F43" s="323"/>
      <c r="G43" s="323"/>
      <c r="H43" s="323"/>
      <c r="I43" s="323"/>
      <c r="J43" s="323"/>
      <c r="K43" s="323"/>
      <c r="L43" s="323"/>
      <c r="M43" s="323"/>
      <c r="N43" s="323"/>
      <c r="O43" s="323"/>
      <c r="P43" s="323"/>
      <c r="Q43" s="323"/>
      <c r="R43" s="323"/>
      <c r="S43" s="323"/>
      <c r="T43" s="323"/>
      <c r="U43" s="323"/>
      <c r="V43" s="323"/>
      <c r="W43" s="323"/>
      <c r="X43" s="323"/>
      <c r="Y43" s="323"/>
      <c r="Z43" s="323"/>
      <c r="AA43" s="323"/>
      <c r="AB43" s="323"/>
      <c r="AC43" s="173"/>
    </row>
    <row r="44" spans="2:29" hidden="1" outlineLevel="1" x14ac:dyDescent="0.25">
      <c r="B44" s="205">
        <v>39722</v>
      </c>
      <c r="C44" s="323">
        <v>2444</v>
      </c>
      <c r="D44" s="323">
        <v>661617.78532587318</v>
      </c>
      <c r="E44" s="323">
        <v>385553.92200000002</v>
      </c>
      <c r="F44" s="323">
        <v>955</v>
      </c>
      <c r="G44" s="323">
        <v>328952.73688468797</v>
      </c>
      <c r="H44" s="323">
        <v>191695.29699999999</v>
      </c>
      <c r="I44" s="323">
        <v>3399</v>
      </c>
      <c r="J44" s="323">
        <v>990570.5222105612</v>
      </c>
      <c r="K44" s="323">
        <v>577249.21900000004</v>
      </c>
      <c r="L44" s="323">
        <v>217</v>
      </c>
      <c r="M44" s="323">
        <v>60623.749596423047</v>
      </c>
      <c r="N44" s="323">
        <v>35328.137999999999</v>
      </c>
      <c r="O44" s="323">
        <v>229</v>
      </c>
      <c r="P44" s="323">
        <v>61644.746472479172</v>
      </c>
      <c r="Q44" s="323">
        <v>35923.118000000002</v>
      </c>
      <c r="R44" s="323">
        <v>446</v>
      </c>
      <c r="S44" s="323">
        <v>122268.49606890223</v>
      </c>
      <c r="T44" s="323">
        <v>71251.255999999994</v>
      </c>
      <c r="U44" s="323">
        <v>2661</v>
      </c>
      <c r="V44" s="323">
        <v>722241.5349222963</v>
      </c>
      <c r="W44" s="323">
        <v>420882.06</v>
      </c>
      <c r="X44" s="323">
        <v>1184</v>
      </c>
      <c r="Y44" s="323">
        <v>390597.4833571671</v>
      </c>
      <c r="Z44" s="323">
        <v>227618.41500000001</v>
      </c>
      <c r="AA44" s="323">
        <v>3845</v>
      </c>
      <c r="AB44" s="323">
        <v>1112839.0182794633</v>
      </c>
      <c r="AC44" s="173">
        <v>648500.47499999998</v>
      </c>
    </row>
    <row r="45" spans="2:29" hidden="1" outlineLevel="1" x14ac:dyDescent="0.25">
      <c r="B45" s="205">
        <v>39753</v>
      </c>
      <c r="C45" s="323">
        <v>3067</v>
      </c>
      <c r="D45" s="323">
        <v>331542.95588773268</v>
      </c>
      <c r="E45" s="323">
        <v>192967.99</v>
      </c>
      <c r="F45" s="323">
        <v>1159</v>
      </c>
      <c r="G45" s="323">
        <v>147164.31754813791</v>
      </c>
      <c r="H45" s="323">
        <v>85654.066999999995</v>
      </c>
      <c r="I45" s="323">
        <v>4226</v>
      </c>
      <c r="J45" s="323">
        <v>478707.27343587059</v>
      </c>
      <c r="K45" s="323">
        <v>278622.05699999997</v>
      </c>
      <c r="L45" s="323">
        <v>290</v>
      </c>
      <c r="M45" s="323">
        <v>35257.198746378104</v>
      </c>
      <c r="N45" s="323">
        <v>20520.752</v>
      </c>
      <c r="O45" s="323">
        <v>294</v>
      </c>
      <c r="P45" s="323">
        <v>33737.621059398269</v>
      </c>
      <c r="Q45" s="323">
        <v>19636.312000000002</v>
      </c>
      <c r="R45" s="323">
        <v>584</v>
      </c>
      <c r="S45" s="323">
        <v>68994.819805776366</v>
      </c>
      <c r="T45" s="323">
        <v>40157.063999999998</v>
      </c>
      <c r="U45" s="323">
        <v>3357</v>
      </c>
      <c r="V45" s="323">
        <v>366800.15463411075</v>
      </c>
      <c r="W45" s="323">
        <v>213488.742</v>
      </c>
      <c r="X45" s="323">
        <v>1453</v>
      </c>
      <c r="Y45" s="323">
        <v>180901.93860753617</v>
      </c>
      <c r="Z45" s="323">
        <v>105290.379</v>
      </c>
      <c r="AA45" s="323">
        <v>4810</v>
      </c>
      <c r="AB45" s="323">
        <v>547702.09324164689</v>
      </c>
      <c r="AC45" s="173">
        <v>318779.12099999998</v>
      </c>
    </row>
    <row r="46" spans="2:29" hidden="1" outlineLevel="1" x14ac:dyDescent="0.25">
      <c r="B46" s="205">
        <v>39783</v>
      </c>
      <c r="C46" s="323">
        <v>3251</v>
      </c>
      <c r="D46" s="323">
        <v>345230.10764348821</v>
      </c>
      <c r="E46" s="323">
        <v>198565.283</v>
      </c>
      <c r="F46" s="323">
        <v>1234</v>
      </c>
      <c r="G46" s="323">
        <v>187229.60759803065</v>
      </c>
      <c r="H46" s="323">
        <v>107688.46400000001</v>
      </c>
      <c r="I46" s="323">
        <v>4485</v>
      </c>
      <c r="J46" s="323">
        <v>532459.7152415188</v>
      </c>
      <c r="K46" s="323">
        <v>306253.74699999997</v>
      </c>
      <c r="L46" s="323">
        <v>352</v>
      </c>
      <c r="M46" s="323">
        <v>36751.402952109187</v>
      </c>
      <c r="N46" s="323">
        <v>21138.227999999999</v>
      </c>
      <c r="O46" s="323">
        <v>348</v>
      </c>
      <c r="P46" s="323">
        <v>35169.61793235231</v>
      </c>
      <c r="Q46" s="323">
        <v>20228.436000000002</v>
      </c>
      <c r="R46" s="323">
        <v>700</v>
      </c>
      <c r="S46" s="323">
        <v>71921.020884461512</v>
      </c>
      <c r="T46" s="323">
        <v>41366.663999999997</v>
      </c>
      <c r="U46" s="323">
        <v>3603</v>
      </c>
      <c r="V46" s="323">
        <v>381981.51059559738</v>
      </c>
      <c r="W46" s="323">
        <v>219703.511</v>
      </c>
      <c r="X46" s="323">
        <v>1582</v>
      </c>
      <c r="Y46" s="323">
        <v>222399.22553038297</v>
      </c>
      <c r="Z46" s="323">
        <v>127916.9</v>
      </c>
      <c r="AA46" s="323">
        <v>5185</v>
      </c>
      <c r="AB46" s="323">
        <v>604380.73612598039</v>
      </c>
      <c r="AC46" s="173">
        <v>347620.41100000002</v>
      </c>
    </row>
    <row r="47" spans="2:29" collapsed="1" x14ac:dyDescent="0.25">
      <c r="B47" s="325" t="s">
        <v>690</v>
      </c>
      <c r="C47" s="324">
        <v>2920.6666666666665</v>
      </c>
      <c r="D47" s="324">
        <v>446130.28295236471</v>
      </c>
      <c r="E47" s="324"/>
      <c r="F47" s="324">
        <v>1116</v>
      </c>
      <c r="G47" s="324">
        <v>221115.55401028553</v>
      </c>
      <c r="H47" s="324"/>
      <c r="I47" s="324">
        <v>4036.6666666666665</v>
      </c>
      <c r="J47" s="324">
        <v>667245.83696265018</v>
      </c>
      <c r="K47" s="324"/>
      <c r="L47" s="324">
        <v>286.33333333333331</v>
      </c>
      <c r="M47" s="324">
        <v>44210.783764970118</v>
      </c>
      <c r="N47" s="324"/>
      <c r="O47" s="324">
        <v>290.33333333333331</v>
      </c>
      <c r="P47" s="324">
        <v>43517.328488076586</v>
      </c>
      <c r="Q47" s="324"/>
      <c r="R47" s="324">
        <v>576.66666666666663</v>
      </c>
      <c r="S47" s="324">
        <v>87728.112253046711</v>
      </c>
      <c r="T47" s="324"/>
      <c r="U47" s="324">
        <v>3207</v>
      </c>
      <c r="V47" s="324">
        <v>490341.06671733479</v>
      </c>
      <c r="W47" s="324"/>
      <c r="X47" s="324">
        <v>1406.3333333333333</v>
      </c>
      <c r="Y47" s="324">
        <v>264632.88249836204</v>
      </c>
      <c r="Z47" s="324"/>
      <c r="AA47" s="324">
        <v>4613.333333333333</v>
      </c>
      <c r="AB47" s="324">
        <v>754973.94921569678</v>
      </c>
      <c r="AC47" s="327"/>
    </row>
    <row r="48" spans="2:29" hidden="1" outlineLevel="1" x14ac:dyDescent="0.25">
      <c r="B48" s="205">
        <v>39814</v>
      </c>
      <c r="C48" s="323">
        <v>4434</v>
      </c>
      <c r="D48" s="323">
        <v>677232.4255673805</v>
      </c>
      <c r="E48" s="323">
        <v>386551.685</v>
      </c>
      <c r="F48" s="323">
        <v>1765</v>
      </c>
      <c r="G48" s="323">
        <v>341440.14405712328</v>
      </c>
      <c r="H48" s="323">
        <v>194887.69</v>
      </c>
      <c r="I48" s="323">
        <v>6199</v>
      </c>
      <c r="J48" s="323">
        <v>1018672.5696245038</v>
      </c>
      <c r="K48" s="323">
        <v>581439.375</v>
      </c>
      <c r="L48" s="323">
        <v>468</v>
      </c>
      <c r="M48" s="323">
        <v>66643.201267282915</v>
      </c>
      <c r="N48" s="323">
        <v>38038.701000000001</v>
      </c>
      <c r="O48" s="323">
        <v>481</v>
      </c>
      <c r="P48" s="323">
        <v>76540.473340057113</v>
      </c>
      <c r="Q48" s="323">
        <v>43687.88</v>
      </c>
      <c r="R48" s="323">
        <v>949</v>
      </c>
      <c r="S48" s="323">
        <v>143183.67460734004</v>
      </c>
      <c r="T48" s="323">
        <v>81726.581000000006</v>
      </c>
      <c r="U48" s="323">
        <v>4902</v>
      </c>
      <c r="V48" s="323">
        <v>743875.62683466356</v>
      </c>
      <c r="W48" s="323">
        <v>424590.386</v>
      </c>
      <c r="X48" s="323">
        <v>2246</v>
      </c>
      <c r="Y48" s="323">
        <v>417980.61739718035</v>
      </c>
      <c r="Z48" s="323">
        <v>238575.57</v>
      </c>
      <c r="AA48" s="323">
        <v>7148</v>
      </c>
      <c r="AB48" s="323">
        <v>1161856.2442318439</v>
      </c>
      <c r="AC48" s="173">
        <v>663165.95600000001</v>
      </c>
    </row>
    <row r="49" spans="2:29" hidden="1" outlineLevel="1" x14ac:dyDescent="0.25">
      <c r="B49" s="205">
        <v>39845</v>
      </c>
      <c r="C49" s="323">
        <v>5048</v>
      </c>
      <c r="D49" s="323">
        <v>523580.79412823578</v>
      </c>
      <c r="E49" s="323">
        <v>297761.34000000003</v>
      </c>
      <c r="F49" s="323">
        <v>2132</v>
      </c>
      <c r="G49" s="323">
        <v>274909.12115055055</v>
      </c>
      <c r="H49" s="323">
        <v>156341.31200000001</v>
      </c>
      <c r="I49" s="323">
        <v>7180</v>
      </c>
      <c r="J49" s="323">
        <v>798489.91527878633</v>
      </c>
      <c r="K49" s="323">
        <v>454102.652</v>
      </c>
      <c r="L49" s="323">
        <v>596</v>
      </c>
      <c r="M49" s="323">
        <v>82852.086999669744</v>
      </c>
      <c r="N49" s="323">
        <v>47118.131000000001</v>
      </c>
      <c r="O49" s="323">
        <v>584</v>
      </c>
      <c r="P49" s="323">
        <v>76992.467774373828</v>
      </c>
      <c r="Q49" s="323">
        <v>43785.754999999997</v>
      </c>
      <c r="R49" s="323">
        <v>1180</v>
      </c>
      <c r="S49" s="323">
        <v>159844.55477404359</v>
      </c>
      <c r="T49" s="323">
        <v>90903.885999999999</v>
      </c>
      <c r="U49" s="323">
        <v>5644</v>
      </c>
      <c r="V49" s="323">
        <v>606432.88112790545</v>
      </c>
      <c r="W49" s="323">
        <v>344879.47100000002</v>
      </c>
      <c r="X49" s="323">
        <v>2716</v>
      </c>
      <c r="Y49" s="323">
        <v>351901.58892492438</v>
      </c>
      <c r="Z49" s="323">
        <v>200127.06700000001</v>
      </c>
      <c r="AA49" s="323">
        <v>8360</v>
      </c>
      <c r="AB49" s="323">
        <v>958334.47005282983</v>
      </c>
      <c r="AC49" s="173">
        <v>545006.53799999994</v>
      </c>
    </row>
    <row r="50" spans="2:29" hidden="1" outlineLevel="1" x14ac:dyDescent="0.25">
      <c r="B50" s="205">
        <v>39873</v>
      </c>
      <c r="C50" s="323">
        <v>5703</v>
      </c>
      <c r="D50" s="323">
        <v>579196.06036479771</v>
      </c>
      <c r="E50" s="323">
        <v>330681.51199999999</v>
      </c>
      <c r="F50" s="323">
        <v>2584</v>
      </c>
      <c r="G50" s="323">
        <v>353843.30263856577</v>
      </c>
      <c r="H50" s="323">
        <v>202020.432</v>
      </c>
      <c r="I50" s="323">
        <v>8287</v>
      </c>
      <c r="J50" s="323">
        <v>933039.36300336348</v>
      </c>
      <c r="K50" s="323">
        <v>532701.94400000002</v>
      </c>
      <c r="L50" s="323">
        <v>787</v>
      </c>
      <c r="M50" s="323">
        <v>108547.33305940556</v>
      </c>
      <c r="N50" s="323">
        <v>61973.135999999999</v>
      </c>
      <c r="O50" s="323">
        <v>703</v>
      </c>
      <c r="P50" s="323">
        <v>83095.639451460578</v>
      </c>
      <c r="Q50" s="323">
        <v>47441.951999999997</v>
      </c>
      <c r="R50" s="323">
        <v>1490</v>
      </c>
      <c r="S50" s="323">
        <v>191642.97251086615</v>
      </c>
      <c r="T50" s="323">
        <v>109415.088</v>
      </c>
      <c r="U50" s="323">
        <v>6490</v>
      </c>
      <c r="V50" s="323">
        <v>687743.39342420327</v>
      </c>
      <c r="W50" s="323">
        <v>392654.64799999999</v>
      </c>
      <c r="X50" s="323">
        <v>3287</v>
      </c>
      <c r="Y50" s="323">
        <v>436938.94209002639</v>
      </c>
      <c r="Z50" s="323">
        <v>249462.38399999999</v>
      </c>
      <c r="AA50" s="323">
        <v>9777</v>
      </c>
      <c r="AB50" s="323">
        <v>1124682.3355142297</v>
      </c>
      <c r="AC50" s="173">
        <v>642117.03200000001</v>
      </c>
    </row>
    <row r="51" spans="2:29" hidden="1" outlineLevel="1" x14ac:dyDescent="0.25">
      <c r="B51" s="205">
        <v>39904</v>
      </c>
      <c r="C51" s="323">
        <v>6499</v>
      </c>
      <c r="D51" s="323">
        <v>831934.62672500277</v>
      </c>
      <c r="E51" s="323">
        <v>474237.53899999999</v>
      </c>
      <c r="F51" s="323">
        <v>3131</v>
      </c>
      <c r="G51" s="323">
        <v>493911.93072175182</v>
      </c>
      <c r="H51" s="323">
        <v>281550.462</v>
      </c>
      <c r="I51" s="323">
        <v>9630</v>
      </c>
      <c r="J51" s="323">
        <v>1325846.5574467548</v>
      </c>
      <c r="K51" s="323">
        <v>755788.00100000005</v>
      </c>
      <c r="L51" s="323">
        <v>1119</v>
      </c>
      <c r="M51" s="323">
        <v>191701.94677233617</v>
      </c>
      <c r="N51" s="323">
        <v>109278.129</v>
      </c>
      <c r="O51" s="323">
        <v>922</v>
      </c>
      <c r="P51" s="323">
        <v>139821.9419682353</v>
      </c>
      <c r="Q51" s="323">
        <v>79704.356</v>
      </c>
      <c r="R51" s="323">
        <v>2041</v>
      </c>
      <c r="S51" s="323">
        <v>331523.88874057151</v>
      </c>
      <c r="T51" s="323">
        <v>188982.48499999999</v>
      </c>
      <c r="U51" s="323">
        <v>7618</v>
      </c>
      <c r="V51" s="323">
        <v>1023636.573497339</v>
      </c>
      <c r="W51" s="323">
        <v>583515.66799999995</v>
      </c>
      <c r="X51" s="323">
        <v>4053</v>
      </c>
      <c r="Y51" s="323">
        <v>633733.87268998718</v>
      </c>
      <c r="Z51" s="323">
        <v>361254.81800000003</v>
      </c>
      <c r="AA51" s="323">
        <v>11671</v>
      </c>
      <c r="AB51" s="323">
        <v>1657370.4461873262</v>
      </c>
      <c r="AC51" s="173">
        <v>944770.48600000003</v>
      </c>
    </row>
    <row r="52" spans="2:29" hidden="1" outlineLevel="1" x14ac:dyDescent="0.25">
      <c r="B52" s="205">
        <v>39934</v>
      </c>
      <c r="C52" s="323">
        <v>7208</v>
      </c>
      <c r="D52" s="323">
        <v>765344.65789404407</v>
      </c>
      <c r="E52" s="323">
        <v>435187.42300000001</v>
      </c>
      <c r="F52" s="323">
        <v>3842</v>
      </c>
      <c r="G52" s="323">
        <v>582406.83342574211</v>
      </c>
      <c r="H52" s="323">
        <v>331166</v>
      </c>
      <c r="I52" s="323">
        <v>11050</v>
      </c>
      <c r="J52" s="323">
        <v>1347751.4913197861</v>
      </c>
      <c r="K52" s="323">
        <v>766353.42299999995</v>
      </c>
      <c r="L52" s="323">
        <v>1372</v>
      </c>
      <c r="M52" s="323">
        <v>181747.16384484599</v>
      </c>
      <c r="N52" s="323">
        <v>103344.394</v>
      </c>
      <c r="O52" s="323">
        <v>1125</v>
      </c>
      <c r="P52" s="323">
        <v>146860.87739620259</v>
      </c>
      <c r="Q52" s="323">
        <v>83507.483999999997</v>
      </c>
      <c r="R52" s="323">
        <v>2497</v>
      </c>
      <c r="S52" s="323">
        <v>328608.0412410486</v>
      </c>
      <c r="T52" s="323">
        <v>186851.878</v>
      </c>
      <c r="U52" s="323">
        <v>8580</v>
      </c>
      <c r="V52" s="323">
        <v>947091.82173888991</v>
      </c>
      <c r="W52" s="323">
        <v>538531.81700000004</v>
      </c>
      <c r="X52" s="323">
        <v>4967</v>
      </c>
      <c r="Y52" s="323">
        <v>729267.71082194475</v>
      </c>
      <c r="Z52" s="323">
        <v>414673.484</v>
      </c>
      <c r="AA52" s="323">
        <v>13547</v>
      </c>
      <c r="AB52" s="323">
        <v>1676359.5325608347</v>
      </c>
      <c r="AC52" s="173">
        <v>953205.30099999998</v>
      </c>
    </row>
    <row r="53" spans="2:29" hidden="1" outlineLevel="1" x14ac:dyDescent="0.25">
      <c r="B53" s="205">
        <v>39965</v>
      </c>
      <c r="C53" s="323">
        <v>7817</v>
      </c>
      <c r="D53" s="323">
        <v>770901.14411853312</v>
      </c>
      <c r="E53" s="323">
        <v>439866.065</v>
      </c>
      <c r="F53" s="323">
        <v>4373</v>
      </c>
      <c r="G53" s="323">
        <v>535850.05049706716</v>
      </c>
      <c r="H53" s="323">
        <v>305748.99900000001</v>
      </c>
      <c r="I53" s="323">
        <v>12190</v>
      </c>
      <c r="J53" s="323">
        <v>1306751.1946156004</v>
      </c>
      <c r="K53" s="323">
        <v>745615.06400000001</v>
      </c>
      <c r="L53" s="323">
        <v>1674</v>
      </c>
      <c r="M53" s="323">
        <v>215488.61902444242</v>
      </c>
      <c r="N53" s="323">
        <v>122954.97500000001</v>
      </c>
      <c r="O53" s="323">
        <v>1346</v>
      </c>
      <c r="P53" s="323">
        <v>165537.28140879239</v>
      </c>
      <c r="Q53" s="323">
        <v>94453.398000000001</v>
      </c>
      <c r="R53" s="323">
        <v>3020</v>
      </c>
      <c r="S53" s="323">
        <v>381025.90043323481</v>
      </c>
      <c r="T53" s="323">
        <v>217408.37299999999</v>
      </c>
      <c r="U53" s="323">
        <v>9491</v>
      </c>
      <c r="V53" s="323">
        <v>986389.76314297551</v>
      </c>
      <c r="W53" s="323">
        <v>562821.04</v>
      </c>
      <c r="X53" s="323">
        <v>5719</v>
      </c>
      <c r="Y53" s="323">
        <v>701387.33190585964</v>
      </c>
      <c r="Z53" s="323">
        <v>400202.397</v>
      </c>
      <c r="AA53" s="323">
        <v>15210</v>
      </c>
      <c r="AB53" s="323">
        <v>1687777.095048835</v>
      </c>
      <c r="AC53" s="173">
        <v>963023.43700000003</v>
      </c>
    </row>
    <row r="54" spans="2:29" hidden="1" outlineLevel="1" x14ac:dyDescent="0.25">
      <c r="B54" s="205">
        <v>39995</v>
      </c>
      <c r="C54" s="323">
        <v>8395</v>
      </c>
      <c r="D54" s="323">
        <v>1118029.7331878631</v>
      </c>
      <c r="E54" s="323">
        <v>635123.79399999999</v>
      </c>
      <c r="F54" s="323">
        <v>4882</v>
      </c>
      <c r="G54" s="323">
        <v>746767.17918897024</v>
      </c>
      <c r="H54" s="323">
        <v>424219.13299999997</v>
      </c>
      <c r="I54" s="323">
        <v>13277</v>
      </c>
      <c r="J54" s="323">
        <v>1864796.9123768331</v>
      </c>
      <c r="K54" s="323">
        <v>1059342.9269999999</v>
      </c>
      <c r="L54" s="323">
        <v>2118</v>
      </c>
      <c r="M54" s="323">
        <v>391466.83355313347</v>
      </c>
      <c r="N54" s="323">
        <v>222382.19</v>
      </c>
      <c r="O54" s="323">
        <v>1670</v>
      </c>
      <c r="P54" s="323">
        <v>304527.1273253602</v>
      </c>
      <c r="Q54" s="323">
        <v>172993.99</v>
      </c>
      <c r="R54" s="323">
        <v>3788</v>
      </c>
      <c r="S54" s="323">
        <v>695993.96087849361</v>
      </c>
      <c r="T54" s="323">
        <v>395376.18</v>
      </c>
      <c r="U54" s="323">
        <v>10513</v>
      </c>
      <c r="V54" s="323">
        <v>1509496.5667409967</v>
      </c>
      <c r="W54" s="323">
        <v>857505.98400000005</v>
      </c>
      <c r="X54" s="323">
        <v>6552</v>
      </c>
      <c r="Y54" s="323">
        <v>1051294.3065143304</v>
      </c>
      <c r="Z54" s="323">
        <v>597213.12300000002</v>
      </c>
      <c r="AA54" s="323">
        <v>17065</v>
      </c>
      <c r="AB54" s="323">
        <v>2560790.8732553269</v>
      </c>
      <c r="AC54" s="173">
        <v>1454719.1070000001</v>
      </c>
    </row>
    <row r="55" spans="2:29" hidden="1" outlineLevel="1" x14ac:dyDescent="0.25">
      <c r="B55" s="205">
        <v>40026</v>
      </c>
      <c r="C55" s="323">
        <v>9052</v>
      </c>
      <c r="D55" s="323">
        <v>1302124.4038954487</v>
      </c>
      <c r="E55" s="323">
        <v>737039.56900000002</v>
      </c>
      <c r="F55" s="323">
        <v>5603</v>
      </c>
      <c r="G55" s="323">
        <v>1023393.5993767907</v>
      </c>
      <c r="H55" s="323">
        <v>579269.98</v>
      </c>
      <c r="I55" s="323">
        <v>14655</v>
      </c>
      <c r="J55" s="323">
        <v>2325518.0032722391</v>
      </c>
      <c r="K55" s="323">
        <v>1316309.5490000001</v>
      </c>
      <c r="L55" s="323">
        <v>2469</v>
      </c>
      <c r="M55" s="323">
        <v>407215.54950211401</v>
      </c>
      <c r="N55" s="323">
        <v>230495.62100000001</v>
      </c>
      <c r="O55" s="323">
        <v>1969</v>
      </c>
      <c r="P55" s="323">
        <v>317717.6092947757</v>
      </c>
      <c r="Q55" s="323">
        <v>179837.23300000001</v>
      </c>
      <c r="R55" s="323">
        <v>4438</v>
      </c>
      <c r="S55" s="323">
        <v>724933.15879688982</v>
      </c>
      <c r="T55" s="323">
        <v>410332.85399999999</v>
      </c>
      <c r="U55" s="323">
        <v>11521</v>
      </c>
      <c r="V55" s="323">
        <v>1709339.9533975627</v>
      </c>
      <c r="W55" s="323">
        <v>967535.19</v>
      </c>
      <c r="X55" s="323">
        <v>7572</v>
      </c>
      <c r="Y55" s="323">
        <v>1341111.2086715666</v>
      </c>
      <c r="Z55" s="323">
        <v>759107.21299999999</v>
      </c>
      <c r="AA55" s="323">
        <v>19093</v>
      </c>
      <c r="AB55" s="323">
        <v>3050451.1620691288</v>
      </c>
      <c r="AC55" s="173">
        <v>1726642.4029999999</v>
      </c>
    </row>
    <row r="56" spans="2:29" hidden="1" outlineLevel="1" x14ac:dyDescent="0.25">
      <c r="B56" s="205">
        <v>40057</v>
      </c>
      <c r="C56" s="323">
        <v>12193</v>
      </c>
      <c r="D56" s="323">
        <v>1675491.4074786589</v>
      </c>
      <c r="E56" s="323">
        <v>957691.02899999998</v>
      </c>
      <c r="F56" s="323">
        <v>15010</v>
      </c>
      <c r="G56" s="323">
        <v>1731627.3056171434</v>
      </c>
      <c r="H56" s="323">
        <v>989777.64300000004</v>
      </c>
      <c r="I56" s="323">
        <v>27203</v>
      </c>
      <c r="J56" s="323">
        <v>3407118.7130958023</v>
      </c>
      <c r="K56" s="323">
        <v>1947468.672</v>
      </c>
      <c r="L56" s="323">
        <v>2777</v>
      </c>
      <c r="M56" s="323">
        <v>421345.54266511393</v>
      </c>
      <c r="N56" s="323">
        <v>240836.11799999999</v>
      </c>
      <c r="O56" s="323">
        <v>2203</v>
      </c>
      <c r="P56" s="323">
        <v>326132.06547735457</v>
      </c>
      <c r="Q56" s="323">
        <v>186413.223</v>
      </c>
      <c r="R56" s="323">
        <v>4980</v>
      </c>
      <c r="S56" s="323">
        <v>747477.60814246861</v>
      </c>
      <c r="T56" s="323">
        <v>427249.34100000001</v>
      </c>
      <c r="U56" s="323">
        <v>14970</v>
      </c>
      <c r="V56" s="323">
        <v>2096836.9501437729</v>
      </c>
      <c r="W56" s="323">
        <v>1198527.1470000001</v>
      </c>
      <c r="X56" s="323">
        <v>17213</v>
      </c>
      <c r="Y56" s="323">
        <v>2057759.3710944981</v>
      </c>
      <c r="Z56" s="323">
        <v>1176190.8659999999</v>
      </c>
      <c r="AA56" s="323">
        <v>32183</v>
      </c>
      <c r="AB56" s="323">
        <v>4154596.321238271</v>
      </c>
      <c r="AC56" s="173">
        <v>2374718.0129999998</v>
      </c>
    </row>
    <row r="57" spans="2:29" hidden="1" outlineLevel="1" x14ac:dyDescent="0.25">
      <c r="B57" s="205">
        <v>40087</v>
      </c>
      <c r="C57" s="323">
        <v>98877</v>
      </c>
      <c r="D57" s="323">
        <v>8242315.2999343304</v>
      </c>
      <c r="E57" s="323">
        <v>4711096.3140000002</v>
      </c>
      <c r="F57" s="323">
        <v>70157</v>
      </c>
      <c r="G57" s="323">
        <v>5207026.1007773457</v>
      </c>
      <c r="H57" s="323">
        <v>2976202.7510000002</v>
      </c>
      <c r="I57" s="323">
        <v>169034</v>
      </c>
      <c r="J57" s="323">
        <v>13449341.400711676</v>
      </c>
      <c r="K57" s="323">
        <v>7687299.0650000004</v>
      </c>
      <c r="L57" s="323">
        <v>3876</v>
      </c>
      <c r="M57" s="323">
        <v>756387.69848108524</v>
      </c>
      <c r="N57" s="323">
        <v>432331.83500000002</v>
      </c>
      <c r="O57" s="323">
        <v>3042</v>
      </c>
      <c r="P57" s="323">
        <v>567801.56083221</v>
      </c>
      <c r="Q57" s="323">
        <v>324540.82900000003</v>
      </c>
      <c r="R57" s="323">
        <v>6918</v>
      </c>
      <c r="S57" s="323">
        <v>1324189.2593132954</v>
      </c>
      <c r="T57" s="323">
        <v>756872.66399999999</v>
      </c>
      <c r="U57" s="323">
        <v>102753</v>
      </c>
      <c r="V57" s="323">
        <v>8998702.9984154142</v>
      </c>
      <c r="W57" s="323">
        <v>5143428.1490000002</v>
      </c>
      <c r="X57" s="323">
        <v>73199</v>
      </c>
      <c r="Y57" s="323">
        <v>5774827.6616095556</v>
      </c>
      <c r="Z57" s="323">
        <v>3300743.58</v>
      </c>
      <c r="AA57" s="323">
        <v>175952</v>
      </c>
      <c r="AB57" s="323">
        <v>14773530.660024971</v>
      </c>
      <c r="AC57" s="173">
        <v>8444171.7290000003</v>
      </c>
    </row>
    <row r="58" spans="2:29" hidden="1" outlineLevel="1" x14ac:dyDescent="0.25">
      <c r="B58" s="205">
        <v>40118</v>
      </c>
      <c r="C58" s="323">
        <v>118191</v>
      </c>
      <c r="D58" s="323">
        <v>4990871.0736409249</v>
      </c>
      <c r="E58" s="323">
        <v>2839653.29</v>
      </c>
      <c r="F58" s="323">
        <v>85364</v>
      </c>
      <c r="G58" s="323">
        <v>3726038.2543474366</v>
      </c>
      <c r="H58" s="323">
        <v>2120002.0260000001</v>
      </c>
      <c r="I58" s="323">
        <v>203555</v>
      </c>
      <c r="J58" s="323">
        <v>8716909.3279883619</v>
      </c>
      <c r="K58" s="323">
        <v>4959655.3159999996</v>
      </c>
      <c r="L58" s="323">
        <v>4342</v>
      </c>
      <c r="M58" s="323">
        <v>666471.29463179444</v>
      </c>
      <c r="N58" s="323">
        <v>379201.82199999999</v>
      </c>
      <c r="O58" s="323">
        <v>3394</v>
      </c>
      <c r="P58" s="323">
        <v>508629.37148770399</v>
      </c>
      <c r="Q58" s="323">
        <v>289394.58600000001</v>
      </c>
      <c r="R58" s="323">
        <v>7736</v>
      </c>
      <c r="S58" s="323">
        <v>1175100.6661194984</v>
      </c>
      <c r="T58" s="323">
        <v>668596.40800000005</v>
      </c>
      <c r="U58" s="323">
        <v>122533</v>
      </c>
      <c r="V58" s="323">
        <v>5657342.368272718</v>
      </c>
      <c r="W58" s="323">
        <v>3218855.1120000002</v>
      </c>
      <c r="X58" s="323">
        <v>88758</v>
      </c>
      <c r="Y58" s="323">
        <v>4234667.6258351402</v>
      </c>
      <c r="Z58" s="323">
        <v>2409396.6120000002</v>
      </c>
      <c r="AA58" s="323">
        <v>211291</v>
      </c>
      <c r="AB58" s="323">
        <v>9892009.9941078592</v>
      </c>
      <c r="AC58" s="173">
        <v>5628251.7240000004</v>
      </c>
    </row>
    <row r="59" spans="2:29" hidden="1" outlineLevel="1" x14ac:dyDescent="0.25">
      <c r="B59" s="205">
        <v>40148</v>
      </c>
      <c r="C59" s="323">
        <v>137544</v>
      </c>
      <c r="D59" s="323">
        <v>6014009.1278005289</v>
      </c>
      <c r="E59" s="323">
        <v>3411337.3089999999</v>
      </c>
      <c r="F59" s="323">
        <v>100434</v>
      </c>
      <c r="G59" s="323">
        <v>4675246.9748208877</v>
      </c>
      <c r="H59" s="323">
        <v>2651948.824</v>
      </c>
      <c r="I59" s="323">
        <v>237978</v>
      </c>
      <c r="J59" s="323">
        <v>10689256.102621416</v>
      </c>
      <c r="K59" s="323">
        <v>6063286.1330000004</v>
      </c>
      <c r="L59" s="323">
        <v>4968</v>
      </c>
      <c r="M59" s="323">
        <v>815344.43469251902</v>
      </c>
      <c r="N59" s="323">
        <v>462489.30300000001</v>
      </c>
      <c r="O59" s="323">
        <v>3798</v>
      </c>
      <c r="P59" s="323">
        <v>609223.33561997814</v>
      </c>
      <c r="Q59" s="323">
        <v>345570.85800000001</v>
      </c>
      <c r="R59" s="323">
        <v>8766</v>
      </c>
      <c r="S59" s="323">
        <v>1424567.7703124974</v>
      </c>
      <c r="T59" s="323">
        <v>808060.16099999996</v>
      </c>
      <c r="U59" s="323">
        <v>142512</v>
      </c>
      <c r="V59" s="323">
        <v>6829353.5624930477</v>
      </c>
      <c r="W59" s="323">
        <v>3873826.6120000002</v>
      </c>
      <c r="X59" s="323">
        <v>104232</v>
      </c>
      <c r="Y59" s="323">
        <v>5284470.3104408653</v>
      </c>
      <c r="Z59" s="323">
        <v>2997519.682</v>
      </c>
      <c r="AA59" s="323">
        <v>246744</v>
      </c>
      <c r="AB59" s="323">
        <v>12113823.872933913</v>
      </c>
      <c r="AC59" s="173">
        <v>6871346.2939999998</v>
      </c>
    </row>
    <row r="60" spans="2:29" collapsed="1" x14ac:dyDescent="0.25">
      <c r="B60" s="325" t="s">
        <v>691</v>
      </c>
      <c r="C60" s="324">
        <v>35080.083333333336</v>
      </c>
      <c r="D60" s="324">
        <v>2290919.2295613121</v>
      </c>
      <c r="E60" s="324"/>
      <c r="F60" s="324">
        <v>24939.75</v>
      </c>
      <c r="G60" s="324">
        <v>1641038.3997182811</v>
      </c>
      <c r="H60" s="324"/>
      <c r="I60" s="324">
        <v>60019.833333333336</v>
      </c>
      <c r="J60" s="324">
        <v>3931957.6292795935</v>
      </c>
      <c r="K60" s="324"/>
      <c r="L60" s="324">
        <v>2213.8333333333335</v>
      </c>
      <c r="M60" s="324">
        <v>358767.6420411453</v>
      </c>
      <c r="N60" s="324"/>
      <c r="O60" s="324">
        <v>1769.75</v>
      </c>
      <c r="P60" s="324">
        <v>276906.64594804205</v>
      </c>
      <c r="Q60" s="324"/>
      <c r="R60" s="324">
        <v>3983.5833333333335</v>
      </c>
      <c r="S60" s="324">
        <v>635674.28798918729</v>
      </c>
      <c r="T60" s="324"/>
      <c r="U60" s="324">
        <v>37293.916666666664</v>
      </c>
      <c r="V60" s="324">
        <v>2649686.8716024575</v>
      </c>
      <c r="W60" s="324"/>
      <c r="X60" s="324">
        <v>26709.5</v>
      </c>
      <c r="Y60" s="324">
        <v>1917945.045666323</v>
      </c>
      <c r="Z60" s="324"/>
      <c r="AA60" s="324">
        <v>64003.416666666664</v>
      </c>
      <c r="AB60" s="324">
        <v>4567631.9172687801</v>
      </c>
      <c r="AC60" s="327"/>
    </row>
    <row r="61" spans="2:29" hidden="1" outlineLevel="1" x14ac:dyDescent="0.25">
      <c r="B61" s="205">
        <v>40179</v>
      </c>
      <c r="C61" s="323">
        <v>147468</v>
      </c>
      <c r="D61" s="323">
        <v>5668465.5650054486</v>
      </c>
      <c r="E61" s="323">
        <v>3231997.4950000001</v>
      </c>
      <c r="F61" s="323">
        <v>103465</v>
      </c>
      <c r="G61" s="323">
        <v>4174021.2110134098</v>
      </c>
      <c r="H61" s="323">
        <v>2379907.9210000001</v>
      </c>
      <c r="I61" s="323">
        <v>250933</v>
      </c>
      <c r="J61" s="323">
        <v>9842486.776018858</v>
      </c>
      <c r="K61" s="323">
        <v>5611905.4160000002</v>
      </c>
      <c r="L61" s="323">
        <v>5495</v>
      </c>
      <c r="M61" s="323">
        <v>826950.19613727217</v>
      </c>
      <c r="N61" s="323">
        <v>471503.43099999998</v>
      </c>
      <c r="O61" s="323">
        <v>4172</v>
      </c>
      <c r="P61" s="323">
        <v>617250.11870601308</v>
      </c>
      <c r="Q61" s="323">
        <v>351938.424</v>
      </c>
      <c r="R61" s="323">
        <v>9667</v>
      </c>
      <c r="S61" s="323">
        <v>1444200.3148432854</v>
      </c>
      <c r="T61" s="323">
        <v>823441.85499999998</v>
      </c>
      <c r="U61" s="323">
        <v>152963</v>
      </c>
      <c r="V61" s="323">
        <v>6495415.7611427205</v>
      </c>
      <c r="W61" s="323">
        <v>3703500.926</v>
      </c>
      <c r="X61" s="323">
        <v>107637</v>
      </c>
      <c r="Y61" s="323">
        <v>4791271.3297194224</v>
      </c>
      <c r="Z61" s="323">
        <v>2731846.3450000002</v>
      </c>
      <c r="AA61" s="323">
        <v>260600</v>
      </c>
      <c r="AB61" s="323">
        <v>11286687.090862142</v>
      </c>
      <c r="AC61" s="173">
        <v>6435347.2709999997</v>
      </c>
    </row>
    <row r="62" spans="2:29" hidden="1" outlineLevel="1" x14ac:dyDescent="0.25">
      <c r="B62" s="205">
        <v>40210</v>
      </c>
      <c r="C62" s="323">
        <v>157189</v>
      </c>
      <c r="D62" s="323">
        <v>6094229.7418457773</v>
      </c>
      <c r="E62" s="323">
        <v>3484520.068</v>
      </c>
      <c r="F62" s="323">
        <v>108163</v>
      </c>
      <c r="G62" s="323">
        <v>4384440.4864748931</v>
      </c>
      <c r="H62" s="323">
        <v>2506907.6009999998</v>
      </c>
      <c r="I62" s="323">
        <v>265352</v>
      </c>
      <c r="J62" s="323">
        <v>10478670.228320671</v>
      </c>
      <c r="K62" s="323">
        <v>5991427.6689999998</v>
      </c>
      <c r="L62" s="323">
        <v>5997</v>
      </c>
      <c r="M62" s="323">
        <v>835847.73870114435</v>
      </c>
      <c r="N62" s="323">
        <v>477915.72399999999</v>
      </c>
      <c r="O62" s="323">
        <v>4576</v>
      </c>
      <c r="P62" s="323">
        <v>638704.92481953697</v>
      </c>
      <c r="Q62" s="323">
        <v>365194.65500000003</v>
      </c>
      <c r="R62" s="323">
        <v>10573</v>
      </c>
      <c r="S62" s="323">
        <v>1474552.6635206814</v>
      </c>
      <c r="T62" s="323">
        <v>843110.37899999996</v>
      </c>
      <c r="U62" s="323">
        <v>163186</v>
      </c>
      <c r="V62" s="323">
        <v>6930077.4805469215</v>
      </c>
      <c r="W62" s="323">
        <v>3962435.7919999999</v>
      </c>
      <c r="X62" s="323">
        <v>112739</v>
      </c>
      <c r="Y62" s="323">
        <v>5023145.4112944296</v>
      </c>
      <c r="Z62" s="323">
        <v>2872102.2560000001</v>
      </c>
      <c r="AA62" s="323">
        <v>275925</v>
      </c>
      <c r="AB62" s="323">
        <v>11953222.891841352</v>
      </c>
      <c r="AC62" s="173">
        <v>6834538.0480000004</v>
      </c>
    </row>
    <row r="63" spans="2:29" hidden="1" outlineLevel="1" x14ac:dyDescent="0.25">
      <c r="B63" s="205">
        <v>40238</v>
      </c>
      <c r="C63" s="323">
        <v>167854</v>
      </c>
      <c r="D63" s="323">
        <v>6976277.6634168196</v>
      </c>
      <c r="E63" s="323">
        <v>3992205.8029999998</v>
      </c>
      <c r="F63" s="323">
        <v>115920</v>
      </c>
      <c r="G63" s="323">
        <v>5392921.4667336997</v>
      </c>
      <c r="H63" s="323">
        <v>3086123.2039999999</v>
      </c>
      <c r="I63" s="323">
        <v>283774</v>
      </c>
      <c r="J63" s="323">
        <v>12369199.130150519</v>
      </c>
      <c r="K63" s="323">
        <v>7078329.0070000002</v>
      </c>
      <c r="L63" s="323">
        <v>6477</v>
      </c>
      <c r="M63" s="323">
        <v>961543.00506389549</v>
      </c>
      <c r="N63" s="323">
        <v>550247.245</v>
      </c>
      <c r="O63" s="323">
        <v>4862</v>
      </c>
      <c r="P63" s="323">
        <v>705483.51102179708</v>
      </c>
      <c r="Q63" s="323">
        <v>403716.065</v>
      </c>
      <c r="R63" s="323">
        <v>11339</v>
      </c>
      <c r="S63" s="323">
        <v>1667026.5160856927</v>
      </c>
      <c r="T63" s="323">
        <v>953963.31</v>
      </c>
      <c r="U63" s="323">
        <v>174331</v>
      </c>
      <c r="V63" s="323">
        <v>7937820.6684807148</v>
      </c>
      <c r="W63" s="323">
        <v>4542453.0480000004</v>
      </c>
      <c r="X63" s="323">
        <v>120782</v>
      </c>
      <c r="Y63" s="323">
        <v>6098404.9777554972</v>
      </c>
      <c r="Z63" s="323">
        <v>3489839.2689999999</v>
      </c>
      <c r="AA63" s="323">
        <v>295113</v>
      </c>
      <c r="AB63" s="323">
        <v>14036225.646236211</v>
      </c>
      <c r="AC63" s="173">
        <v>8032292.3169999998</v>
      </c>
    </row>
    <row r="64" spans="2:29" hidden="1" outlineLevel="1" x14ac:dyDescent="0.25">
      <c r="B64" s="205">
        <v>40269</v>
      </c>
      <c r="C64" s="323">
        <v>172340</v>
      </c>
      <c r="D64" s="323">
        <v>6146084.0532788541</v>
      </c>
      <c r="E64" s="323">
        <v>3533379.966</v>
      </c>
      <c r="F64" s="323">
        <v>118241</v>
      </c>
      <c r="G64" s="323">
        <v>4504258.3350403029</v>
      </c>
      <c r="H64" s="323">
        <v>2589495.3640000001</v>
      </c>
      <c r="I64" s="323">
        <v>290581</v>
      </c>
      <c r="J64" s="323">
        <v>10650342.388319159</v>
      </c>
      <c r="K64" s="323">
        <v>6122875.3300000001</v>
      </c>
      <c r="L64" s="323">
        <v>6887</v>
      </c>
      <c r="M64" s="323">
        <v>959391.21645479742</v>
      </c>
      <c r="N64" s="323">
        <v>551553.424</v>
      </c>
      <c r="O64" s="323">
        <v>5130</v>
      </c>
      <c r="P64" s="323">
        <v>700899.53098023171</v>
      </c>
      <c r="Q64" s="323">
        <v>402946.712</v>
      </c>
      <c r="R64" s="323">
        <v>12017</v>
      </c>
      <c r="S64" s="323">
        <v>1660290.7474350294</v>
      </c>
      <c r="T64" s="323">
        <v>954500.13600000006</v>
      </c>
      <c r="U64" s="323">
        <v>179227</v>
      </c>
      <c r="V64" s="323">
        <v>7105475.2697336525</v>
      </c>
      <c r="W64" s="323">
        <v>4084933.39</v>
      </c>
      <c r="X64" s="323">
        <v>123371</v>
      </c>
      <c r="Y64" s="323">
        <v>5205157.8660205342</v>
      </c>
      <c r="Z64" s="323">
        <v>2992442.0759999999</v>
      </c>
      <c r="AA64" s="323">
        <v>302598</v>
      </c>
      <c r="AB64" s="323">
        <v>12310633.135754187</v>
      </c>
      <c r="AC64" s="173">
        <v>7077375.466</v>
      </c>
    </row>
    <row r="65" spans="2:29" hidden="1" outlineLevel="1" x14ac:dyDescent="0.25">
      <c r="B65" s="205">
        <v>40299</v>
      </c>
      <c r="C65" s="323">
        <v>177041</v>
      </c>
      <c r="D65" s="323">
        <v>6373818.2590327039</v>
      </c>
      <c r="E65" s="323">
        <v>3677489.48</v>
      </c>
      <c r="F65" s="323">
        <v>120927</v>
      </c>
      <c r="G65" s="323">
        <v>4812003.8085917979</v>
      </c>
      <c r="H65" s="323">
        <v>2776372.4449999998</v>
      </c>
      <c r="I65" s="323">
        <v>297968</v>
      </c>
      <c r="J65" s="323">
        <v>11185822.067624502</v>
      </c>
      <c r="K65" s="323">
        <v>6453861.9249999998</v>
      </c>
      <c r="L65" s="323">
        <v>7424</v>
      </c>
      <c r="M65" s="323">
        <v>1053567.1775557506</v>
      </c>
      <c r="N65" s="323">
        <v>607874.598</v>
      </c>
      <c r="O65" s="323">
        <v>5506</v>
      </c>
      <c r="P65" s="323">
        <v>758163.56282405648</v>
      </c>
      <c r="Q65" s="323">
        <v>437436.15100000001</v>
      </c>
      <c r="R65" s="323">
        <v>12930</v>
      </c>
      <c r="S65" s="323">
        <v>1811730.7403798071</v>
      </c>
      <c r="T65" s="323">
        <v>1045310.749</v>
      </c>
      <c r="U65" s="323">
        <v>184465</v>
      </c>
      <c r="V65" s="323">
        <v>7427385.4365884541</v>
      </c>
      <c r="W65" s="323">
        <v>4285364.0779999997</v>
      </c>
      <c r="X65" s="323">
        <v>126433</v>
      </c>
      <c r="Y65" s="323">
        <v>5570167.3714158544</v>
      </c>
      <c r="Z65" s="323">
        <v>3213808.5959999999</v>
      </c>
      <c r="AA65" s="323">
        <v>310898</v>
      </c>
      <c r="AB65" s="323">
        <v>12997552.808004308</v>
      </c>
      <c r="AC65" s="173">
        <v>7499172.6739999996</v>
      </c>
    </row>
    <row r="66" spans="2:29" hidden="1" outlineLevel="1" x14ac:dyDescent="0.25">
      <c r="B66" s="205">
        <v>40330</v>
      </c>
      <c r="C66" s="323">
        <v>183571</v>
      </c>
      <c r="D66" s="323">
        <v>6765782.6027699094</v>
      </c>
      <c r="E66" s="323">
        <v>3903654.6230000001</v>
      </c>
      <c r="F66" s="323">
        <v>125869</v>
      </c>
      <c r="G66" s="323">
        <v>4874054.1512020212</v>
      </c>
      <c r="H66" s="323">
        <v>2812183.7689999999</v>
      </c>
      <c r="I66" s="323">
        <v>309440</v>
      </c>
      <c r="J66" s="323">
        <v>11639836.753971931</v>
      </c>
      <c r="K66" s="323">
        <v>6715838.392</v>
      </c>
      <c r="L66" s="323">
        <v>8152</v>
      </c>
      <c r="M66" s="323">
        <v>1278457.3019180507</v>
      </c>
      <c r="N66" s="323">
        <v>737631.70499999996</v>
      </c>
      <c r="O66" s="323">
        <v>6003</v>
      </c>
      <c r="P66" s="323">
        <v>900213.40681814589</v>
      </c>
      <c r="Q66" s="323">
        <v>519396.26699999999</v>
      </c>
      <c r="R66" s="323">
        <v>14155</v>
      </c>
      <c r="S66" s="323">
        <v>2178670.7087361966</v>
      </c>
      <c r="T66" s="323">
        <v>1257027.9720000001</v>
      </c>
      <c r="U66" s="323">
        <v>191723</v>
      </c>
      <c r="V66" s="323">
        <v>8044239.9046879606</v>
      </c>
      <c r="W66" s="323">
        <v>4641286.3279999997</v>
      </c>
      <c r="X66" s="323">
        <v>131872</v>
      </c>
      <c r="Y66" s="323">
        <v>5774267.5580201671</v>
      </c>
      <c r="Z66" s="323">
        <v>3331580.0359999998</v>
      </c>
      <c r="AA66" s="323">
        <v>323595</v>
      </c>
      <c r="AB66" s="323">
        <v>13818507.462708129</v>
      </c>
      <c r="AC66" s="173">
        <v>7972866.3640000001</v>
      </c>
    </row>
    <row r="67" spans="2:29" hidden="1" outlineLevel="1" x14ac:dyDescent="0.25">
      <c r="B67" s="205">
        <v>40360</v>
      </c>
      <c r="C67" s="323">
        <v>187484</v>
      </c>
      <c r="D67" s="323">
        <v>12017023.755463513</v>
      </c>
      <c r="E67" s="323">
        <v>6978003.8930000002</v>
      </c>
      <c r="F67" s="323">
        <v>129748</v>
      </c>
      <c r="G67" s="323">
        <v>8638770.4960056022</v>
      </c>
      <c r="H67" s="323">
        <v>5016331.4460000005</v>
      </c>
      <c r="I67" s="323">
        <v>317232</v>
      </c>
      <c r="J67" s="323">
        <v>20655794.251469117</v>
      </c>
      <c r="K67" s="323">
        <v>11994335.339</v>
      </c>
      <c r="L67" s="323">
        <v>8702</v>
      </c>
      <c r="M67" s="323">
        <v>1249463.0362968086</v>
      </c>
      <c r="N67" s="323">
        <v>725533.88500000001</v>
      </c>
      <c r="O67" s="323">
        <v>6395</v>
      </c>
      <c r="P67" s="323">
        <v>914160.42751695774</v>
      </c>
      <c r="Q67" s="323">
        <v>530831.52300000004</v>
      </c>
      <c r="R67" s="323">
        <v>15097</v>
      </c>
      <c r="S67" s="323">
        <v>2163623.4638137664</v>
      </c>
      <c r="T67" s="323">
        <v>1256365.4080000001</v>
      </c>
      <c r="U67" s="323">
        <v>196186</v>
      </c>
      <c r="V67" s="323">
        <v>13266486.79176032</v>
      </c>
      <c r="W67" s="323">
        <v>7703537.7779999999</v>
      </c>
      <c r="X67" s="323">
        <v>136143</v>
      </c>
      <c r="Y67" s="323">
        <v>9552930.9235225599</v>
      </c>
      <c r="Z67" s="323">
        <v>5547162.9689999996</v>
      </c>
      <c r="AA67" s="323">
        <v>332329</v>
      </c>
      <c r="AB67" s="323">
        <v>22819417.715282883</v>
      </c>
      <c r="AC67" s="173">
        <v>13250700.747</v>
      </c>
    </row>
    <row r="68" spans="2:29" hidden="1" outlineLevel="1" x14ac:dyDescent="0.25">
      <c r="B68" s="205">
        <v>40391</v>
      </c>
      <c r="C68" s="323">
        <v>192848</v>
      </c>
      <c r="D68" s="323">
        <v>12821600.772866758</v>
      </c>
      <c r="E68" s="323">
        <v>7437883.6940000001</v>
      </c>
      <c r="F68" s="323">
        <v>133983</v>
      </c>
      <c r="G68" s="323">
        <v>9023598.2687560245</v>
      </c>
      <c r="H68" s="323">
        <v>5234640.7920000004</v>
      </c>
      <c r="I68" s="323">
        <v>326831</v>
      </c>
      <c r="J68" s="323">
        <v>21845199.041622784</v>
      </c>
      <c r="K68" s="323">
        <v>12672524.486</v>
      </c>
      <c r="L68" s="323">
        <v>9142</v>
      </c>
      <c r="M68" s="323">
        <v>1278039.5551142767</v>
      </c>
      <c r="N68" s="323">
        <v>741398.03099999996</v>
      </c>
      <c r="O68" s="323">
        <v>6680</v>
      </c>
      <c r="P68" s="323">
        <v>939239.70030678343</v>
      </c>
      <c r="Q68" s="323">
        <v>544858.304</v>
      </c>
      <c r="R68" s="323">
        <v>15822</v>
      </c>
      <c r="S68" s="323">
        <v>2217279.2554210601</v>
      </c>
      <c r="T68" s="323">
        <v>1286256.335</v>
      </c>
      <c r="U68" s="323">
        <v>201990</v>
      </c>
      <c r="V68" s="323">
        <v>14099640.327981036</v>
      </c>
      <c r="W68" s="323">
        <v>8179281.7249999996</v>
      </c>
      <c r="X68" s="323">
        <v>140663</v>
      </c>
      <c r="Y68" s="323">
        <v>9962837.969062807</v>
      </c>
      <c r="Z68" s="323">
        <v>5779499.0959999999</v>
      </c>
      <c r="AA68" s="323">
        <v>342653</v>
      </c>
      <c r="AB68" s="323">
        <v>24062478.297043841</v>
      </c>
      <c r="AC68" s="173">
        <v>13958780.821</v>
      </c>
    </row>
    <row r="69" spans="2:29" hidden="1" outlineLevel="1" x14ac:dyDescent="0.25">
      <c r="B69" s="205">
        <v>40422</v>
      </c>
      <c r="C69" s="323">
        <v>198415</v>
      </c>
      <c r="D69" s="323">
        <v>12464677.187703386</v>
      </c>
      <c r="E69" s="323">
        <v>7259748.727</v>
      </c>
      <c r="F69" s="323">
        <v>138718</v>
      </c>
      <c r="G69" s="323">
        <v>8874767.6087095365</v>
      </c>
      <c r="H69" s="323">
        <v>5168893.0149999997</v>
      </c>
      <c r="I69" s="323">
        <v>337133</v>
      </c>
      <c r="J69" s="323">
        <v>21339444.796412922</v>
      </c>
      <c r="K69" s="323">
        <v>12428641.742000001</v>
      </c>
      <c r="L69" s="323">
        <v>9139</v>
      </c>
      <c r="M69" s="323">
        <v>1196367.1975713091</v>
      </c>
      <c r="N69" s="323">
        <v>696795.04</v>
      </c>
      <c r="O69" s="323">
        <v>6646</v>
      </c>
      <c r="P69" s="323">
        <v>859568.43088950706</v>
      </c>
      <c r="Q69" s="323">
        <v>500634.772</v>
      </c>
      <c r="R69" s="323">
        <v>15785</v>
      </c>
      <c r="S69" s="323">
        <v>2055935.6284608161</v>
      </c>
      <c r="T69" s="323">
        <v>1197429.8119999999</v>
      </c>
      <c r="U69" s="323">
        <v>207554</v>
      </c>
      <c r="V69" s="323">
        <v>13661044.385274697</v>
      </c>
      <c r="W69" s="323">
        <v>7956543.767</v>
      </c>
      <c r="X69" s="323">
        <v>145364</v>
      </c>
      <c r="Y69" s="323">
        <v>9734336.0395990424</v>
      </c>
      <c r="Z69" s="323">
        <v>5669527.7869999995</v>
      </c>
      <c r="AA69" s="323">
        <v>352918</v>
      </c>
      <c r="AB69" s="323">
        <v>23395380.424873736</v>
      </c>
      <c r="AC69" s="173">
        <v>13626071.554</v>
      </c>
    </row>
    <row r="70" spans="2:29" hidden="1" outlineLevel="1" x14ac:dyDescent="0.25">
      <c r="B70" s="205">
        <v>40452</v>
      </c>
      <c r="C70" s="323">
        <v>204343</v>
      </c>
      <c r="D70" s="323">
        <v>13563268.53463131</v>
      </c>
      <c r="E70" s="323">
        <v>7907342.017</v>
      </c>
      <c r="F70" s="323">
        <v>143664</v>
      </c>
      <c r="G70" s="323">
        <v>9719362.4984257035</v>
      </c>
      <c r="H70" s="323">
        <v>5666357.1370000001</v>
      </c>
      <c r="I70" s="323">
        <v>348007</v>
      </c>
      <c r="J70" s="323">
        <v>23282631.033057012</v>
      </c>
      <c r="K70" s="323">
        <v>13573699.153999999</v>
      </c>
      <c r="L70" s="323">
        <v>9374</v>
      </c>
      <c r="M70" s="323">
        <v>1261828.7436121886</v>
      </c>
      <c r="N70" s="323">
        <v>735642.10699999996</v>
      </c>
      <c r="O70" s="323">
        <v>6792</v>
      </c>
      <c r="P70" s="323">
        <v>901628.44471194479</v>
      </c>
      <c r="Q70" s="323">
        <v>525646.48899999994</v>
      </c>
      <c r="R70" s="323">
        <v>16166</v>
      </c>
      <c r="S70" s="323">
        <v>2163457.1883241334</v>
      </c>
      <c r="T70" s="323">
        <v>1261288.5959999999</v>
      </c>
      <c r="U70" s="323">
        <v>213717</v>
      </c>
      <c r="V70" s="323">
        <v>14825097.278243497</v>
      </c>
      <c r="W70" s="323">
        <v>8642984.1239999998</v>
      </c>
      <c r="X70" s="323">
        <v>150456</v>
      </c>
      <c r="Y70" s="323">
        <v>10620990.943137648</v>
      </c>
      <c r="Z70" s="323">
        <v>6192003.6260000002</v>
      </c>
      <c r="AA70" s="323">
        <v>364173</v>
      </c>
      <c r="AB70" s="323">
        <v>25446088.221381146</v>
      </c>
      <c r="AC70" s="173">
        <v>14834987.75</v>
      </c>
    </row>
    <row r="71" spans="2:29" hidden="1" outlineLevel="1" x14ac:dyDescent="0.25">
      <c r="B71" s="205">
        <v>40483</v>
      </c>
      <c r="C71" s="323">
        <v>211646</v>
      </c>
      <c r="D71" s="323">
        <v>14373084.154905146</v>
      </c>
      <c r="E71" s="323">
        <v>8385359.7800000003</v>
      </c>
      <c r="F71" s="323">
        <v>150888</v>
      </c>
      <c r="G71" s="323">
        <v>10404379.945012219</v>
      </c>
      <c r="H71" s="323">
        <v>6069989.4460000005</v>
      </c>
      <c r="I71" s="323">
        <v>362534</v>
      </c>
      <c r="J71" s="323">
        <v>24777464.099917367</v>
      </c>
      <c r="K71" s="323">
        <v>14455349.226</v>
      </c>
      <c r="L71" s="323">
        <v>9728</v>
      </c>
      <c r="M71" s="323">
        <v>1361534.4581526304</v>
      </c>
      <c r="N71" s="323">
        <v>794328.91099999996</v>
      </c>
      <c r="O71" s="323">
        <v>7036</v>
      </c>
      <c r="P71" s="323">
        <v>976268.4674979829</v>
      </c>
      <c r="Q71" s="323">
        <v>569561.98499999999</v>
      </c>
      <c r="R71" s="323">
        <v>16764</v>
      </c>
      <c r="S71" s="323">
        <v>2337802.9256506134</v>
      </c>
      <c r="T71" s="323">
        <v>1363890.8959999999</v>
      </c>
      <c r="U71" s="323">
        <v>221374</v>
      </c>
      <c r="V71" s="323">
        <v>15734618.613057777</v>
      </c>
      <c r="W71" s="323">
        <v>9179688.6909999996</v>
      </c>
      <c r="X71" s="323">
        <v>157924</v>
      </c>
      <c r="Y71" s="323">
        <v>11380648.412510201</v>
      </c>
      <c r="Z71" s="323">
        <v>6639551.4309999999</v>
      </c>
      <c r="AA71" s="323">
        <v>379298</v>
      </c>
      <c r="AB71" s="323">
        <v>27115267.025567979</v>
      </c>
      <c r="AC71" s="173">
        <v>15819240.122</v>
      </c>
    </row>
    <row r="72" spans="2:29" hidden="1" outlineLevel="1" x14ac:dyDescent="0.25">
      <c r="B72" s="205">
        <v>40513</v>
      </c>
      <c r="C72" s="323">
        <v>215860</v>
      </c>
      <c r="D72" s="323">
        <v>14212227.791590525</v>
      </c>
      <c r="E72" s="323">
        <v>8301289.3169999998</v>
      </c>
      <c r="F72" s="323">
        <v>154356</v>
      </c>
      <c r="G72" s="323">
        <v>10303699.960283484</v>
      </c>
      <c r="H72" s="323">
        <v>6018338.2690000003</v>
      </c>
      <c r="I72" s="323">
        <v>370216</v>
      </c>
      <c r="J72" s="323">
        <v>24515927.751874007</v>
      </c>
      <c r="K72" s="323">
        <v>14319627.585999999</v>
      </c>
      <c r="L72" s="323">
        <v>10094</v>
      </c>
      <c r="M72" s="323">
        <v>1404661.5418863161</v>
      </c>
      <c r="N72" s="323">
        <v>820455.598</v>
      </c>
      <c r="O72" s="323">
        <v>7277</v>
      </c>
      <c r="P72" s="323">
        <v>1009093.8000211345</v>
      </c>
      <c r="Q72" s="323">
        <v>589406.51</v>
      </c>
      <c r="R72" s="323">
        <v>17371</v>
      </c>
      <c r="S72" s="323">
        <v>2413755.34190745</v>
      </c>
      <c r="T72" s="323">
        <v>1409862.108</v>
      </c>
      <c r="U72" s="323">
        <v>225954</v>
      </c>
      <c r="V72" s="323">
        <v>15616889.33347684</v>
      </c>
      <c r="W72" s="323">
        <v>9121744.9149999991</v>
      </c>
      <c r="X72" s="323">
        <v>161633</v>
      </c>
      <c r="Y72" s="323">
        <v>11312793.760304619</v>
      </c>
      <c r="Z72" s="323">
        <v>6607744.7790000001</v>
      </c>
      <c r="AA72" s="323">
        <v>387587</v>
      </c>
      <c r="AB72" s="323">
        <v>26929683.09378146</v>
      </c>
      <c r="AC72" s="173">
        <v>15729489.694</v>
      </c>
    </row>
    <row r="73" spans="2:29" collapsed="1" x14ac:dyDescent="0.25">
      <c r="B73" s="325" t="s">
        <v>692</v>
      </c>
      <c r="C73" s="324">
        <v>184671.58333333334</v>
      </c>
      <c r="D73" s="324">
        <v>9789711.6735425126</v>
      </c>
      <c r="E73" s="324"/>
      <c r="F73" s="324">
        <v>128661.83333333333</v>
      </c>
      <c r="G73" s="324">
        <v>7092189.8530207248</v>
      </c>
      <c r="H73" s="324"/>
      <c r="I73" s="324">
        <v>313333.41666666669</v>
      </c>
      <c r="J73" s="324">
        <v>16881901.526563235</v>
      </c>
      <c r="K73" s="324"/>
      <c r="L73" s="324">
        <v>8050.916666666667</v>
      </c>
      <c r="M73" s="324">
        <v>1138970.9307053701</v>
      </c>
      <c r="N73" s="324"/>
      <c r="O73" s="324">
        <v>5922.916666666667</v>
      </c>
      <c r="P73" s="324">
        <v>826722.86050950771</v>
      </c>
      <c r="Q73" s="324"/>
      <c r="R73" s="324">
        <v>13973.833333333334</v>
      </c>
      <c r="S73" s="324">
        <v>1965693.7912148777</v>
      </c>
      <c r="T73" s="324"/>
      <c r="U73" s="324">
        <v>192722.5</v>
      </c>
      <c r="V73" s="324">
        <v>10928682.604247881</v>
      </c>
      <c r="W73" s="324"/>
      <c r="X73" s="324">
        <v>134584.75</v>
      </c>
      <c r="Y73" s="324">
        <v>7918912.7135302313</v>
      </c>
      <c r="Z73" s="324"/>
      <c r="AA73" s="324">
        <v>327307.25</v>
      </c>
      <c r="AB73" s="324">
        <v>18847595.317778114</v>
      </c>
      <c r="AC73" s="327"/>
    </row>
    <row r="74" spans="2:29" hidden="1" outlineLevel="1" x14ac:dyDescent="0.25">
      <c r="B74" s="205">
        <v>40544</v>
      </c>
      <c r="C74" s="323">
        <v>216052</v>
      </c>
      <c r="D74" s="323">
        <v>13880548.356295876</v>
      </c>
      <c r="E74" s="323">
        <v>8129503.8380000005</v>
      </c>
      <c r="F74" s="323">
        <v>156801</v>
      </c>
      <c r="G74" s="323">
        <v>10522606.96266727</v>
      </c>
      <c r="H74" s="323">
        <v>6162838.2029999997</v>
      </c>
      <c r="I74" s="323">
        <v>372853</v>
      </c>
      <c r="J74" s="323">
        <v>24403155.318963148</v>
      </c>
      <c r="K74" s="323">
        <v>14292342.040999999</v>
      </c>
      <c r="L74" s="323">
        <v>10664</v>
      </c>
      <c r="M74" s="323">
        <v>1611021.7002965268</v>
      </c>
      <c r="N74" s="323">
        <v>943536.72199999995</v>
      </c>
      <c r="O74" s="323">
        <v>7665</v>
      </c>
      <c r="P74" s="323">
        <v>1155809.2046576531</v>
      </c>
      <c r="Q74" s="323">
        <v>676929.69499999995</v>
      </c>
      <c r="R74" s="323">
        <v>18329</v>
      </c>
      <c r="S74" s="323">
        <v>2766830.9049541797</v>
      </c>
      <c r="T74" s="323">
        <v>1620466.4169999999</v>
      </c>
      <c r="U74" s="323">
        <v>226716</v>
      </c>
      <c r="V74" s="323">
        <v>15491570.056592403</v>
      </c>
      <c r="W74" s="323">
        <v>9073040.5600000005</v>
      </c>
      <c r="X74" s="323">
        <v>164466</v>
      </c>
      <c r="Y74" s="323">
        <v>11678416.167324921</v>
      </c>
      <c r="Z74" s="323">
        <v>6839767.898</v>
      </c>
      <c r="AA74" s="323">
        <v>391182</v>
      </c>
      <c r="AB74" s="323">
        <v>27169986.223917324</v>
      </c>
      <c r="AC74" s="173">
        <v>15912808.458000001</v>
      </c>
    </row>
    <row r="75" spans="2:29" hidden="1" outlineLevel="1" x14ac:dyDescent="0.25">
      <c r="B75" s="205">
        <v>40575</v>
      </c>
      <c r="C75" s="323">
        <v>221369</v>
      </c>
      <c r="D75" s="323">
        <v>15030128.606412837</v>
      </c>
      <c r="E75" s="323">
        <v>8823039.5109999999</v>
      </c>
      <c r="F75" s="323">
        <v>159862</v>
      </c>
      <c r="G75" s="323">
        <v>10711954.027380072</v>
      </c>
      <c r="H75" s="323">
        <v>6288169.3229999999</v>
      </c>
      <c r="I75" s="323">
        <v>381231</v>
      </c>
      <c r="J75" s="323">
        <v>25742082.633792907</v>
      </c>
      <c r="K75" s="323">
        <v>15111208.834000001</v>
      </c>
      <c r="L75" s="323">
        <v>10862</v>
      </c>
      <c r="M75" s="323">
        <v>1437328.6119600439</v>
      </c>
      <c r="N75" s="323">
        <v>843745.75</v>
      </c>
      <c r="O75" s="323">
        <v>7770</v>
      </c>
      <c r="P75" s="323">
        <v>1014773.8910684718</v>
      </c>
      <c r="Q75" s="323">
        <v>595696.17599999998</v>
      </c>
      <c r="R75" s="323">
        <v>18632</v>
      </c>
      <c r="S75" s="323">
        <v>2452102.5030285157</v>
      </c>
      <c r="T75" s="323">
        <v>1439441.926</v>
      </c>
      <c r="U75" s="323">
        <v>232231</v>
      </c>
      <c r="V75" s="323">
        <v>16467457.218372881</v>
      </c>
      <c r="W75" s="323">
        <v>9666785.2609999999</v>
      </c>
      <c r="X75" s="323">
        <v>167632</v>
      </c>
      <c r="Y75" s="323">
        <v>11726727.918448543</v>
      </c>
      <c r="Z75" s="323">
        <v>6883865.4989999998</v>
      </c>
      <c r="AA75" s="323">
        <v>399863</v>
      </c>
      <c r="AB75" s="323">
        <v>28194185.136821423</v>
      </c>
      <c r="AC75" s="173">
        <v>16550650.76</v>
      </c>
    </row>
    <row r="76" spans="2:29" hidden="1" outlineLevel="1" x14ac:dyDescent="0.25">
      <c r="B76" s="205">
        <v>40603</v>
      </c>
      <c r="C76" s="323">
        <v>222893</v>
      </c>
      <c r="D76" s="323">
        <v>13848763.644316047</v>
      </c>
      <c r="E76" s="323">
        <v>8191716.3389999997</v>
      </c>
      <c r="F76" s="323">
        <v>161524</v>
      </c>
      <c r="G76" s="323">
        <v>10213867.18421925</v>
      </c>
      <c r="H76" s="323">
        <v>6041629.7690000003</v>
      </c>
      <c r="I76" s="323">
        <v>384417</v>
      </c>
      <c r="J76" s="323">
        <v>24062630.828535296</v>
      </c>
      <c r="K76" s="323">
        <v>14233346.107999999</v>
      </c>
      <c r="L76" s="323">
        <v>11369</v>
      </c>
      <c r="M76" s="323">
        <v>1671005.0577918973</v>
      </c>
      <c r="N76" s="323">
        <v>988420.32299999997</v>
      </c>
      <c r="O76" s="323">
        <v>8148</v>
      </c>
      <c r="P76" s="323">
        <v>1179155.5084485116</v>
      </c>
      <c r="Q76" s="323">
        <v>697485.18299999996</v>
      </c>
      <c r="R76" s="323">
        <v>19517</v>
      </c>
      <c r="S76" s="323">
        <v>2850160.5662404089</v>
      </c>
      <c r="T76" s="323">
        <v>1685905.5060000001</v>
      </c>
      <c r="U76" s="323">
        <v>234262</v>
      </c>
      <c r="V76" s="323">
        <v>15519768.702107944</v>
      </c>
      <c r="W76" s="323">
        <v>9180136.6620000005</v>
      </c>
      <c r="X76" s="323">
        <v>169672</v>
      </c>
      <c r="Y76" s="323">
        <v>11393022.692667764</v>
      </c>
      <c r="Z76" s="323">
        <v>6739114.9519999996</v>
      </c>
      <c r="AA76" s="323">
        <v>403934</v>
      </c>
      <c r="AB76" s="323">
        <v>26912791.394775707</v>
      </c>
      <c r="AC76" s="173">
        <v>15919251.614</v>
      </c>
    </row>
    <row r="77" spans="2:29" hidden="1" outlineLevel="1" x14ac:dyDescent="0.25">
      <c r="B77" s="205">
        <v>40634</v>
      </c>
      <c r="C77" s="323">
        <v>222010</v>
      </c>
      <c r="D77" s="323">
        <v>13090887.441793201</v>
      </c>
      <c r="E77" s="323">
        <v>7768121.3119999999</v>
      </c>
      <c r="F77" s="323">
        <v>161901</v>
      </c>
      <c r="G77" s="323">
        <v>9712781.435853431</v>
      </c>
      <c r="H77" s="323">
        <v>5763556.1229999997</v>
      </c>
      <c r="I77" s="323">
        <v>383911</v>
      </c>
      <c r="J77" s="323">
        <v>22803668.877646632</v>
      </c>
      <c r="K77" s="323">
        <v>13531677.435000001</v>
      </c>
      <c r="L77" s="323">
        <v>11684</v>
      </c>
      <c r="M77" s="323">
        <v>1423076.444143147</v>
      </c>
      <c r="N77" s="323">
        <v>844452.33400000003</v>
      </c>
      <c r="O77" s="323">
        <v>8406</v>
      </c>
      <c r="P77" s="323">
        <v>1013792.4229669245</v>
      </c>
      <c r="Q77" s="323">
        <v>601583.549</v>
      </c>
      <c r="R77" s="323">
        <v>20090</v>
      </c>
      <c r="S77" s="323">
        <v>2436868.8671100717</v>
      </c>
      <c r="T77" s="323">
        <v>1446035.8829999999</v>
      </c>
      <c r="U77" s="323">
        <v>233694</v>
      </c>
      <c r="V77" s="323">
        <v>14513963.885936348</v>
      </c>
      <c r="W77" s="323">
        <v>8612573.6459999997</v>
      </c>
      <c r="X77" s="323">
        <v>170307</v>
      </c>
      <c r="Y77" s="323">
        <v>10726573.858820356</v>
      </c>
      <c r="Z77" s="323">
        <v>6365139.6720000003</v>
      </c>
      <c r="AA77" s="323">
        <v>404001</v>
      </c>
      <c r="AB77" s="323">
        <v>25240537.744756702</v>
      </c>
      <c r="AC77" s="173">
        <v>14977713.318</v>
      </c>
    </row>
    <row r="78" spans="2:29" hidden="1" outlineLevel="1" x14ac:dyDescent="0.25">
      <c r="B78" s="205">
        <v>40664</v>
      </c>
      <c r="C78" s="323">
        <v>223751</v>
      </c>
      <c r="D78" s="323">
        <v>14075479.269528035</v>
      </c>
      <c r="E78" s="323">
        <v>8385773.5599999996</v>
      </c>
      <c r="F78" s="323">
        <v>165419</v>
      </c>
      <c r="G78" s="323">
        <v>10813822.809846666</v>
      </c>
      <c r="H78" s="323">
        <v>6442570.6339999996</v>
      </c>
      <c r="I78" s="323">
        <v>389170</v>
      </c>
      <c r="J78" s="323">
        <v>24889302.079374697</v>
      </c>
      <c r="K78" s="323">
        <v>14828344.194</v>
      </c>
      <c r="L78" s="323">
        <v>12497</v>
      </c>
      <c r="M78" s="323">
        <v>1906884.619522166</v>
      </c>
      <c r="N78" s="323">
        <v>1136068.074</v>
      </c>
      <c r="O78" s="323">
        <v>9044</v>
      </c>
      <c r="P78" s="323">
        <v>1400405.3045081294</v>
      </c>
      <c r="Q78" s="323">
        <v>834321.98300000001</v>
      </c>
      <c r="R78" s="323">
        <v>21541</v>
      </c>
      <c r="S78" s="323">
        <v>3307289.9240302956</v>
      </c>
      <c r="T78" s="323">
        <v>1970390.057</v>
      </c>
      <c r="U78" s="323">
        <v>236248</v>
      </c>
      <c r="V78" s="323">
        <v>15982363.889050199</v>
      </c>
      <c r="W78" s="323">
        <v>9521841.6339999996</v>
      </c>
      <c r="X78" s="323">
        <v>174463</v>
      </c>
      <c r="Y78" s="323">
        <v>12214228.114354795</v>
      </c>
      <c r="Z78" s="323">
        <v>7276892.6169999996</v>
      </c>
      <c r="AA78" s="323">
        <v>410711</v>
      </c>
      <c r="AB78" s="323">
        <v>28196592.003404994</v>
      </c>
      <c r="AC78" s="173">
        <v>16798734.250999998</v>
      </c>
    </row>
    <row r="79" spans="2:29" hidden="1" outlineLevel="1" x14ac:dyDescent="0.25">
      <c r="B79" s="205">
        <v>40695</v>
      </c>
      <c r="C79" s="323">
        <v>229420</v>
      </c>
      <c r="D79" s="323">
        <v>15084127.159556359</v>
      </c>
      <c r="E79" s="323">
        <v>9001948.4849999994</v>
      </c>
      <c r="F79" s="323">
        <v>168072</v>
      </c>
      <c r="G79" s="323">
        <v>10790654.752164697</v>
      </c>
      <c r="H79" s="323">
        <v>6439677.7599999998</v>
      </c>
      <c r="I79" s="323">
        <v>397492</v>
      </c>
      <c r="J79" s="323">
        <v>25874781.911721058</v>
      </c>
      <c r="K79" s="323">
        <v>15441626.244999999</v>
      </c>
      <c r="L79" s="323">
        <v>13001</v>
      </c>
      <c r="M79" s="323">
        <v>1818479.4725177651</v>
      </c>
      <c r="N79" s="323">
        <v>1085237.3729999999</v>
      </c>
      <c r="O79" s="323">
        <v>9368</v>
      </c>
      <c r="P79" s="323">
        <v>1284164.0245304222</v>
      </c>
      <c r="Q79" s="323">
        <v>766367.07400000002</v>
      </c>
      <c r="R79" s="323">
        <v>22369</v>
      </c>
      <c r="S79" s="323">
        <v>3102643.4970481871</v>
      </c>
      <c r="T79" s="323">
        <v>1851604.4469999999</v>
      </c>
      <c r="U79" s="323">
        <v>242421</v>
      </c>
      <c r="V79" s="323">
        <v>16902606.632074125</v>
      </c>
      <c r="W79" s="323">
        <v>10087185.857999999</v>
      </c>
      <c r="X79" s="323">
        <v>177440</v>
      </c>
      <c r="Y79" s="323">
        <v>12074818.776695119</v>
      </c>
      <c r="Z79" s="323">
        <v>7206044.8339999998</v>
      </c>
      <c r="AA79" s="323">
        <v>419861</v>
      </c>
      <c r="AB79" s="323">
        <v>28977425.408769246</v>
      </c>
      <c r="AC79" s="173">
        <v>17293230.692000002</v>
      </c>
    </row>
    <row r="80" spans="2:29" hidden="1" outlineLevel="1" x14ac:dyDescent="0.25">
      <c r="B80" s="205">
        <v>40725</v>
      </c>
      <c r="C80" s="323">
        <v>232716</v>
      </c>
      <c r="D80" s="323">
        <v>18629591.875553407</v>
      </c>
      <c r="E80" s="323">
        <v>11131936.645</v>
      </c>
      <c r="F80" s="323">
        <v>169626</v>
      </c>
      <c r="G80" s="323">
        <v>13513211.484400962</v>
      </c>
      <c r="H80" s="323">
        <v>8074691.8729999997</v>
      </c>
      <c r="I80" s="323">
        <v>402342</v>
      </c>
      <c r="J80" s="323">
        <v>32142803.359954365</v>
      </c>
      <c r="K80" s="323">
        <v>19206628.517999999</v>
      </c>
      <c r="L80" s="323">
        <v>13322</v>
      </c>
      <c r="M80" s="323">
        <v>1809887.1938600584</v>
      </c>
      <c r="N80" s="323">
        <v>1081480.996</v>
      </c>
      <c r="O80" s="323">
        <v>9629</v>
      </c>
      <c r="P80" s="323">
        <v>1315251.8621538004</v>
      </c>
      <c r="Q80" s="323">
        <v>785916.326</v>
      </c>
      <c r="R80" s="323">
        <v>22951</v>
      </c>
      <c r="S80" s="323">
        <v>3125139.0560138593</v>
      </c>
      <c r="T80" s="323">
        <v>1867397.3219999999</v>
      </c>
      <c r="U80" s="323">
        <v>246038</v>
      </c>
      <c r="V80" s="323">
        <v>20439479.069413465</v>
      </c>
      <c r="W80" s="323">
        <v>12213417.641000001</v>
      </c>
      <c r="X80" s="323">
        <v>179255</v>
      </c>
      <c r="Y80" s="323">
        <v>14828463.346554762</v>
      </c>
      <c r="Z80" s="323">
        <v>8860608.1989999991</v>
      </c>
      <c r="AA80" s="323">
        <v>425293</v>
      </c>
      <c r="AB80" s="323">
        <v>35267942.415968224</v>
      </c>
      <c r="AC80" s="173">
        <v>21074025.84</v>
      </c>
    </row>
    <row r="81" spans="2:29" hidden="1" outlineLevel="1" x14ac:dyDescent="0.25">
      <c r="B81" s="205">
        <v>40756</v>
      </c>
      <c r="C81" s="323">
        <v>237643</v>
      </c>
      <c r="D81" s="323">
        <v>19492107.375852928</v>
      </c>
      <c r="E81" s="323">
        <v>11666210.709000001</v>
      </c>
      <c r="F81" s="323">
        <v>172104</v>
      </c>
      <c r="G81" s="323">
        <v>14069881.031578861</v>
      </c>
      <c r="H81" s="323">
        <v>8420956.9340000004</v>
      </c>
      <c r="I81" s="323">
        <v>409747</v>
      </c>
      <c r="J81" s="323">
        <v>33561988.407431789</v>
      </c>
      <c r="K81" s="323">
        <v>20087167.642999999</v>
      </c>
      <c r="L81" s="323">
        <v>13665</v>
      </c>
      <c r="M81" s="323">
        <v>1874638.7271249893</v>
      </c>
      <c r="N81" s="323">
        <v>1121989.017</v>
      </c>
      <c r="O81" s="323">
        <v>9887</v>
      </c>
      <c r="P81" s="323">
        <v>1369741.0890405925</v>
      </c>
      <c r="Q81" s="323">
        <v>819803.00300000003</v>
      </c>
      <c r="R81" s="323">
        <v>23552</v>
      </c>
      <c r="S81" s="323">
        <v>3244379.8161655818</v>
      </c>
      <c r="T81" s="323">
        <v>1941792.02</v>
      </c>
      <c r="U81" s="323">
        <v>251308</v>
      </c>
      <c r="V81" s="323">
        <v>21366746.10297792</v>
      </c>
      <c r="W81" s="323">
        <v>12788199.726</v>
      </c>
      <c r="X81" s="323">
        <v>181991</v>
      </c>
      <c r="Y81" s="323">
        <v>15439622.120619453</v>
      </c>
      <c r="Z81" s="323">
        <v>9240759.9370000008</v>
      </c>
      <c r="AA81" s="323">
        <v>433299</v>
      </c>
      <c r="AB81" s="323">
        <v>36806368.223597378</v>
      </c>
      <c r="AC81" s="173">
        <v>22028959.662999999</v>
      </c>
    </row>
    <row r="82" spans="2:29" hidden="1" outlineLevel="1" x14ac:dyDescent="0.25">
      <c r="B82" s="205">
        <v>40787</v>
      </c>
      <c r="C82" s="323">
        <v>237602</v>
      </c>
      <c r="D82" s="323">
        <v>17957374.89672837</v>
      </c>
      <c r="E82" s="323">
        <v>10801076.694</v>
      </c>
      <c r="F82" s="323">
        <v>171862</v>
      </c>
      <c r="G82" s="323">
        <v>13091567.658365319</v>
      </c>
      <c r="H82" s="323">
        <v>7874370.6770000001</v>
      </c>
      <c r="I82" s="323">
        <v>409464</v>
      </c>
      <c r="J82" s="323">
        <v>31048942.555093691</v>
      </c>
      <c r="K82" s="323">
        <v>18675447.370999999</v>
      </c>
      <c r="L82" s="323">
        <v>13650</v>
      </c>
      <c r="M82" s="323">
        <v>1713382.8209063066</v>
      </c>
      <c r="N82" s="323">
        <v>1030572.64</v>
      </c>
      <c r="O82" s="323">
        <v>9861</v>
      </c>
      <c r="P82" s="323">
        <v>1224284.3295520835</v>
      </c>
      <c r="Q82" s="323">
        <v>736387.64099999995</v>
      </c>
      <c r="R82" s="323">
        <v>23511</v>
      </c>
      <c r="S82" s="323">
        <v>2937667.1504583899</v>
      </c>
      <c r="T82" s="323">
        <v>1766960.281</v>
      </c>
      <c r="U82" s="323">
        <v>251252</v>
      </c>
      <c r="V82" s="323">
        <v>19670757.717634678</v>
      </c>
      <c r="W82" s="323">
        <v>11831649.334000001</v>
      </c>
      <c r="X82" s="323">
        <v>181723</v>
      </c>
      <c r="Y82" s="323">
        <v>14315851.987917401</v>
      </c>
      <c r="Z82" s="323">
        <v>8610758.318</v>
      </c>
      <c r="AA82" s="323">
        <v>432975</v>
      </c>
      <c r="AB82" s="323">
        <v>33986609.705552079</v>
      </c>
      <c r="AC82" s="173">
        <v>20442407.651999999</v>
      </c>
    </row>
    <row r="83" spans="2:29" hidden="1" outlineLevel="1" x14ac:dyDescent="0.25">
      <c r="B83" s="205">
        <v>40817</v>
      </c>
      <c r="C83" s="323">
        <v>244518</v>
      </c>
      <c r="D83" s="323">
        <v>20402461.761817373</v>
      </c>
      <c r="E83" s="323">
        <v>12331326.425000001</v>
      </c>
      <c r="F83" s="323">
        <v>177646</v>
      </c>
      <c r="G83" s="323">
        <v>15404145.137488687</v>
      </c>
      <c r="H83" s="323">
        <v>9310324.6170000006</v>
      </c>
      <c r="I83" s="323">
        <v>422164</v>
      </c>
      <c r="J83" s="323">
        <v>35806606.899306059</v>
      </c>
      <c r="K83" s="323">
        <v>21641651.041999999</v>
      </c>
      <c r="L83" s="323">
        <v>14421</v>
      </c>
      <c r="M83" s="323">
        <v>2124858.5931199174</v>
      </c>
      <c r="N83" s="323">
        <v>1284272.713</v>
      </c>
      <c r="O83" s="323">
        <v>10422</v>
      </c>
      <c r="P83" s="323">
        <v>1543062.8709718231</v>
      </c>
      <c r="Q83" s="323">
        <v>932633.13899999997</v>
      </c>
      <c r="R83" s="323">
        <v>24843</v>
      </c>
      <c r="S83" s="323">
        <v>3667921.4640917405</v>
      </c>
      <c r="T83" s="323">
        <v>2216905.852</v>
      </c>
      <c r="U83" s="323">
        <v>258939</v>
      </c>
      <c r="V83" s="323">
        <v>22527320.354937293</v>
      </c>
      <c r="W83" s="323">
        <v>13615599.138</v>
      </c>
      <c r="X83" s="323">
        <v>188068</v>
      </c>
      <c r="Y83" s="323">
        <v>16947208.008460511</v>
      </c>
      <c r="Z83" s="323">
        <v>10242957.755999999</v>
      </c>
      <c r="AA83" s="323">
        <v>447007</v>
      </c>
      <c r="AB83" s="323">
        <v>39474528.363397807</v>
      </c>
      <c r="AC83" s="173">
        <v>23858556.894000001</v>
      </c>
    </row>
    <row r="84" spans="2:29" hidden="1" outlineLevel="1" x14ac:dyDescent="0.25">
      <c r="B84" s="205">
        <v>40848</v>
      </c>
      <c r="C84" s="323">
        <v>244805</v>
      </c>
      <c r="D84" s="323">
        <v>18929548.783397604</v>
      </c>
      <c r="E84" s="323">
        <v>11477395.828</v>
      </c>
      <c r="F84" s="323">
        <v>177882</v>
      </c>
      <c r="G84" s="323">
        <v>14058203.421082487</v>
      </c>
      <c r="H84" s="323">
        <v>8523793.5219999999</v>
      </c>
      <c r="I84" s="323">
        <v>422687</v>
      </c>
      <c r="J84" s="323">
        <v>32987752.204480086</v>
      </c>
      <c r="K84" s="323">
        <v>20001189.350000001</v>
      </c>
      <c r="L84" s="323">
        <v>14395</v>
      </c>
      <c r="M84" s="323">
        <v>1800299.3019124076</v>
      </c>
      <c r="N84" s="323">
        <v>1091560.4979999999</v>
      </c>
      <c r="O84" s="323">
        <v>10364</v>
      </c>
      <c r="P84" s="323">
        <v>1286455.6607241011</v>
      </c>
      <c r="Q84" s="323">
        <v>780005.95799999998</v>
      </c>
      <c r="R84" s="323">
        <v>24759</v>
      </c>
      <c r="S84" s="323">
        <v>3086754.962636509</v>
      </c>
      <c r="T84" s="323">
        <v>1871566.456</v>
      </c>
      <c r="U84" s="323">
        <v>259200</v>
      </c>
      <c r="V84" s="323">
        <v>20729848.085310008</v>
      </c>
      <c r="W84" s="323">
        <v>12568956.325999999</v>
      </c>
      <c r="X84" s="323">
        <v>188246</v>
      </c>
      <c r="Y84" s="323">
        <v>15344659.081806587</v>
      </c>
      <c r="Z84" s="323">
        <v>9303799.4800000004</v>
      </c>
      <c r="AA84" s="323">
        <v>447446</v>
      </c>
      <c r="AB84" s="323">
        <v>36074507.167116597</v>
      </c>
      <c r="AC84" s="173">
        <v>21872755.806000002</v>
      </c>
    </row>
    <row r="85" spans="2:29" hidden="1" outlineLevel="1" x14ac:dyDescent="0.25">
      <c r="B85" s="205">
        <v>40878</v>
      </c>
      <c r="C85" s="323">
        <v>253065</v>
      </c>
      <c r="D85" s="323">
        <v>21022535.526968356</v>
      </c>
      <c r="E85" s="323">
        <v>12824071.208000001</v>
      </c>
      <c r="F85" s="323">
        <v>183726</v>
      </c>
      <c r="G85" s="323">
        <v>15528242.689998001</v>
      </c>
      <c r="H85" s="323">
        <v>9472467.7589999996</v>
      </c>
      <c r="I85" s="323">
        <v>436791</v>
      </c>
      <c r="J85" s="323">
        <v>36550778.216966353</v>
      </c>
      <c r="K85" s="323">
        <v>22296538.967</v>
      </c>
      <c r="L85" s="323">
        <v>15067</v>
      </c>
      <c r="M85" s="323">
        <v>2176737.0319709159</v>
      </c>
      <c r="N85" s="323">
        <v>1327843.193</v>
      </c>
      <c r="O85" s="323">
        <v>10837</v>
      </c>
      <c r="P85" s="323">
        <v>1567349.9146711859</v>
      </c>
      <c r="Q85" s="323">
        <v>956107.64399999997</v>
      </c>
      <c r="R85" s="323">
        <v>25904</v>
      </c>
      <c r="S85" s="323">
        <v>3744086.9466421022</v>
      </c>
      <c r="T85" s="323">
        <v>2283950.8369999998</v>
      </c>
      <c r="U85" s="323">
        <v>268132</v>
      </c>
      <c r="V85" s="323">
        <v>23199272.558939274</v>
      </c>
      <c r="W85" s="323">
        <v>14151914.401000001</v>
      </c>
      <c r="X85" s="323">
        <v>194563</v>
      </c>
      <c r="Y85" s="323">
        <v>17095592.604669187</v>
      </c>
      <c r="Z85" s="323">
        <v>10428575.403000001</v>
      </c>
      <c r="AA85" s="323">
        <v>462695</v>
      </c>
      <c r="AB85" s="323">
        <v>40294865.163608462</v>
      </c>
      <c r="AC85" s="173">
        <v>24580489.804000001</v>
      </c>
    </row>
    <row r="86" spans="2:29" collapsed="1" x14ac:dyDescent="0.25">
      <c r="B86" s="325" t="s">
        <v>693</v>
      </c>
      <c r="C86" s="324">
        <v>232153.66666666666</v>
      </c>
      <c r="D86" s="324">
        <v>16786962.891518366</v>
      </c>
      <c r="E86" s="324"/>
      <c r="F86" s="324">
        <v>168868.75</v>
      </c>
      <c r="G86" s="324">
        <v>12369244.882920476</v>
      </c>
      <c r="H86" s="324"/>
      <c r="I86" s="324">
        <v>401022.41666666669</v>
      </c>
      <c r="J86" s="324">
        <v>29156207.774438839</v>
      </c>
      <c r="K86" s="324"/>
      <c r="L86" s="324">
        <v>12883.083333333334</v>
      </c>
      <c r="M86" s="324">
        <v>1780633.2979271784</v>
      </c>
      <c r="N86" s="324"/>
      <c r="O86" s="324">
        <v>9283.4166666666661</v>
      </c>
      <c r="P86" s="324">
        <v>1279520.5069411418</v>
      </c>
      <c r="Q86" s="324"/>
      <c r="R86" s="324">
        <v>22166.5</v>
      </c>
      <c r="S86" s="324">
        <v>3060153.80486832</v>
      </c>
      <c r="T86" s="324"/>
      <c r="U86" s="324">
        <v>245036.75</v>
      </c>
      <c r="V86" s="324">
        <v>18567596.189445544</v>
      </c>
      <c r="W86" s="324"/>
      <c r="X86" s="324">
        <v>178152.16666666666</v>
      </c>
      <c r="Y86" s="324">
        <v>13648765.389861615</v>
      </c>
      <c r="Z86" s="324"/>
      <c r="AA86" s="324">
        <v>423188.91666666669</v>
      </c>
      <c r="AB86" s="324">
        <v>32216361.579307158</v>
      </c>
      <c r="AC86" s="327"/>
    </row>
    <row r="87" spans="2:29" hidden="1" outlineLevel="1" x14ac:dyDescent="0.25">
      <c r="B87" s="205">
        <v>40909</v>
      </c>
      <c r="C87" s="323">
        <v>252071</v>
      </c>
      <c r="D87" s="323">
        <v>18463856.754098665</v>
      </c>
      <c r="E87" s="323">
        <v>11273151.108999999</v>
      </c>
      <c r="F87" s="323">
        <v>182814</v>
      </c>
      <c r="G87" s="323">
        <v>14011366.048965298</v>
      </c>
      <c r="H87" s="323">
        <v>8554672.4509999994</v>
      </c>
      <c r="I87" s="323">
        <v>434885</v>
      </c>
      <c r="J87" s="323">
        <v>32475222.803063963</v>
      </c>
      <c r="K87" s="323">
        <v>19827823.559999999</v>
      </c>
      <c r="L87" s="323">
        <v>15016</v>
      </c>
      <c r="M87" s="323">
        <v>1857985.6342242027</v>
      </c>
      <c r="N87" s="323">
        <v>1134397.493</v>
      </c>
      <c r="O87" s="323">
        <v>10786</v>
      </c>
      <c r="P87" s="323">
        <v>1320846.2281632693</v>
      </c>
      <c r="Q87" s="323">
        <v>806445.76699999999</v>
      </c>
      <c r="R87" s="323">
        <v>25802</v>
      </c>
      <c r="S87" s="323">
        <v>3178831.8623874723</v>
      </c>
      <c r="T87" s="323">
        <v>1940843.26</v>
      </c>
      <c r="U87" s="323">
        <v>267087</v>
      </c>
      <c r="V87" s="323">
        <v>20321842.388322864</v>
      </c>
      <c r="W87" s="323">
        <v>12407548.602</v>
      </c>
      <c r="X87" s="323">
        <v>193600</v>
      </c>
      <c r="Y87" s="323">
        <v>15332212.277128566</v>
      </c>
      <c r="Z87" s="323">
        <v>9361118.2180000003</v>
      </c>
      <c r="AA87" s="323">
        <v>460687</v>
      </c>
      <c r="AB87" s="323">
        <v>35654054.66545143</v>
      </c>
      <c r="AC87" s="173">
        <v>21768666.82</v>
      </c>
    </row>
    <row r="88" spans="2:29" hidden="1" outlineLevel="1" x14ac:dyDescent="0.25">
      <c r="B88" s="205">
        <v>40940</v>
      </c>
      <c r="C88" s="323">
        <v>257841</v>
      </c>
      <c r="D88" s="323">
        <v>20700176.085840452</v>
      </c>
      <c r="E88" s="323">
        <v>12687628.673</v>
      </c>
      <c r="F88" s="323">
        <v>187623</v>
      </c>
      <c r="G88" s="323">
        <v>15378535.529368669</v>
      </c>
      <c r="H88" s="323">
        <v>9425869.0130000003</v>
      </c>
      <c r="I88" s="323">
        <v>445464</v>
      </c>
      <c r="J88" s="323">
        <v>36078711.615209125</v>
      </c>
      <c r="K88" s="323">
        <v>22113497.686000001</v>
      </c>
      <c r="L88" s="323">
        <v>15866</v>
      </c>
      <c r="M88" s="323">
        <v>2335586.1527617341</v>
      </c>
      <c r="N88" s="323">
        <v>1431536.1240000001</v>
      </c>
      <c r="O88" s="323">
        <v>11407</v>
      </c>
      <c r="P88" s="323">
        <v>1692404.3828960594</v>
      </c>
      <c r="Q88" s="323">
        <v>1037314.769</v>
      </c>
      <c r="R88" s="323">
        <v>27273</v>
      </c>
      <c r="S88" s="323">
        <v>4027990.5356577937</v>
      </c>
      <c r="T88" s="323">
        <v>2468850.8930000002</v>
      </c>
      <c r="U88" s="323">
        <v>273707</v>
      </c>
      <c r="V88" s="323">
        <v>23035762.238602187</v>
      </c>
      <c r="W88" s="323">
        <v>14119164.797</v>
      </c>
      <c r="X88" s="323">
        <v>199030</v>
      </c>
      <c r="Y88" s="323">
        <v>17070939.912264727</v>
      </c>
      <c r="Z88" s="323">
        <v>10463183.782</v>
      </c>
      <c r="AA88" s="323">
        <v>472737</v>
      </c>
      <c r="AB88" s="323">
        <v>40106702.150866911</v>
      </c>
      <c r="AC88" s="173">
        <v>24582348.579</v>
      </c>
    </row>
    <row r="89" spans="2:29" hidden="1" outlineLevel="1" x14ac:dyDescent="0.25">
      <c r="B89" s="205">
        <v>40969</v>
      </c>
      <c r="C89" s="323">
        <v>266227</v>
      </c>
      <c r="D89" s="323">
        <v>21323755.621417359</v>
      </c>
      <c r="E89" s="323">
        <v>13091164.982999999</v>
      </c>
      <c r="F89" s="323">
        <v>193233</v>
      </c>
      <c r="G89" s="323">
        <v>15463014.603306361</v>
      </c>
      <c r="H89" s="323">
        <v>9493115.5140000004</v>
      </c>
      <c r="I89" s="323">
        <v>459460</v>
      </c>
      <c r="J89" s="323">
        <v>36786770.224723719</v>
      </c>
      <c r="K89" s="323">
        <v>22584280.497000001</v>
      </c>
      <c r="L89" s="323">
        <v>16203</v>
      </c>
      <c r="M89" s="323">
        <v>2162040.3972111638</v>
      </c>
      <c r="N89" s="323">
        <v>1327328.452</v>
      </c>
      <c r="O89" s="323">
        <v>11662</v>
      </c>
      <c r="P89" s="323">
        <v>1568477.3501437628</v>
      </c>
      <c r="Q89" s="323">
        <v>962925.86199999996</v>
      </c>
      <c r="R89" s="323">
        <v>27865</v>
      </c>
      <c r="S89" s="323">
        <v>3730517.747354927</v>
      </c>
      <c r="T89" s="323">
        <v>2290254.3139999998</v>
      </c>
      <c r="U89" s="323">
        <v>282430</v>
      </c>
      <c r="V89" s="323">
        <v>23485796.018628526</v>
      </c>
      <c r="W89" s="323">
        <v>14418493.435000001</v>
      </c>
      <c r="X89" s="323">
        <v>204895</v>
      </c>
      <c r="Y89" s="323">
        <v>17031491.953450121</v>
      </c>
      <c r="Z89" s="323">
        <v>10456041.376</v>
      </c>
      <c r="AA89" s="323">
        <v>487325</v>
      </c>
      <c r="AB89" s="323">
        <v>40517287.972078644</v>
      </c>
      <c r="AC89" s="173">
        <v>24874534.811000001</v>
      </c>
    </row>
    <row r="90" spans="2:29" hidden="1" outlineLevel="1" x14ac:dyDescent="0.25">
      <c r="B90" s="205">
        <v>41000</v>
      </c>
      <c r="C90" s="323">
        <v>268907</v>
      </c>
      <c r="D90" s="323">
        <v>20150233.516267497</v>
      </c>
      <c r="E90" s="323">
        <v>12376984.071</v>
      </c>
      <c r="F90" s="323">
        <v>195360</v>
      </c>
      <c r="G90" s="323">
        <v>14877999.437330388</v>
      </c>
      <c r="H90" s="323">
        <v>9138591.9619999994</v>
      </c>
      <c r="I90" s="323">
        <v>464267</v>
      </c>
      <c r="J90" s="323">
        <v>35028232.953597888</v>
      </c>
      <c r="K90" s="323">
        <v>21515576.033</v>
      </c>
      <c r="L90" s="323">
        <v>16729</v>
      </c>
      <c r="M90" s="323">
        <v>2203393.0937281037</v>
      </c>
      <c r="N90" s="323">
        <v>1353401.746</v>
      </c>
      <c r="O90" s="323">
        <v>12056</v>
      </c>
      <c r="P90" s="323">
        <v>1573999.0446549929</v>
      </c>
      <c r="Q90" s="323">
        <v>966805.72400000005</v>
      </c>
      <c r="R90" s="323">
        <v>28785</v>
      </c>
      <c r="S90" s="323">
        <v>3777392.1383830965</v>
      </c>
      <c r="T90" s="323">
        <v>2320207.4700000002</v>
      </c>
      <c r="U90" s="323">
        <v>285636</v>
      </c>
      <c r="V90" s="323">
        <v>22353626.6099956</v>
      </c>
      <c r="W90" s="323">
        <v>13730385.817</v>
      </c>
      <c r="X90" s="323">
        <v>207416</v>
      </c>
      <c r="Y90" s="323">
        <v>16451998.481985379</v>
      </c>
      <c r="Z90" s="323">
        <v>10105397.686000001</v>
      </c>
      <c r="AA90" s="323">
        <v>493052</v>
      </c>
      <c r="AB90" s="323">
        <v>38805625.091980979</v>
      </c>
      <c r="AC90" s="173">
        <v>23835783.502999999</v>
      </c>
    </row>
    <row r="91" spans="2:29" hidden="1" outlineLevel="1" x14ac:dyDescent="0.25">
      <c r="B91" s="205">
        <v>41030</v>
      </c>
      <c r="C91" s="323">
        <v>273881</v>
      </c>
      <c r="D91" s="323">
        <v>21282542.850755088</v>
      </c>
      <c r="E91" s="323">
        <v>13076498.552999999</v>
      </c>
      <c r="F91" s="323">
        <v>198501</v>
      </c>
      <c r="G91" s="323">
        <v>15574336.245439878</v>
      </c>
      <c r="H91" s="323">
        <v>9569241.1760000009</v>
      </c>
      <c r="I91" s="323">
        <v>472382</v>
      </c>
      <c r="J91" s="323">
        <v>36856879.096194968</v>
      </c>
      <c r="K91" s="323">
        <v>22645739.728999998</v>
      </c>
      <c r="L91" s="323">
        <v>17101</v>
      </c>
      <c r="M91" s="323">
        <v>2256713.4000652889</v>
      </c>
      <c r="N91" s="323">
        <v>1386578.179</v>
      </c>
      <c r="O91" s="323">
        <v>12311</v>
      </c>
      <c r="P91" s="323">
        <v>1619037.7128861311</v>
      </c>
      <c r="Q91" s="323">
        <v>994775.12899999996</v>
      </c>
      <c r="R91" s="323">
        <v>29412</v>
      </c>
      <c r="S91" s="323">
        <v>3875751.1129514198</v>
      </c>
      <c r="T91" s="323">
        <v>2381353.3080000002</v>
      </c>
      <c r="U91" s="323">
        <v>290982</v>
      </c>
      <c r="V91" s="323">
        <v>23539256.250820376</v>
      </c>
      <c r="W91" s="323">
        <v>14463076.732000001</v>
      </c>
      <c r="X91" s="323">
        <v>210812</v>
      </c>
      <c r="Y91" s="323">
        <v>17193373.958326012</v>
      </c>
      <c r="Z91" s="323">
        <v>10564016.305</v>
      </c>
      <c r="AA91" s="323">
        <v>501794</v>
      </c>
      <c r="AB91" s="323">
        <v>40732630.209146388</v>
      </c>
      <c r="AC91" s="173">
        <v>25027093.037</v>
      </c>
    </row>
    <row r="92" spans="2:29" hidden="1" outlineLevel="1" x14ac:dyDescent="0.25">
      <c r="B92" s="205">
        <v>41061</v>
      </c>
      <c r="C92" s="323">
        <v>279232</v>
      </c>
      <c r="D92" s="323">
        <v>21656484.952949226</v>
      </c>
      <c r="E92" s="323">
        <v>13266851.407</v>
      </c>
      <c r="F92" s="323">
        <v>201334</v>
      </c>
      <c r="G92" s="323">
        <v>15579620.608204506</v>
      </c>
      <c r="H92" s="323">
        <v>9544139.4130000006</v>
      </c>
      <c r="I92" s="323">
        <v>480566</v>
      </c>
      <c r="J92" s="323">
        <v>37236105.561153732</v>
      </c>
      <c r="K92" s="323">
        <v>22810990.82</v>
      </c>
      <c r="L92" s="323">
        <v>17619</v>
      </c>
      <c r="M92" s="323">
        <v>2305812.0262476397</v>
      </c>
      <c r="N92" s="323">
        <v>1412549.8940000001</v>
      </c>
      <c r="O92" s="323">
        <v>12603</v>
      </c>
      <c r="P92" s="323">
        <v>1665127.0145489352</v>
      </c>
      <c r="Q92" s="323">
        <v>1020063.6310000001</v>
      </c>
      <c r="R92" s="323">
        <v>30222</v>
      </c>
      <c r="S92" s="323">
        <v>3970939.0407965751</v>
      </c>
      <c r="T92" s="323">
        <v>2432613.5249999999</v>
      </c>
      <c r="U92" s="323">
        <v>296851</v>
      </c>
      <c r="V92" s="323">
        <v>23962296.979196865</v>
      </c>
      <c r="W92" s="323">
        <v>14679401.301000001</v>
      </c>
      <c r="X92" s="323">
        <v>213937</v>
      </c>
      <c r="Y92" s="323">
        <v>17244747.622753441</v>
      </c>
      <c r="Z92" s="323">
        <v>10564203.044</v>
      </c>
      <c r="AA92" s="323">
        <v>510788</v>
      </c>
      <c r="AB92" s="323">
        <v>41207044.601950303</v>
      </c>
      <c r="AC92" s="173">
        <v>25243604.344999999</v>
      </c>
    </row>
    <row r="93" spans="2:29" hidden="1" outlineLevel="1" x14ac:dyDescent="0.25">
      <c r="B93" s="205">
        <v>41091</v>
      </c>
      <c r="C93" s="323">
        <v>276215</v>
      </c>
      <c r="D93" s="323">
        <v>21849420.71966923</v>
      </c>
      <c r="E93" s="323">
        <v>13383284.857000001</v>
      </c>
      <c r="F93" s="323">
        <v>202381</v>
      </c>
      <c r="G93" s="323">
        <v>16138886.281217422</v>
      </c>
      <c r="H93" s="323">
        <v>9885448.0010000002</v>
      </c>
      <c r="I93" s="323">
        <v>478596</v>
      </c>
      <c r="J93" s="323">
        <v>37988307.000886649</v>
      </c>
      <c r="K93" s="323">
        <v>23268732.857999999</v>
      </c>
      <c r="L93" s="323">
        <v>17698</v>
      </c>
      <c r="M93" s="323">
        <v>2355167.0052364157</v>
      </c>
      <c r="N93" s="323">
        <v>1442595.267</v>
      </c>
      <c r="O93" s="323">
        <v>12634</v>
      </c>
      <c r="P93" s="323">
        <v>1691839.4538478632</v>
      </c>
      <c r="Q93" s="323">
        <v>1036291.517</v>
      </c>
      <c r="R93" s="323">
        <v>30332</v>
      </c>
      <c r="S93" s="323">
        <v>4047006.4590842789</v>
      </c>
      <c r="T93" s="323">
        <v>2478886.784</v>
      </c>
      <c r="U93" s="323">
        <v>293913</v>
      </c>
      <c r="V93" s="323">
        <v>24204587.724905647</v>
      </c>
      <c r="W93" s="323">
        <v>14825880.124</v>
      </c>
      <c r="X93" s="323">
        <v>215015</v>
      </c>
      <c r="Y93" s="323">
        <v>17830725.735065285</v>
      </c>
      <c r="Z93" s="323">
        <v>10921739.517999999</v>
      </c>
      <c r="AA93" s="323">
        <v>508928</v>
      </c>
      <c r="AB93" s="323">
        <v>42035313.459970929</v>
      </c>
      <c r="AC93" s="173">
        <v>25747619.642000001</v>
      </c>
    </row>
    <row r="94" spans="2:29" hidden="1" outlineLevel="1" x14ac:dyDescent="0.25">
      <c r="B94" s="205">
        <v>41122</v>
      </c>
      <c r="C94" s="323">
        <v>282810</v>
      </c>
      <c r="D94" s="323">
        <v>22790638.573975954</v>
      </c>
      <c r="E94" s="323">
        <v>13990675.439999999</v>
      </c>
      <c r="F94" s="323">
        <v>207070</v>
      </c>
      <c r="G94" s="323">
        <v>16783731.110467974</v>
      </c>
      <c r="H94" s="323">
        <v>10303166.095000001</v>
      </c>
      <c r="I94" s="323">
        <v>489880</v>
      </c>
      <c r="J94" s="323">
        <v>39574369.684443928</v>
      </c>
      <c r="K94" s="323">
        <v>24293841.535</v>
      </c>
      <c r="L94" s="323">
        <v>23663</v>
      </c>
      <c r="M94" s="323">
        <v>3115167.3862705412</v>
      </c>
      <c r="N94" s="323">
        <v>1912333.246</v>
      </c>
      <c r="O94" s="323">
        <v>19160</v>
      </c>
      <c r="P94" s="323">
        <v>2470766.2867451929</v>
      </c>
      <c r="Q94" s="323">
        <v>1516749.48</v>
      </c>
      <c r="R94" s="323">
        <v>42823</v>
      </c>
      <c r="S94" s="323">
        <v>5585933.6730157351</v>
      </c>
      <c r="T94" s="323">
        <v>3429082.7259999998</v>
      </c>
      <c r="U94" s="323">
        <v>306473</v>
      </c>
      <c r="V94" s="323">
        <v>25905805.9602465</v>
      </c>
      <c r="W94" s="323">
        <v>15903008.686000001</v>
      </c>
      <c r="X94" s="323">
        <v>226230</v>
      </c>
      <c r="Y94" s="323">
        <v>19254497.397213168</v>
      </c>
      <c r="Z94" s="323">
        <v>11819915.574999999</v>
      </c>
      <c r="AA94" s="323">
        <v>532703</v>
      </c>
      <c r="AB94" s="323">
        <v>45160303.357459664</v>
      </c>
      <c r="AC94" s="173">
        <v>27722924.261</v>
      </c>
    </row>
    <row r="95" spans="2:29" hidden="1" outlineLevel="1" x14ac:dyDescent="0.25">
      <c r="B95" s="205">
        <v>41153</v>
      </c>
      <c r="C95" s="323">
        <v>287696</v>
      </c>
      <c r="D95" s="323">
        <v>22743773.324532241</v>
      </c>
      <c r="E95" s="323">
        <v>14069211.756999999</v>
      </c>
      <c r="F95" s="323">
        <v>211511</v>
      </c>
      <c r="G95" s="323">
        <v>16881296.628478941</v>
      </c>
      <c r="H95" s="323">
        <v>10442705.948999999</v>
      </c>
      <c r="I95" s="323">
        <v>499207</v>
      </c>
      <c r="J95" s="323">
        <v>39625069.953011177</v>
      </c>
      <c r="K95" s="323">
        <v>24511917.706</v>
      </c>
      <c r="L95" s="323">
        <v>23918</v>
      </c>
      <c r="M95" s="323">
        <v>3094141.4081581905</v>
      </c>
      <c r="N95" s="323">
        <v>1914024.118</v>
      </c>
      <c r="O95" s="323">
        <v>19316</v>
      </c>
      <c r="P95" s="323">
        <v>2510189.827341503</v>
      </c>
      <c r="Q95" s="323">
        <v>1552793.889</v>
      </c>
      <c r="R95" s="323">
        <v>43234</v>
      </c>
      <c r="S95" s="323">
        <v>5604331.235499694</v>
      </c>
      <c r="T95" s="323">
        <v>3466818.0070000002</v>
      </c>
      <c r="U95" s="323">
        <v>311614</v>
      </c>
      <c r="V95" s="323">
        <v>25837914.732690431</v>
      </c>
      <c r="W95" s="323">
        <v>15983235.875</v>
      </c>
      <c r="X95" s="323">
        <v>230827</v>
      </c>
      <c r="Y95" s="323">
        <v>19391486.455820441</v>
      </c>
      <c r="Z95" s="323">
        <v>11995499.838</v>
      </c>
      <c r="AA95" s="323">
        <v>542441</v>
      </c>
      <c r="AB95" s="323">
        <v>45229401.188510872</v>
      </c>
      <c r="AC95" s="173">
        <v>27978735.713</v>
      </c>
    </row>
    <row r="96" spans="2:29" hidden="1" outlineLevel="1" x14ac:dyDescent="0.25">
      <c r="B96" s="205">
        <v>41183</v>
      </c>
      <c r="C96" s="323">
        <v>294781</v>
      </c>
      <c r="D96" s="323">
        <v>23606419.455925602</v>
      </c>
      <c r="E96" s="323">
        <v>14684423.467</v>
      </c>
      <c r="F96" s="323">
        <v>216179</v>
      </c>
      <c r="G96" s="323">
        <v>17237391.919527315</v>
      </c>
      <c r="H96" s="323">
        <v>10722556.332</v>
      </c>
      <c r="I96" s="323">
        <v>510960</v>
      </c>
      <c r="J96" s="323">
        <v>40843811.375452921</v>
      </c>
      <c r="K96" s="323">
        <v>25406979.798999999</v>
      </c>
      <c r="L96" s="323">
        <v>22975</v>
      </c>
      <c r="M96" s="323">
        <v>2996477.9249707488</v>
      </c>
      <c r="N96" s="323">
        <v>1863965.4709999999</v>
      </c>
      <c r="O96" s="323">
        <v>18437</v>
      </c>
      <c r="P96" s="323">
        <v>2368530.9424720383</v>
      </c>
      <c r="Q96" s="323">
        <v>1473349.7139999999</v>
      </c>
      <c r="R96" s="323">
        <v>41412</v>
      </c>
      <c r="S96" s="323">
        <v>5365008.8674427876</v>
      </c>
      <c r="T96" s="323">
        <v>3337315.1850000001</v>
      </c>
      <c r="U96" s="323">
        <v>317756</v>
      </c>
      <c r="V96" s="323">
        <v>26602897.380896356</v>
      </c>
      <c r="W96" s="323">
        <v>16548388.937999999</v>
      </c>
      <c r="X96" s="323">
        <v>234616</v>
      </c>
      <c r="Y96" s="323">
        <v>19605922.861999352</v>
      </c>
      <c r="Z96" s="323">
        <v>12195906.046</v>
      </c>
      <c r="AA96" s="323">
        <v>552372</v>
      </c>
      <c r="AB96" s="323">
        <v>46208820.242895707</v>
      </c>
      <c r="AC96" s="173">
        <v>28744294.984000001</v>
      </c>
    </row>
    <row r="97" spans="2:29" hidden="1" outlineLevel="1" x14ac:dyDescent="0.25">
      <c r="B97" s="205">
        <v>41214</v>
      </c>
      <c r="C97" s="323">
        <v>303521</v>
      </c>
      <c r="D97" s="323">
        <v>24299915.908232629</v>
      </c>
      <c r="E97" s="323">
        <v>15047736.120999999</v>
      </c>
      <c r="F97" s="323">
        <v>223185</v>
      </c>
      <c r="G97" s="323">
        <v>17958556.979449015</v>
      </c>
      <c r="H97" s="323">
        <v>11120846.161</v>
      </c>
      <c r="I97" s="323">
        <v>526706</v>
      </c>
      <c r="J97" s="323">
        <v>42258472.887681648</v>
      </c>
      <c r="K97" s="323">
        <v>26168582.282000002</v>
      </c>
      <c r="L97" s="323">
        <v>21524</v>
      </c>
      <c r="M97" s="323">
        <v>2760935.5911426507</v>
      </c>
      <c r="N97" s="323">
        <v>1709710.8640000001</v>
      </c>
      <c r="O97" s="323">
        <v>16946</v>
      </c>
      <c r="P97" s="323">
        <v>2127196.6942827501</v>
      </c>
      <c r="Q97" s="323">
        <v>1317267.7080000001</v>
      </c>
      <c r="R97" s="323">
        <v>38470</v>
      </c>
      <c r="S97" s="323">
        <v>4888132.2854254004</v>
      </c>
      <c r="T97" s="323">
        <v>3026978.5720000002</v>
      </c>
      <c r="U97" s="323">
        <v>325045</v>
      </c>
      <c r="V97" s="323">
        <v>27060851.49937528</v>
      </c>
      <c r="W97" s="323">
        <v>16757446.984999999</v>
      </c>
      <c r="X97" s="323">
        <v>240131</v>
      </c>
      <c r="Y97" s="323">
        <v>20085753.67373177</v>
      </c>
      <c r="Z97" s="323">
        <v>12438113.869000001</v>
      </c>
      <c r="AA97" s="323">
        <v>565176</v>
      </c>
      <c r="AB97" s="323">
        <v>47146605.17310705</v>
      </c>
      <c r="AC97" s="173">
        <v>29195560.853999998</v>
      </c>
    </row>
    <row r="98" spans="2:29" hidden="1" outlineLevel="1" x14ac:dyDescent="0.25">
      <c r="B98" s="205">
        <v>41244</v>
      </c>
      <c r="C98" s="323">
        <v>312354</v>
      </c>
      <c r="D98" s="323">
        <v>24842724.387656182</v>
      </c>
      <c r="E98" s="323">
        <v>15379786.630000001</v>
      </c>
      <c r="F98" s="323">
        <v>227534</v>
      </c>
      <c r="G98" s="323">
        <v>17946490.376046658</v>
      </c>
      <c r="H98" s="323">
        <v>11110423.657</v>
      </c>
      <c r="I98" s="323">
        <v>539888</v>
      </c>
      <c r="J98" s="323">
        <v>42789214.76370284</v>
      </c>
      <c r="K98" s="323">
        <v>26490210.287</v>
      </c>
      <c r="L98" s="323">
        <v>22465</v>
      </c>
      <c r="M98" s="323">
        <v>2988132.7598597063</v>
      </c>
      <c r="N98" s="323">
        <v>1849911.61</v>
      </c>
      <c r="O98" s="323">
        <v>17699</v>
      </c>
      <c r="P98" s="323">
        <v>2295867.7123035709</v>
      </c>
      <c r="Q98" s="323">
        <v>1421339.906</v>
      </c>
      <c r="R98" s="323">
        <v>40164</v>
      </c>
      <c r="S98" s="323">
        <v>5284000.4721632767</v>
      </c>
      <c r="T98" s="323">
        <v>3271251.5159999998</v>
      </c>
      <c r="U98" s="323">
        <v>334819</v>
      </c>
      <c r="V98" s="323">
        <v>27830857.147515889</v>
      </c>
      <c r="W98" s="323">
        <v>17229698.239999998</v>
      </c>
      <c r="X98" s="323">
        <v>245233</v>
      </c>
      <c r="Y98" s="323">
        <v>20242358.088350233</v>
      </c>
      <c r="Z98" s="323">
        <v>12531763.562999999</v>
      </c>
      <c r="AA98" s="323">
        <v>580052</v>
      </c>
      <c r="AB98" s="323">
        <v>48073215.235866122</v>
      </c>
      <c r="AC98" s="173">
        <v>29761461.802999999</v>
      </c>
    </row>
    <row r="99" spans="2:29" collapsed="1" x14ac:dyDescent="0.25">
      <c r="B99" s="325" t="s">
        <v>694</v>
      </c>
      <c r="C99" s="324">
        <v>279628</v>
      </c>
      <c r="D99" s="324">
        <v>21975828.512610011</v>
      </c>
      <c r="E99" s="324"/>
      <c r="F99" s="324">
        <v>203893.75</v>
      </c>
      <c r="G99" s="324">
        <v>16152602.147316867</v>
      </c>
      <c r="H99" s="324"/>
      <c r="I99" s="324">
        <v>483521.75</v>
      </c>
      <c r="J99" s="324">
        <v>38128430.659926884</v>
      </c>
      <c r="K99" s="324"/>
      <c r="L99" s="324">
        <v>19231.416666666668</v>
      </c>
      <c r="M99" s="324">
        <v>2535962.7316563656</v>
      </c>
      <c r="N99" s="324"/>
      <c r="O99" s="324">
        <v>14584.75</v>
      </c>
      <c r="P99" s="324">
        <v>1908690.2208571725</v>
      </c>
      <c r="Q99" s="324"/>
      <c r="R99" s="324">
        <v>33816.166666666664</v>
      </c>
      <c r="S99" s="324">
        <v>4444652.9525135374</v>
      </c>
      <c r="T99" s="324"/>
      <c r="U99" s="324">
        <v>298859.41666666669</v>
      </c>
      <c r="V99" s="324">
        <v>24511791.244266376</v>
      </c>
      <c r="W99" s="324"/>
      <c r="X99" s="324">
        <v>218478.5</v>
      </c>
      <c r="Y99" s="324">
        <v>18061292.368174043</v>
      </c>
      <c r="Z99" s="324"/>
      <c r="AA99" s="324">
        <v>517337.91666666669</v>
      </c>
      <c r="AB99" s="324">
        <v>42573083.612440415</v>
      </c>
      <c r="AC99" s="327"/>
    </row>
    <row r="100" spans="2:29" hidden="1" outlineLevel="1" x14ac:dyDescent="0.25">
      <c r="B100" s="205">
        <v>41275</v>
      </c>
      <c r="C100" s="323">
        <v>316102</v>
      </c>
      <c r="D100" s="323">
        <v>24436206.526327681</v>
      </c>
      <c r="E100" s="323">
        <v>15155009.141000001</v>
      </c>
      <c r="F100" s="323">
        <v>230222</v>
      </c>
      <c r="G100" s="323">
        <v>17926129.241435107</v>
      </c>
      <c r="H100" s="323">
        <v>11117546.097999999</v>
      </c>
      <c r="I100" s="323">
        <v>546324</v>
      </c>
      <c r="J100" s="323">
        <v>42362335.767762795</v>
      </c>
      <c r="K100" s="323">
        <v>26272555.239</v>
      </c>
      <c r="L100" s="323">
        <v>22998</v>
      </c>
      <c r="M100" s="323">
        <v>2970759.9150544992</v>
      </c>
      <c r="N100" s="323">
        <v>1842425.649</v>
      </c>
      <c r="O100" s="323">
        <v>18080</v>
      </c>
      <c r="P100" s="323">
        <v>2293718.9357394516</v>
      </c>
      <c r="Q100" s="323">
        <v>1422533.87</v>
      </c>
      <c r="R100" s="323">
        <v>41078</v>
      </c>
      <c r="S100" s="323">
        <v>5264478.8507939503</v>
      </c>
      <c r="T100" s="323">
        <v>3264959.5189999999</v>
      </c>
      <c r="U100" s="323">
        <v>339100</v>
      </c>
      <c r="V100" s="323">
        <v>27406966.441382185</v>
      </c>
      <c r="W100" s="323">
        <v>16997434.789999999</v>
      </c>
      <c r="X100" s="323">
        <v>248302</v>
      </c>
      <c r="Y100" s="323">
        <v>20219848.177174561</v>
      </c>
      <c r="Z100" s="323">
        <v>12540079.968</v>
      </c>
      <c r="AA100" s="323">
        <v>587402</v>
      </c>
      <c r="AB100" s="323">
        <v>47626814.618556738</v>
      </c>
      <c r="AC100" s="173">
        <v>29537514.758000001</v>
      </c>
    </row>
    <row r="101" spans="2:29" hidden="1" outlineLevel="1" x14ac:dyDescent="0.25">
      <c r="B101" s="205">
        <v>41306</v>
      </c>
      <c r="C101" s="323">
        <v>318370</v>
      </c>
      <c r="D101" s="323">
        <v>24056889.90847525</v>
      </c>
      <c r="E101" s="323">
        <v>14937260.642999999</v>
      </c>
      <c r="F101" s="323">
        <v>231652</v>
      </c>
      <c r="G101" s="323">
        <v>17735763.129411105</v>
      </c>
      <c r="H101" s="323">
        <v>11012384.293</v>
      </c>
      <c r="I101" s="323">
        <v>550022</v>
      </c>
      <c r="J101" s="323">
        <v>41792653.037886359</v>
      </c>
      <c r="K101" s="323">
        <v>25949644.936000001</v>
      </c>
      <c r="L101" s="323">
        <v>23375</v>
      </c>
      <c r="M101" s="323">
        <v>3000548.4019526793</v>
      </c>
      <c r="N101" s="323">
        <v>1863082.6229999999</v>
      </c>
      <c r="O101" s="323">
        <v>18243</v>
      </c>
      <c r="P101" s="323">
        <v>2286246.9444131502</v>
      </c>
      <c r="Q101" s="323">
        <v>1419562.821</v>
      </c>
      <c r="R101" s="323">
        <v>41618</v>
      </c>
      <c r="S101" s="323">
        <v>5286795.3463658299</v>
      </c>
      <c r="T101" s="323">
        <v>3282645.4440000001</v>
      </c>
      <c r="U101" s="323">
        <v>341745</v>
      </c>
      <c r="V101" s="323">
        <v>27057438.31042793</v>
      </c>
      <c r="W101" s="323">
        <v>16800343.265999999</v>
      </c>
      <c r="X101" s="323">
        <v>249895</v>
      </c>
      <c r="Y101" s="323">
        <v>20022010.073824257</v>
      </c>
      <c r="Z101" s="323">
        <v>12431947.114</v>
      </c>
      <c r="AA101" s="323">
        <v>591640</v>
      </c>
      <c r="AB101" s="323">
        <v>47079448.384252191</v>
      </c>
      <c r="AC101" s="173">
        <v>29232290.379999999</v>
      </c>
    </row>
    <row r="102" spans="2:29" hidden="1" outlineLevel="1" x14ac:dyDescent="0.25">
      <c r="B102" s="205">
        <v>41334</v>
      </c>
      <c r="C102" s="323">
        <v>320652</v>
      </c>
      <c r="D102" s="323">
        <v>24273844.454612877</v>
      </c>
      <c r="E102" s="323">
        <v>15129817.061000001</v>
      </c>
      <c r="F102" s="323">
        <v>233004</v>
      </c>
      <c r="G102" s="323">
        <v>17864807.992780678</v>
      </c>
      <c r="H102" s="323">
        <v>11135083.165999999</v>
      </c>
      <c r="I102" s="323">
        <v>553656</v>
      </c>
      <c r="J102" s="323">
        <v>42138652.447393551</v>
      </c>
      <c r="K102" s="323">
        <v>26264900.227000002</v>
      </c>
      <c r="L102" s="323">
        <v>23775</v>
      </c>
      <c r="M102" s="323">
        <v>3027912.8207562328</v>
      </c>
      <c r="N102" s="323">
        <v>1887289.3060000001</v>
      </c>
      <c r="O102" s="323">
        <v>18581</v>
      </c>
      <c r="P102" s="323">
        <v>2306889.8465380776</v>
      </c>
      <c r="Q102" s="323">
        <v>1437877.7709999999</v>
      </c>
      <c r="R102" s="323">
        <v>42356</v>
      </c>
      <c r="S102" s="323">
        <v>5334802.6672943095</v>
      </c>
      <c r="T102" s="323">
        <v>3325167.077</v>
      </c>
      <c r="U102" s="323">
        <v>344427</v>
      </c>
      <c r="V102" s="323">
        <v>27301757.275369111</v>
      </c>
      <c r="W102" s="323">
        <v>17017106.366999999</v>
      </c>
      <c r="X102" s="323">
        <v>251585</v>
      </c>
      <c r="Y102" s="323">
        <v>20171697.839318756</v>
      </c>
      <c r="Z102" s="323">
        <v>12572960.937000001</v>
      </c>
      <c r="AA102" s="323">
        <v>596012</v>
      </c>
      <c r="AB102" s="323">
        <v>47473455.114687867</v>
      </c>
      <c r="AC102" s="173">
        <v>29590067.304000001</v>
      </c>
    </row>
    <row r="103" spans="2:29" hidden="1" outlineLevel="1" x14ac:dyDescent="0.25">
      <c r="B103" s="205">
        <v>41365</v>
      </c>
      <c r="C103" s="323">
        <v>322878</v>
      </c>
      <c r="D103" s="323">
        <v>24604598.80835712</v>
      </c>
      <c r="E103" s="323">
        <v>15261790.779999999</v>
      </c>
      <c r="F103" s="323">
        <v>234782</v>
      </c>
      <c r="G103" s="323">
        <v>18017339.831960097</v>
      </c>
      <c r="H103" s="323">
        <v>11175832.334000001</v>
      </c>
      <c r="I103" s="323">
        <v>557660</v>
      </c>
      <c r="J103" s="323">
        <v>42621938.640317224</v>
      </c>
      <c r="K103" s="323">
        <v>26437623.114</v>
      </c>
      <c r="L103" s="323">
        <v>24167</v>
      </c>
      <c r="M103" s="323">
        <v>3079223.3211734854</v>
      </c>
      <c r="N103" s="323">
        <v>1909986.9280000001</v>
      </c>
      <c r="O103" s="323">
        <v>18856</v>
      </c>
      <c r="P103" s="323">
        <v>2348080.7914339197</v>
      </c>
      <c r="Q103" s="323">
        <v>1456472.3470000001</v>
      </c>
      <c r="R103" s="323">
        <v>43023</v>
      </c>
      <c r="S103" s="323">
        <v>5427304.1126074046</v>
      </c>
      <c r="T103" s="323">
        <v>3366459.2749999999</v>
      </c>
      <c r="U103" s="323">
        <v>347045</v>
      </c>
      <c r="V103" s="323">
        <v>27683822.129530605</v>
      </c>
      <c r="W103" s="323">
        <v>17171777.708000001</v>
      </c>
      <c r="X103" s="323">
        <v>253638</v>
      </c>
      <c r="Y103" s="323">
        <v>20365420.62339402</v>
      </c>
      <c r="Z103" s="323">
        <v>12632304.681</v>
      </c>
      <c r="AA103" s="323">
        <v>600683</v>
      </c>
      <c r="AB103" s="323">
        <v>48049242.752924621</v>
      </c>
      <c r="AC103" s="173">
        <v>29804082.388999999</v>
      </c>
    </row>
    <row r="104" spans="2:29" hidden="1" outlineLevel="1" x14ac:dyDescent="0.25">
      <c r="B104" s="205">
        <v>41395</v>
      </c>
      <c r="C104" s="323">
        <v>323526</v>
      </c>
      <c r="D104" s="323">
        <v>24557725.354579892</v>
      </c>
      <c r="E104" s="323">
        <v>15231414.18</v>
      </c>
      <c r="F104" s="323">
        <v>234339</v>
      </c>
      <c r="G104" s="323">
        <v>18003532.746332631</v>
      </c>
      <c r="H104" s="323">
        <v>11166313.654999999</v>
      </c>
      <c r="I104" s="323">
        <v>557865</v>
      </c>
      <c r="J104" s="323">
        <v>42561258.100912519</v>
      </c>
      <c r="K104" s="323">
        <v>26397727.835000001</v>
      </c>
      <c r="L104" s="323">
        <v>25946</v>
      </c>
      <c r="M104" s="323">
        <v>3297922.6696620747</v>
      </c>
      <c r="N104" s="323">
        <v>2045467.379</v>
      </c>
      <c r="O104" s="323">
        <v>20403</v>
      </c>
      <c r="P104" s="323">
        <v>2541902.1479091188</v>
      </c>
      <c r="Q104" s="323">
        <v>1576561.504</v>
      </c>
      <c r="R104" s="323">
        <v>46349</v>
      </c>
      <c r="S104" s="323">
        <v>5839824.8175711939</v>
      </c>
      <c r="T104" s="323">
        <v>3622028.8829999999</v>
      </c>
      <c r="U104" s="323">
        <v>349472</v>
      </c>
      <c r="V104" s="323">
        <v>27855648.024241965</v>
      </c>
      <c r="W104" s="323">
        <v>17276881.559</v>
      </c>
      <c r="X104" s="323">
        <v>254742</v>
      </c>
      <c r="Y104" s="323">
        <v>20545434.89424175</v>
      </c>
      <c r="Z104" s="323">
        <v>12742875.159</v>
      </c>
      <c r="AA104" s="323">
        <v>604214</v>
      </c>
      <c r="AB104" s="323">
        <v>48401082.918483719</v>
      </c>
      <c r="AC104" s="173">
        <v>30019756.717999998</v>
      </c>
    </row>
    <row r="105" spans="2:29" hidden="1" outlineLevel="1" x14ac:dyDescent="0.25">
      <c r="B105" s="205">
        <v>41426</v>
      </c>
      <c r="C105" s="323">
        <v>325229</v>
      </c>
      <c r="D105" s="323">
        <v>24484480.498435747</v>
      </c>
      <c r="E105" s="323">
        <v>15283216.640000001</v>
      </c>
      <c r="F105" s="323">
        <v>235609</v>
      </c>
      <c r="G105" s="323">
        <v>17955796.588394191</v>
      </c>
      <c r="H105" s="323">
        <v>11208011.1</v>
      </c>
      <c r="I105" s="323">
        <v>560838</v>
      </c>
      <c r="J105" s="323">
        <v>42440277.086829931</v>
      </c>
      <c r="K105" s="323">
        <v>26491227.739999998</v>
      </c>
      <c r="L105" s="323">
        <v>26338</v>
      </c>
      <c r="M105" s="323">
        <v>3335150.6232105116</v>
      </c>
      <c r="N105" s="323">
        <v>2081801.5519999999</v>
      </c>
      <c r="O105" s="323">
        <v>20883</v>
      </c>
      <c r="P105" s="323">
        <v>2599943.2769974931</v>
      </c>
      <c r="Q105" s="323">
        <v>1622885.0090000001</v>
      </c>
      <c r="R105" s="323">
        <v>47221</v>
      </c>
      <c r="S105" s="323">
        <v>5935093.9002080048</v>
      </c>
      <c r="T105" s="323">
        <v>3704686.5610000002</v>
      </c>
      <c r="U105" s="323">
        <v>351567</v>
      </c>
      <c r="V105" s="323">
        <v>27819631.121646255</v>
      </c>
      <c r="W105" s="323">
        <v>17365018.192000002</v>
      </c>
      <c r="X105" s="323">
        <v>256492</v>
      </c>
      <c r="Y105" s="323">
        <v>20555739.865391687</v>
      </c>
      <c r="Z105" s="323">
        <v>12830896.108999999</v>
      </c>
      <c r="AA105" s="323">
        <v>608059</v>
      </c>
      <c r="AB105" s="323">
        <v>48375370.987037942</v>
      </c>
      <c r="AC105" s="173">
        <v>30195914.300999999</v>
      </c>
    </row>
    <row r="106" spans="2:29" hidden="1" outlineLevel="1" x14ac:dyDescent="0.25">
      <c r="B106" s="205">
        <v>41456</v>
      </c>
      <c r="C106" s="323">
        <v>327498</v>
      </c>
      <c r="D106" s="323">
        <v>24991416.41445259</v>
      </c>
      <c r="E106" s="323">
        <v>15640317.4</v>
      </c>
      <c r="F106" s="323">
        <v>237441</v>
      </c>
      <c r="G106" s="323">
        <v>18364746.236815102</v>
      </c>
      <c r="H106" s="323">
        <v>11493164.506999999</v>
      </c>
      <c r="I106" s="323">
        <v>564939</v>
      </c>
      <c r="J106" s="323">
        <v>43356162.651267692</v>
      </c>
      <c r="K106" s="323">
        <v>27133481.907000002</v>
      </c>
      <c r="L106" s="323">
        <v>26760</v>
      </c>
      <c r="M106" s="323">
        <v>3393062.0598078854</v>
      </c>
      <c r="N106" s="323">
        <v>2123471.7829999998</v>
      </c>
      <c r="O106" s="323">
        <v>21252</v>
      </c>
      <c r="P106" s="323">
        <v>2636295.3226585467</v>
      </c>
      <c r="Q106" s="323">
        <v>1649866.2949999999</v>
      </c>
      <c r="R106" s="323">
        <v>48012</v>
      </c>
      <c r="S106" s="323">
        <v>6029357.3824664326</v>
      </c>
      <c r="T106" s="323">
        <v>3773338.0780000002</v>
      </c>
      <c r="U106" s="323">
        <v>354258</v>
      </c>
      <c r="V106" s="323">
        <v>28384478.474260479</v>
      </c>
      <c r="W106" s="323">
        <v>17763789.182999998</v>
      </c>
      <c r="X106" s="323">
        <v>258693</v>
      </c>
      <c r="Y106" s="323">
        <v>21001041.559473649</v>
      </c>
      <c r="Z106" s="323">
        <v>13143030.801999999</v>
      </c>
      <c r="AA106" s="323">
        <v>612951</v>
      </c>
      <c r="AB106" s="323">
        <v>49385520.03373412</v>
      </c>
      <c r="AC106" s="173">
        <v>30906819.984999999</v>
      </c>
    </row>
    <row r="107" spans="2:29" hidden="1" outlineLevel="1" x14ac:dyDescent="0.25">
      <c r="B107" s="205">
        <v>41487</v>
      </c>
      <c r="C107" s="323">
        <v>329632</v>
      </c>
      <c r="D107" s="323">
        <v>25595214.92469037</v>
      </c>
      <c r="E107" s="323">
        <v>16056738.142999999</v>
      </c>
      <c r="F107" s="323">
        <v>239444</v>
      </c>
      <c r="G107" s="323">
        <v>18828001.904075954</v>
      </c>
      <c r="H107" s="323">
        <v>11811438.084000001</v>
      </c>
      <c r="I107" s="323">
        <v>569076</v>
      </c>
      <c r="J107" s="323">
        <v>44423216.828766316</v>
      </c>
      <c r="K107" s="323">
        <v>27868176.227000002</v>
      </c>
      <c r="L107" s="323">
        <v>27306</v>
      </c>
      <c r="M107" s="323">
        <v>3465843.2788677472</v>
      </c>
      <c r="N107" s="323">
        <v>2174239.9169999999</v>
      </c>
      <c r="O107" s="323">
        <v>21757</v>
      </c>
      <c r="P107" s="323">
        <v>2716323.6608741852</v>
      </c>
      <c r="Q107" s="323">
        <v>1704041.0819999999</v>
      </c>
      <c r="R107" s="323">
        <v>49063</v>
      </c>
      <c r="S107" s="323">
        <v>6182166.9397419319</v>
      </c>
      <c r="T107" s="323">
        <v>3878280.9989999998</v>
      </c>
      <c r="U107" s="323">
        <v>356938</v>
      </c>
      <c r="V107" s="323">
        <v>29061058.203558113</v>
      </c>
      <c r="W107" s="323">
        <v>18230978.059999999</v>
      </c>
      <c r="X107" s="323">
        <v>261201</v>
      </c>
      <c r="Y107" s="323">
        <v>21544325.564950138</v>
      </c>
      <c r="Z107" s="323">
        <v>13515479.165999999</v>
      </c>
      <c r="AA107" s="323">
        <v>618139</v>
      </c>
      <c r="AB107" s="323">
        <v>50605383.768508255</v>
      </c>
      <c r="AC107" s="173">
        <v>31746457.226</v>
      </c>
    </row>
    <row r="108" spans="2:29" hidden="1" outlineLevel="1" x14ac:dyDescent="0.25">
      <c r="B108" s="205">
        <v>41518</v>
      </c>
      <c r="C108" s="323">
        <v>331319</v>
      </c>
      <c r="D108" s="323">
        <v>26042085.102298681</v>
      </c>
      <c r="E108" s="323">
        <v>16424761.710999999</v>
      </c>
      <c r="F108" s="323">
        <v>241073</v>
      </c>
      <c r="G108" s="323">
        <v>19225527.886917721</v>
      </c>
      <c r="H108" s="323">
        <v>12125554.197000001</v>
      </c>
      <c r="I108" s="323">
        <v>572392</v>
      </c>
      <c r="J108" s="323">
        <v>45267612.989216402</v>
      </c>
      <c r="K108" s="323">
        <v>28550315.908</v>
      </c>
      <c r="L108" s="323">
        <v>28726</v>
      </c>
      <c r="M108" s="323">
        <v>3741106.1402930818</v>
      </c>
      <c r="N108" s="323">
        <v>2359518.3199999998</v>
      </c>
      <c r="O108" s="323">
        <v>22887</v>
      </c>
      <c r="P108" s="323">
        <v>2931494.5220869202</v>
      </c>
      <c r="Q108" s="323">
        <v>1848895.693</v>
      </c>
      <c r="R108" s="323">
        <v>51613</v>
      </c>
      <c r="S108" s="323">
        <v>6672600.6623800024</v>
      </c>
      <c r="T108" s="323">
        <v>4208414.0130000003</v>
      </c>
      <c r="U108" s="323">
        <v>360045</v>
      </c>
      <c r="V108" s="323">
        <v>29783191.242591757</v>
      </c>
      <c r="W108" s="323">
        <v>18784280.030999999</v>
      </c>
      <c r="X108" s="323">
        <v>263960</v>
      </c>
      <c r="Y108" s="323">
        <v>22157022.409004644</v>
      </c>
      <c r="Z108" s="323">
        <v>13974449.890000001</v>
      </c>
      <c r="AA108" s="323">
        <v>624005</v>
      </c>
      <c r="AB108" s="323">
        <v>51940213.651596397</v>
      </c>
      <c r="AC108" s="173">
        <v>32758729.921</v>
      </c>
    </row>
    <row r="109" spans="2:29" hidden="1" outlineLevel="1" x14ac:dyDescent="0.25">
      <c r="B109" s="205">
        <v>41548</v>
      </c>
      <c r="C109" s="323">
        <v>333585</v>
      </c>
      <c r="D109" s="323">
        <v>26177183.61803868</v>
      </c>
      <c r="E109" s="323">
        <v>16533519.283</v>
      </c>
      <c r="F109" s="323">
        <v>242881</v>
      </c>
      <c r="G109" s="323">
        <v>19277705.902136009</v>
      </c>
      <c r="H109" s="323">
        <v>12175806.493000001</v>
      </c>
      <c r="I109" s="323">
        <v>576466</v>
      </c>
      <c r="J109" s="323">
        <v>45454889.52017469</v>
      </c>
      <c r="K109" s="323">
        <v>28709325.776000001</v>
      </c>
      <c r="L109" s="323">
        <v>29640</v>
      </c>
      <c r="M109" s="323">
        <v>3983717.4120568242</v>
      </c>
      <c r="N109" s="323">
        <v>2516117.4559999998</v>
      </c>
      <c r="O109" s="323">
        <v>23639</v>
      </c>
      <c r="P109" s="323">
        <v>3054125.2999862595</v>
      </c>
      <c r="Q109" s="323">
        <v>1928986.719</v>
      </c>
      <c r="R109" s="323">
        <v>53279</v>
      </c>
      <c r="S109" s="323">
        <v>7037842.7120430842</v>
      </c>
      <c r="T109" s="323">
        <v>4445104.1749999998</v>
      </c>
      <c r="U109" s="323">
        <v>363225</v>
      </c>
      <c r="V109" s="323">
        <v>30160901.030095506</v>
      </c>
      <c r="W109" s="323">
        <v>19049636.739</v>
      </c>
      <c r="X109" s="323">
        <v>266520</v>
      </c>
      <c r="Y109" s="323">
        <v>22331831.202122267</v>
      </c>
      <c r="Z109" s="323">
        <v>14104793.211999999</v>
      </c>
      <c r="AA109" s="323">
        <v>629745</v>
      </c>
      <c r="AB109" s="323">
        <v>52492732.232217774</v>
      </c>
      <c r="AC109" s="173">
        <v>33154429.951000001</v>
      </c>
    </row>
    <row r="110" spans="2:29" hidden="1" outlineLevel="1" x14ac:dyDescent="0.25">
      <c r="B110" s="205">
        <v>41579</v>
      </c>
      <c r="C110" s="323">
        <v>336778</v>
      </c>
      <c r="D110" s="323">
        <v>26418308.792476777</v>
      </c>
      <c r="E110" s="323">
        <v>16747936.437999999</v>
      </c>
      <c r="F110" s="323">
        <v>245366</v>
      </c>
      <c r="G110" s="323">
        <v>19388477.408019252</v>
      </c>
      <c r="H110" s="323">
        <v>12291361.639</v>
      </c>
      <c r="I110" s="323">
        <v>582144</v>
      </c>
      <c r="J110" s="323">
        <v>45806786.200496033</v>
      </c>
      <c r="K110" s="323">
        <v>29039298.077</v>
      </c>
      <c r="L110" s="323">
        <v>30000</v>
      </c>
      <c r="M110" s="323">
        <v>3851538.3687224332</v>
      </c>
      <c r="N110" s="323">
        <v>2441689.977</v>
      </c>
      <c r="O110" s="323">
        <v>23904</v>
      </c>
      <c r="P110" s="323">
        <v>3004270.948672534</v>
      </c>
      <c r="Q110" s="323">
        <v>1904563.206</v>
      </c>
      <c r="R110" s="323">
        <v>53904</v>
      </c>
      <c r="S110" s="323">
        <v>6855809.3173949672</v>
      </c>
      <c r="T110" s="323">
        <v>4346253.1830000002</v>
      </c>
      <c r="U110" s="323">
        <v>366778</v>
      </c>
      <c r="V110" s="323">
        <v>30269847.161199208</v>
      </c>
      <c r="W110" s="323">
        <v>19189626.414999999</v>
      </c>
      <c r="X110" s="323">
        <v>269270</v>
      </c>
      <c r="Y110" s="323">
        <v>22392748.356691789</v>
      </c>
      <c r="Z110" s="323">
        <v>14195924.845000001</v>
      </c>
      <c r="AA110" s="323">
        <v>636048</v>
      </c>
      <c r="AB110" s="323">
        <v>52662595.517890997</v>
      </c>
      <c r="AC110" s="173">
        <v>33385551.260000002</v>
      </c>
    </row>
    <row r="111" spans="2:29" hidden="1" outlineLevel="1" x14ac:dyDescent="0.25">
      <c r="B111" s="205">
        <v>41609</v>
      </c>
      <c r="C111" s="323">
        <v>339536</v>
      </c>
      <c r="D111" s="323">
        <v>26502372.854869667</v>
      </c>
      <c r="E111" s="323">
        <v>16901835.811999999</v>
      </c>
      <c r="F111" s="323">
        <v>247347</v>
      </c>
      <c r="G111" s="323">
        <v>19419257.08698453</v>
      </c>
      <c r="H111" s="323">
        <v>12384592.755999999</v>
      </c>
      <c r="I111" s="323">
        <v>586883</v>
      </c>
      <c r="J111" s="323">
        <v>45921629.941854201</v>
      </c>
      <c r="K111" s="323">
        <v>29286428.568</v>
      </c>
      <c r="L111" s="323">
        <v>30254</v>
      </c>
      <c r="M111" s="323">
        <v>3831665.5835577925</v>
      </c>
      <c r="N111" s="323">
        <v>2443637.139</v>
      </c>
      <c r="O111" s="323">
        <v>24221</v>
      </c>
      <c r="P111" s="323">
        <v>3012331.5258115768</v>
      </c>
      <c r="Q111" s="323">
        <v>1921108.466</v>
      </c>
      <c r="R111" s="323">
        <v>54475</v>
      </c>
      <c r="S111" s="323">
        <v>6843997.1093693692</v>
      </c>
      <c r="T111" s="323">
        <v>4364745.6050000004</v>
      </c>
      <c r="U111" s="323">
        <v>369790</v>
      </c>
      <c r="V111" s="323">
        <v>30334038.438427459</v>
      </c>
      <c r="W111" s="323">
        <v>19345472.951000001</v>
      </c>
      <c r="X111" s="323">
        <v>271568</v>
      </c>
      <c r="Y111" s="323">
        <v>22431588.612796109</v>
      </c>
      <c r="Z111" s="323">
        <v>14305701.221999999</v>
      </c>
      <c r="AA111" s="323">
        <v>641358</v>
      </c>
      <c r="AB111" s="323">
        <v>52765627.051223569</v>
      </c>
      <c r="AC111" s="173">
        <v>33651174.173</v>
      </c>
    </row>
    <row r="112" spans="2:29" collapsed="1" x14ac:dyDescent="0.25">
      <c r="B112" s="325" t="s">
        <v>695</v>
      </c>
      <c r="C112" s="324">
        <v>327092.08333333331</v>
      </c>
      <c r="D112" s="324">
        <v>25178360.604801279</v>
      </c>
      <c r="E112" s="324"/>
      <c r="F112" s="324">
        <v>237763.33333333334</v>
      </c>
      <c r="G112" s="324">
        <v>18500590.496271864</v>
      </c>
      <c r="H112" s="324"/>
      <c r="I112" s="324">
        <v>564855.41666666663</v>
      </c>
      <c r="J112" s="324">
        <v>43678951.101073138</v>
      </c>
      <c r="K112" s="324"/>
      <c r="L112" s="324">
        <v>26607.083333333332</v>
      </c>
      <c r="M112" s="324">
        <v>3414870.8829262704</v>
      </c>
      <c r="N112" s="324"/>
      <c r="O112" s="324">
        <v>21058.833333333332</v>
      </c>
      <c r="P112" s="324">
        <v>2644301.9352601026</v>
      </c>
      <c r="Q112" s="324"/>
      <c r="R112" s="324">
        <v>47665.916666666664</v>
      </c>
      <c r="S112" s="324">
        <v>6059172.8181863734</v>
      </c>
      <c r="T112" s="324"/>
      <c r="U112" s="324">
        <v>353699.16666666669</v>
      </c>
      <c r="V112" s="324">
        <v>28593231.487727549</v>
      </c>
      <c r="W112" s="324"/>
      <c r="X112" s="324">
        <v>258822.16666666666</v>
      </c>
      <c r="Y112" s="324">
        <v>21144892.431531969</v>
      </c>
      <c r="Z112" s="324"/>
      <c r="AA112" s="324">
        <v>612521.33333333337</v>
      </c>
      <c r="AB112" s="324">
        <v>49738123.919259518</v>
      </c>
      <c r="AC112" s="327"/>
    </row>
    <row r="113" spans="2:29" hidden="1" outlineLevel="1" x14ac:dyDescent="0.25">
      <c r="B113" s="205">
        <v>41640</v>
      </c>
      <c r="C113" s="323">
        <v>343977</v>
      </c>
      <c r="D113" s="323">
        <v>26636305.494724374</v>
      </c>
      <c r="E113" s="323">
        <v>17017659.096000001</v>
      </c>
      <c r="F113" s="323">
        <v>250199</v>
      </c>
      <c r="G113" s="323">
        <v>19448104.235598113</v>
      </c>
      <c r="H113" s="323">
        <v>12425191.925000001</v>
      </c>
      <c r="I113" s="323">
        <v>594176</v>
      </c>
      <c r="J113" s="323">
        <v>46084409.730322488</v>
      </c>
      <c r="K113" s="323">
        <v>29442851.021000002</v>
      </c>
      <c r="L113" s="323">
        <v>30730</v>
      </c>
      <c r="M113" s="323">
        <v>3900049.8630111217</v>
      </c>
      <c r="N113" s="323">
        <v>2491701.375</v>
      </c>
      <c r="O113" s="323">
        <v>24692</v>
      </c>
      <c r="P113" s="323">
        <v>3078998.9919833113</v>
      </c>
      <c r="Q113" s="323">
        <v>1967140.496</v>
      </c>
      <c r="R113" s="323">
        <v>55422</v>
      </c>
      <c r="S113" s="323">
        <v>6979048.854994433</v>
      </c>
      <c r="T113" s="323">
        <v>4458841.8710000003</v>
      </c>
      <c r="U113" s="323">
        <v>374707</v>
      </c>
      <c r="V113" s="323">
        <v>30536355.357735492</v>
      </c>
      <c r="W113" s="323">
        <v>19509360.471000001</v>
      </c>
      <c r="X113" s="323">
        <v>274891</v>
      </c>
      <c r="Y113" s="323">
        <v>22527103.22758143</v>
      </c>
      <c r="Z113" s="323">
        <v>14392332.421</v>
      </c>
      <c r="AA113" s="323">
        <v>649598</v>
      </c>
      <c r="AB113" s="323">
        <v>53063458.585316919</v>
      </c>
      <c r="AC113" s="173">
        <v>33901692.891999997</v>
      </c>
    </row>
    <row r="114" spans="2:29" hidden="1" outlineLevel="1" x14ac:dyDescent="0.25">
      <c r="B114" s="205">
        <v>41671</v>
      </c>
      <c r="C114" s="323">
        <v>345030</v>
      </c>
      <c r="D114" s="323">
        <v>26307539.21823613</v>
      </c>
      <c r="E114" s="323">
        <v>16889411.190000001</v>
      </c>
      <c r="F114" s="323">
        <v>250279</v>
      </c>
      <c r="G114" s="323">
        <v>19326631.231916137</v>
      </c>
      <c r="H114" s="323">
        <v>12407675.955</v>
      </c>
      <c r="I114" s="323">
        <v>595309</v>
      </c>
      <c r="J114" s="323">
        <v>45634170.45015227</v>
      </c>
      <c r="K114" s="323">
        <v>29297087.145</v>
      </c>
      <c r="L114" s="323">
        <v>31813</v>
      </c>
      <c r="M114" s="323">
        <v>4121841.8393004788</v>
      </c>
      <c r="N114" s="323">
        <v>2646217.9190000002</v>
      </c>
      <c r="O114" s="323">
        <v>25927</v>
      </c>
      <c r="P114" s="323">
        <v>3251910.1234560236</v>
      </c>
      <c r="Q114" s="323">
        <v>2087722.716</v>
      </c>
      <c r="R114" s="323">
        <v>57740</v>
      </c>
      <c r="S114" s="323">
        <v>7373751.9627565034</v>
      </c>
      <c r="T114" s="323">
        <v>4733940.6349999998</v>
      </c>
      <c r="U114" s="323">
        <v>376843</v>
      </c>
      <c r="V114" s="323">
        <v>30429381.057536606</v>
      </c>
      <c r="W114" s="323">
        <v>19535629.109000001</v>
      </c>
      <c r="X114" s="323">
        <v>276206</v>
      </c>
      <c r="Y114" s="323">
        <v>22578541.355372161</v>
      </c>
      <c r="Z114" s="323">
        <v>14495398.671</v>
      </c>
      <c r="AA114" s="323">
        <v>653049</v>
      </c>
      <c r="AB114" s="323">
        <v>53007922.41290877</v>
      </c>
      <c r="AC114" s="173">
        <v>34031027.780000001</v>
      </c>
    </row>
    <row r="115" spans="2:29" hidden="1" outlineLevel="1" x14ac:dyDescent="0.25">
      <c r="B115" s="205">
        <v>41699</v>
      </c>
      <c r="C115" s="323">
        <v>347209</v>
      </c>
      <c r="D115" s="323">
        <v>26276239.786956538</v>
      </c>
      <c r="E115" s="323">
        <v>17010565.614999998</v>
      </c>
      <c r="F115" s="323">
        <v>251731</v>
      </c>
      <c r="G115" s="323">
        <v>19295595.9189355</v>
      </c>
      <c r="H115" s="323">
        <v>12491475.307</v>
      </c>
      <c r="I115" s="323">
        <v>598940</v>
      </c>
      <c r="J115" s="323">
        <v>45571835.705892041</v>
      </c>
      <c r="K115" s="323">
        <v>29502040.921999998</v>
      </c>
      <c r="L115" s="323">
        <v>32148</v>
      </c>
      <c r="M115" s="323">
        <v>4120744.1154208672</v>
      </c>
      <c r="N115" s="323">
        <v>2667664.3509999998</v>
      </c>
      <c r="O115" s="323">
        <v>26144</v>
      </c>
      <c r="P115" s="323">
        <v>3234697.5848092181</v>
      </c>
      <c r="Q115" s="323">
        <v>2094060.4879999999</v>
      </c>
      <c r="R115" s="323">
        <v>58292</v>
      </c>
      <c r="S115" s="323">
        <v>7355441.7002300853</v>
      </c>
      <c r="T115" s="323">
        <v>4761724.8389999997</v>
      </c>
      <c r="U115" s="323">
        <v>379357</v>
      </c>
      <c r="V115" s="323">
        <v>30396983.902377408</v>
      </c>
      <c r="W115" s="323">
        <v>19678229.965999998</v>
      </c>
      <c r="X115" s="323">
        <v>277875</v>
      </c>
      <c r="Y115" s="323">
        <v>22530293.503744721</v>
      </c>
      <c r="Z115" s="323">
        <v>14585535.795</v>
      </c>
      <c r="AA115" s="323">
        <v>657232</v>
      </c>
      <c r="AB115" s="323">
        <v>52927277.406122126</v>
      </c>
      <c r="AC115" s="173">
        <v>34263765.761</v>
      </c>
    </row>
    <row r="116" spans="2:29" hidden="1" outlineLevel="1" x14ac:dyDescent="0.25">
      <c r="B116" s="205">
        <v>41730</v>
      </c>
      <c r="C116" s="323">
        <v>348949</v>
      </c>
      <c r="D116" s="323">
        <v>26173251.03634239</v>
      </c>
      <c r="E116" s="323">
        <v>17049109.342</v>
      </c>
      <c r="F116" s="323">
        <v>253310</v>
      </c>
      <c r="G116" s="323">
        <v>19283131.376521364</v>
      </c>
      <c r="H116" s="323">
        <v>12560923.931</v>
      </c>
      <c r="I116" s="323">
        <v>602259</v>
      </c>
      <c r="J116" s="323">
        <v>45456382.412863746</v>
      </c>
      <c r="K116" s="323">
        <v>29610033.272999998</v>
      </c>
      <c r="L116" s="323">
        <v>32204</v>
      </c>
      <c r="M116" s="323">
        <v>4010978.2265897319</v>
      </c>
      <c r="N116" s="323">
        <v>2612728.784</v>
      </c>
      <c r="O116" s="323">
        <v>26100</v>
      </c>
      <c r="P116" s="323">
        <v>3166989.0750623574</v>
      </c>
      <c r="Q116" s="323">
        <v>2062958.9709999999</v>
      </c>
      <c r="R116" s="323">
        <v>58304</v>
      </c>
      <c r="S116" s="323">
        <v>7177967.3016520888</v>
      </c>
      <c r="T116" s="323">
        <v>4675687.7549999999</v>
      </c>
      <c r="U116" s="323">
        <v>381153</v>
      </c>
      <c r="V116" s="323">
        <v>30184229.262932122</v>
      </c>
      <c r="W116" s="323">
        <v>19661838.125999998</v>
      </c>
      <c r="X116" s="323">
        <v>279410</v>
      </c>
      <c r="Y116" s="323">
        <v>22450120.451583717</v>
      </c>
      <c r="Z116" s="323">
        <v>14623882.902000001</v>
      </c>
      <c r="AA116" s="323">
        <v>660563</v>
      </c>
      <c r="AB116" s="323">
        <v>52634349.714515835</v>
      </c>
      <c r="AC116" s="173">
        <v>34285721.027999997</v>
      </c>
    </row>
    <row r="117" spans="2:29" hidden="1" outlineLevel="1" x14ac:dyDescent="0.25">
      <c r="B117" s="205">
        <v>41760</v>
      </c>
      <c r="C117" s="323">
        <v>350968</v>
      </c>
      <c r="D117" s="323">
        <v>26314135.90364705</v>
      </c>
      <c r="E117" s="323">
        <v>17198754.386999998</v>
      </c>
      <c r="F117" s="323">
        <v>254716</v>
      </c>
      <c r="G117" s="323">
        <v>19335591.537535142</v>
      </c>
      <c r="H117" s="323">
        <v>12637621.505000001</v>
      </c>
      <c r="I117" s="323">
        <v>605684</v>
      </c>
      <c r="J117" s="323">
        <v>45649727.441182189</v>
      </c>
      <c r="K117" s="323">
        <v>29836375.892000001</v>
      </c>
      <c r="L117" s="323">
        <v>32394</v>
      </c>
      <c r="M117" s="323">
        <v>4026803.5175987557</v>
      </c>
      <c r="N117" s="323">
        <v>2631893.554</v>
      </c>
      <c r="O117" s="323">
        <v>26240</v>
      </c>
      <c r="P117" s="323">
        <v>3173244.9895294337</v>
      </c>
      <c r="Q117" s="323">
        <v>2074013.047</v>
      </c>
      <c r="R117" s="323">
        <v>58634</v>
      </c>
      <c r="S117" s="323">
        <v>7200048.5071281902</v>
      </c>
      <c r="T117" s="323">
        <v>4705906.6009999998</v>
      </c>
      <c r="U117" s="323">
        <v>383362</v>
      </c>
      <c r="V117" s="323">
        <v>30340939.421245806</v>
      </c>
      <c r="W117" s="323">
        <v>19830647.941</v>
      </c>
      <c r="X117" s="323">
        <v>280956</v>
      </c>
      <c r="Y117" s="323">
        <v>22508836.527064577</v>
      </c>
      <c r="Z117" s="323">
        <v>14711634.551999999</v>
      </c>
      <c r="AA117" s="323">
        <v>664318</v>
      </c>
      <c r="AB117" s="323">
        <v>52849775.948310383</v>
      </c>
      <c r="AC117" s="173">
        <v>34542282.493000001</v>
      </c>
    </row>
    <row r="118" spans="2:29" hidden="1" outlineLevel="1" x14ac:dyDescent="0.25">
      <c r="B118" s="205">
        <v>41791</v>
      </c>
      <c r="C118" s="323">
        <v>353222</v>
      </c>
      <c r="D118" s="323">
        <v>26851361.275756061</v>
      </c>
      <c r="E118" s="323">
        <v>17558967.081</v>
      </c>
      <c r="F118" s="323">
        <v>256647</v>
      </c>
      <c r="G118" s="323">
        <v>19787915.357908424</v>
      </c>
      <c r="H118" s="323">
        <v>12939953.055</v>
      </c>
      <c r="I118" s="323">
        <v>609869</v>
      </c>
      <c r="J118" s="323">
        <v>46639276.633664481</v>
      </c>
      <c r="K118" s="323">
        <v>30498920.136</v>
      </c>
      <c r="L118" s="323">
        <v>32788</v>
      </c>
      <c r="M118" s="323">
        <v>4113361.8610282936</v>
      </c>
      <c r="N118" s="323">
        <v>2689859.3620000002</v>
      </c>
      <c r="O118" s="323">
        <v>26540</v>
      </c>
      <c r="P118" s="323">
        <v>3209437.7310982849</v>
      </c>
      <c r="Q118" s="323">
        <v>2098754.3569999998</v>
      </c>
      <c r="R118" s="323">
        <v>59328</v>
      </c>
      <c r="S118" s="323">
        <v>7322799.5921265781</v>
      </c>
      <c r="T118" s="323">
        <v>4788613.7189999996</v>
      </c>
      <c r="U118" s="323">
        <v>386010</v>
      </c>
      <c r="V118" s="323">
        <v>30964723.136784356</v>
      </c>
      <c r="W118" s="323">
        <v>20248826.443</v>
      </c>
      <c r="X118" s="323">
        <v>283187</v>
      </c>
      <c r="Y118" s="323">
        <v>22997353.089006711</v>
      </c>
      <c r="Z118" s="323">
        <v>15038707.412</v>
      </c>
      <c r="AA118" s="323">
        <v>669197</v>
      </c>
      <c r="AB118" s="323">
        <v>53962076.225791059</v>
      </c>
      <c r="AC118" s="173">
        <v>35287533.854999997</v>
      </c>
    </row>
    <row r="119" spans="2:29" hidden="1" outlineLevel="1" x14ac:dyDescent="0.25">
      <c r="B119" s="205">
        <v>41821</v>
      </c>
      <c r="C119" s="323">
        <v>355536</v>
      </c>
      <c r="D119" s="323">
        <v>27510134.36914606</v>
      </c>
      <c r="E119" s="323">
        <v>18031541.399</v>
      </c>
      <c r="F119" s="323">
        <v>259553</v>
      </c>
      <c r="G119" s="323">
        <v>20664562.781692035</v>
      </c>
      <c r="H119" s="323">
        <v>13544605.573000001</v>
      </c>
      <c r="I119" s="323">
        <v>615089</v>
      </c>
      <c r="J119" s="323">
        <v>48174697.150838099</v>
      </c>
      <c r="K119" s="323">
        <v>31576146.971999999</v>
      </c>
      <c r="L119" s="323">
        <v>33848</v>
      </c>
      <c r="M119" s="323">
        <v>4396462.3849102678</v>
      </c>
      <c r="N119" s="323">
        <v>2881665.0780000002</v>
      </c>
      <c r="O119" s="323">
        <v>27793</v>
      </c>
      <c r="P119" s="323">
        <v>3500091.2404356026</v>
      </c>
      <c r="Q119" s="323">
        <v>2294137.835</v>
      </c>
      <c r="R119" s="323">
        <v>61641</v>
      </c>
      <c r="S119" s="323">
        <v>7896553.6253458699</v>
      </c>
      <c r="T119" s="323">
        <v>5175802.9129999997</v>
      </c>
      <c r="U119" s="323">
        <v>389384</v>
      </c>
      <c r="V119" s="323">
        <v>31906596.754056327</v>
      </c>
      <c r="W119" s="323">
        <v>20913206.477000002</v>
      </c>
      <c r="X119" s="323">
        <v>287346</v>
      </c>
      <c r="Y119" s="323">
        <v>24164654.02212764</v>
      </c>
      <c r="Z119" s="323">
        <v>15838743.408</v>
      </c>
      <c r="AA119" s="323">
        <v>676730</v>
      </c>
      <c r="AB119" s="323">
        <v>56071250.77618397</v>
      </c>
      <c r="AC119" s="173">
        <v>36751949.884999998</v>
      </c>
    </row>
    <row r="120" spans="2:29" hidden="1" outlineLevel="1" x14ac:dyDescent="0.25">
      <c r="B120" s="205">
        <v>41852</v>
      </c>
      <c r="C120" s="323">
        <v>357619</v>
      </c>
      <c r="D120" s="323">
        <v>28916538.500005003</v>
      </c>
      <c r="E120" s="323">
        <v>19014907</v>
      </c>
      <c r="F120" s="323">
        <v>261086</v>
      </c>
      <c r="G120" s="323">
        <v>21204155.973882675</v>
      </c>
      <c r="H120" s="323">
        <v>13943406.603</v>
      </c>
      <c r="I120" s="323">
        <v>618705</v>
      </c>
      <c r="J120" s="323">
        <v>50120694.473887682</v>
      </c>
      <c r="K120" s="323">
        <v>32958313.603</v>
      </c>
      <c r="L120" s="323">
        <v>34057</v>
      </c>
      <c r="M120" s="323">
        <v>4365146.7381879985</v>
      </c>
      <c r="N120" s="323">
        <v>2870428.605</v>
      </c>
      <c r="O120" s="323">
        <v>28023</v>
      </c>
      <c r="P120" s="323">
        <v>3499806.8915700205</v>
      </c>
      <c r="Q120" s="323">
        <v>2301399.338</v>
      </c>
      <c r="R120" s="323">
        <v>62080</v>
      </c>
      <c r="S120" s="323">
        <v>7864953.629758019</v>
      </c>
      <c r="T120" s="323">
        <v>5171827.943</v>
      </c>
      <c r="U120" s="323">
        <v>391676</v>
      </c>
      <c r="V120" s="323">
        <v>33281685.238193002</v>
      </c>
      <c r="W120" s="323">
        <v>21885335.605</v>
      </c>
      <c r="X120" s="323">
        <v>289109</v>
      </c>
      <c r="Y120" s="323">
        <v>24703962.865452696</v>
      </c>
      <c r="Z120" s="323">
        <v>16244805.941</v>
      </c>
      <c r="AA120" s="323">
        <v>680785</v>
      </c>
      <c r="AB120" s="323">
        <v>57985648.103645697</v>
      </c>
      <c r="AC120" s="173">
        <v>38130141.545999996</v>
      </c>
    </row>
    <row r="121" spans="2:29" hidden="1" outlineLevel="1" x14ac:dyDescent="0.25">
      <c r="B121" s="205">
        <v>41883</v>
      </c>
      <c r="C121" s="323">
        <v>360197</v>
      </c>
      <c r="D121" s="323">
        <v>29076808.263816386</v>
      </c>
      <c r="E121" s="323">
        <v>19280307.316</v>
      </c>
      <c r="F121" s="323">
        <v>262411</v>
      </c>
      <c r="G121" s="323">
        <v>21245317.559875298</v>
      </c>
      <c r="H121" s="323">
        <v>14087387.028999999</v>
      </c>
      <c r="I121" s="323">
        <v>622608</v>
      </c>
      <c r="J121" s="323">
        <v>50322125.823691681</v>
      </c>
      <c r="K121" s="323">
        <v>33367694.344999999</v>
      </c>
      <c r="L121" s="323">
        <v>34152</v>
      </c>
      <c r="M121" s="323">
        <v>4296909.1639714604</v>
      </c>
      <c r="N121" s="323">
        <v>2849202.9950000001</v>
      </c>
      <c r="O121" s="323">
        <v>28113</v>
      </c>
      <c r="P121" s="323">
        <v>3435036.8653316745</v>
      </c>
      <c r="Q121" s="323">
        <v>2277711.0129999998</v>
      </c>
      <c r="R121" s="323">
        <v>62265</v>
      </c>
      <c r="S121" s="323">
        <v>7731946.0293031354</v>
      </c>
      <c r="T121" s="323">
        <v>5126914.0080000004</v>
      </c>
      <c r="U121" s="323">
        <v>394349</v>
      </c>
      <c r="V121" s="323">
        <v>33373717.427787844</v>
      </c>
      <c r="W121" s="323">
        <v>22129510.311000001</v>
      </c>
      <c r="X121" s="323">
        <v>290524</v>
      </c>
      <c r="Y121" s="323">
        <v>24680354.425206974</v>
      </c>
      <c r="Z121" s="323">
        <v>16365098.041999999</v>
      </c>
      <c r="AA121" s="323">
        <v>684873</v>
      </c>
      <c r="AB121" s="323">
        <v>58054071.852994822</v>
      </c>
      <c r="AC121" s="173">
        <v>38494608.353</v>
      </c>
    </row>
    <row r="122" spans="2:29" hidden="1" outlineLevel="1" x14ac:dyDescent="0.25">
      <c r="B122" s="205">
        <v>41913</v>
      </c>
      <c r="C122" s="323">
        <v>362823</v>
      </c>
      <c r="D122" s="323">
        <v>29002279.719190769</v>
      </c>
      <c r="E122" s="323">
        <v>19431069.140000001</v>
      </c>
      <c r="F122" s="323">
        <v>264197</v>
      </c>
      <c r="G122" s="323">
        <v>21121203.262852419</v>
      </c>
      <c r="H122" s="323">
        <v>14150872.445</v>
      </c>
      <c r="I122" s="323">
        <v>627020</v>
      </c>
      <c r="J122" s="323">
        <v>50123482.982043192</v>
      </c>
      <c r="K122" s="323">
        <v>33581941.585000001</v>
      </c>
      <c r="L122" s="323">
        <v>34073</v>
      </c>
      <c r="M122" s="323">
        <v>4273032.5435737232</v>
      </c>
      <c r="N122" s="323">
        <v>2862864.2850000001</v>
      </c>
      <c r="O122" s="323">
        <v>27992</v>
      </c>
      <c r="P122" s="323">
        <v>3423629.2217496987</v>
      </c>
      <c r="Q122" s="323">
        <v>2293777.4810000001</v>
      </c>
      <c r="R122" s="323">
        <v>62065</v>
      </c>
      <c r="S122" s="323">
        <v>7696661.7653234228</v>
      </c>
      <c r="T122" s="323">
        <v>5156641.7659999998</v>
      </c>
      <c r="U122" s="323">
        <v>396896</v>
      </c>
      <c r="V122" s="323">
        <v>33275312.262764491</v>
      </c>
      <c r="W122" s="323">
        <v>22293933.425000001</v>
      </c>
      <c r="X122" s="323">
        <v>292189</v>
      </c>
      <c r="Y122" s="323">
        <v>24544832.48460212</v>
      </c>
      <c r="Z122" s="323">
        <v>16444649.926000001</v>
      </c>
      <c r="AA122" s="323">
        <v>689085</v>
      </c>
      <c r="AB122" s="323">
        <v>57820144.747366615</v>
      </c>
      <c r="AC122" s="173">
        <v>38738583.351000004</v>
      </c>
    </row>
    <row r="123" spans="2:29" hidden="1" outlineLevel="1" x14ac:dyDescent="0.25">
      <c r="B123" s="205">
        <v>41944</v>
      </c>
      <c r="C123" s="323">
        <v>364650</v>
      </c>
      <c r="D123" s="323">
        <v>29075289.004553411</v>
      </c>
      <c r="E123" s="323">
        <v>19484811.820999999</v>
      </c>
      <c r="F123" s="323">
        <v>265553</v>
      </c>
      <c r="G123" s="323">
        <v>21208253.535633653</v>
      </c>
      <c r="H123" s="323">
        <v>14212716.136</v>
      </c>
      <c r="I123" s="323">
        <v>630203</v>
      </c>
      <c r="J123" s="323">
        <v>50283542.540187061</v>
      </c>
      <c r="K123" s="323">
        <v>33697527.957000002</v>
      </c>
      <c r="L123" s="323">
        <v>34283</v>
      </c>
      <c r="M123" s="323">
        <v>4291961.7283455469</v>
      </c>
      <c r="N123" s="323">
        <v>2876259.17</v>
      </c>
      <c r="O123" s="323">
        <v>28146</v>
      </c>
      <c r="P123" s="323">
        <v>3460252.7993332818</v>
      </c>
      <c r="Q123" s="323">
        <v>2318889.2340000002</v>
      </c>
      <c r="R123" s="323">
        <v>62429</v>
      </c>
      <c r="S123" s="323">
        <v>7752214.5276788296</v>
      </c>
      <c r="T123" s="323">
        <v>5195148.4040000001</v>
      </c>
      <c r="U123" s="323">
        <v>398933</v>
      </c>
      <c r="V123" s="323">
        <v>33367250.732898958</v>
      </c>
      <c r="W123" s="323">
        <v>22361070.991</v>
      </c>
      <c r="X123" s="323">
        <v>293699</v>
      </c>
      <c r="Y123" s="323">
        <v>24668506.334966935</v>
      </c>
      <c r="Z123" s="323">
        <v>16531605.369999999</v>
      </c>
      <c r="AA123" s="323">
        <v>692632</v>
      </c>
      <c r="AB123" s="323">
        <v>58035757.067865893</v>
      </c>
      <c r="AC123" s="173">
        <v>38892676.361000001</v>
      </c>
    </row>
    <row r="124" spans="2:29" hidden="1" outlineLevel="1" x14ac:dyDescent="0.25">
      <c r="B124" s="205">
        <v>41974</v>
      </c>
      <c r="C124" s="323">
        <v>367802</v>
      </c>
      <c r="D124" s="323">
        <v>29729618.717646949</v>
      </c>
      <c r="E124" s="323">
        <v>19840959.570999999</v>
      </c>
      <c r="F124" s="323">
        <v>267943</v>
      </c>
      <c r="G124" s="323">
        <v>21641144.246043246</v>
      </c>
      <c r="H124" s="323">
        <v>14442871.674000001</v>
      </c>
      <c r="I124" s="323">
        <v>635745</v>
      </c>
      <c r="J124" s="323">
        <v>51370762.963690199</v>
      </c>
      <c r="K124" s="323">
        <v>34283831.244999997</v>
      </c>
      <c r="L124" s="323">
        <v>34413</v>
      </c>
      <c r="M124" s="323">
        <v>4313169.36519509</v>
      </c>
      <c r="N124" s="323">
        <v>2878523.9330000002</v>
      </c>
      <c r="O124" s="323">
        <v>28268</v>
      </c>
      <c r="P124" s="323">
        <v>3439265.319411641</v>
      </c>
      <c r="Q124" s="323">
        <v>2295297.656</v>
      </c>
      <c r="R124" s="323">
        <v>62681</v>
      </c>
      <c r="S124" s="323">
        <v>7752434.6846067319</v>
      </c>
      <c r="T124" s="323">
        <v>5173821.5889999997</v>
      </c>
      <c r="U124" s="323">
        <v>402215</v>
      </c>
      <c r="V124" s="323">
        <v>34042788.082842045</v>
      </c>
      <c r="W124" s="323">
        <v>22719483.504000001</v>
      </c>
      <c r="X124" s="323">
        <v>296211</v>
      </c>
      <c r="Y124" s="323">
        <v>25080409.565454889</v>
      </c>
      <c r="Z124" s="323">
        <v>16738169.33</v>
      </c>
      <c r="AA124" s="323">
        <v>698426</v>
      </c>
      <c r="AB124" s="323">
        <v>59123197.64829693</v>
      </c>
      <c r="AC124" s="173">
        <v>39457652.833999999</v>
      </c>
    </row>
    <row r="125" spans="2:29" collapsed="1" x14ac:dyDescent="0.25">
      <c r="B125" s="325" t="s">
        <v>696</v>
      </c>
      <c r="C125" s="324">
        <v>354831.83333333331</v>
      </c>
      <c r="D125" s="324">
        <v>27655791.774168428</v>
      </c>
      <c r="E125" s="324"/>
      <c r="F125" s="324">
        <v>258135.41666666666</v>
      </c>
      <c r="G125" s="324">
        <v>20296800.58486617</v>
      </c>
      <c r="H125" s="324"/>
      <c r="I125" s="324">
        <v>612967.25</v>
      </c>
      <c r="J125" s="324">
        <v>47952592.35903459</v>
      </c>
      <c r="K125" s="324"/>
      <c r="L125" s="324">
        <v>33075.25</v>
      </c>
      <c r="M125" s="324">
        <v>4185871.7789277774</v>
      </c>
      <c r="N125" s="324"/>
      <c r="O125" s="324">
        <v>26998.166666666668</v>
      </c>
      <c r="P125" s="324">
        <v>3322780.0694808792</v>
      </c>
      <c r="Q125" s="324"/>
      <c r="R125" s="324">
        <v>60073.416666666664</v>
      </c>
      <c r="S125" s="324">
        <v>7508651.8484086581</v>
      </c>
      <c r="T125" s="324"/>
      <c r="U125" s="324">
        <v>387907.08333333331</v>
      </c>
      <c r="V125" s="324">
        <v>31841663.553096209</v>
      </c>
      <c r="W125" s="324"/>
      <c r="X125" s="324">
        <v>285133.58333333331</v>
      </c>
      <c r="Y125" s="324">
        <v>23619580.654347047</v>
      </c>
      <c r="Z125" s="324"/>
      <c r="AA125" s="324">
        <v>673040.66666666663</v>
      </c>
      <c r="AB125" s="324">
        <v>55461244.207443245</v>
      </c>
      <c r="AC125" s="327"/>
    </row>
    <row r="126" spans="2:29" hidden="1" outlineLevel="1" x14ac:dyDescent="0.25">
      <c r="B126" s="205">
        <v>42005</v>
      </c>
      <c r="C126" s="323">
        <v>373408</v>
      </c>
      <c r="D126" s="323">
        <v>29779724.118041102</v>
      </c>
      <c r="E126" s="323">
        <v>19889787.521000002</v>
      </c>
      <c r="F126" s="323">
        <v>270420</v>
      </c>
      <c r="G126" s="323">
        <v>22131603.963946529</v>
      </c>
      <c r="H126" s="323">
        <v>14781631.24</v>
      </c>
      <c r="I126" s="323">
        <v>643828</v>
      </c>
      <c r="J126" s="323">
        <v>51911328.081987634</v>
      </c>
      <c r="K126" s="323">
        <v>34671418.761</v>
      </c>
      <c r="L126" s="323">
        <v>34985</v>
      </c>
      <c r="M126" s="323">
        <v>4399719.7707986087</v>
      </c>
      <c r="N126" s="323">
        <v>2938559.5060000001</v>
      </c>
      <c r="O126" s="323">
        <v>28687</v>
      </c>
      <c r="P126" s="323">
        <v>3499378.8401566595</v>
      </c>
      <c r="Q126" s="323">
        <v>2337224.5260000001</v>
      </c>
      <c r="R126" s="323">
        <v>63672</v>
      </c>
      <c r="S126" s="323">
        <v>7899098.6109552681</v>
      </c>
      <c r="T126" s="323">
        <v>5275784.0319999997</v>
      </c>
      <c r="U126" s="323">
        <v>408393</v>
      </c>
      <c r="V126" s="323">
        <v>34179443.888839707</v>
      </c>
      <c r="W126" s="323">
        <v>22828347.026999999</v>
      </c>
      <c r="X126" s="323">
        <v>299107</v>
      </c>
      <c r="Y126" s="323">
        <v>25630982.804103188</v>
      </c>
      <c r="Z126" s="323">
        <v>17118855.765999999</v>
      </c>
      <c r="AA126" s="323">
        <v>707500</v>
      </c>
      <c r="AB126" s="323">
        <v>59810426.692942902</v>
      </c>
      <c r="AC126" s="173">
        <v>39947202.792999998</v>
      </c>
    </row>
    <row r="127" spans="2:29" hidden="1" outlineLevel="1" x14ac:dyDescent="0.25">
      <c r="B127" s="205">
        <v>42036</v>
      </c>
      <c r="C127" s="323">
        <v>375153</v>
      </c>
      <c r="D127" s="323">
        <v>29307926.68952053</v>
      </c>
      <c r="E127" s="323">
        <v>19643531.188999999</v>
      </c>
      <c r="F127" s="323">
        <v>271647</v>
      </c>
      <c r="G127" s="323">
        <v>21343288.541669104</v>
      </c>
      <c r="H127" s="323">
        <v>14305261.460000001</v>
      </c>
      <c r="I127" s="323">
        <v>646800</v>
      </c>
      <c r="J127" s="323">
        <v>50651215.231189638</v>
      </c>
      <c r="K127" s="323">
        <v>33948792.648999996</v>
      </c>
      <c r="L127" s="323">
        <v>35009</v>
      </c>
      <c r="M127" s="323">
        <v>4370624.7148811184</v>
      </c>
      <c r="N127" s="323">
        <v>2929395.307</v>
      </c>
      <c r="O127" s="323">
        <v>28687</v>
      </c>
      <c r="P127" s="323">
        <v>3471986.235427334</v>
      </c>
      <c r="Q127" s="323">
        <v>2327086.1370000001</v>
      </c>
      <c r="R127" s="323">
        <v>63696</v>
      </c>
      <c r="S127" s="323">
        <v>7842610.9503084524</v>
      </c>
      <c r="T127" s="323">
        <v>5256481.4440000001</v>
      </c>
      <c r="U127" s="323">
        <v>410162</v>
      </c>
      <c r="V127" s="323">
        <v>33678551.404401645</v>
      </c>
      <c r="W127" s="323">
        <v>22572926.495999999</v>
      </c>
      <c r="X127" s="323">
        <v>300334</v>
      </c>
      <c r="Y127" s="323">
        <v>24815274.777096439</v>
      </c>
      <c r="Z127" s="323">
        <v>16632347.596999999</v>
      </c>
      <c r="AA127" s="323">
        <v>710496</v>
      </c>
      <c r="AB127" s="323">
        <v>58493826.181498088</v>
      </c>
      <c r="AC127" s="173">
        <v>39205274.093000002</v>
      </c>
    </row>
    <row r="128" spans="2:29" hidden="1" outlineLevel="1" x14ac:dyDescent="0.25">
      <c r="B128" s="205">
        <v>42064</v>
      </c>
      <c r="C128" s="323">
        <v>377612</v>
      </c>
      <c r="D128" s="323">
        <v>29404553.310442433</v>
      </c>
      <c r="E128" s="323">
        <v>19832220.368999999</v>
      </c>
      <c r="F128" s="323">
        <v>273086</v>
      </c>
      <c r="G128" s="323">
        <v>21368164.659394614</v>
      </c>
      <c r="H128" s="323">
        <v>14411990.753</v>
      </c>
      <c r="I128" s="323">
        <v>650698</v>
      </c>
      <c r="J128" s="323">
        <v>50772717.969837055</v>
      </c>
      <c r="K128" s="323">
        <v>34244211.122000001</v>
      </c>
      <c r="L128" s="323">
        <v>35086</v>
      </c>
      <c r="M128" s="323">
        <v>4355219.4115547035</v>
      </c>
      <c r="N128" s="323">
        <v>2937425.0380000002</v>
      </c>
      <c r="O128" s="323">
        <v>28777</v>
      </c>
      <c r="P128" s="323">
        <v>3486429.3317783675</v>
      </c>
      <c r="Q128" s="323">
        <v>2351460.1320000002</v>
      </c>
      <c r="R128" s="323">
        <v>63863</v>
      </c>
      <c r="S128" s="323">
        <v>7841648.7433330705</v>
      </c>
      <c r="T128" s="323">
        <v>5288885.17</v>
      </c>
      <c r="U128" s="323">
        <v>412698</v>
      </c>
      <c r="V128" s="323">
        <v>33759772.721997134</v>
      </c>
      <c r="W128" s="323">
        <v>22769645.407000002</v>
      </c>
      <c r="X128" s="323">
        <v>301863</v>
      </c>
      <c r="Y128" s="323">
        <v>24854593.991172984</v>
      </c>
      <c r="Z128" s="323">
        <v>16763450.885</v>
      </c>
      <c r="AA128" s="323">
        <v>714561</v>
      </c>
      <c r="AB128" s="323">
        <v>58614366.713170119</v>
      </c>
      <c r="AC128" s="173">
        <v>39533096.292000003</v>
      </c>
    </row>
    <row r="129" spans="2:29" hidden="1" outlineLevel="1" x14ac:dyDescent="0.25">
      <c r="B129" s="205">
        <v>42095</v>
      </c>
      <c r="C129" s="323">
        <v>379874</v>
      </c>
      <c r="D129" s="323">
        <v>29409925.707740467</v>
      </c>
      <c r="E129" s="323">
        <v>19949869.048999999</v>
      </c>
      <c r="F129" s="323">
        <v>274911</v>
      </c>
      <c r="G129" s="323">
        <v>21454790.653818563</v>
      </c>
      <c r="H129" s="323">
        <v>14553598.954</v>
      </c>
      <c r="I129" s="323">
        <v>654785</v>
      </c>
      <c r="J129" s="323">
        <v>50864716.361559026</v>
      </c>
      <c r="K129" s="323">
        <v>34503468.002999999</v>
      </c>
      <c r="L129" s="323">
        <v>35272</v>
      </c>
      <c r="M129" s="323">
        <v>4312110.1154923225</v>
      </c>
      <c r="N129" s="323">
        <v>2925067.9849999999</v>
      </c>
      <c r="O129" s="323">
        <v>29023</v>
      </c>
      <c r="P129" s="323">
        <v>3459890.9358052667</v>
      </c>
      <c r="Q129" s="323">
        <v>2346975.3640000001</v>
      </c>
      <c r="R129" s="323">
        <v>64295</v>
      </c>
      <c r="S129" s="323">
        <v>7772001.0512975892</v>
      </c>
      <c r="T129" s="323">
        <v>5272043.3490000004</v>
      </c>
      <c r="U129" s="323">
        <v>415146</v>
      </c>
      <c r="V129" s="323">
        <v>33722035.823232785</v>
      </c>
      <c r="W129" s="323">
        <v>22874937.034000002</v>
      </c>
      <c r="X129" s="323">
        <v>303934</v>
      </c>
      <c r="Y129" s="323">
        <v>24914681.589623824</v>
      </c>
      <c r="Z129" s="323">
        <v>16900574.318</v>
      </c>
      <c r="AA129" s="323">
        <v>719080</v>
      </c>
      <c r="AB129" s="323">
        <v>58636717.412856616</v>
      </c>
      <c r="AC129" s="173">
        <v>39775511.351999998</v>
      </c>
    </row>
    <row r="130" spans="2:29" hidden="1" outlineLevel="1" x14ac:dyDescent="0.25">
      <c r="B130" s="205">
        <v>42125</v>
      </c>
      <c r="C130" s="323">
        <v>381450</v>
      </c>
      <c r="D130" s="323">
        <v>29469860.709552974</v>
      </c>
      <c r="E130" s="323">
        <v>20025843.295000002</v>
      </c>
      <c r="F130" s="323">
        <v>275948</v>
      </c>
      <c r="G130" s="323">
        <v>21444889.208887696</v>
      </c>
      <c r="H130" s="323">
        <v>14572582.986</v>
      </c>
      <c r="I130" s="323">
        <v>657398</v>
      </c>
      <c r="J130" s="323">
        <v>50914749.91844067</v>
      </c>
      <c r="K130" s="323">
        <v>34598426.281000003</v>
      </c>
      <c r="L130" s="323">
        <v>35349</v>
      </c>
      <c r="M130" s="323">
        <v>4307662.581326264</v>
      </c>
      <c r="N130" s="323">
        <v>2927213.5580000002</v>
      </c>
      <c r="O130" s="323">
        <v>29091</v>
      </c>
      <c r="P130" s="323">
        <v>3459819.4516612696</v>
      </c>
      <c r="Q130" s="323">
        <v>2351073.2829999998</v>
      </c>
      <c r="R130" s="323">
        <v>64440</v>
      </c>
      <c r="S130" s="323">
        <v>7767482.0329875341</v>
      </c>
      <c r="T130" s="323">
        <v>5278286.841</v>
      </c>
      <c r="U130" s="323">
        <v>416799</v>
      </c>
      <c r="V130" s="323">
        <v>33777523.290879235</v>
      </c>
      <c r="W130" s="323">
        <v>22953056.853</v>
      </c>
      <c r="X130" s="323">
        <v>305039</v>
      </c>
      <c r="Y130" s="323">
        <v>24904708.660548966</v>
      </c>
      <c r="Z130" s="323">
        <v>16923656.269000001</v>
      </c>
      <c r="AA130" s="323">
        <v>721838</v>
      </c>
      <c r="AB130" s="323">
        <v>58682231.951428205</v>
      </c>
      <c r="AC130" s="173">
        <v>39876713.122000001</v>
      </c>
    </row>
    <row r="131" spans="2:29" hidden="1" outlineLevel="1" x14ac:dyDescent="0.25">
      <c r="B131" s="205">
        <v>42156</v>
      </c>
      <c r="C131" s="323">
        <v>383881</v>
      </c>
      <c r="D131" s="323">
        <v>29618957.66149544</v>
      </c>
      <c r="E131" s="323">
        <v>20224673.155000001</v>
      </c>
      <c r="F131" s="323">
        <v>277655</v>
      </c>
      <c r="G131" s="323">
        <v>21536961.720880527</v>
      </c>
      <c r="H131" s="323">
        <v>14706054.700999999</v>
      </c>
      <c r="I131" s="323">
        <v>661536</v>
      </c>
      <c r="J131" s="323">
        <v>51155919.38237597</v>
      </c>
      <c r="K131" s="323">
        <v>34930727.855999999</v>
      </c>
      <c r="L131" s="323">
        <v>35662</v>
      </c>
      <c r="M131" s="323">
        <v>4334009.5892900052</v>
      </c>
      <c r="N131" s="323">
        <v>2959385.9580000001</v>
      </c>
      <c r="O131" s="323">
        <v>29464</v>
      </c>
      <c r="P131" s="323">
        <v>3486326.5124748899</v>
      </c>
      <c r="Q131" s="323">
        <v>2380563.659</v>
      </c>
      <c r="R131" s="323">
        <v>65126</v>
      </c>
      <c r="S131" s="323">
        <v>7820336.1017648941</v>
      </c>
      <c r="T131" s="323">
        <v>5339949.6169999996</v>
      </c>
      <c r="U131" s="323">
        <v>419543</v>
      </c>
      <c r="V131" s="323">
        <v>33952967.250785448</v>
      </c>
      <c r="W131" s="323">
        <v>23184059.113000002</v>
      </c>
      <c r="X131" s="323">
        <v>307119</v>
      </c>
      <c r="Y131" s="323">
        <v>25023288.233355418</v>
      </c>
      <c r="Z131" s="323">
        <v>17086618.359999999</v>
      </c>
      <c r="AA131" s="323">
        <v>726662</v>
      </c>
      <c r="AB131" s="323">
        <v>58976255.484140858</v>
      </c>
      <c r="AC131" s="173">
        <v>40270677.472999997</v>
      </c>
    </row>
    <row r="132" spans="2:29" hidden="1" outlineLevel="1" x14ac:dyDescent="0.25">
      <c r="B132" s="205">
        <v>42186</v>
      </c>
      <c r="C132" s="323">
        <v>387145</v>
      </c>
      <c r="D132" s="323">
        <v>31946537.144436035</v>
      </c>
      <c r="E132" s="323">
        <v>21906233.717</v>
      </c>
      <c r="F132" s="323">
        <v>281099</v>
      </c>
      <c r="G132" s="323">
        <v>23393414.662043829</v>
      </c>
      <c r="H132" s="323">
        <v>16041225.585999999</v>
      </c>
      <c r="I132" s="323">
        <v>668244</v>
      </c>
      <c r="J132" s="323">
        <v>55339951.806479856</v>
      </c>
      <c r="K132" s="323">
        <v>37947459.303000003</v>
      </c>
      <c r="L132" s="323">
        <v>35854</v>
      </c>
      <c r="M132" s="323">
        <v>4549144.1525425194</v>
      </c>
      <c r="N132" s="323">
        <v>3119418.3760000002</v>
      </c>
      <c r="O132" s="323">
        <v>29626</v>
      </c>
      <c r="P132" s="323">
        <v>3683328.1858528336</v>
      </c>
      <c r="Q132" s="323">
        <v>2525715.0010000002</v>
      </c>
      <c r="R132" s="323">
        <v>65480</v>
      </c>
      <c r="S132" s="323">
        <v>8232472.3383953534</v>
      </c>
      <c r="T132" s="323">
        <v>5645133.3770000003</v>
      </c>
      <c r="U132" s="323">
        <v>422999</v>
      </c>
      <c r="V132" s="323">
        <v>36495681.296978556</v>
      </c>
      <c r="W132" s="323">
        <v>25025652.092999998</v>
      </c>
      <c r="X132" s="323">
        <v>310725</v>
      </c>
      <c r="Y132" s="323">
        <v>27076742.847896665</v>
      </c>
      <c r="Z132" s="323">
        <v>18566940.587000001</v>
      </c>
      <c r="AA132" s="323">
        <v>733724</v>
      </c>
      <c r="AB132" s="323">
        <v>63572424.144875214</v>
      </c>
      <c r="AC132" s="173">
        <v>43592592.68</v>
      </c>
    </row>
    <row r="133" spans="2:29" hidden="1" outlineLevel="1" x14ac:dyDescent="0.25">
      <c r="B133" s="205">
        <v>42217</v>
      </c>
      <c r="C133" s="323">
        <v>388790</v>
      </c>
      <c r="D133" s="323">
        <v>31761789.130999528</v>
      </c>
      <c r="E133" s="323">
        <v>21926701.458999999</v>
      </c>
      <c r="F133" s="323">
        <v>282181</v>
      </c>
      <c r="G133" s="323">
        <v>23021680.132129971</v>
      </c>
      <c r="H133" s="323">
        <v>15892980.879000001</v>
      </c>
      <c r="I133" s="323">
        <v>670971</v>
      </c>
      <c r="J133" s="323">
        <v>54783469.263129495</v>
      </c>
      <c r="K133" s="323">
        <v>37819682.338</v>
      </c>
      <c r="L133" s="323">
        <v>35902</v>
      </c>
      <c r="M133" s="323">
        <v>4479249.4755395744</v>
      </c>
      <c r="N133" s="323">
        <v>3092242.8709999998</v>
      </c>
      <c r="O133" s="323">
        <v>29711</v>
      </c>
      <c r="P133" s="323">
        <v>3608481.9073999482</v>
      </c>
      <c r="Q133" s="323">
        <v>2491109.8420000002</v>
      </c>
      <c r="R133" s="323">
        <v>65613</v>
      </c>
      <c r="S133" s="323">
        <v>8087731.3829395231</v>
      </c>
      <c r="T133" s="323">
        <v>5583352.7130000005</v>
      </c>
      <c r="U133" s="323">
        <v>424692</v>
      </c>
      <c r="V133" s="323">
        <v>36241038.6065391</v>
      </c>
      <c r="W133" s="323">
        <v>25018944.329999998</v>
      </c>
      <c r="X133" s="323">
        <v>311892</v>
      </c>
      <c r="Y133" s="323">
        <v>26630162.03952992</v>
      </c>
      <c r="Z133" s="323">
        <v>18384090.721000001</v>
      </c>
      <c r="AA133" s="323">
        <v>736584</v>
      </c>
      <c r="AB133" s="323">
        <v>62871200.646069013</v>
      </c>
      <c r="AC133" s="173">
        <v>43403035.050999999</v>
      </c>
    </row>
    <row r="134" spans="2:29" hidden="1" outlineLevel="1" x14ac:dyDescent="0.25">
      <c r="B134" s="205">
        <v>42248</v>
      </c>
      <c r="C134" s="323">
        <v>391060</v>
      </c>
      <c r="D134" s="323">
        <v>32063184.38466638</v>
      </c>
      <c r="E134" s="323">
        <v>22248031.107999999</v>
      </c>
      <c r="F134" s="323">
        <v>283655</v>
      </c>
      <c r="G134" s="323">
        <v>23209757.197359666</v>
      </c>
      <c r="H134" s="323">
        <v>16104807.119000001</v>
      </c>
      <c r="I134" s="323">
        <v>674715</v>
      </c>
      <c r="J134" s="323">
        <v>55272941.582026049</v>
      </c>
      <c r="K134" s="323">
        <v>38352838.226999998</v>
      </c>
      <c r="L134" s="323">
        <v>35845</v>
      </c>
      <c r="M134" s="323">
        <v>4469534.7300662696</v>
      </c>
      <c r="N134" s="323">
        <v>3101324.7629999998</v>
      </c>
      <c r="O134" s="323">
        <v>29687</v>
      </c>
      <c r="P134" s="323">
        <v>3619672.5672112857</v>
      </c>
      <c r="Q134" s="323">
        <v>2511621.6439999999</v>
      </c>
      <c r="R134" s="323">
        <v>65532</v>
      </c>
      <c r="S134" s="323">
        <v>8089207.2972775558</v>
      </c>
      <c r="T134" s="323">
        <v>5612946.4069999997</v>
      </c>
      <c r="U134" s="323">
        <v>426905</v>
      </c>
      <c r="V134" s="323">
        <v>36532719.114732653</v>
      </c>
      <c r="W134" s="323">
        <v>25349355.870999999</v>
      </c>
      <c r="X134" s="323">
        <v>313342</v>
      </c>
      <c r="Y134" s="323">
        <v>26829429.764570948</v>
      </c>
      <c r="Z134" s="323">
        <v>18616428.763</v>
      </c>
      <c r="AA134" s="323">
        <v>740247</v>
      </c>
      <c r="AB134" s="323">
        <v>63362148.879303597</v>
      </c>
      <c r="AC134" s="173">
        <v>43965784.634000003</v>
      </c>
    </row>
    <row r="135" spans="2:29" hidden="1" outlineLevel="1" x14ac:dyDescent="0.25">
      <c r="B135" s="205">
        <v>42278</v>
      </c>
      <c r="C135" s="323">
        <v>393767</v>
      </c>
      <c r="D135" s="323">
        <v>32235197.985181358</v>
      </c>
      <c r="E135" s="323">
        <v>22458624.022</v>
      </c>
      <c r="F135" s="323">
        <v>285404</v>
      </c>
      <c r="G135" s="323">
        <v>23306471.719205029</v>
      </c>
      <c r="H135" s="323">
        <v>16237880.278000001</v>
      </c>
      <c r="I135" s="323">
        <v>679171</v>
      </c>
      <c r="J135" s="323">
        <v>55541669.704386391</v>
      </c>
      <c r="K135" s="323">
        <v>38696504.299999997</v>
      </c>
      <c r="L135" s="323">
        <v>35726</v>
      </c>
      <c r="M135" s="323">
        <v>4430520.1325871581</v>
      </c>
      <c r="N135" s="323">
        <v>3086793.074</v>
      </c>
      <c r="O135" s="323">
        <v>29631</v>
      </c>
      <c r="P135" s="323">
        <v>3589424.1395705007</v>
      </c>
      <c r="Q135" s="323">
        <v>2500792.0610000002</v>
      </c>
      <c r="R135" s="323">
        <v>65357</v>
      </c>
      <c r="S135" s="323">
        <v>8019944.2721576588</v>
      </c>
      <c r="T135" s="323">
        <v>5587585.1349999998</v>
      </c>
      <c r="U135" s="323">
        <v>429493</v>
      </c>
      <c r="V135" s="323">
        <v>36665718.117768519</v>
      </c>
      <c r="W135" s="323">
        <v>25545417.096000001</v>
      </c>
      <c r="X135" s="323">
        <v>315035</v>
      </c>
      <c r="Y135" s="323">
        <v>26895895.85877553</v>
      </c>
      <c r="Z135" s="323">
        <v>18738672.339000002</v>
      </c>
      <c r="AA135" s="323">
        <v>744528</v>
      </c>
      <c r="AB135" s="323">
        <v>63561613.976544045</v>
      </c>
      <c r="AC135" s="173">
        <v>44284089.435000002</v>
      </c>
    </row>
    <row r="136" spans="2:29" hidden="1" outlineLevel="1" x14ac:dyDescent="0.25">
      <c r="B136" s="205">
        <v>42309</v>
      </c>
      <c r="C136" s="323">
        <v>394851</v>
      </c>
      <c r="D136" s="323">
        <v>32282854.351801746</v>
      </c>
      <c r="E136" s="323">
        <v>22486036.004000001</v>
      </c>
      <c r="F136" s="323">
        <v>286695</v>
      </c>
      <c r="G136" s="323">
        <v>23395363.52300873</v>
      </c>
      <c r="H136" s="323">
        <v>16295615.647</v>
      </c>
      <c r="I136" s="323">
        <v>681546</v>
      </c>
      <c r="J136" s="323">
        <v>55678217.87481048</v>
      </c>
      <c r="K136" s="323">
        <v>38781651.651000001</v>
      </c>
      <c r="L136" s="323">
        <v>35684</v>
      </c>
      <c r="M136" s="323">
        <v>4430244.025179158</v>
      </c>
      <c r="N136" s="323">
        <v>3085806.031</v>
      </c>
      <c r="O136" s="323">
        <v>29591</v>
      </c>
      <c r="P136" s="323">
        <v>3587081.6058077421</v>
      </c>
      <c r="Q136" s="323">
        <v>2498516.5580000002</v>
      </c>
      <c r="R136" s="323">
        <v>65275</v>
      </c>
      <c r="S136" s="323">
        <v>8017325.6309869001</v>
      </c>
      <c r="T136" s="323">
        <v>5584322.5889999997</v>
      </c>
      <c r="U136" s="323">
        <v>430535</v>
      </c>
      <c r="V136" s="323">
        <v>36713098.376980901</v>
      </c>
      <c r="W136" s="323">
        <v>25571842.035</v>
      </c>
      <c r="X136" s="323">
        <v>316286</v>
      </c>
      <c r="Y136" s="323">
        <v>26982445.128816474</v>
      </c>
      <c r="Z136" s="323">
        <v>18794132.204999998</v>
      </c>
      <c r="AA136" s="323">
        <v>746821</v>
      </c>
      <c r="AB136" s="323">
        <v>63695543.505797379</v>
      </c>
      <c r="AC136" s="173">
        <v>44365974.240000002</v>
      </c>
    </row>
    <row r="137" spans="2:29" hidden="1" outlineLevel="1" x14ac:dyDescent="0.25">
      <c r="B137" s="205">
        <v>42339</v>
      </c>
      <c r="C137" s="323">
        <v>397672</v>
      </c>
      <c r="D137" s="323">
        <v>32606381.991319969</v>
      </c>
      <c r="E137" s="323">
        <v>22713656.138999999</v>
      </c>
      <c r="F137" s="323">
        <v>288817</v>
      </c>
      <c r="G137" s="323">
        <v>23569943.491265249</v>
      </c>
      <c r="H137" s="323">
        <v>16418859.1</v>
      </c>
      <c r="I137" s="323">
        <v>686489</v>
      </c>
      <c r="J137" s="323">
        <v>56176325.482585214</v>
      </c>
      <c r="K137" s="323">
        <v>39132515.239</v>
      </c>
      <c r="L137" s="323">
        <v>35597</v>
      </c>
      <c r="M137" s="323">
        <v>4407394.4006906822</v>
      </c>
      <c r="N137" s="323">
        <v>3070197.7579999999</v>
      </c>
      <c r="O137" s="323">
        <v>29530</v>
      </c>
      <c r="P137" s="323">
        <v>3571827.0617129654</v>
      </c>
      <c r="Q137" s="323">
        <v>2488140.2570000002</v>
      </c>
      <c r="R137" s="323">
        <v>65127</v>
      </c>
      <c r="S137" s="323">
        <v>7979221.4624036485</v>
      </c>
      <c r="T137" s="323">
        <v>5558338.0149999997</v>
      </c>
      <c r="U137" s="323">
        <v>433269</v>
      </c>
      <c r="V137" s="323">
        <v>37013776.392010652</v>
      </c>
      <c r="W137" s="323">
        <v>25783853.897</v>
      </c>
      <c r="X137" s="323">
        <v>318347</v>
      </c>
      <c r="Y137" s="323">
        <v>27141770.552978214</v>
      </c>
      <c r="Z137" s="323">
        <v>18906999.357000001</v>
      </c>
      <c r="AA137" s="323">
        <v>751616</v>
      </c>
      <c r="AB137" s="323">
        <v>64155546.944988862</v>
      </c>
      <c r="AC137" s="173">
        <v>44690853.254000001</v>
      </c>
    </row>
    <row r="138" spans="2:29" collapsed="1" x14ac:dyDescent="0.25">
      <c r="B138" s="325" t="s">
        <v>697</v>
      </c>
      <c r="C138" s="324">
        <v>385388.58333333331</v>
      </c>
      <c r="D138" s="324">
        <v>30823907.765433162</v>
      </c>
      <c r="E138" s="324"/>
      <c r="F138" s="324">
        <v>279293.16666666669</v>
      </c>
      <c r="G138" s="324">
        <v>22431360.789467458</v>
      </c>
      <c r="H138" s="324"/>
      <c r="I138" s="324">
        <v>664681.75</v>
      </c>
      <c r="J138" s="324">
        <v>53255268.554900624</v>
      </c>
      <c r="K138" s="324"/>
      <c r="L138" s="324">
        <v>35497.583333333336</v>
      </c>
      <c r="M138" s="324">
        <v>4403786.091662365</v>
      </c>
      <c r="N138" s="324"/>
      <c r="O138" s="324">
        <v>29292.083333333332</v>
      </c>
      <c r="P138" s="324">
        <v>3543637.2312382553</v>
      </c>
      <c r="Q138" s="324"/>
      <c r="R138" s="324">
        <v>64789.666666666664</v>
      </c>
      <c r="S138" s="324">
        <v>7947423.3229006222</v>
      </c>
      <c r="T138" s="324"/>
      <c r="U138" s="324">
        <v>420886.16666666669</v>
      </c>
      <c r="V138" s="324">
        <v>35227693.857095525</v>
      </c>
      <c r="W138" s="324"/>
      <c r="X138" s="324">
        <v>308585.25</v>
      </c>
      <c r="Y138" s="324">
        <v>25974998.020705715</v>
      </c>
      <c r="Z138" s="324"/>
      <c r="AA138" s="324">
        <v>729471.41666666663</v>
      </c>
      <c r="AB138" s="324">
        <v>61202691.877801239</v>
      </c>
      <c r="AC138" s="327"/>
    </row>
    <row r="139" spans="2:29" hidden="1" outlineLevel="1" x14ac:dyDescent="0.25">
      <c r="B139" s="205">
        <v>42370</v>
      </c>
      <c r="C139" s="323">
        <v>399583</v>
      </c>
      <c r="D139" s="323">
        <v>32562129.997045688</v>
      </c>
      <c r="E139" s="323">
        <v>22789592.182999998</v>
      </c>
      <c r="F139" s="323">
        <v>290198</v>
      </c>
      <c r="G139" s="323">
        <v>23644472.983535115</v>
      </c>
      <c r="H139" s="323">
        <v>16548300.026000001</v>
      </c>
      <c r="I139" s="323">
        <v>689781</v>
      </c>
      <c r="J139" s="323">
        <v>56206602.980580799</v>
      </c>
      <c r="K139" s="323">
        <v>39337892.208999999</v>
      </c>
      <c r="L139" s="323">
        <v>35653</v>
      </c>
      <c r="M139" s="323">
        <v>4416318.7904901458</v>
      </c>
      <c r="N139" s="323">
        <v>3090894.3670000001</v>
      </c>
      <c r="O139" s="323">
        <v>29617</v>
      </c>
      <c r="P139" s="323">
        <v>3576866.4468834992</v>
      </c>
      <c r="Q139" s="323">
        <v>2503378.2379999999</v>
      </c>
      <c r="R139" s="323">
        <v>65270</v>
      </c>
      <c r="S139" s="323">
        <v>7993185.2373736445</v>
      </c>
      <c r="T139" s="323">
        <v>5594272.6050000004</v>
      </c>
      <c r="U139" s="323">
        <v>435236</v>
      </c>
      <c r="V139" s="323">
        <v>36978448.787535839</v>
      </c>
      <c r="W139" s="323">
        <v>25880486.550000001</v>
      </c>
      <c r="X139" s="323">
        <v>319815</v>
      </c>
      <c r="Y139" s="323">
        <v>27221339.430418614</v>
      </c>
      <c r="Z139" s="323">
        <v>19051678.263999999</v>
      </c>
      <c r="AA139" s="323">
        <v>755051</v>
      </c>
      <c r="AB139" s="323">
        <v>64199788.217954442</v>
      </c>
      <c r="AC139" s="173">
        <v>44932164.814000003</v>
      </c>
    </row>
    <row r="140" spans="2:29" hidden="1" outlineLevel="1" x14ac:dyDescent="0.25">
      <c r="B140" s="205">
        <v>42401</v>
      </c>
      <c r="C140" s="323">
        <v>401765</v>
      </c>
      <c r="D140" s="323">
        <v>32251854.10500709</v>
      </c>
      <c r="E140" s="323">
        <v>22635180.851</v>
      </c>
      <c r="F140" s="323">
        <v>291345</v>
      </c>
      <c r="G140" s="323">
        <v>23378718.537504353</v>
      </c>
      <c r="H140" s="323">
        <v>16407786.059</v>
      </c>
      <c r="I140" s="323">
        <v>693110</v>
      </c>
      <c r="J140" s="323">
        <v>55630572.642511442</v>
      </c>
      <c r="K140" s="323">
        <v>39042966.909999996</v>
      </c>
      <c r="L140" s="323">
        <v>35604</v>
      </c>
      <c r="M140" s="323">
        <v>4385439.4654475991</v>
      </c>
      <c r="N140" s="323">
        <v>3077814.227</v>
      </c>
      <c r="O140" s="323">
        <v>29599</v>
      </c>
      <c r="P140" s="323">
        <v>3548914.2596959504</v>
      </c>
      <c r="Q140" s="323">
        <v>2490719.3190000001</v>
      </c>
      <c r="R140" s="323">
        <v>65203</v>
      </c>
      <c r="S140" s="323">
        <v>7934353.72514355</v>
      </c>
      <c r="T140" s="323">
        <v>5568533.5460000001</v>
      </c>
      <c r="U140" s="323">
        <v>437369</v>
      </c>
      <c r="V140" s="323">
        <v>36637293.570454687</v>
      </c>
      <c r="W140" s="323">
        <v>25712995.078000002</v>
      </c>
      <c r="X140" s="323">
        <v>320944</v>
      </c>
      <c r="Y140" s="323">
        <v>26927632.797200304</v>
      </c>
      <c r="Z140" s="323">
        <v>18898505.377999999</v>
      </c>
      <c r="AA140" s="323">
        <v>758313</v>
      </c>
      <c r="AB140" s="323">
        <v>63564926.367654994</v>
      </c>
      <c r="AC140" s="173">
        <v>44611500.456</v>
      </c>
    </row>
    <row r="141" spans="2:29" hidden="1" outlineLevel="1" x14ac:dyDescent="0.25">
      <c r="B141" s="205">
        <v>42430</v>
      </c>
      <c r="C141" s="323">
        <v>402760</v>
      </c>
      <c r="D141" s="323">
        <v>32109811.844937652</v>
      </c>
      <c r="E141" s="323">
        <v>22620982.057</v>
      </c>
      <c r="F141" s="323">
        <v>292122</v>
      </c>
      <c r="G141" s="323">
        <v>23212139.937261518</v>
      </c>
      <c r="H141" s="323">
        <v>16352677.604</v>
      </c>
      <c r="I141" s="323">
        <v>694882</v>
      </c>
      <c r="J141" s="323">
        <v>55321951.782199167</v>
      </c>
      <c r="K141" s="323">
        <v>38973659.660999998</v>
      </c>
      <c r="L141" s="323">
        <v>35532</v>
      </c>
      <c r="M141" s="323">
        <v>4339011.5485421689</v>
      </c>
      <c r="N141" s="323">
        <v>3056782.2340000002</v>
      </c>
      <c r="O141" s="323">
        <v>29505</v>
      </c>
      <c r="P141" s="323">
        <v>3515306.3902820759</v>
      </c>
      <c r="Q141" s="323">
        <v>2476491.7080000001</v>
      </c>
      <c r="R141" s="323">
        <v>65037</v>
      </c>
      <c r="S141" s="323">
        <v>7854317.9388242448</v>
      </c>
      <c r="T141" s="323">
        <v>5533273.9419999998</v>
      </c>
      <c r="U141" s="323">
        <v>438292</v>
      </c>
      <c r="V141" s="323">
        <v>36448823.393479817</v>
      </c>
      <c r="W141" s="323">
        <v>25677764.291000001</v>
      </c>
      <c r="X141" s="323">
        <v>321627</v>
      </c>
      <c r="Y141" s="323">
        <v>26727446.32754359</v>
      </c>
      <c r="Z141" s="323">
        <v>18829169.311999999</v>
      </c>
      <c r="AA141" s="323">
        <v>759919</v>
      </c>
      <c r="AB141" s="323">
        <v>63176269.721023418</v>
      </c>
      <c r="AC141" s="173">
        <v>44506933.603</v>
      </c>
    </row>
    <row r="142" spans="2:29" hidden="1" outlineLevel="1" x14ac:dyDescent="0.25">
      <c r="B142" s="205">
        <v>42461</v>
      </c>
      <c r="C142" s="323">
        <v>405007</v>
      </c>
      <c r="D142" s="323">
        <v>32180782.854767993</v>
      </c>
      <c r="E142" s="323">
        <v>22744876.348999999</v>
      </c>
      <c r="F142" s="323">
        <v>293491</v>
      </c>
      <c r="G142" s="323">
        <v>23338210.234064572</v>
      </c>
      <c r="H142" s="323">
        <v>16495083.676999999</v>
      </c>
      <c r="I142" s="323">
        <v>698498</v>
      </c>
      <c r="J142" s="323">
        <v>55518993.088832565</v>
      </c>
      <c r="K142" s="323">
        <v>39239960.026000001</v>
      </c>
      <c r="L142" s="323">
        <v>35542</v>
      </c>
      <c r="M142" s="323">
        <v>4361455.3929566126</v>
      </c>
      <c r="N142" s="323">
        <v>3082608.7749999999</v>
      </c>
      <c r="O142" s="323">
        <v>29521</v>
      </c>
      <c r="P142" s="323">
        <v>3532609.6147792288</v>
      </c>
      <c r="Q142" s="323">
        <v>2496793.4819999998</v>
      </c>
      <c r="R142" s="323">
        <v>65063</v>
      </c>
      <c r="S142" s="323">
        <v>7894065.0077358419</v>
      </c>
      <c r="T142" s="323">
        <v>5579402.2570000002</v>
      </c>
      <c r="U142" s="323">
        <v>440549</v>
      </c>
      <c r="V142" s="323">
        <v>36542238.247724608</v>
      </c>
      <c r="W142" s="323">
        <v>25827485.124000002</v>
      </c>
      <c r="X142" s="323">
        <v>323012</v>
      </c>
      <c r="Y142" s="323">
        <v>26870819.848843798</v>
      </c>
      <c r="Z142" s="323">
        <v>18991877.159000002</v>
      </c>
      <c r="AA142" s="323">
        <v>763561</v>
      </c>
      <c r="AB142" s="323">
        <v>63413058.096568406</v>
      </c>
      <c r="AC142" s="173">
        <v>44819362.283</v>
      </c>
    </row>
    <row r="143" spans="2:29" hidden="1" outlineLevel="1" x14ac:dyDescent="0.25">
      <c r="B143" s="205">
        <v>42491</v>
      </c>
      <c r="C143" s="323">
        <v>407494</v>
      </c>
      <c r="D143" s="323">
        <v>32682954.264056314</v>
      </c>
      <c r="E143" s="323">
        <v>23151650.998</v>
      </c>
      <c r="F143" s="323">
        <v>295268</v>
      </c>
      <c r="G143" s="323">
        <v>23662456.818271663</v>
      </c>
      <c r="H143" s="323">
        <v>16761793.857000001</v>
      </c>
      <c r="I143" s="323">
        <v>702762</v>
      </c>
      <c r="J143" s="323">
        <v>56345411.082327969</v>
      </c>
      <c r="K143" s="323">
        <v>39913444.854999997</v>
      </c>
      <c r="L143" s="323">
        <v>35521</v>
      </c>
      <c r="M143" s="323">
        <v>4335995.1390023446</v>
      </c>
      <c r="N143" s="323">
        <v>3071492.4169999999</v>
      </c>
      <c r="O143" s="323">
        <v>29498</v>
      </c>
      <c r="P143" s="323">
        <v>3507546.8555298625</v>
      </c>
      <c r="Q143" s="323">
        <v>2484643.83</v>
      </c>
      <c r="R143" s="323">
        <v>65019</v>
      </c>
      <c r="S143" s="323">
        <v>7843541.994532207</v>
      </c>
      <c r="T143" s="323">
        <v>5556136.2470000004</v>
      </c>
      <c r="U143" s="323">
        <v>443015</v>
      </c>
      <c r="V143" s="323">
        <v>37018949.403058656</v>
      </c>
      <c r="W143" s="323">
        <v>26223143.414999999</v>
      </c>
      <c r="X143" s="323">
        <v>324766</v>
      </c>
      <c r="Y143" s="323">
        <v>27170003.673801526</v>
      </c>
      <c r="Z143" s="323">
        <v>19246437.686999999</v>
      </c>
      <c r="AA143" s="323">
        <v>767781</v>
      </c>
      <c r="AB143" s="323">
        <v>64188953.076860182</v>
      </c>
      <c r="AC143" s="173">
        <v>45469581.101999998</v>
      </c>
    </row>
    <row r="144" spans="2:29" hidden="1" outlineLevel="1" x14ac:dyDescent="0.25">
      <c r="B144" s="205">
        <v>42522</v>
      </c>
      <c r="C144" s="323">
        <v>409023</v>
      </c>
      <c r="D144" s="323">
        <v>32170442.173565511</v>
      </c>
      <c r="E144" s="323">
        <v>22891099.245999999</v>
      </c>
      <c r="F144" s="323">
        <v>296574</v>
      </c>
      <c r="G144" s="323">
        <v>23365901.003352214</v>
      </c>
      <c r="H144" s="323">
        <v>16626167.460000001</v>
      </c>
      <c r="I144" s="323">
        <v>705597</v>
      </c>
      <c r="J144" s="323">
        <v>55536343.176917724</v>
      </c>
      <c r="K144" s="323">
        <v>39517266.706</v>
      </c>
      <c r="L144" s="323">
        <v>35515</v>
      </c>
      <c r="M144" s="323">
        <v>4306365.3840471441</v>
      </c>
      <c r="N144" s="323">
        <v>3064223.8879999998</v>
      </c>
      <c r="O144" s="323">
        <v>29478</v>
      </c>
      <c r="P144" s="323">
        <v>3484220.7517013494</v>
      </c>
      <c r="Q144" s="323">
        <v>2479221.2239999999</v>
      </c>
      <c r="R144" s="323">
        <v>64993</v>
      </c>
      <c r="S144" s="323">
        <v>7790586.1357484935</v>
      </c>
      <c r="T144" s="323">
        <v>5543445.1119999997</v>
      </c>
      <c r="U144" s="323">
        <v>444538</v>
      </c>
      <c r="V144" s="323">
        <v>36476807.557612658</v>
      </c>
      <c r="W144" s="323">
        <v>25955323.134</v>
      </c>
      <c r="X144" s="323">
        <v>326052</v>
      </c>
      <c r="Y144" s="323">
        <v>26850121.755053565</v>
      </c>
      <c r="Z144" s="323">
        <v>19105388.684</v>
      </c>
      <c r="AA144" s="323">
        <v>770590</v>
      </c>
      <c r="AB144" s="323">
        <v>63326929.312666222</v>
      </c>
      <c r="AC144" s="173">
        <v>45060711.818000004</v>
      </c>
    </row>
    <row r="145" spans="2:29" hidden="1" outlineLevel="1" x14ac:dyDescent="0.25">
      <c r="B145" s="205">
        <v>42552</v>
      </c>
      <c r="C145" s="323">
        <v>409755</v>
      </c>
      <c r="D145" s="323">
        <v>34472554.51525791</v>
      </c>
      <c r="E145" s="323">
        <v>24588525.248</v>
      </c>
      <c r="F145" s="323">
        <v>298366</v>
      </c>
      <c r="G145" s="323">
        <v>25017697.622402783</v>
      </c>
      <c r="H145" s="323">
        <v>17844580.951000001</v>
      </c>
      <c r="I145" s="323">
        <v>708121</v>
      </c>
      <c r="J145" s="323">
        <v>59490252.137660697</v>
      </c>
      <c r="K145" s="323">
        <v>42433106.199000001</v>
      </c>
      <c r="L145" s="323">
        <v>35484</v>
      </c>
      <c r="M145" s="323">
        <v>4480087.8413594859</v>
      </c>
      <c r="N145" s="323">
        <v>3195549.4610000001</v>
      </c>
      <c r="O145" s="323">
        <v>29434</v>
      </c>
      <c r="P145" s="323">
        <v>3638566.7255052086</v>
      </c>
      <c r="Q145" s="323">
        <v>2595310.7059999998</v>
      </c>
      <c r="R145" s="323">
        <v>64918</v>
      </c>
      <c r="S145" s="323">
        <v>8118654.5668646945</v>
      </c>
      <c r="T145" s="323">
        <v>5790860.1670000004</v>
      </c>
      <c r="U145" s="323">
        <v>445239</v>
      </c>
      <c r="V145" s="323">
        <v>38952642.356617399</v>
      </c>
      <c r="W145" s="323">
        <v>27784074.708999999</v>
      </c>
      <c r="X145" s="323">
        <v>327800</v>
      </c>
      <c r="Y145" s="323">
        <v>28656264.34790799</v>
      </c>
      <c r="Z145" s="323">
        <v>20439891.657000002</v>
      </c>
      <c r="AA145" s="323">
        <v>773039</v>
      </c>
      <c r="AB145" s="323">
        <v>67608906.704525396</v>
      </c>
      <c r="AC145" s="173">
        <v>48223966.365999997</v>
      </c>
    </row>
    <row r="146" spans="2:29" hidden="1" outlineLevel="1" x14ac:dyDescent="0.25">
      <c r="B146" s="205">
        <v>42583</v>
      </c>
      <c r="C146" s="323">
        <v>411971</v>
      </c>
      <c r="D146" s="323">
        <v>34847246.578491889</v>
      </c>
      <c r="E146" s="323">
        <v>24867925.234999999</v>
      </c>
      <c r="F146" s="323">
        <v>299699</v>
      </c>
      <c r="G146" s="323">
        <v>25188544.546189044</v>
      </c>
      <c r="H146" s="323">
        <v>17975217.673</v>
      </c>
      <c r="I146" s="323">
        <v>711670</v>
      </c>
      <c r="J146" s="323">
        <v>60035791.124680929</v>
      </c>
      <c r="K146" s="323">
        <v>42843142.908</v>
      </c>
      <c r="L146" s="323">
        <v>35469</v>
      </c>
      <c r="M146" s="323">
        <v>4473862.7958838893</v>
      </c>
      <c r="N146" s="323">
        <v>3192667.8990000002</v>
      </c>
      <c r="O146" s="323">
        <v>29404</v>
      </c>
      <c r="P146" s="323">
        <v>3624112.1119334693</v>
      </c>
      <c r="Q146" s="323">
        <v>2586263.1310000001</v>
      </c>
      <c r="R146" s="323">
        <v>64873</v>
      </c>
      <c r="S146" s="323">
        <v>8097974.9078173591</v>
      </c>
      <c r="T146" s="323">
        <v>5778931.0300000003</v>
      </c>
      <c r="U146" s="323">
        <v>447440</v>
      </c>
      <c r="V146" s="323">
        <v>39321109.374375775</v>
      </c>
      <c r="W146" s="323">
        <v>28060593.134</v>
      </c>
      <c r="X146" s="323">
        <v>329103</v>
      </c>
      <c r="Y146" s="323">
        <v>28812656.658122513</v>
      </c>
      <c r="Z146" s="323">
        <v>20561480.804000001</v>
      </c>
      <c r="AA146" s="323">
        <v>776543</v>
      </c>
      <c r="AB146" s="323">
        <v>68133766.032498285</v>
      </c>
      <c r="AC146" s="173">
        <v>48622073.938000001</v>
      </c>
    </row>
    <row r="147" spans="2:29" hidden="1" outlineLevel="1" x14ac:dyDescent="0.25">
      <c r="B147" s="205">
        <v>42614</v>
      </c>
      <c r="C147" s="323">
        <v>413826</v>
      </c>
      <c r="D147" s="323">
        <v>34994778.778248012</v>
      </c>
      <c r="E147" s="323">
        <v>25033986.456</v>
      </c>
      <c r="F147" s="323">
        <v>300890</v>
      </c>
      <c r="G147" s="323">
        <v>25202842.860178635</v>
      </c>
      <c r="H147" s="323">
        <v>18029193.177999999</v>
      </c>
      <c r="I147" s="323">
        <v>714716</v>
      </c>
      <c r="J147" s="323">
        <v>60197621.638426647</v>
      </c>
      <c r="K147" s="323">
        <v>43063179.634000003</v>
      </c>
      <c r="L147" s="323">
        <v>35378</v>
      </c>
      <c r="M147" s="323">
        <v>4438345.8316579228</v>
      </c>
      <c r="N147" s="323">
        <v>3175030.4849999999</v>
      </c>
      <c r="O147" s="323">
        <v>29305</v>
      </c>
      <c r="P147" s="323">
        <v>3597379.5601454214</v>
      </c>
      <c r="Q147" s="323">
        <v>2573433.9330000002</v>
      </c>
      <c r="R147" s="323">
        <v>64683</v>
      </c>
      <c r="S147" s="323">
        <v>8035725.3918033438</v>
      </c>
      <c r="T147" s="323">
        <v>5748464.4179999996</v>
      </c>
      <c r="U147" s="323">
        <v>449204</v>
      </c>
      <c r="V147" s="323">
        <v>39433124.609905936</v>
      </c>
      <c r="W147" s="323">
        <v>28209016.941</v>
      </c>
      <c r="X147" s="323">
        <v>330195</v>
      </c>
      <c r="Y147" s="323">
        <v>28800222.420324054</v>
      </c>
      <c r="Z147" s="323">
        <v>20602627.111000001</v>
      </c>
      <c r="AA147" s="323">
        <v>779399</v>
      </c>
      <c r="AB147" s="323">
        <v>68233347.030229986</v>
      </c>
      <c r="AC147" s="173">
        <v>48811644.052000001</v>
      </c>
    </row>
    <row r="148" spans="2:29" hidden="1" outlineLevel="1" x14ac:dyDescent="0.25">
      <c r="B148" s="205">
        <v>42644</v>
      </c>
      <c r="C148" s="323">
        <v>415563</v>
      </c>
      <c r="D148" s="323">
        <v>35023938.215758458</v>
      </c>
      <c r="E148" s="323">
        <v>25096386.039999999</v>
      </c>
      <c r="F148" s="323">
        <v>302315</v>
      </c>
      <c r="G148" s="323">
        <v>25216366.322381016</v>
      </c>
      <c r="H148" s="323">
        <v>18068775.129000001</v>
      </c>
      <c r="I148" s="323">
        <v>717878</v>
      </c>
      <c r="J148" s="323">
        <v>60240304.53813947</v>
      </c>
      <c r="K148" s="323">
        <v>43165161.169</v>
      </c>
      <c r="L148" s="323">
        <v>35331</v>
      </c>
      <c r="M148" s="323">
        <v>4429919.0288210651</v>
      </c>
      <c r="N148" s="323">
        <v>3174256.344</v>
      </c>
      <c r="O148" s="323">
        <v>29264</v>
      </c>
      <c r="P148" s="323">
        <v>3583334.0002504098</v>
      </c>
      <c r="Q148" s="323">
        <v>2567636.25</v>
      </c>
      <c r="R148" s="323">
        <v>64595</v>
      </c>
      <c r="S148" s="323">
        <v>8013253.0290714754</v>
      </c>
      <c r="T148" s="323">
        <v>5741892.5939999996</v>
      </c>
      <c r="U148" s="323">
        <v>450894</v>
      </c>
      <c r="V148" s="323">
        <v>39453857.244579524</v>
      </c>
      <c r="W148" s="323">
        <v>28270642.384</v>
      </c>
      <c r="X148" s="323">
        <v>331579</v>
      </c>
      <c r="Y148" s="323">
        <v>28799700.322631426</v>
      </c>
      <c r="Z148" s="323">
        <v>20636411.379000001</v>
      </c>
      <c r="AA148" s="323">
        <v>782473</v>
      </c>
      <c r="AB148" s="323">
        <v>68253557.567210957</v>
      </c>
      <c r="AC148" s="173">
        <v>48907053.762999997</v>
      </c>
    </row>
    <row r="149" spans="2:29" hidden="1" outlineLevel="1" x14ac:dyDescent="0.25">
      <c r="B149" s="205">
        <v>42675</v>
      </c>
      <c r="C149" s="323">
        <v>418973</v>
      </c>
      <c r="D149" s="323">
        <v>35678510.152141847</v>
      </c>
      <c r="E149" s="323">
        <v>25579163.465</v>
      </c>
      <c r="F149" s="323">
        <v>304146</v>
      </c>
      <c r="G149" s="323">
        <v>25534669.603445202</v>
      </c>
      <c r="H149" s="323">
        <v>18306691.760000002</v>
      </c>
      <c r="I149" s="323">
        <v>723119</v>
      </c>
      <c r="J149" s="323">
        <v>61213179.755587049</v>
      </c>
      <c r="K149" s="323">
        <v>43885855.225000001</v>
      </c>
      <c r="L149" s="323">
        <v>35297</v>
      </c>
      <c r="M149" s="323">
        <v>4427383.6777300974</v>
      </c>
      <c r="N149" s="323">
        <v>3174145.1740000001</v>
      </c>
      <c r="O149" s="323">
        <v>29235</v>
      </c>
      <c r="P149" s="323">
        <v>3577380.7117141876</v>
      </c>
      <c r="Q149" s="323">
        <v>2564748.517</v>
      </c>
      <c r="R149" s="323">
        <v>64532</v>
      </c>
      <c r="S149" s="323">
        <v>8004764.3894442851</v>
      </c>
      <c r="T149" s="323">
        <v>5738893.6909999996</v>
      </c>
      <c r="U149" s="323">
        <v>454270</v>
      </c>
      <c r="V149" s="323">
        <v>40105893.829871945</v>
      </c>
      <c r="W149" s="323">
        <v>28753308.638999999</v>
      </c>
      <c r="X149" s="323">
        <v>333381</v>
      </c>
      <c r="Y149" s="323">
        <v>29112050.315159388</v>
      </c>
      <c r="Z149" s="323">
        <v>20871440.276999999</v>
      </c>
      <c r="AA149" s="323">
        <v>787651</v>
      </c>
      <c r="AB149" s="323">
        <v>69217944.145031348</v>
      </c>
      <c r="AC149" s="173">
        <v>49624748.916000001</v>
      </c>
    </row>
    <row r="150" spans="2:29" hidden="1" outlineLevel="1" x14ac:dyDescent="0.25">
      <c r="B150" s="205">
        <v>42705</v>
      </c>
      <c r="C150" s="323">
        <v>420635</v>
      </c>
      <c r="D150" s="323">
        <v>35589757.56905365</v>
      </c>
      <c r="E150" s="323">
        <v>25463423.947000001</v>
      </c>
      <c r="F150" s="323">
        <v>305119</v>
      </c>
      <c r="G150" s="323">
        <v>25451475.583120707</v>
      </c>
      <c r="H150" s="323">
        <v>18209781.609000001</v>
      </c>
      <c r="I150" s="323">
        <v>725754</v>
      </c>
      <c r="J150" s="323">
        <v>61041233.152174354</v>
      </c>
      <c r="K150" s="323">
        <v>43673205.556000002</v>
      </c>
      <c r="L150" s="323">
        <v>35407</v>
      </c>
      <c r="M150" s="323">
        <v>4438995.3109258683</v>
      </c>
      <c r="N150" s="323">
        <v>3175970.4819999998</v>
      </c>
      <c r="O150" s="323">
        <v>29476</v>
      </c>
      <c r="P150" s="323">
        <v>3611863.3908132506</v>
      </c>
      <c r="Q150" s="323">
        <v>2584181.94</v>
      </c>
      <c r="R150" s="323">
        <v>64883</v>
      </c>
      <c r="S150" s="323">
        <v>8050858.7017391184</v>
      </c>
      <c r="T150" s="323">
        <v>5760152.4220000003</v>
      </c>
      <c r="U150" s="323">
        <v>456042</v>
      </c>
      <c r="V150" s="323">
        <v>40028752.879979514</v>
      </c>
      <c r="W150" s="323">
        <v>28639394.429000001</v>
      </c>
      <c r="X150" s="323">
        <v>334595</v>
      </c>
      <c r="Y150" s="323">
        <v>29063338.973933961</v>
      </c>
      <c r="Z150" s="323">
        <v>20793963.548999999</v>
      </c>
      <c r="AA150" s="323">
        <v>790637</v>
      </c>
      <c r="AB150" s="323">
        <v>69092091.853913486</v>
      </c>
      <c r="AC150" s="173">
        <v>49433357.978</v>
      </c>
    </row>
    <row r="151" spans="2:29" collapsed="1" x14ac:dyDescent="0.25">
      <c r="B151" s="325" t="s">
        <v>698</v>
      </c>
      <c r="C151" s="324">
        <v>409696.25</v>
      </c>
      <c r="D151" s="324">
        <v>33713730.087361</v>
      </c>
      <c r="E151" s="324"/>
      <c r="F151" s="324">
        <v>297461.08333333331</v>
      </c>
      <c r="G151" s="324">
        <v>24351124.67097557</v>
      </c>
      <c r="H151" s="324"/>
      <c r="I151" s="324">
        <v>707157.33333333337</v>
      </c>
      <c r="J151" s="324">
        <v>58064854.758336574</v>
      </c>
      <c r="K151" s="324"/>
      <c r="L151" s="324">
        <v>35477.75</v>
      </c>
      <c r="M151" s="324">
        <v>4402765.0172386961</v>
      </c>
      <c r="N151" s="324"/>
      <c r="O151" s="324">
        <v>29444.666666666668</v>
      </c>
      <c r="P151" s="324">
        <v>3566508.4016028265</v>
      </c>
      <c r="Q151" s="324"/>
      <c r="R151" s="324">
        <v>64922.416666666664</v>
      </c>
      <c r="S151" s="324">
        <v>7969273.4188415213</v>
      </c>
      <c r="T151" s="324"/>
      <c r="U151" s="324">
        <v>445174</v>
      </c>
      <c r="V151" s="324">
        <v>38116495.104599699</v>
      </c>
      <c r="W151" s="324"/>
      <c r="X151" s="324">
        <v>326905.75</v>
      </c>
      <c r="Y151" s="324">
        <v>27917633.072578397</v>
      </c>
      <c r="Z151" s="324"/>
      <c r="AA151" s="324">
        <v>772079.75</v>
      </c>
      <c r="AB151" s="324">
        <v>66034128.177178085</v>
      </c>
      <c r="AC151" s="327"/>
    </row>
    <row r="152" spans="2:29" hidden="1" outlineLevel="1" x14ac:dyDescent="0.25">
      <c r="B152" s="205">
        <v>42736</v>
      </c>
      <c r="C152" s="323">
        <v>422492</v>
      </c>
      <c r="D152" s="323">
        <v>39053928.479668677</v>
      </c>
      <c r="E152" s="323">
        <v>28092849.912999999</v>
      </c>
      <c r="F152" s="323">
        <v>306164</v>
      </c>
      <c r="G152" s="323">
        <v>27890549.993203636</v>
      </c>
      <c r="H152" s="323">
        <v>20062643.259</v>
      </c>
      <c r="I152" s="323">
        <v>728656</v>
      </c>
      <c r="J152" s="323">
        <v>66944478.472872317</v>
      </c>
      <c r="K152" s="323">
        <v>48155493.171999998</v>
      </c>
      <c r="L152" s="323">
        <v>35386</v>
      </c>
      <c r="M152" s="323">
        <v>4879674.7507507969</v>
      </c>
      <c r="N152" s="323">
        <v>3510119.8709999998</v>
      </c>
      <c r="O152" s="323">
        <v>29465</v>
      </c>
      <c r="P152" s="323">
        <v>3981375.2938914555</v>
      </c>
      <c r="Q152" s="323">
        <v>2863941.8089999999</v>
      </c>
      <c r="R152" s="323">
        <v>64851</v>
      </c>
      <c r="S152" s="323">
        <v>8861050.0446422547</v>
      </c>
      <c r="T152" s="323">
        <v>6374061.6799999997</v>
      </c>
      <c r="U152" s="323">
        <v>457878</v>
      </c>
      <c r="V152" s="323">
        <v>43933603.230419472</v>
      </c>
      <c r="W152" s="323">
        <v>31602969.784000002</v>
      </c>
      <c r="X152" s="323">
        <v>335629</v>
      </c>
      <c r="Y152" s="323">
        <v>31871925.287095092</v>
      </c>
      <c r="Z152" s="323">
        <v>22926585.068</v>
      </c>
      <c r="AA152" s="323">
        <v>793507</v>
      </c>
      <c r="AB152" s="323">
        <v>75805528.517514572</v>
      </c>
      <c r="AC152" s="173">
        <v>54529554.851999998</v>
      </c>
    </row>
    <row r="153" spans="2:29" hidden="1" outlineLevel="1" x14ac:dyDescent="0.25">
      <c r="B153" s="205">
        <v>42767</v>
      </c>
      <c r="C153" s="323">
        <v>424127</v>
      </c>
      <c r="D153" s="323">
        <v>38802643.560238019</v>
      </c>
      <c r="E153" s="323">
        <v>27978911.712000001</v>
      </c>
      <c r="F153" s="323">
        <v>306699</v>
      </c>
      <c r="G153" s="323">
        <v>27770053.128519244</v>
      </c>
      <c r="H153" s="323">
        <v>20023786.872000001</v>
      </c>
      <c r="I153" s="323">
        <v>730826</v>
      </c>
      <c r="J153" s="323">
        <v>66572696.688757263</v>
      </c>
      <c r="K153" s="323">
        <v>48002698.583999999</v>
      </c>
      <c r="L153" s="323">
        <v>35320</v>
      </c>
      <c r="M153" s="323">
        <v>4860710.098257158</v>
      </c>
      <c r="N153" s="323">
        <v>3504848.284</v>
      </c>
      <c r="O153" s="323">
        <v>29378</v>
      </c>
      <c r="P153" s="323">
        <v>3955119.7689284505</v>
      </c>
      <c r="Q153" s="323">
        <v>2851866.179</v>
      </c>
      <c r="R153" s="323">
        <v>64698</v>
      </c>
      <c r="S153" s="323">
        <v>8815829.8671856076</v>
      </c>
      <c r="T153" s="323">
        <v>6356714.4630000005</v>
      </c>
      <c r="U153" s="323">
        <v>459447</v>
      </c>
      <c r="V153" s="323">
        <v>43663353.65849518</v>
      </c>
      <c r="W153" s="323">
        <v>31483759.995999999</v>
      </c>
      <c r="X153" s="323">
        <v>336077</v>
      </c>
      <c r="Y153" s="323">
        <v>31725172.897447698</v>
      </c>
      <c r="Z153" s="323">
        <v>22875653.050999999</v>
      </c>
      <c r="AA153" s="323">
        <v>795524</v>
      </c>
      <c r="AB153" s="323">
        <v>75388526.555942878</v>
      </c>
      <c r="AC153" s="173">
        <v>54359413.046999998</v>
      </c>
    </row>
    <row r="154" spans="2:29" hidden="1" outlineLevel="1" x14ac:dyDescent="0.25">
      <c r="B154" s="205">
        <v>42795</v>
      </c>
      <c r="C154" s="323">
        <v>424388</v>
      </c>
      <c r="D154" s="323">
        <v>38518155.314325273</v>
      </c>
      <c r="E154" s="323">
        <v>27879944.388999999</v>
      </c>
      <c r="F154" s="323">
        <v>308300</v>
      </c>
      <c r="G154" s="323">
        <v>27706929.473033886</v>
      </c>
      <c r="H154" s="323">
        <v>20054637.783</v>
      </c>
      <c r="I154" s="323">
        <v>732688</v>
      </c>
      <c r="J154" s="323">
        <v>66225084.787359163</v>
      </c>
      <c r="K154" s="323">
        <v>47934582.171999998</v>
      </c>
      <c r="L154" s="323">
        <v>35219</v>
      </c>
      <c r="M154" s="323">
        <v>4820452.1554911127</v>
      </c>
      <c r="N154" s="323">
        <v>3489106.2910000002</v>
      </c>
      <c r="O154" s="323">
        <v>29336</v>
      </c>
      <c r="P154" s="323">
        <v>3930462.7114478508</v>
      </c>
      <c r="Q154" s="323">
        <v>2844920.2960000001</v>
      </c>
      <c r="R154" s="323">
        <v>64555</v>
      </c>
      <c r="S154" s="323">
        <v>8750914.8669389635</v>
      </c>
      <c r="T154" s="323">
        <v>6334026.5870000003</v>
      </c>
      <c r="U154" s="323">
        <v>459607</v>
      </c>
      <c r="V154" s="323">
        <v>43338607.469816387</v>
      </c>
      <c r="W154" s="323">
        <v>31369050.68</v>
      </c>
      <c r="X154" s="323">
        <v>337636</v>
      </c>
      <c r="Y154" s="323">
        <v>31637392.18448174</v>
      </c>
      <c r="Z154" s="323">
        <v>22899558.079</v>
      </c>
      <c r="AA154" s="323">
        <v>797243</v>
      </c>
      <c r="AB154" s="323">
        <v>74975999.654298127</v>
      </c>
      <c r="AC154" s="173">
        <v>54268608.759000003</v>
      </c>
    </row>
    <row r="155" spans="2:29" hidden="1" outlineLevel="1" x14ac:dyDescent="0.25">
      <c r="B155" s="205">
        <v>42826</v>
      </c>
      <c r="C155" s="323">
        <v>427169</v>
      </c>
      <c r="D155" s="323">
        <v>38862953.79535646</v>
      </c>
      <c r="E155" s="323">
        <v>28196861.346000001</v>
      </c>
      <c r="F155" s="323">
        <v>310215</v>
      </c>
      <c r="G155" s="323">
        <v>27915350.131614331</v>
      </c>
      <c r="H155" s="323">
        <v>20253871.109000001</v>
      </c>
      <c r="I155" s="323">
        <v>737384</v>
      </c>
      <c r="J155" s="323">
        <v>66778303.926970795</v>
      </c>
      <c r="K155" s="323">
        <v>48450732.454999998</v>
      </c>
      <c r="L155" s="323">
        <v>35233</v>
      </c>
      <c r="M155" s="323">
        <v>4814710.9939225549</v>
      </c>
      <c r="N155" s="323">
        <v>3493294.3859999999</v>
      </c>
      <c r="O155" s="323">
        <v>29366</v>
      </c>
      <c r="P155" s="323">
        <v>3919166.6266129492</v>
      </c>
      <c r="Q155" s="323">
        <v>2843535.7370000002</v>
      </c>
      <c r="R155" s="323">
        <v>64599</v>
      </c>
      <c r="S155" s="323">
        <v>8733877.6205355041</v>
      </c>
      <c r="T155" s="323">
        <v>6336830.1229999997</v>
      </c>
      <c r="U155" s="323">
        <v>462402</v>
      </c>
      <c r="V155" s="323">
        <v>43677664.789279014</v>
      </c>
      <c r="W155" s="323">
        <v>31690155.732000001</v>
      </c>
      <c r="X155" s="323">
        <v>339581</v>
      </c>
      <c r="Y155" s="323">
        <v>31834516.758227281</v>
      </c>
      <c r="Z155" s="323">
        <v>23097406.846000001</v>
      </c>
      <c r="AA155" s="323">
        <v>801983</v>
      </c>
      <c r="AB155" s="323">
        <v>75512181.547506303</v>
      </c>
      <c r="AC155" s="173">
        <v>54787562.578000002</v>
      </c>
    </row>
    <row r="156" spans="2:29" hidden="1" outlineLevel="1" x14ac:dyDescent="0.25">
      <c r="B156" s="205">
        <v>42856</v>
      </c>
      <c r="C156" s="323">
        <v>429990</v>
      </c>
      <c r="D156" s="323">
        <v>39091799.486555085</v>
      </c>
      <c r="E156" s="323">
        <v>28398884.397</v>
      </c>
      <c r="F156" s="323">
        <v>312104</v>
      </c>
      <c r="G156" s="323">
        <v>28111280.25153112</v>
      </c>
      <c r="H156" s="323">
        <v>20421904.557999998</v>
      </c>
      <c r="I156" s="323">
        <v>742094</v>
      </c>
      <c r="J156" s="323">
        <v>67203079.738086209</v>
      </c>
      <c r="K156" s="323">
        <v>48820788.954999998</v>
      </c>
      <c r="L156" s="323">
        <v>35231</v>
      </c>
      <c r="M156" s="323">
        <v>4803166.2228660807</v>
      </c>
      <c r="N156" s="323">
        <v>3489339.557</v>
      </c>
      <c r="O156" s="323">
        <v>29372</v>
      </c>
      <c r="P156" s="323">
        <v>3915533.4199203141</v>
      </c>
      <c r="Q156" s="323">
        <v>2844504.0240000002</v>
      </c>
      <c r="R156" s="323">
        <v>64603</v>
      </c>
      <c r="S156" s="323">
        <v>8718699.6427863948</v>
      </c>
      <c r="T156" s="323">
        <v>6333843.5810000002</v>
      </c>
      <c r="U156" s="323">
        <v>465221</v>
      </c>
      <c r="V156" s="323">
        <v>43894965.709421165</v>
      </c>
      <c r="W156" s="323">
        <v>31888223.954</v>
      </c>
      <c r="X156" s="323">
        <v>341476</v>
      </c>
      <c r="Y156" s="323">
        <v>32026813.671451434</v>
      </c>
      <c r="Z156" s="323">
        <v>23266408.581999999</v>
      </c>
      <c r="AA156" s="323">
        <v>806697</v>
      </c>
      <c r="AB156" s="323">
        <v>75921779.380872607</v>
      </c>
      <c r="AC156" s="173">
        <v>55154632.535999998</v>
      </c>
    </row>
    <row r="157" spans="2:29" hidden="1" outlineLevel="1" x14ac:dyDescent="0.25">
      <c r="B157" s="205">
        <v>42887</v>
      </c>
      <c r="C157" s="323">
        <v>432504</v>
      </c>
      <c r="D157" s="323">
        <v>39394192.584336668</v>
      </c>
      <c r="E157" s="323">
        <v>28506998.822999999</v>
      </c>
      <c r="F157" s="323">
        <v>313616</v>
      </c>
      <c r="G157" s="323">
        <v>28205653.391303573</v>
      </c>
      <c r="H157" s="323">
        <v>20410585.298999999</v>
      </c>
      <c r="I157" s="323">
        <v>746120</v>
      </c>
      <c r="J157" s="323">
        <v>67599845.975640237</v>
      </c>
      <c r="K157" s="323">
        <v>48917584.122000001</v>
      </c>
      <c r="L157" s="323">
        <v>35330</v>
      </c>
      <c r="M157" s="323">
        <v>4828491.8693372943</v>
      </c>
      <c r="N157" s="323">
        <v>3494063.5410000002</v>
      </c>
      <c r="O157" s="323">
        <v>29496</v>
      </c>
      <c r="P157" s="323">
        <v>3938727.1766362921</v>
      </c>
      <c r="Q157" s="323">
        <v>2850199.068</v>
      </c>
      <c r="R157" s="323">
        <v>64826</v>
      </c>
      <c r="S157" s="323">
        <v>8767219.0459735878</v>
      </c>
      <c r="T157" s="323">
        <v>6344262.6090000002</v>
      </c>
      <c r="U157" s="323">
        <v>467834</v>
      </c>
      <c r="V157" s="323">
        <v>44222684.453673966</v>
      </c>
      <c r="W157" s="323">
        <v>32001062.364</v>
      </c>
      <c r="X157" s="323">
        <v>343112</v>
      </c>
      <c r="Y157" s="323">
        <v>32144380.567939866</v>
      </c>
      <c r="Z157" s="323">
        <v>23260784.366999999</v>
      </c>
      <c r="AA157" s="323">
        <v>810946</v>
      </c>
      <c r="AB157" s="323">
        <v>76367065.021613836</v>
      </c>
      <c r="AC157" s="173">
        <v>55261846.730999999</v>
      </c>
    </row>
    <row r="158" spans="2:29" hidden="1" outlineLevel="1" x14ac:dyDescent="0.25">
      <c r="B158" s="205">
        <v>42917</v>
      </c>
      <c r="C158" s="323">
        <v>434836</v>
      </c>
      <c r="D158" s="323">
        <v>41110835.288556032</v>
      </c>
      <c r="E158" s="323">
        <v>29820947.833000001</v>
      </c>
      <c r="F158" s="323">
        <v>316011</v>
      </c>
      <c r="G158" s="323">
        <v>29605688.027899932</v>
      </c>
      <c r="H158" s="323">
        <v>21475352.471999999</v>
      </c>
      <c r="I158" s="323">
        <v>750847</v>
      </c>
      <c r="J158" s="323">
        <v>70716523.31645596</v>
      </c>
      <c r="K158" s="323">
        <v>51296300.305</v>
      </c>
      <c r="L158" s="323">
        <v>35288</v>
      </c>
      <c r="M158" s="323">
        <v>4921143.8920310447</v>
      </c>
      <c r="N158" s="323">
        <v>3569695.781</v>
      </c>
      <c r="O158" s="323">
        <v>29485</v>
      </c>
      <c r="P158" s="323">
        <v>4019517.6725787017</v>
      </c>
      <c r="Q158" s="323">
        <v>2915674.8089999999</v>
      </c>
      <c r="R158" s="323">
        <v>64773</v>
      </c>
      <c r="S158" s="323">
        <v>8940661.5646097474</v>
      </c>
      <c r="T158" s="323">
        <v>6485370.5899999999</v>
      </c>
      <c r="U158" s="323">
        <v>470124</v>
      </c>
      <c r="V158" s="323">
        <v>46031979.180587076</v>
      </c>
      <c r="W158" s="323">
        <v>33390643.614</v>
      </c>
      <c r="X158" s="323">
        <v>345496</v>
      </c>
      <c r="Y158" s="323">
        <v>33625205.700478636</v>
      </c>
      <c r="Z158" s="323">
        <v>24391027.280999999</v>
      </c>
      <c r="AA158" s="323">
        <v>815620</v>
      </c>
      <c r="AB158" s="323">
        <v>79657184.881065711</v>
      </c>
      <c r="AC158" s="173">
        <v>57781670.895000003</v>
      </c>
    </row>
    <row r="159" spans="2:29" hidden="1" outlineLevel="1" x14ac:dyDescent="0.25">
      <c r="B159" s="205">
        <v>42948</v>
      </c>
      <c r="C159" s="323">
        <v>436895</v>
      </c>
      <c r="D159" s="323">
        <v>40922697.952849522</v>
      </c>
      <c r="E159" s="323">
        <v>29744478.147999998</v>
      </c>
      <c r="F159" s="323">
        <v>317865</v>
      </c>
      <c r="G159" s="323">
        <v>29446702.531218216</v>
      </c>
      <c r="H159" s="323">
        <v>21403202.715999998</v>
      </c>
      <c r="I159" s="323">
        <v>754760</v>
      </c>
      <c r="J159" s="323">
        <v>70369400.484067738</v>
      </c>
      <c r="K159" s="323">
        <v>51147680.864</v>
      </c>
      <c r="L159" s="323">
        <v>35290</v>
      </c>
      <c r="M159" s="323">
        <v>4884457.0866474696</v>
      </c>
      <c r="N159" s="323">
        <v>3550245.5690000001</v>
      </c>
      <c r="O159" s="323">
        <v>29535</v>
      </c>
      <c r="P159" s="323">
        <v>4012344.6802768726</v>
      </c>
      <c r="Q159" s="323">
        <v>2916354.6060000001</v>
      </c>
      <c r="R159" s="323">
        <v>64825</v>
      </c>
      <c r="S159" s="323">
        <v>8896801.7669243403</v>
      </c>
      <c r="T159" s="323">
        <v>6466600.1749999998</v>
      </c>
      <c r="U159" s="323">
        <v>472185</v>
      </c>
      <c r="V159" s="323">
        <v>45807155.039496996</v>
      </c>
      <c r="W159" s="323">
        <v>33294723.717</v>
      </c>
      <c r="X159" s="323">
        <v>347400</v>
      </c>
      <c r="Y159" s="323">
        <v>33459047.21149509</v>
      </c>
      <c r="Z159" s="323">
        <v>24319557.322000001</v>
      </c>
      <c r="AA159" s="323">
        <v>819585</v>
      </c>
      <c r="AB159" s="323">
        <v>79266202.250992075</v>
      </c>
      <c r="AC159" s="173">
        <v>57614281.038999997</v>
      </c>
    </row>
    <row r="160" spans="2:29" hidden="1" outlineLevel="1" x14ac:dyDescent="0.25">
      <c r="B160" s="205">
        <v>42979</v>
      </c>
      <c r="C160" s="323">
        <v>439139</v>
      </c>
      <c r="D160" s="323">
        <v>41303903.708117999</v>
      </c>
      <c r="E160" s="323">
        <v>29976170.539999999</v>
      </c>
      <c r="F160" s="323">
        <v>319533</v>
      </c>
      <c r="G160" s="323">
        <v>29595681.12587006</v>
      </c>
      <c r="H160" s="323">
        <v>21478966.999000002</v>
      </c>
      <c r="I160" s="323">
        <v>758672</v>
      </c>
      <c r="J160" s="323">
        <v>70899584.833988056</v>
      </c>
      <c r="K160" s="323">
        <v>51455137.538999997</v>
      </c>
      <c r="L160" s="323">
        <v>35214</v>
      </c>
      <c r="M160" s="323">
        <v>4871625.9821486901</v>
      </c>
      <c r="N160" s="323">
        <v>3535566.33</v>
      </c>
      <c r="O160" s="323">
        <v>29509</v>
      </c>
      <c r="P160" s="323">
        <v>3998634.1243670299</v>
      </c>
      <c r="Q160" s="323">
        <v>2901995.3969999999</v>
      </c>
      <c r="R160" s="323">
        <v>64723</v>
      </c>
      <c r="S160" s="323">
        <v>8870260.1065157205</v>
      </c>
      <c r="T160" s="323">
        <v>6437561.727</v>
      </c>
      <c r="U160" s="323">
        <v>474353</v>
      </c>
      <c r="V160" s="323">
        <v>46175529.690266684</v>
      </c>
      <c r="W160" s="323">
        <v>33511736.870000001</v>
      </c>
      <c r="X160" s="323">
        <v>349042</v>
      </c>
      <c r="Y160" s="323">
        <v>33594315.250237092</v>
      </c>
      <c r="Z160" s="323">
        <v>24380962.396000002</v>
      </c>
      <c r="AA160" s="323">
        <v>823395</v>
      </c>
      <c r="AB160" s="323">
        <v>79769844.940503776</v>
      </c>
      <c r="AC160" s="173">
        <v>57892699.266000003</v>
      </c>
    </row>
    <row r="161" spans="2:29" hidden="1" outlineLevel="1" x14ac:dyDescent="0.25">
      <c r="B161" s="205">
        <v>43009</v>
      </c>
      <c r="C161" s="323">
        <v>442652</v>
      </c>
      <c r="D161" s="323">
        <v>41564247.730212323</v>
      </c>
      <c r="E161" s="323">
        <v>30342106.068</v>
      </c>
      <c r="F161" s="323">
        <v>321666</v>
      </c>
      <c r="G161" s="323">
        <v>29752992.118558671</v>
      </c>
      <c r="H161" s="323">
        <v>21719831.153000001</v>
      </c>
      <c r="I161" s="323">
        <v>764318</v>
      </c>
      <c r="J161" s="323">
        <v>71317239.848770991</v>
      </c>
      <c r="K161" s="323">
        <v>52061937.221000001</v>
      </c>
      <c r="L161" s="323">
        <v>35178</v>
      </c>
      <c r="M161" s="323">
        <v>4858751.01471892</v>
      </c>
      <c r="N161" s="323">
        <v>3546912.2310000001</v>
      </c>
      <c r="O161" s="323">
        <v>29486</v>
      </c>
      <c r="P161" s="323">
        <v>3975307.6270929058</v>
      </c>
      <c r="Q161" s="323">
        <v>2901994.196</v>
      </c>
      <c r="R161" s="323">
        <v>64664</v>
      </c>
      <c r="S161" s="323">
        <v>8834058.6418118272</v>
      </c>
      <c r="T161" s="323">
        <v>6448906.4270000001</v>
      </c>
      <c r="U161" s="323">
        <v>477830</v>
      </c>
      <c r="V161" s="323">
        <v>46422998.744931243</v>
      </c>
      <c r="W161" s="323">
        <v>33889018.299000002</v>
      </c>
      <c r="X161" s="323">
        <v>351152</v>
      </c>
      <c r="Y161" s="323">
        <v>33728299.74565158</v>
      </c>
      <c r="Z161" s="323">
        <v>24621825.348999999</v>
      </c>
      <c r="AA161" s="323">
        <v>828982</v>
      </c>
      <c r="AB161" s="323">
        <v>80151298.490582824</v>
      </c>
      <c r="AC161" s="173">
        <v>58510843.648000002</v>
      </c>
    </row>
    <row r="162" spans="2:29" hidden="1" outlineLevel="1" x14ac:dyDescent="0.25">
      <c r="B162" s="205">
        <v>43040</v>
      </c>
      <c r="C162" s="323">
        <v>445509</v>
      </c>
      <c r="D162" s="323">
        <v>41800407.256912559</v>
      </c>
      <c r="E162" s="323">
        <v>30540621.129999999</v>
      </c>
      <c r="F162" s="323">
        <v>323597</v>
      </c>
      <c r="G162" s="323">
        <v>29826705.734962545</v>
      </c>
      <c r="H162" s="323">
        <v>21792278.572999999</v>
      </c>
      <c r="I162" s="323">
        <v>769106</v>
      </c>
      <c r="J162" s="323">
        <v>71627112.991875112</v>
      </c>
      <c r="K162" s="323">
        <v>52332899.703000002</v>
      </c>
      <c r="L162" s="323">
        <v>35101</v>
      </c>
      <c r="M162" s="323">
        <v>4839604.2961453814</v>
      </c>
      <c r="N162" s="323">
        <v>3535958.88</v>
      </c>
      <c r="O162" s="323">
        <v>29463</v>
      </c>
      <c r="P162" s="323">
        <v>3972000.7726635025</v>
      </c>
      <c r="Q162" s="323">
        <v>2902061.9339999999</v>
      </c>
      <c r="R162" s="323">
        <v>64564</v>
      </c>
      <c r="S162" s="323">
        <v>8811605.0688088834</v>
      </c>
      <c r="T162" s="323">
        <v>6438020.8140000002</v>
      </c>
      <c r="U162" s="323">
        <v>480610</v>
      </c>
      <c r="V162" s="323">
        <v>46640011.553057939</v>
      </c>
      <c r="W162" s="323">
        <v>34076580.009999998</v>
      </c>
      <c r="X162" s="323">
        <v>353060</v>
      </c>
      <c r="Y162" s="323">
        <v>33798706.507626049</v>
      </c>
      <c r="Z162" s="323">
        <v>24694340.506999999</v>
      </c>
      <c r="AA162" s="323">
        <v>833670</v>
      </c>
      <c r="AB162" s="323">
        <v>80438718.060683995</v>
      </c>
      <c r="AC162" s="173">
        <v>58770920.516999997</v>
      </c>
    </row>
    <row r="163" spans="2:29" hidden="1" outlineLevel="1" x14ac:dyDescent="0.25">
      <c r="B163" s="205">
        <v>43070</v>
      </c>
      <c r="C163" s="323">
        <v>448472</v>
      </c>
      <c r="D163" s="323">
        <v>42108176.660490386</v>
      </c>
      <c r="E163" s="323">
        <v>30810925.061000001</v>
      </c>
      <c r="F163" s="323">
        <v>325611</v>
      </c>
      <c r="G163" s="323">
        <v>30001463.713224001</v>
      </c>
      <c r="H163" s="323">
        <v>21952336.184999999</v>
      </c>
      <c r="I163" s="323">
        <v>774083</v>
      </c>
      <c r="J163" s="323">
        <v>72109640.373714387</v>
      </c>
      <c r="K163" s="323">
        <v>52763261.245999999</v>
      </c>
      <c r="L163" s="323">
        <v>35047</v>
      </c>
      <c r="M163" s="323">
        <v>4821072.4751166385</v>
      </c>
      <c r="N163" s="323">
        <v>3527621.344</v>
      </c>
      <c r="O163" s="323">
        <v>29394</v>
      </c>
      <c r="P163" s="323">
        <v>3949726.9918757631</v>
      </c>
      <c r="Q163" s="323">
        <v>2890050.1519999998</v>
      </c>
      <c r="R163" s="323">
        <v>64441</v>
      </c>
      <c r="S163" s="323">
        <v>8770799.4669924006</v>
      </c>
      <c r="T163" s="323">
        <v>6417671.4960000003</v>
      </c>
      <c r="U163" s="323">
        <v>483519</v>
      </c>
      <c r="V163" s="323">
        <v>46929249.135607027</v>
      </c>
      <c r="W163" s="323">
        <v>34338546.405000001</v>
      </c>
      <c r="X163" s="323">
        <v>355005</v>
      </c>
      <c r="Y163" s="323">
        <v>33951190.705099769</v>
      </c>
      <c r="Z163" s="323">
        <v>24842386.337000001</v>
      </c>
      <c r="AA163" s="323">
        <v>838524</v>
      </c>
      <c r="AB163" s="323">
        <v>80880439.840706781</v>
      </c>
      <c r="AC163" s="173">
        <v>59180932.741999999</v>
      </c>
    </row>
    <row r="164" spans="2:29" collapsed="1" x14ac:dyDescent="0.25">
      <c r="B164" s="325" t="s">
        <v>699</v>
      </c>
      <c r="C164" s="324">
        <v>434014.41666666669</v>
      </c>
      <c r="D164" s="324">
        <v>40211161.818134911</v>
      </c>
      <c r="E164" s="324"/>
      <c r="F164" s="324">
        <v>315115.08333333331</v>
      </c>
      <c r="G164" s="324">
        <v>28819087.468411595</v>
      </c>
      <c r="H164" s="324"/>
      <c r="I164" s="324">
        <v>749129.5</v>
      </c>
      <c r="J164" s="324">
        <v>69030249.286546528</v>
      </c>
      <c r="K164" s="324"/>
      <c r="L164" s="324">
        <v>35236.416666666664</v>
      </c>
      <c r="M164" s="324">
        <v>4850321.736452762</v>
      </c>
      <c r="N164" s="324"/>
      <c r="O164" s="324">
        <v>29440.416666666668</v>
      </c>
      <c r="P164" s="324">
        <v>3963993.072191007</v>
      </c>
      <c r="Q164" s="324"/>
      <c r="R164" s="324">
        <v>64676.833333333336</v>
      </c>
      <c r="S164" s="324">
        <v>8814314.8086437713</v>
      </c>
      <c r="T164" s="324"/>
      <c r="U164" s="324">
        <v>469250.83333333331</v>
      </c>
      <c r="V164" s="324">
        <v>45061483.55458767</v>
      </c>
      <c r="W164" s="324"/>
      <c r="X164" s="324">
        <v>344555.5</v>
      </c>
      <c r="Y164" s="324">
        <v>32783080.540602613</v>
      </c>
      <c r="Z164" s="324"/>
      <c r="AA164" s="324">
        <v>813806.33333333337</v>
      </c>
      <c r="AB164" s="324">
        <v>77844564.095190302</v>
      </c>
      <c r="AC164" s="327"/>
    </row>
    <row r="165" spans="2:29" hidden="1" outlineLevel="1" x14ac:dyDescent="0.25">
      <c r="B165" s="205">
        <v>43101</v>
      </c>
      <c r="C165" s="323">
        <v>451178</v>
      </c>
      <c r="D165" s="323">
        <v>42194138.85458947</v>
      </c>
      <c r="E165" s="323">
        <v>31016005.504000001</v>
      </c>
      <c r="F165" s="323">
        <v>327550</v>
      </c>
      <c r="G165" s="323">
        <v>30037207.628148668</v>
      </c>
      <c r="H165" s="323">
        <v>22079706.386</v>
      </c>
      <c r="I165" s="323">
        <v>778728</v>
      </c>
      <c r="J165" s="323">
        <v>72231346.482738122</v>
      </c>
      <c r="K165" s="323">
        <v>53095711.890000001</v>
      </c>
      <c r="L165" s="323">
        <v>35049</v>
      </c>
      <c r="M165" s="323">
        <v>4798291.4829600891</v>
      </c>
      <c r="N165" s="323">
        <v>3527121.0430000001</v>
      </c>
      <c r="O165" s="323">
        <v>29405</v>
      </c>
      <c r="P165" s="323">
        <v>3941044.1311487025</v>
      </c>
      <c r="Q165" s="323">
        <v>2896976.9210000001</v>
      </c>
      <c r="R165" s="323">
        <v>64454</v>
      </c>
      <c r="S165" s="323">
        <v>8739335.6141087916</v>
      </c>
      <c r="T165" s="323">
        <v>6424097.9639999997</v>
      </c>
      <c r="U165" s="323">
        <v>486227</v>
      </c>
      <c r="V165" s="323">
        <v>46992430.337549552</v>
      </c>
      <c r="W165" s="323">
        <v>34543126.546999998</v>
      </c>
      <c r="X165" s="323">
        <v>356955</v>
      </c>
      <c r="Y165" s="323">
        <v>33978251.759297363</v>
      </c>
      <c r="Z165" s="323">
        <v>24976683.307</v>
      </c>
      <c r="AA165" s="323">
        <v>843182</v>
      </c>
      <c r="AB165" s="323">
        <v>80970682.096846923</v>
      </c>
      <c r="AC165" s="173">
        <v>59519809.854000002</v>
      </c>
    </row>
    <row r="166" spans="2:29" hidden="1" outlineLevel="1" x14ac:dyDescent="0.25">
      <c r="B166" s="205">
        <v>43132</v>
      </c>
      <c r="C166" s="323">
        <v>453700</v>
      </c>
      <c r="D166" s="323">
        <v>42119177.770756118</v>
      </c>
      <c r="E166" s="323">
        <v>30974827.267000001</v>
      </c>
      <c r="F166" s="323">
        <v>329547</v>
      </c>
      <c r="G166" s="323">
        <v>30107234.008210272</v>
      </c>
      <c r="H166" s="323">
        <v>22141134.329999998</v>
      </c>
      <c r="I166" s="323">
        <v>783247</v>
      </c>
      <c r="J166" s="323">
        <v>72226411.778966382</v>
      </c>
      <c r="K166" s="323">
        <v>53115961.597000003</v>
      </c>
      <c r="L166" s="323">
        <v>35033</v>
      </c>
      <c r="M166" s="323">
        <v>4788131.1968027363</v>
      </c>
      <c r="N166" s="323">
        <v>3521235.3280000002</v>
      </c>
      <c r="O166" s="323">
        <v>29490</v>
      </c>
      <c r="P166" s="323">
        <v>3951626.1983014429</v>
      </c>
      <c r="Q166" s="323">
        <v>2906061.9270000001</v>
      </c>
      <c r="R166" s="323">
        <v>64523</v>
      </c>
      <c r="S166" s="323">
        <v>8739757.3951041792</v>
      </c>
      <c r="T166" s="323">
        <v>6427297.2549999999</v>
      </c>
      <c r="U166" s="323">
        <v>488733</v>
      </c>
      <c r="V166" s="323">
        <v>46907308.967558853</v>
      </c>
      <c r="W166" s="323">
        <v>34496062.594999999</v>
      </c>
      <c r="X166" s="323">
        <v>359037</v>
      </c>
      <c r="Y166" s="323">
        <v>34058860.206511714</v>
      </c>
      <c r="Z166" s="323">
        <v>25047196.256999999</v>
      </c>
      <c r="AA166" s="323">
        <v>847770</v>
      </c>
      <c r="AB166" s="323">
        <v>80966169.174070567</v>
      </c>
      <c r="AC166" s="173">
        <v>59543258.851999998</v>
      </c>
    </row>
    <row r="167" spans="2:29" hidden="1" outlineLevel="1" x14ac:dyDescent="0.25">
      <c r="B167" s="205">
        <v>43160</v>
      </c>
      <c r="C167" s="323">
        <v>458631</v>
      </c>
      <c r="D167" s="323">
        <v>43041116.422302671</v>
      </c>
      <c r="E167" s="323">
        <v>31717601.550999999</v>
      </c>
      <c r="F167" s="323">
        <v>332732</v>
      </c>
      <c r="G167" s="323">
        <v>30625527.322160013</v>
      </c>
      <c r="H167" s="323">
        <v>22568380.043000001</v>
      </c>
      <c r="I167" s="323">
        <v>791363</v>
      </c>
      <c r="J167" s="323">
        <v>73666643.744462684</v>
      </c>
      <c r="K167" s="323">
        <v>54285981.593999997</v>
      </c>
      <c r="L167" s="323">
        <v>35283</v>
      </c>
      <c r="M167" s="323">
        <v>4855914.8041486125</v>
      </c>
      <c r="N167" s="323">
        <v>3578391.6340000001</v>
      </c>
      <c r="O167" s="323">
        <v>29743</v>
      </c>
      <c r="P167" s="323">
        <v>4006648.0112790484</v>
      </c>
      <c r="Q167" s="323">
        <v>2952555.0389999999</v>
      </c>
      <c r="R167" s="323">
        <v>65026</v>
      </c>
      <c r="S167" s="323">
        <v>8862562.8154276628</v>
      </c>
      <c r="T167" s="323">
        <v>6530946.6730000004</v>
      </c>
      <c r="U167" s="323">
        <v>493914</v>
      </c>
      <c r="V167" s="323">
        <v>47897031.226451285</v>
      </c>
      <c r="W167" s="323">
        <v>35295993.185000002</v>
      </c>
      <c r="X167" s="323">
        <v>362475</v>
      </c>
      <c r="Y167" s="323">
        <v>34632175.33343906</v>
      </c>
      <c r="Z167" s="323">
        <v>25520935.081999999</v>
      </c>
      <c r="AA167" s="323">
        <v>856389</v>
      </c>
      <c r="AB167" s="323">
        <v>82529206.559890345</v>
      </c>
      <c r="AC167" s="173">
        <v>60816928.266999997</v>
      </c>
    </row>
    <row r="168" spans="2:29" hidden="1" outlineLevel="1" x14ac:dyDescent="0.25">
      <c r="B168" s="205">
        <v>43191</v>
      </c>
      <c r="C168" s="323">
        <v>464449</v>
      </c>
      <c r="D168" s="323">
        <v>43535936.959819846</v>
      </c>
      <c r="E168" s="323">
        <v>32183666.956</v>
      </c>
      <c r="F168" s="323">
        <v>336427</v>
      </c>
      <c r="G168" s="323">
        <v>30845940.846039366</v>
      </c>
      <c r="H168" s="323">
        <v>22802667.324000001</v>
      </c>
      <c r="I168" s="323">
        <v>800876</v>
      </c>
      <c r="J168" s="323">
        <v>74381877.805859208</v>
      </c>
      <c r="K168" s="323">
        <v>54986334.280000001</v>
      </c>
      <c r="L168" s="323">
        <v>35549</v>
      </c>
      <c r="M168" s="323">
        <v>4852330.0089080818</v>
      </c>
      <c r="N168" s="323">
        <v>3587054.3709999998</v>
      </c>
      <c r="O168" s="323">
        <v>29988</v>
      </c>
      <c r="P168" s="323">
        <v>3997769.6423583417</v>
      </c>
      <c r="Q168" s="323">
        <v>2955326.0070000002</v>
      </c>
      <c r="R168" s="323">
        <v>65537</v>
      </c>
      <c r="S168" s="323">
        <v>8850099.651266424</v>
      </c>
      <c r="T168" s="323">
        <v>6542380.3779999996</v>
      </c>
      <c r="U168" s="323">
        <v>499998</v>
      </c>
      <c r="V168" s="323">
        <v>48388266.968727931</v>
      </c>
      <c r="W168" s="323">
        <v>35770721.327</v>
      </c>
      <c r="X168" s="323">
        <v>366415</v>
      </c>
      <c r="Y168" s="323">
        <v>34843710.48839771</v>
      </c>
      <c r="Z168" s="323">
        <v>25757993.331</v>
      </c>
      <c r="AA168" s="323">
        <v>866413</v>
      </c>
      <c r="AB168" s="323">
        <v>83231977.457125634</v>
      </c>
      <c r="AC168" s="173">
        <v>61528714.658</v>
      </c>
    </row>
    <row r="169" spans="2:29" hidden="1" outlineLevel="1" x14ac:dyDescent="0.25">
      <c r="B169" s="205">
        <v>43221</v>
      </c>
      <c r="C169" s="323">
        <v>468409</v>
      </c>
      <c r="D169" s="323">
        <v>43571000.572305061</v>
      </c>
      <c r="E169" s="323">
        <v>32299686.548999999</v>
      </c>
      <c r="F169" s="323">
        <v>339383</v>
      </c>
      <c r="G169" s="323">
        <v>30987116.741577249</v>
      </c>
      <c r="H169" s="323">
        <v>22971107.954</v>
      </c>
      <c r="I169" s="323">
        <v>807792</v>
      </c>
      <c r="J169" s="323">
        <v>74558117.313882306</v>
      </c>
      <c r="K169" s="323">
        <v>55270794.502999999</v>
      </c>
      <c r="L169" s="323">
        <v>35884</v>
      </c>
      <c r="M169" s="323">
        <v>4894635.7950027231</v>
      </c>
      <c r="N169" s="323">
        <v>3628450.1129999999</v>
      </c>
      <c r="O169" s="323">
        <v>30386</v>
      </c>
      <c r="P169" s="323">
        <v>4045338.8432683744</v>
      </c>
      <c r="Q169" s="323">
        <v>2998856.4619999998</v>
      </c>
      <c r="R169" s="323">
        <v>66270</v>
      </c>
      <c r="S169" s="323">
        <v>8939974.6382710971</v>
      </c>
      <c r="T169" s="323">
        <v>6627306.5750000002</v>
      </c>
      <c r="U169" s="323">
        <v>504293</v>
      </c>
      <c r="V169" s="323">
        <v>48465636.367307782</v>
      </c>
      <c r="W169" s="323">
        <v>35928136.662</v>
      </c>
      <c r="X169" s="323">
        <v>369769</v>
      </c>
      <c r="Y169" s="323">
        <v>35032455.584845617</v>
      </c>
      <c r="Z169" s="323">
        <v>25969964.416000001</v>
      </c>
      <c r="AA169" s="323">
        <v>874062</v>
      </c>
      <c r="AB169" s="323">
        <v>83498091.952153414</v>
      </c>
      <c r="AC169" s="173">
        <v>61898101.078000002</v>
      </c>
    </row>
    <row r="170" spans="2:29" hidden="1" outlineLevel="1" x14ac:dyDescent="0.25">
      <c r="B170" s="205">
        <v>43252</v>
      </c>
      <c r="C170" s="323">
        <v>471975</v>
      </c>
      <c r="D170" s="323">
        <v>43849308.213671446</v>
      </c>
      <c r="E170" s="323">
        <v>32539504.044</v>
      </c>
      <c r="F170" s="323">
        <v>342712</v>
      </c>
      <c r="G170" s="323">
        <v>31262042.905686501</v>
      </c>
      <c r="H170" s="323">
        <v>23198800.916000001</v>
      </c>
      <c r="I170" s="323">
        <v>814687</v>
      </c>
      <c r="J170" s="323">
        <v>75111351.119357944</v>
      </c>
      <c r="K170" s="323">
        <v>55738304.960000001</v>
      </c>
      <c r="L170" s="323">
        <v>36044</v>
      </c>
      <c r="M170" s="323">
        <v>4884313.2965902584</v>
      </c>
      <c r="N170" s="323">
        <v>3624529.9810000001</v>
      </c>
      <c r="O170" s="323">
        <v>30563</v>
      </c>
      <c r="P170" s="323">
        <v>4030251.422855068</v>
      </c>
      <c r="Q170" s="323">
        <v>2990751.4580000001</v>
      </c>
      <c r="R170" s="323">
        <v>66607</v>
      </c>
      <c r="S170" s="323">
        <v>8914564.7194453273</v>
      </c>
      <c r="T170" s="323">
        <v>6615281.4390000002</v>
      </c>
      <c r="U170" s="323">
        <v>508019</v>
      </c>
      <c r="V170" s="323">
        <v>48733621.510261707</v>
      </c>
      <c r="W170" s="323">
        <v>36164034.024999999</v>
      </c>
      <c r="X170" s="323">
        <v>373275</v>
      </c>
      <c r="Y170" s="323">
        <v>35292294.328541569</v>
      </c>
      <c r="Z170" s="323">
        <v>26189552.374000002</v>
      </c>
      <c r="AA170" s="323">
        <v>881294</v>
      </c>
      <c r="AB170" s="323">
        <v>84025915.838803262</v>
      </c>
      <c r="AC170" s="173">
        <v>62353586.398999996</v>
      </c>
    </row>
    <row r="171" spans="2:29" hidden="1" outlineLevel="1" x14ac:dyDescent="0.25">
      <c r="B171" s="205">
        <v>43282</v>
      </c>
      <c r="C171" s="323">
        <v>475671</v>
      </c>
      <c r="D171" s="323">
        <v>45781751.100348018</v>
      </c>
      <c r="E171" s="323">
        <v>34093858.626000002</v>
      </c>
      <c r="F171" s="323">
        <v>346201</v>
      </c>
      <c r="G171" s="323">
        <v>32641333.239810534</v>
      </c>
      <c r="H171" s="323">
        <v>24308135.318</v>
      </c>
      <c r="I171" s="323">
        <v>821872</v>
      </c>
      <c r="J171" s="323">
        <v>78423084.340158552</v>
      </c>
      <c r="K171" s="323">
        <v>58401993.943999998</v>
      </c>
      <c r="L171" s="323">
        <v>36149</v>
      </c>
      <c r="M171" s="323">
        <v>4988401.3576774783</v>
      </c>
      <c r="N171" s="323">
        <v>3714883.0389999999</v>
      </c>
      <c r="O171" s="323">
        <v>30697</v>
      </c>
      <c r="P171" s="323">
        <v>4135946.0204749443</v>
      </c>
      <c r="Q171" s="323">
        <v>3080056.0380000002</v>
      </c>
      <c r="R171" s="323">
        <v>66846</v>
      </c>
      <c r="S171" s="323">
        <v>9124347.3781524245</v>
      </c>
      <c r="T171" s="323">
        <v>6794939.0769999996</v>
      </c>
      <c r="U171" s="323">
        <v>511820</v>
      </c>
      <c r="V171" s="323">
        <v>50770152.4580255</v>
      </c>
      <c r="W171" s="323">
        <v>37808741.664999999</v>
      </c>
      <c r="X171" s="323">
        <v>376898</v>
      </c>
      <c r="Y171" s="323">
        <v>36777279.260285474</v>
      </c>
      <c r="Z171" s="323">
        <v>27388191.355999999</v>
      </c>
      <c r="AA171" s="323">
        <v>888718</v>
      </c>
      <c r="AB171" s="323">
        <v>87547431.718310967</v>
      </c>
      <c r="AC171" s="173">
        <v>65196933.020999998</v>
      </c>
    </row>
    <row r="172" spans="2:29" hidden="1" outlineLevel="1" x14ac:dyDescent="0.25">
      <c r="B172" s="205">
        <v>43313</v>
      </c>
      <c r="C172" s="323">
        <v>478874</v>
      </c>
      <c r="D172" s="323">
        <v>46028900.594548218</v>
      </c>
      <c r="E172" s="323">
        <v>34336824.353</v>
      </c>
      <c r="F172" s="323">
        <v>349112</v>
      </c>
      <c r="G172" s="323">
        <v>32811456.353223376</v>
      </c>
      <c r="H172" s="323">
        <v>24476822.149</v>
      </c>
      <c r="I172" s="323">
        <v>827986</v>
      </c>
      <c r="J172" s="323">
        <v>78840356.947771594</v>
      </c>
      <c r="K172" s="323">
        <v>58813646.501999997</v>
      </c>
      <c r="L172" s="323">
        <v>36176</v>
      </c>
      <c r="M172" s="323">
        <v>4962885.0098812273</v>
      </c>
      <c r="N172" s="323">
        <v>3702232.9160000002</v>
      </c>
      <c r="O172" s="323">
        <v>30737</v>
      </c>
      <c r="P172" s="323">
        <v>4118052.6902043973</v>
      </c>
      <c r="Q172" s="323">
        <v>3072001.5049999999</v>
      </c>
      <c r="R172" s="323">
        <v>66913</v>
      </c>
      <c r="S172" s="323">
        <v>9080937.7000856251</v>
      </c>
      <c r="T172" s="323">
        <v>6774234.4210000001</v>
      </c>
      <c r="U172" s="323">
        <v>515050</v>
      </c>
      <c r="V172" s="323">
        <v>50991785.604429446</v>
      </c>
      <c r="W172" s="323">
        <v>38039057.269000001</v>
      </c>
      <c r="X172" s="323">
        <v>379849</v>
      </c>
      <c r="Y172" s="323">
        <v>36929509.043427773</v>
      </c>
      <c r="Z172" s="323">
        <v>27548823.653999999</v>
      </c>
      <c r="AA172" s="323">
        <v>894899</v>
      </c>
      <c r="AB172" s="323">
        <v>87921294.647857219</v>
      </c>
      <c r="AC172" s="173">
        <v>65587880.923</v>
      </c>
    </row>
    <row r="173" spans="2:29" hidden="1" outlineLevel="1" x14ac:dyDescent="0.25">
      <c r="B173" s="205">
        <v>43344</v>
      </c>
      <c r="C173" s="323">
        <v>481641</v>
      </c>
      <c r="D173" s="323">
        <v>46218237.80743698</v>
      </c>
      <c r="E173" s="323">
        <v>34595251.151000001</v>
      </c>
      <c r="F173" s="323">
        <v>351534</v>
      </c>
      <c r="G173" s="323">
        <v>32866292.180382192</v>
      </c>
      <c r="H173" s="323">
        <v>24601059.805</v>
      </c>
      <c r="I173" s="323">
        <v>833175</v>
      </c>
      <c r="J173" s="323">
        <v>79084529.987819165</v>
      </c>
      <c r="K173" s="323">
        <v>59196310.956</v>
      </c>
      <c r="L173" s="323">
        <v>36125</v>
      </c>
      <c r="M173" s="323">
        <v>4923258.1990815364</v>
      </c>
      <c r="N173" s="323">
        <v>3685154.648</v>
      </c>
      <c r="O173" s="323">
        <v>30718</v>
      </c>
      <c r="P173" s="323">
        <v>4092123.7518906277</v>
      </c>
      <c r="Q173" s="323">
        <v>3063034.327</v>
      </c>
      <c r="R173" s="323">
        <v>66843</v>
      </c>
      <c r="S173" s="323">
        <v>9015381.950972164</v>
      </c>
      <c r="T173" s="323">
        <v>6748188.9749999996</v>
      </c>
      <c r="U173" s="323">
        <v>517766</v>
      </c>
      <c r="V173" s="323">
        <v>51141496.006518513</v>
      </c>
      <c r="W173" s="323">
        <v>38280405.799000002</v>
      </c>
      <c r="X173" s="323">
        <v>382252</v>
      </c>
      <c r="Y173" s="323">
        <v>36958415.932272822</v>
      </c>
      <c r="Z173" s="323">
        <v>27664094.131999999</v>
      </c>
      <c r="AA173" s="323">
        <v>900018</v>
      </c>
      <c r="AB173" s="323">
        <v>88099911.938791335</v>
      </c>
      <c r="AC173" s="173">
        <v>65944499.931000002</v>
      </c>
    </row>
    <row r="174" spans="2:29" hidden="1" outlineLevel="1" x14ac:dyDescent="0.25">
      <c r="B174" s="205">
        <v>43374</v>
      </c>
      <c r="C174" s="323">
        <v>485731</v>
      </c>
      <c r="D174" s="323">
        <v>46615112.774993785</v>
      </c>
      <c r="E174" s="323">
        <v>35020226.123000003</v>
      </c>
      <c r="F174" s="323">
        <v>354434</v>
      </c>
      <c r="G174" s="323">
        <v>33087835.239604231</v>
      </c>
      <c r="H174" s="323">
        <v>24857678.186999999</v>
      </c>
      <c r="I174" s="323">
        <v>840165</v>
      </c>
      <c r="J174" s="323">
        <v>79702948.014598027</v>
      </c>
      <c r="K174" s="323">
        <v>59877904.310000002</v>
      </c>
      <c r="L174" s="323">
        <v>36113</v>
      </c>
      <c r="M174" s="323">
        <v>4917682.4694480803</v>
      </c>
      <c r="N174" s="323">
        <v>3694474.642</v>
      </c>
      <c r="O174" s="323">
        <v>30790</v>
      </c>
      <c r="P174" s="323">
        <v>4097245.4042924521</v>
      </c>
      <c r="Q174" s="323">
        <v>3078110.338</v>
      </c>
      <c r="R174" s="323">
        <v>66903</v>
      </c>
      <c r="S174" s="323">
        <v>9014927.8737405315</v>
      </c>
      <c r="T174" s="323">
        <v>6772584.9800000004</v>
      </c>
      <c r="U174" s="323">
        <v>521844</v>
      </c>
      <c r="V174" s="323">
        <v>51532795.244441867</v>
      </c>
      <c r="W174" s="323">
        <v>38714700.765000001</v>
      </c>
      <c r="X174" s="323">
        <v>385224</v>
      </c>
      <c r="Y174" s="323">
        <v>37185080.643896684</v>
      </c>
      <c r="Z174" s="323">
        <v>27935788.524999999</v>
      </c>
      <c r="AA174" s="323">
        <v>907068</v>
      </c>
      <c r="AB174" s="323">
        <v>88717875.888338551</v>
      </c>
      <c r="AC174" s="173">
        <v>66650489.289999999</v>
      </c>
    </row>
    <row r="175" spans="2:29" hidden="1" outlineLevel="1" x14ac:dyDescent="0.25">
      <c r="B175" s="205">
        <v>43405</v>
      </c>
      <c r="C175" s="323">
        <v>489744</v>
      </c>
      <c r="D175" s="323">
        <v>47077837.541340277</v>
      </c>
      <c r="E175" s="323">
        <v>35365985.254000001</v>
      </c>
      <c r="F175" s="323">
        <v>357070</v>
      </c>
      <c r="G175" s="323">
        <v>33232663.156643</v>
      </c>
      <c r="H175" s="323">
        <v>24965162.728999998</v>
      </c>
      <c r="I175" s="323">
        <v>846814</v>
      </c>
      <c r="J175" s="323">
        <v>80310500.69798328</v>
      </c>
      <c r="K175" s="323">
        <v>60331147.983000003</v>
      </c>
      <c r="L175" s="323">
        <v>36146</v>
      </c>
      <c r="M175" s="323">
        <v>4928527.0935956407</v>
      </c>
      <c r="N175" s="323">
        <v>3702426.1439999999</v>
      </c>
      <c r="O175" s="323">
        <v>30850</v>
      </c>
      <c r="P175" s="323">
        <v>4098273.167654336</v>
      </c>
      <c r="Q175" s="323">
        <v>3078719.7540000002</v>
      </c>
      <c r="R175" s="323">
        <v>66996</v>
      </c>
      <c r="S175" s="323">
        <v>9026800.2612499762</v>
      </c>
      <c r="T175" s="323">
        <v>6781145.898</v>
      </c>
      <c r="U175" s="323">
        <v>525890</v>
      </c>
      <c r="V175" s="323">
        <v>52006364.634935923</v>
      </c>
      <c r="W175" s="323">
        <v>39068411.398000002</v>
      </c>
      <c r="X175" s="323">
        <v>387920</v>
      </c>
      <c r="Y175" s="323">
        <v>37330936.324297331</v>
      </c>
      <c r="Z175" s="323">
        <v>28043882.482999999</v>
      </c>
      <c r="AA175" s="323">
        <v>913810</v>
      </c>
      <c r="AB175" s="323">
        <v>89337300.959233254</v>
      </c>
      <c r="AC175" s="173">
        <v>67112293.880999997</v>
      </c>
    </row>
    <row r="176" spans="2:29" hidden="1" outlineLevel="1" x14ac:dyDescent="0.25">
      <c r="B176" s="205">
        <v>43435</v>
      </c>
      <c r="C176" s="323">
        <v>493400</v>
      </c>
      <c r="D176" s="323">
        <v>47535054.679475777</v>
      </c>
      <c r="E176" s="323">
        <v>35673355.038999997</v>
      </c>
      <c r="F176" s="323">
        <v>360031</v>
      </c>
      <c r="G176" s="323">
        <v>33711362.125081442</v>
      </c>
      <c r="H176" s="323">
        <v>25299169.171999998</v>
      </c>
      <c r="I176" s="323">
        <v>853431</v>
      </c>
      <c r="J176" s="323">
        <v>81246416.804557219</v>
      </c>
      <c r="K176" s="323">
        <v>60972524.211000003</v>
      </c>
      <c r="L176" s="323">
        <v>36075</v>
      </c>
      <c r="M176" s="323">
        <v>4919597.2244766168</v>
      </c>
      <c r="N176" s="323">
        <v>3691981.415</v>
      </c>
      <c r="O176" s="323">
        <v>30827</v>
      </c>
      <c r="P176" s="323">
        <v>4107162.1798869912</v>
      </c>
      <c r="Q176" s="323">
        <v>3082278.0290000001</v>
      </c>
      <c r="R176" s="323">
        <v>66902</v>
      </c>
      <c r="S176" s="323">
        <v>9026759.404363608</v>
      </c>
      <c r="T176" s="323">
        <v>6774259.4440000001</v>
      </c>
      <c r="U176" s="323">
        <v>529475</v>
      </c>
      <c r="V176" s="323">
        <v>52454651.90395239</v>
      </c>
      <c r="W176" s="323">
        <v>39365336.454000004</v>
      </c>
      <c r="X176" s="323">
        <v>390858</v>
      </c>
      <c r="Y176" s="323">
        <v>37818524.304968439</v>
      </c>
      <c r="Z176" s="323">
        <v>28381447.201000001</v>
      </c>
      <c r="AA176" s="323">
        <v>920333</v>
      </c>
      <c r="AB176" s="323">
        <v>90273176.208920822</v>
      </c>
      <c r="AC176" s="173">
        <v>67746783.655000001</v>
      </c>
    </row>
    <row r="177" spans="2:29" collapsed="1" x14ac:dyDescent="0.25">
      <c r="B177" s="325" t="s">
        <v>700</v>
      </c>
      <c r="C177" s="324">
        <v>472783.58333333331</v>
      </c>
      <c r="D177" s="324">
        <v>44797297.774298973</v>
      </c>
      <c r="E177" s="324"/>
      <c r="F177" s="324">
        <v>343894.41666666669</v>
      </c>
      <c r="G177" s="324">
        <v>31851334.312213901</v>
      </c>
      <c r="H177" s="324"/>
      <c r="I177" s="324">
        <v>816678</v>
      </c>
      <c r="J177" s="324">
        <v>76648632.086512864</v>
      </c>
      <c r="K177" s="324"/>
      <c r="L177" s="324">
        <v>35802.166666666664</v>
      </c>
      <c r="M177" s="324">
        <v>4892830.6615477568</v>
      </c>
      <c r="N177" s="324"/>
      <c r="O177" s="324">
        <v>30349.5</v>
      </c>
      <c r="P177" s="324">
        <v>4051790.1219678936</v>
      </c>
      <c r="Q177" s="324"/>
      <c r="R177" s="324">
        <v>66151.666666666672</v>
      </c>
      <c r="S177" s="324">
        <v>8944620.7835156508</v>
      </c>
      <c r="T177" s="324"/>
      <c r="U177" s="324">
        <v>508585.75</v>
      </c>
      <c r="V177" s="324">
        <v>49690128.435846724</v>
      </c>
      <c r="W177" s="324"/>
      <c r="X177" s="324">
        <v>374243.91666666669</v>
      </c>
      <c r="Y177" s="324">
        <v>35903124.434181795</v>
      </c>
      <c r="Z177" s="324"/>
      <c r="AA177" s="324">
        <v>882829.66666666663</v>
      </c>
      <c r="AB177" s="324">
        <v>85593252.870028526</v>
      </c>
      <c r="AC177" s="327"/>
    </row>
    <row r="178" spans="2:29" hidden="1" outlineLevel="1" x14ac:dyDescent="0.25">
      <c r="B178" s="205">
        <v>43466</v>
      </c>
      <c r="C178" s="323">
        <v>496897</v>
      </c>
      <c r="D178" s="323">
        <v>47994625.273417503</v>
      </c>
      <c r="E178" s="323">
        <v>36058491.905000001</v>
      </c>
      <c r="F178" s="323">
        <v>362514</v>
      </c>
      <c r="G178" s="323">
        <v>33849540.502155989</v>
      </c>
      <c r="H178" s="323">
        <v>25431251.421</v>
      </c>
      <c r="I178" s="323">
        <v>859411</v>
      </c>
      <c r="J178" s="323">
        <v>81844165.775573507</v>
      </c>
      <c r="K178" s="323">
        <v>61489743.325999998</v>
      </c>
      <c r="L178" s="323">
        <v>36096</v>
      </c>
      <c r="M178" s="323">
        <v>4933550.6379231624</v>
      </c>
      <c r="N178" s="323">
        <v>3706589.9509999999</v>
      </c>
      <c r="O178" s="323">
        <v>30910</v>
      </c>
      <c r="P178" s="323">
        <v>4128209.487012445</v>
      </c>
      <c r="Q178" s="323">
        <v>3101534.9640000002</v>
      </c>
      <c r="R178" s="323">
        <v>67006</v>
      </c>
      <c r="S178" s="323">
        <v>9061760.1249356084</v>
      </c>
      <c r="T178" s="323">
        <v>6808124.915</v>
      </c>
      <c r="U178" s="323">
        <v>532993</v>
      </c>
      <c r="V178" s="323">
        <v>52928175.911340669</v>
      </c>
      <c r="W178" s="323">
        <v>39765081.855999999</v>
      </c>
      <c r="X178" s="323">
        <v>393424</v>
      </c>
      <c r="Y178" s="323">
        <v>37977749.989168435</v>
      </c>
      <c r="Z178" s="323">
        <v>28532786.385000002</v>
      </c>
      <c r="AA178" s="323">
        <v>926417</v>
      </c>
      <c r="AB178" s="323">
        <v>90905925.900509104</v>
      </c>
      <c r="AC178" s="173">
        <v>68297868.240999997</v>
      </c>
    </row>
    <row r="179" spans="2:29" hidden="1" outlineLevel="1" x14ac:dyDescent="0.25">
      <c r="B179" s="205">
        <v>43497</v>
      </c>
      <c r="C179" s="323">
        <v>499418</v>
      </c>
      <c r="D179" s="323">
        <v>47626749.363960929</v>
      </c>
      <c r="E179" s="323">
        <v>35798638.281999998</v>
      </c>
      <c r="F179" s="323">
        <v>365127</v>
      </c>
      <c r="G179" s="323">
        <v>33950564.241858035</v>
      </c>
      <c r="H179" s="323">
        <v>25518935.997000001</v>
      </c>
      <c r="I179" s="323">
        <v>864545</v>
      </c>
      <c r="J179" s="323">
        <v>81577313.605818972</v>
      </c>
      <c r="K179" s="323">
        <v>61317574.278999999</v>
      </c>
      <c r="L179" s="323">
        <v>36240</v>
      </c>
      <c r="M179" s="323">
        <v>4950487.4606614048</v>
      </c>
      <c r="N179" s="323">
        <v>3721033.0809999998</v>
      </c>
      <c r="O179" s="323">
        <v>30991</v>
      </c>
      <c r="P179" s="323">
        <v>4129921.5633410341</v>
      </c>
      <c r="Q179" s="323">
        <v>3104254.86</v>
      </c>
      <c r="R179" s="323">
        <v>67231</v>
      </c>
      <c r="S179" s="323">
        <v>9080409.0240024384</v>
      </c>
      <c r="T179" s="323">
        <v>6825287.9409999996</v>
      </c>
      <c r="U179" s="323">
        <v>535658</v>
      </c>
      <c r="V179" s="323">
        <v>52577236.824622341</v>
      </c>
      <c r="W179" s="323">
        <v>39519671.362999998</v>
      </c>
      <c r="X179" s="323">
        <v>396118</v>
      </c>
      <c r="Y179" s="323">
        <v>38080485.805199072</v>
      </c>
      <c r="Z179" s="323">
        <v>28623190.857000001</v>
      </c>
      <c r="AA179" s="323">
        <v>931776</v>
      </c>
      <c r="AB179" s="323">
        <v>90657722.629821405</v>
      </c>
      <c r="AC179" s="173">
        <v>68142862.219999999</v>
      </c>
    </row>
    <row r="180" spans="2:29" hidden="1" outlineLevel="1" x14ac:dyDescent="0.25">
      <c r="B180" s="205">
        <v>43525</v>
      </c>
      <c r="C180" s="323">
        <v>503074</v>
      </c>
      <c r="D180" s="323">
        <v>47991917.734202407</v>
      </c>
      <c r="E180" s="323">
        <v>36244202.855999999</v>
      </c>
      <c r="F180" s="323">
        <v>368185</v>
      </c>
      <c r="G180" s="323">
        <v>34132154.043470792</v>
      </c>
      <c r="H180" s="323">
        <v>25777105.260000002</v>
      </c>
      <c r="I180" s="323">
        <v>871259</v>
      </c>
      <c r="J180" s="323">
        <v>82124071.7776732</v>
      </c>
      <c r="K180" s="323">
        <v>62021308.115999997</v>
      </c>
      <c r="L180" s="323">
        <v>36473</v>
      </c>
      <c r="M180" s="323">
        <v>4956460.6332411077</v>
      </c>
      <c r="N180" s="323">
        <v>3743192.0440000002</v>
      </c>
      <c r="O180" s="323">
        <v>31236</v>
      </c>
      <c r="P180" s="323">
        <v>4145986.9713926818</v>
      </c>
      <c r="Q180" s="323">
        <v>3131110.4019999998</v>
      </c>
      <c r="R180" s="323">
        <v>67709</v>
      </c>
      <c r="S180" s="323">
        <v>9102447.6046337895</v>
      </c>
      <c r="T180" s="323">
        <v>6874302.4460000005</v>
      </c>
      <c r="U180" s="323">
        <v>539547</v>
      </c>
      <c r="V180" s="323">
        <v>52948378.367443509</v>
      </c>
      <c r="W180" s="323">
        <v>39987394.899999999</v>
      </c>
      <c r="X180" s="323">
        <v>399421</v>
      </c>
      <c r="Y180" s="323">
        <v>38278141.014863469</v>
      </c>
      <c r="Z180" s="323">
        <v>28908215.662</v>
      </c>
      <c r="AA180" s="323">
        <v>938968</v>
      </c>
      <c r="AB180" s="323">
        <v>91226519.382306993</v>
      </c>
      <c r="AC180" s="173">
        <v>68895610.562000006</v>
      </c>
    </row>
    <row r="181" spans="2:29" hidden="1" outlineLevel="1" x14ac:dyDescent="0.25">
      <c r="B181" s="205">
        <v>43556</v>
      </c>
      <c r="C181" s="323">
        <v>506604</v>
      </c>
      <c r="D181" s="323">
        <v>48199210.370283626</v>
      </c>
      <c r="E181" s="323">
        <v>36495616.799999997</v>
      </c>
      <c r="F181" s="323">
        <v>370802</v>
      </c>
      <c r="G181" s="323">
        <v>34247142.985604785</v>
      </c>
      <c r="H181" s="323">
        <v>25931350.271000002</v>
      </c>
      <c r="I181" s="323">
        <v>877406</v>
      </c>
      <c r="J181" s="323">
        <v>82446353.355888397</v>
      </c>
      <c r="K181" s="323">
        <v>62426967.071000002</v>
      </c>
      <c r="L181" s="323">
        <v>36631</v>
      </c>
      <c r="M181" s="323">
        <v>4945089.3376066247</v>
      </c>
      <c r="N181" s="323">
        <v>3744336.9739999999</v>
      </c>
      <c r="O181" s="323">
        <v>31411</v>
      </c>
      <c r="P181" s="323">
        <v>4144884.6459425162</v>
      </c>
      <c r="Q181" s="323">
        <v>3138435.6830000002</v>
      </c>
      <c r="R181" s="323">
        <v>68042</v>
      </c>
      <c r="S181" s="323">
        <v>9089973.9835491404</v>
      </c>
      <c r="T181" s="323">
        <v>6882772.6569999997</v>
      </c>
      <c r="U181" s="323">
        <v>543235</v>
      </c>
      <c r="V181" s="323">
        <v>53144299.707890242</v>
      </c>
      <c r="W181" s="323">
        <v>40239953.773999996</v>
      </c>
      <c r="X181" s="323">
        <v>402213</v>
      </c>
      <c r="Y181" s="323">
        <v>38392027.631547302</v>
      </c>
      <c r="Z181" s="323">
        <v>29069785.954</v>
      </c>
      <c r="AA181" s="323">
        <v>945448</v>
      </c>
      <c r="AB181" s="323">
        <v>91536327.339437544</v>
      </c>
      <c r="AC181" s="173">
        <v>69309739.728</v>
      </c>
    </row>
    <row r="182" spans="2:29" hidden="1" outlineLevel="1" x14ac:dyDescent="0.25">
      <c r="B182" s="205">
        <v>43586</v>
      </c>
      <c r="C182" s="323">
        <v>510020</v>
      </c>
      <c r="D182" s="323">
        <v>48235579.481250733</v>
      </c>
      <c r="E182" s="323">
        <v>36743915.141000003</v>
      </c>
      <c r="F182" s="323">
        <v>373627</v>
      </c>
      <c r="G182" s="323">
        <v>34272416.714533031</v>
      </c>
      <c r="H182" s="323">
        <v>26107342.028000001</v>
      </c>
      <c r="I182" s="323">
        <v>883647</v>
      </c>
      <c r="J182" s="323">
        <v>82507996.195783764</v>
      </c>
      <c r="K182" s="323">
        <v>62851257.169</v>
      </c>
      <c r="L182" s="323">
        <v>36814</v>
      </c>
      <c r="M182" s="323">
        <v>4940447.8663233314</v>
      </c>
      <c r="N182" s="323">
        <v>3763433.53</v>
      </c>
      <c r="O182" s="323">
        <v>31638</v>
      </c>
      <c r="P182" s="323">
        <v>4146972.6535236849</v>
      </c>
      <c r="Q182" s="323">
        <v>3158996.179</v>
      </c>
      <c r="R182" s="323">
        <v>68452</v>
      </c>
      <c r="S182" s="323">
        <v>9087420.5198470168</v>
      </c>
      <c r="T182" s="323">
        <v>6922429.7089999998</v>
      </c>
      <c r="U182" s="323">
        <v>546834</v>
      </c>
      <c r="V182" s="323">
        <v>53176027.347574063</v>
      </c>
      <c r="W182" s="323">
        <v>40507348.670999996</v>
      </c>
      <c r="X182" s="323">
        <v>405265</v>
      </c>
      <c r="Y182" s="323">
        <v>38419389.368056715</v>
      </c>
      <c r="Z182" s="323">
        <v>29266338.206999999</v>
      </c>
      <c r="AA182" s="323">
        <v>952099</v>
      </c>
      <c r="AB182" s="323">
        <v>91595416.715630785</v>
      </c>
      <c r="AC182" s="173">
        <v>69773686.878000006</v>
      </c>
    </row>
    <row r="183" spans="2:29" hidden="1" outlineLevel="1" x14ac:dyDescent="0.25">
      <c r="B183" s="205">
        <v>43617</v>
      </c>
      <c r="C183" s="323">
        <v>512725</v>
      </c>
      <c r="D183" s="323">
        <v>48544656.402129732</v>
      </c>
      <c r="E183" s="323">
        <v>36997395.980999999</v>
      </c>
      <c r="F183" s="323">
        <v>375576</v>
      </c>
      <c r="G183" s="323">
        <v>34470178.63996812</v>
      </c>
      <c r="H183" s="323">
        <v>26270797.719000001</v>
      </c>
      <c r="I183" s="323">
        <v>888301</v>
      </c>
      <c r="J183" s="323">
        <v>83014835.042097852</v>
      </c>
      <c r="K183" s="323">
        <v>63268193.700000003</v>
      </c>
      <c r="L183" s="323">
        <v>36850</v>
      </c>
      <c r="M183" s="323">
        <v>4927144.8557875995</v>
      </c>
      <c r="N183" s="323">
        <v>3755130.6940000001</v>
      </c>
      <c r="O183" s="323">
        <v>31723</v>
      </c>
      <c r="P183" s="323">
        <v>4144197.1438151714</v>
      </c>
      <c r="Q183" s="323">
        <v>3158421.835</v>
      </c>
      <c r="R183" s="323">
        <v>68573</v>
      </c>
      <c r="S183" s="323">
        <v>9071341.9996027723</v>
      </c>
      <c r="T183" s="323">
        <v>6913552.5290000001</v>
      </c>
      <c r="U183" s="323">
        <v>549575</v>
      </c>
      <c r="V183" s="323">
        <v>53471801.257917337</v>
      </c>
      <c r="W183" s="323">
        <v>40752526.674999997</v>
      </c>
      <c r="X183" s="323">
        <v>407299</v>
      </c>
      <c r="Y183" s="323">
        <v>38614375.783783287</v>
      </c>
      <c r="Z183" s="323">
        <v>29429219.554000001</v>
      </c>
      <c r="AA183" s="323">
        <v>956874</v>
      </c>
      <c r="AB183" s="323">
        <v>92086177.041700616</v>
      </c>
      <c r="AC183" s="173">
        <v>70181746.229000002</v>
      </c>
    </row>
    <row r="184" spans="2:29" hidden="1" outlineLevel="1" x14ac:dyDescent="0.25">
      <c r="B184" s="205">
        <v>43647</v>
      </c>
      <c r="C184" s="323">
        <v>517325</v>
      </c>
      <c r="D184" s="323">
        <v>50781319.469853759</v>
      </c>
      <c r="E184" s="323">
        <v>38788561.956</v>
      </c>
      <c r="F184" s="323">
        <v>379973</v>
      </c>
      <c r="G184" s="323">
        <v>35888199.656817265</v>
      </c>
      <c r="H184" s="323">
        <v>27412672.030000001</v>
      </c>
      <c r="I184" s="323">
        <v>897298</v>
      </c>
      <c r="J184" s="323">
        <v>86669519.126671016</v>
      </c>
      <c r="K184" s="323">
        <v>66201233.986000001</v>
      </c>
      <c r="L184" s="323">
        <v>37208</v>
      </c>
      <c r="M184" s="323">
        <v>5064148.3496435108</v>
      </c>
      <c r="N184" s="323">
        <v>3868175.031</v>
      </c>
      <c r="O184" s="323">
        <v>32159</v>
      </c>
      <c r="P184" s="323">
        <v>4268199.2331565749</v>
      </c>
      <c r="Q184" s="323">
        <v>3260201.037</v>
      </c>
      <c r="R184" s="323">
        <v>69367</v>
      </c>
      <c r="S184" s="323">
        <v>9332347.5828000866</v>
      </c>
      <c r="T184" s="323">
        <v>7128376.068</v>
      </c>
      <c r="U184" s="323">
        <v>554533</v>
      </c>
      <c r="V184" s="323">
        <v>55845467.819497272</v>
      </c>
      <c r="W184" s="323">
        <v>42656736.987000003</v>
      </c>
      <c r="X184" s="323">
        <v>412132</v>
      </c>
      <c r="Y184" s="323">
        <v>40156398.889973849</v>
      </c>
      <c r="Z184" s="323">
        <v>30672873.067000002</v>
      </c>
      <c r="AA184" s="323">
        <v>966665</v>
      </c>
      <c r="AB184" s="323">
        <v>96001866.709471121</v>
      </c>
      <c r="AC184" s="173">
        <v>73329610.054000005</v>
      </c>
    </row>
    <row r="185" spans="2:29" hidden="1" outlineLevel="1" x14ac:dyDescent="0.25">
      <c r="B185" s="205">
        <v>43678</v>
      </c>
      <c r="C185" s="323">
        <v>518553</v>
      </c>
      <c r="D185" s="323">
        <v>50890743.219760828</v>
      </c>
      <c r="E185" s="323">
        <v>38944915.399999999</v>
      </c>
      <c r="F185" s="323">
        <v>380060</v>
      </c>
      <c r="G185" s="323">
        <v>35899679.682851642</v>
      </c>
      <c r="H185" s="323">
        <v>27472775.984000001</v>
      </c>
      <c r="I185" s="323">
        <v>898613</v>
      </c>
      <c r="J185" s="323">
        <v>86790422.902612463</v>
      </c>
      <c r="K185" s="323">
        <v>66417691.384000003</v>
      </c>
      <c r="L185" s="323">
        <v>36864</v>
      </c>
      <c r="M185" s="323">
        <v>5022091.5476453416</v>
      </c>
      <c r="N185" s="323">
        <v>3843231.9530000002</v>
      </c>
      <c r="O185" s="323">
        <v>31821</v>
      </c>
      <c r="P185" s="323">
        <v>4232019.6006886782</v>
      </c>
      <c r="Q185" s="323">
        <v>3238617.3769999999</v>
      </c>
      <c r="R185" s="323">
        <v>68685</v>
      </c>
      <c r="S185" s="323">
        <v>9254111.1483340189</v>
      </c>
      <c r="T185" s="323">
        <v>7081849.3300000001</v>
      </c>
      <c r="U185" s="323">
        <v>555417</v>
      </c>
      <c r="V185" s="323">
        <v>55912834.767406166</v>
      </c>
      <c r="W185" s="323">
        <v>42788147.353</v>
      </c>
      <c r="X185" s="323">
        <v>411881</v>
      </c>
      <c r="Y185" s="323">
        <v>40131699.283540323</v>
      </c>
      <c r="Z185" s="323">
        <v>30711393.361000001</v>
      </c>
      <c r="AA185" s="323">
        <v>967298</v>
      </c>
      <c r="AB185" s="323">
        <v>96044534.050946489</v>
      </c>
      <c r="AC185" s="173">
        <v>73499540.714000002</v>
      </c>
    </row>
    <row r="186" spans="2:29" hidden="1" outlineLevel="1" x14ac:dyDescent="0.25">
      <c r="B186" s="205">
        <v>43709</v>
      </c>
      <c r="C186" s="323">
        <v>522483</v>
      </c>
      <c r="D186" s="323">
        <v>51566518.508047156</v>
      </c>
      <c r="E186" s="323">
        <v>39466839.700000003</v>
      </c>
      <c r="F186" s="323">
        <v>383041</v>
      </c>
      <c r="G186" s="323">
        <v>36273231.281603411</v>
      </c>
      <c r="H186" s="323">
        <v>27762002.280000001</v>
      </c>
      <c r="I186" s="323">
        <v>905524</v>
      </c>
      <c r="J186" s="323">
        <v>87839749.789650574</v>
      </c>
      <c r="K186" s="323">
        <v>67228841.980000004</v>
      </c>
      <c r="L186" s="323">
        <v>37036</v>
      </c>
      <c r="M186" s="323">
        <v>5089735.2652514242</v>
      </c>
      <c r="N186" s="323">
        <v>3895468.8360000001</v>
      </c>
      <c r="O186" s="323">
        <v>32069</v>
      </c>
      <c r="P186" s="323">
        <v>4317208.9632622823</v>
      </c>
      <c r="Q186" s="323">
        <v>3304209.767</v>
      </c>
      <c r="R186" s="323">
        <v>69105</v>
      </c>
      <c r="S186" s="323">
        <v>9406944.2285137065</v>
      </c>
      <c r="T186" s="323">
        <v>7199678.6030000001</v>
      </c>
      <c r="U186" s="323">
        <v>559519</v>
      </c>
      <c r="V186" s="323">
        <v>56656253.773298584</v>
      </c>
      <c r="W186" s="323">
        <v>43362308.535999998</v>
      </c>
      <c r="X186" s="323">
        <v>415110</v>
      </c>
      <c r="Y186" s="323">
        <v>40590440.244865693</v>
      </c>
      <c r="Z186" s="323">
        <v>31066212.046999998</v>
      </c>
      <c r="AA186" s="323">
        <v>974629</v>
      </c>
      <c r="AB186" s="323">
        <v>97246694.018164277</v>
      </c>
      <c r="AC186" s="173">
        <v>74428520.583000004</v>
      </c>
    </row>
    <row r="187" spans="2:29" hidden="1" outlineLevel="1" x14ac:dyDescent="0.25">
      <c r="B187" s="205">
        <v>43739</v>
      </c>
      <c r="C187" s="323">
        <v>525564</v>
      </c>
      <c r="D187" s="323">
        <v>51433512.580247179</v>
      </c>
      <c r="E187" s="323">
        <v>39684366.445</v>
      </c>
      <c r="F187" s="323">
        <v>385533</v>
      </c>
      <c r="G187" s="323">
        <v>36161650.909752607</v>
      </c>
      <c r="H187" s="323">
        <v>27901112.212000001</v>
      </c>
      <c r="I187" s="323">
        <v>911097</v>
      </c>
      <c r="J187" s="323">
        <v>87595163.489999786</v>
      </c>
      <c r="K187" s="323">
        <v>67585478.657000005</v>
      </c>
      <c r="L187" s="323">
        <v>37173</v>
      </c>
      <c r="M187" s="323">
        <v>5026043.9583166977</v>
      </c>
      <c r="N187" s="323">
        <v>3877926.2820000001</v>
      </c>
      <c r="O187" s="323">
        <v>32232</v>
      </c>
      <c r="P187" s="323">
        <v>4236319.294635348</v>
      </c>
      <c r="Q187" s="323">
        <v>3268601.3229999999</v>
      </c>
      <c r="R187" s="323">
        <v>69405</v>
      </c>
      <c r="S187" s="323">
        <v>9262363.2529520448</v>
      </c>
      <c r="T187" s="323">
        <v>7146527.6050000004</v>
      </c>
      <c r="U187" s="323">
        <v>562737</v>
      </c>
      <c r="V187" s="323">
        <v>56459556.53856387</v>
      </c>
      <c r="W187" s="323">
        <v>43562292.726999998</v>
      </c>
      <c r="X187" s="323">
        <v>417765</v>
      </c>
      <c r="Y187" s="323">
        <v>40397970.204387955</v>
      </c>
      <c r="Z187" s="323">
        <v>31169713.535</v>
      </c>
      <c r="AA187" s="323">
        <v>980502</v>
      </c>
      <c r="AB187" s="323">
        <v>96857526.742951825</v>
      </c>
      <c r="AC187" s="173">
        <v>74732006.261999995</v>
      </c>
    </row>
    <row r="188" spans="2:29" hidden="1" outlineLevel="1" x14ac:dyDescent="0.25">
      <c r="B188" s="205">
        <v>43770</v>
      </c>
      <c r="C188" s="323">
        <v>528588</v>
      </c>
      <c r="D188" s="323">
        <v>51809892.954578541</v>
      </c>
      <c r="E188" s="323">
        <v>40008684.035999998</v>
      </c>
      <c r="F188" s="323">
        <v>386948</v>
      </c>
      <c r="G188" s="323">
        <v>36200198.924439654</v>
      </c>
      <c r="H188" s="323">
        <v>27954551.5</v>
      </c>
      <c r="I188" s="323">
        <v>915536</v>
      </c>
      <c r="J188" s="323">
        <v>88010091.879018202</v>
      </c>
      <c r="K188" s="323">
        <v>67963235.535999998</v>
      </c>
      <c r="L188" s="323">
        <v>36934</v>
      </c>
      <c r="M188" s="323">
        <v>4985998.6799964076</v>
      </c>
      <c r="N188" s="323">
        <v>3850292.568</v>
      </c>
      <c r="O188" s="323">
        <v>31887</v>
      </c>
      <c r="P188" s="323">
        <v>4201564.2497817026</v>
      </c>
      <c r="Q188" s="323">
        <v>3244535.878</v>
      </c>
      <c r="R188" s="323">
        <v>68821</v>
      </c>
      <c r="S188" s="323">
        <v>9187562.9297781102</v>
      </c>
      <c r="T188" s="323">
        <v>7094828.4460000005</v>
      </c>
      <c r="U188" s="323">
        <v>565522</v>
      </c>
      <c r="V188" s="323">
        <v>56795891.63457495</v>
      </c>
      <c r="W188" s="323">
        <v>43858976.604000002</v>
      </c>
      <c r="X188" s="323">
        <v>418835</v>
      </c>
      <c r="Y188" s="323">
        <v>40401763.174221359</v>
      </c>
      <c r="Z188" s="323">
        <v>31199087.377999999</v>
      </c>
      <c r="AA188" s="323">
        <v>984357</v>
      </c>
      <c r="AB188" s="323">
        <v>97197654.808796316</v>
      </c>
      <c r="AC188" s="173">
        <v>75058063.981999993</v>
      </c>
    </row>
    <row r="189" spans="2:29" hidden="1" outlineLevel="1" x14ac:dyDescent="0.25">
      <c r="B189" s="205">
        <v>43800</v>
      </c>
      <c r="C189" s="323">
        <v>525915</v>
      </c>
      <c r="D189" s="323">
        <v>75828923.203697026</v>
      </c>
      <c r="E189" s="323">
        <v>58614815.199000001</v>
      </c>
      <c r="F189" s="323">
        <v>388114</v>
      </c>
      <c r="G189" s="323">
        <v>53228628.197129428</v>
      </c>
      <c r="H189" s="323">
        <v>41145068.045999996</v>
      </c>
      <c r="I189" s="323">
        <v>914029</v>
      </c>
      <c r="J189" s="323">
        <v>129057551.40082644</v>
      </c>
      <c r="K189" s="323">
        <v>99759883.245000005</v>
      </c>
      <c r="L189" s="323">
        <v>36702</v>
      </c>
      <c r="M189" s="323">
        <v>6227476.0905517889</v>
      </c>
      <c r="N189" s="323">
        <v>4813761.62</v>
      </c>
      <c r="O189" s="323">
        <v>31630</v>
      </c>
      <c r="P189" s="323">
        <v>5258977.495525619</v>
      </c>
      <c r="Q189" s="323">
        <v>4065124.2429999998</v>
      </c>
      <c r="R189" s="323">
        <v>68332</v>
      </c>
      <c r="S189" s="323">
        <v>11486453.586077407</v>
      </c>
      <c r="T189" s="323">
        <v>8878885.8629999999</v>
      </c>
      <c r="U189" s="323">
        <v>562617</v>
      </c>
      <c r="V189" s="323">
        <v>82056399.294248804</v>
      </c>
      <c r="W189" s="323">
        <v>63428576.818999998</v>
      </c>
      <c r="X189" s="323">
        <v>419744</v>
      </c>
      <c r="Y189" s="323">
        <v>58487605.692655042</v>
      </c>
      <c r="Z189" s="323">
        <v>45210192.288999997</v>
      </c>
      <c r="AA189" s="323">
        <v>982361</v>
      </c>
      <c r="AB189" s="323">
        <v>140544004.98690385</v>
      </c>
      <c r="AC189" s="173">
        <v>108638769.108</v>
      </c>
    </row>
    <row r="190" spans="2:29" collapsed="1" x14ac:dyDescent="0.25">
      <c r="B190" s="325" t="s">
        <v>701</v>
      </c>
      <c r="C190" s="324">
        <v>513930.5</v>
      </c>
      <c r="D190" s="324">
        <v>51741970.713452458</v>
      </c>
      <c r="E190" s="324"/>
      <c r="F190" s="324">
        <v>376625</v>
      </c>
      <c r="G190" s="324">
        <v>36547798.815015398</v>
      </c>
      <c r="H190" s="324"/>
      <c r="I190" s="324">
        <v>890555.5</v>
      </c>
      <c r="J190" s="324">
        <v>88289769.528467849</v>
      </c>
      <c r="K190" s="324"/>
      <c r="L190" s="324">
        <v>36751.75</v>
      </c>
      <c r="M190" s="324">
        <v>5089056.2235790342</v>
      </c>
      <c r="N190" s="324"/>
      <c r="O190" s="324">
        <v>31642.25</v>
      </c>
      <c r="P190" s="324">
        <v>4279538.4418398123</v>
      </c>
      <c r="Q190" s="324"/>
      <c r="R190" s="324">
        <v>68394</v>
      </c>
      <c r="S190" s="324">
        <v>9368594.6654188447</v>
      </c>
      <c r="T190" s="324"/>
      <c r="U190" s="324">
        <v>550682.25</v>
      </c>
      <c r="V190" s="324">
        <v>56831026.937031485</v>
      </c>
      <c r="W190" s="324"/>
      <c r="X190" s="324">
        <v>408267.25</v>
      </c>
      <c r="Y190" s="324">
        <v>40827337.256855205</v>
      </c>
      <c r="Z190" s="324"/>
      <c r="AA190" s="324">
        <v>958949.5</v>
      </c>
      <c r="AB190" s="324">
        <v>97658364.193886697</v>
      </c>
      <c r="AC190" s="327"/>
    </row>
    <row r="191" spans="2:29" hidden="1" outlineLevel="1" x14ac:dyDescent="0.25">
      <c r="B191" s="205">
        <v>43831</v>
      </c>
      <c r="C191" s="323">
        <v>540610</v>
      </c>
      <c r="D191" s="323">
        <v>78215557.103384227</v>
      </c>
      <c r="E191" s="323">
        <v>60801972.766999997</v>
      </c>
      <c r="F191" s="323">
        <v>392610</v>
      </c>
      <c r="G191" s="323">
        <v>53842217.913716644</v>
      </c>
      <c r="H191" s="323">
        <v>41855011.822999999</v>
      </c>
      <c r="I191" s="323">
        <v>933220</v>
      </c>
      <c r="J191" s="323">
        <v>132057775.01710087</v>
      </c>
      <c r="K191" s="323">
        <v>102656984.59</v>
      </c>
      <c r="L191" s="323">
        <v>37278</v>
      </c>
      <c r="M191" s="323">
        <v>6336031.9202700453</v>
      </c>
      <c r="N191" s="323">
        <v>4925404.2869999995</v>
      </c>
      <c r="O191" s="323">
        <v>32309</v>
      </c>
      <c r="P191" s="323">
        <v>5367780.6772143971</v>
      </c>
      <c r="Q191" s="323">
        <v>4172720.449</v>
      </c>
      <c r="R191" s="323">
        <v>69587</v>
      </c>
      <c r="S191" s="323">
        <v>11703812.597484443</v>
      </c>
      <c r="T191" s="323">
        <v>9098124.7359999996</v>
      </c>
      <c r="U191" s="323">
        <v>577888</v>
      </c>
      <c r="V191" s="323">
        <v>84551589.023654282</v>
      </c>
      <c r="W191" s="323">
        <v>65727377.053999998</v>
      </c>
      <c r="X191" s="323">
        <v>424919</v>
      </c>
      <c r="Y191" s="323">
        <v>59209998.590931036</v>
      </c>
      <c r="Z191" s="323">
        <v>46027732.272</v>
      </c>
      <c r="AA191" s="323">
        <v>1002807</v>
      </c>
      <c r="AB191" s="323">
        <v>143761587.61458534</v>
      </c>
      <c r="AC191" s="173">
        <v>111755109.32600001</v>
      </c>
    </row>
    <row r="192" spans="2:29" hidden="1" outlineLevel="1" x14ac:dyDescent="0.25">
      <c r="B192" s="205">
        <v>43862</v>
      </c>
      <c r="C192" s="323">
        <v>546952</v>
      </c>
      <c r="D192" s="323">
        <v>77119604.483076125</v>
      </c>
      <c r="E192" s="323">
        <v>60218816.060000002</v>
      </c>
      <c r="F192" s="323">
        <v>398903</v>
      </c>
      <c r="G192" s="323">
        <v>53392943.997978128</v>
      </c>
      <c r="H192" s="323">
        <v>41691861.557999998</v>
      </c>
      <c r="I192" s="323">
        <v>945855</v>
      </c>
      <c r="J192" s="323">
        <v>130512548.48105425</v>
      </c>
      <c r="K192" s="323">
        <v>101910677.618</v>
      </c>
      <c r="L192" s="323">
        <v>37310</v>
      </c>
      <c r="M192" s="323">
        <v>6230428.6552292043</v>
      </c>
      <c r="N192" s="323">
        <v>4865028.0259999996</v>
      </c>
      <c r="O192" s="323">
        <v>32349</v>
      </c>
      <c r="P192" s="323">
        <v>5286233.1236932222</v>
      </c>
      <c r="Q192" s="323">
        <v>4127753.2769999998</v>
      </c>
      <c r="R192" s="323">
        <v>69659</v>
      </c>
      <c r="S192" s="323">
        <v>11516661.778922426</v>
      </c>
      <c r="T192" s="323">
        <v>8992781.3029999994</v>
      </c>
      <c r="U192" s="323">
        <v>584262</v>
      </c>
      <c r="V192" s="323">
        <v>83350033.138305321</v>
      </c>
      <c r="W192" s="323">
        <v>65083844.086000003</v>
      </c>
      <c r="X192" s="323">
        <v>431252</v>
      </c>
      <c r="Y192" s="323">
        <v>58679177.121671349</v>
      </c>
      <c r="Z192" s="323">
        <v>45819614.835000001</v>
      </c>
      <c r="AA192" s="323">
        <v>1015514</v>
      </c>
      <c r="AB192" s="323">
        <v>142029210.25997669</v>
      </c>
      <c r="AC192" s="173">
        <v>110903458.921</v>
      </c>
    </row>
    <row r="193" spans="2:29" hidden="1" outlineLevel="1" x14ac:dyDescent="0.25">
      <c r="B193" s="205">
        <v>43891</v>
      </c>
      <c r="C193" s="323">
        <v>555640</v>
      </c>
      <c r="D193" s="323">
        <v>77958027.933127746</v>
      </c>
      <c r="E193" s="323">
        <v>61074740.947999999</v>
      </c>
      <c r="F193" s="323">
        <v>408322</v>
      </c>
      <c r="G193" s="323">
        <v>54135436.303151876</v>
      </c>
      <c r="H193" s="323">
        <v>42411382.586000003</v>
      </c>
      <c r="I193" s="323">
        <v>963962</v>
      </c>
      <c r="J193" s="323">
        <v>132093464.23627964</v>
      </c>
      <c r="K193" s="323">
        <v>103486123.53399999</v>
      </c>
      <c r="L193" s="323">
        <v>37607</v>
      </c>
      <c r="M193" s="323">
        <v>6239442.1582866954</v>
      </c>
      <c r="N193" s="323">
        <v>4888172.8229999999</v>
      </c>
      <c r="O193" s="323">
        <v>32685</v>
      </c>
      <c r="P193" s="323">
        <v>5292866.4812074061</v>
      </c>
      <c r="Q193" s="323">
        <v>4146596.031</v>
      </c>
      <c r="R193" s="323">
        <v>70292</v>
      </c>
      <c r="S193" s="323">
        <v>11532308.639494102</v>
      </c>
      <c r="T193" s="323">
        <v>9034768.8540000003</v>
      </c>
      <c r="U193" s="323">
        <v>593247</v>
      </c>
      <c r="V193" s="323">
        <v>84197470.091414437</v>
      </c>
      <c r="W193" s="323">
        <v>65962913.770999998</v>
      </c>
      <c r="X193" s="323">
        <v>441007</v>
      </c>
      <c r="Y193" s="323">
        <v>59428302.784359284</v>
      </c>
      <c r="Z193" s="323">
        <v>46557978.616999999</v>
      </c>
      <c r="AA193" s="323">
        <v>1034254</v>
      </c>
      <c r="AB193" s="323">
        <v>143625772.87577373</v>
      </c>
      <c r="AC193" s="173">
        <v>112520892.388</v>
      </c>
    </row>
    <row r="194" spans="2:29" hidden="1" outlineLevel="1" x14ac:dyDescent="0.25">
      <c r="B194" s="205">
        <v>43922</v>
      </c>
      <c r="C194" s="323">
        <v>565082</v>
      </c>
      <c r="D194" s="323">
        <v>78966371.337704554</v>
      </c>
      <c r="E194" s="323">
        <v>61839544.07</v>
      </c>
      <c r="F194" s="323">
        <v>415744</v>
      </c>
      <c r="G194" s="323">
        <v>54827451.941007055</v>
      </c>
      <c r="H194" s="323">
        <v>42936057.123000003</v>
      </c>
      <c r="I194" s="323">
        <v>980826</v>
      </c>
      <c r="J194" s="323">
        <v>133793823.2787116</v>
      </c>
      <c r="K194" s="323">
        <v>104775601.193</v>
      </c>
      <c r="L194" s="323">
        <v>37780</v>
      </c>
      <c r="M194" s="323">
        <v>6249889.8614956634</v>
      </c>
      <c r="N194" s="323">
        <v>4894366.2089999998</v>
      </c>
      <c r="O194" s="323">
        <v>32913</v>
      </c>
      <c r="P194" s="323">
        <v>5303652.5230471911</v>
      </c>
      <c r="Q194" s="323">
        <v>4153356.0219999999</v>
      </c>
      <c r="R194" s="323">
        <v>70693</v>
      </c>
      <c r="S194" s="323">
        <v>11553542.384542855</v>
      </c>
      <c r="T194" s="323">
        <v>9047722.2310000006</v>
      </c>
      <c r="U194" s="323">
        <v>602862</v>
      </c>
      <c r="V194" s="323">
        <v>85216261.199200228</v>
      </c>
      <c r="W194" s="323">
        <v>66733910.278999999</v>
      </c>
      <c r="X194" s="323">
        <v>448657</v>
      </c>
      <c r="Y194" s="323">
        <v>60131104.464054242</v>
      </c>
      <c r="Z194" s="323">
        <v>47089413.145000003</v>
      </c>
      <c r="AA194" s="323">
        <v>1051519</v>
      </c>
      <c r="AB194" s="323">
        <v>145347365.66325447</v>
      </c>
      <c r="AC194" s="173">
        <v>113823323.42399999</v>
      </c>
    </row>
    <row r="195" spans="2:29" hidden="1" outlineLevel="1" x14ac:dyDescent="0.25">
      <c r="B195" s="205">
        <v>43952</v>
      </c>
      <c r="C195" s="323">
        <v>566670</v>
      </c>
      <c r="D195" s="323">
        <v>79306092.330369815</v>
      </c>
      <c r="E195" s="323">
        <v>62074697.443000004</v>
      </c>
      <c r="F195" s="323">
        <v>417174</v>
      </c>
      <c r="G195" s="323">
        <v>55023397.383912854</v>
      </c>
      <c r="H195" s="323">
        <v>43068075.156999998</v>
      </c>
      <c r="I195" s="323">
        <v>983844</v>
      </c>
      <c r="J195" s="323">
        <v>134329489.71428266</v>
      </c>
      <c r="K195" s="323">
        <v>105142772.59999999</v>
      </c>
      <c r="L195" s="323">
        <v>37953</v>
      </c>
      <c r="M195" s="323">
        <v>6273849.2552508544</v>
      </c>
      <c r="N195" s="323">
        <v>4910685.71</v>
      </c>
      <c r="O195" s="323">
        <v>33101</v>
      </c>
      <c r="P195" s="323">
        <v>5330511.6987500479</v>
      </c>
      <c r="Q195" s="323">
        <v>4172313.7680000002</v>
      </c>
      <c r="R195" s="323">
        <v>71054</v>
      </c>
      <c r="S195" s="323">
        <v>11604360.954000901</v>
      </c>
      <c r="T195" s="323">
        <v>9082999.4780000001</v>
      </c>
      <c r="U195" s="323">
        <v>604623</v>
      </c>
      <c r="V195" s="323">
        <v>85579941.585620672</v>
      </c>
      <c r="W195" s="323">
        <v>66985383.152999997</v>
      </c>
      <c r="X195" s="323">
        <v>450275</v>
      </c>
      <c r="Y195" s="323">
        <v>60353909.08266291</v>
      </c>
      <c r="Z195" s="323">
        <v>47240388.924999997</v>
      </c>
      <c r="AA195" s="323">
        <v>1054898</v>
      </c>
      <c r="AB195" s="323">
        <v>145933850.66828358</v>
      </c>
      <c r="AC195" s="173">
        <v>114225772.07799999</v>
      </c>
    </row>
    <row r="196" spans="2:29" hidden="1" outlineLevel="1" x14ac:dyDescent="0.25">
      <c r="B196" s="205">
        <v>43983</v>
      </c>
      <c r="C196" s="323">
        <v>570289</v>
      </c>
      <c r="D196" s="323">
        <v>79964143.010971263</v>
      </c>
      <c r="E196" s="323">
        <v>62544771.733000003</v>
      </c>
      <c r="F196" s="323">
        <v>421409</v>
      </c>
      <c r="G196" s="323">
        <v>55612680.68682608</v>
      </c>
      <c r="H196" s="323">
        <v>43498026.590999998</v>
      </c>
      <c r="I196" s="323">
        <v>991698</v>
      </c>
      <c r="J196" s="323">
        <v>135576823.69779733</v>
      </c>
      <c r="K196" s="323">
        <v>106042798.324</v>
      </c>
      <c r="L196" s="323">
        <v>38176</v>
      </c>
      <c r="M196" s="323">
        <v>6306711.2062729616</v>
      </c>
      <c r="N196" s="323">
        <v>4932858.6279999996</v>
      </c>
      <c r="O196" s="323">
        <v>33326</v>
      </c>
      <c r="P196" s="323">
        <v>5355940.94019672</v>
      </c>
      <c r="Q196" s="323">
        <v>4189203.9470000002</v>
      </c>
      <c r="R196" s="323">
        <v>71502</v>
      </c>
      <c r="S196" s="323">
        <v>11662652.146469682</v>
      </c>
      <c r="T196" s="323">
        <v>9122062.5749999993</v>
      </c>
      <c r="U196" s="323">
        <v>608465</v>
      </c>
      <c r="V196" s="323">
        <v>86270854.217244223</v>
      </c>
      <c r="W196" s="323">
        <v>67477630.361000001</v>
      </c>
      <c r="X196" s="323">
        <v>454735</v>
      </c>
      <c r="Y196" s="323">
        <v>60968621.627022795</v>
      </c>
      <c r="Z196" s="323">
        <v>47687230.538000003</v>
      </c>
      <c r="AA196" s="323">
        <v>1063200</v>
      </c>
      <c r="AB196" s="323">
        <v>147239475.84426704</v>
      </c>
      <c r="AC196" s="173">
        <v>115164860.899</v>
      </c>
    </row>
    <row r="197" spans="2:29" hidden="1" outlineLevel="1" x14ac:dyDescent="0.25">
      <c r="B197" s="205">
        <v>44013</v>
      </c>
      <c r="C197" s="323">
        <v>572080</v>
      </c>
      <c r="D197" s="323">
        <v>82941670.075417131</v>
      </c>
      <c r="E197" s="323">
        <v>64938763.322999999</v>
      </c>
      <c r="F197" s="323">
        <v>422356</v>
      </c>
      <c r="G197" s="323">
        <v>57552970.174596906</v>
      </c>
      <c r="H197" s="323">
        <v>45060808.461000003</v>
      </c>
      <c r="I197" s="323">
        <v>994436</v>
      </c>
      <c r="J197" s="323">
        <v>140494640.25001404</v>
      </c>
      <c r="K197" s="323">
        <v>109999571.78399999</v>
      </c>
      <c r="L197" s="323">
        <v>38270</v>
      </c>
      <c r="M197" s="323">
        <v>6479077.5667816717</v>
      </c>
      <c r="N197" s="323">
        <v>5072761.1859999998</v>
      </c>
      <c r="O197" s="323">
        <v>33396</v>
      </c>
      <c r="P197" s="323">
        <v>5504376.2965570344</v>
      </c>
      <c r="Q197" s="323">
        <v>4309623.7300000004</v>
      </c>
      <c r="R197" s="323">
        <v>71666</v>
      </c>
      <c r="S197" s="323">
        <v>11983453.863338707</v>
      </c>
      <c r="T197" s="323">
        <v>9382384.9159999993</v>
      </c>
      <c r="U197" s="323">
        <v>610350</v>
      </c>
      <c r="V197" s="323">
        <v>89420747.642198801</v>
      </c>
      <c r="W197" s="323">
        <v>70011524.509000003</v>
      </c>
      <c r="X197" s="323">
        <v>455752</v>
      </c>
      <c r="Y197" s="323">
        <v>63057346.471153945</v>
      </c>
      <c r="Z197" s="323">
        <v>49370432.191</v>
      </c>
      <c r="AA197" s="323">
        <v>1066102</v>
      </c>
      <c r="AB197" s="323">
        <v>152478094.11335275</v>
      </c>
      <c r="AC197" s="173">
        <v>119381956.7</v>
      </c>
    </row>
    <row r="198" spans="2:29" hidden="1" outlineLevel="1" x14ac:dyDescent="0.25">
      <c r="B198" s="205">
        <v>44044</v>
      </c>
      <c r="C198" s="323">
        <v>574464</v>
      </c>
      <c r="D198" s="323">
        <v>83308801.097173437</v>
      </c>
      <c r="E198" s="323">
        <v>65312368.181999996</v>
      </c>
      <c r="F198" s="323">
        <v>424814</v>
      </c>
      <c r="G198" s="323">
        <v>57784073.658611953</v>
      </c>
      <c r="H198" s="323">
        <v>45301512.494999997</v>
      </c>
      <c r="I198" s="323">
        <v>999278</v>
      </c>
      <c r="J198" s="323">
        <v>141092874.75578538</v>
      </c>
      <c r="K198" s="323">
        <v>110613880.677</v>
      </c>
      <c r="L198" s="323">
        <v>38301</v>
      </c>
      <c r="M198" s="323">
        <v>6469315.5196282845</v>
      </c>
      <c r="N198" s="323">
        <v>5071808.8789999997</v>
      </c>
      <c r="O198" s="323">
        <v>33472</v>
      </c>
      <c r="P198" s="323">
        <v>5502733.8538938593</v>
      </c>
      <c r="Q198" s="323">
        <v>4314028.9469999997</v>
      </c>
      <c r="R198" s="323">
        <v>71773</v>
      </c>
      <c r="S198" s="323">
        <v>11972049.373522142</v>
      </c>
      <c r="T198" s="323">
        <v>9385837.8259999994</v>
      </c>
      <c r="U198" s="323">
        <v>612765</v>
      </c>
      <c r="V198" s="323">
        <v>89778116.616801709</v>
      </c>
      <c r="W198" s="323">
        <v>70384177.061000004</v>
      </c>
      <c r="X198" s="323">
        <v>458286</v>
      </c>
      <c r="Y198" s="323">
        <v>63286807.512505814</v>
      </c>
      <c r="Z198" s="323">
        <v>49615541.442000002</v>
      </c>
      <c r="AA198" s="323">
        <v>1071051</v>
      </c>
      <c r="AB198" s="323">
        <v>153064924.12930754</v>
      </c>
      <c r="AC198" s="173">
        <v>119999718.50300001</v>
      </c>
    </row>
    <row r="199" spans="2:29" hidden="1" outlineLevel="1" x14ac:dyDescent="0.25">
      <c r="B199" s="205">
        <v>44075</v>
      </c>
      <c r="C199" s="323">
        <v>578357</v>
      </c>
      <c r="D199" s="323">
        <v>83361485.313632995</v>
      </c>
      <c r="E199" s="323">
        <v>65768817.581</v>
      </c>
      <c r="F199" s="323">
        <v>428184</v>
      </c>
      <c r="G199" s="323">
        <v>57733352.189410828</v>
      </c>
      <c r="H199" s="323">
        <v>45549264.078000002</v>
      </c>
      <c r="I199" s="323">
        <v>1006541</v>
      </c>
      <c r="J199" s="323">
        <v>141094837.50304383</v>
      </c>
      <c r="K199" s="323">
        <v>111318081.65899999</v>
      </c>
      <c r="L199" s="323">
        <v>38339</v>
      </c>
      <c r="M199" s="323">
        <v>6425827.6987048034</v>
      </c>
      <c r="N199" s="323">
        <v>5069716.4060000004</v>
      </c>
      <c r="O199" s="323">
        <v>33532</v>
      </c>
      <c r="P199" s="323">
        <v>5468557.8770000972</v>
      </c>
      <c r="Q199" s="323">
        <v>4314469.4950000001</v>
      </c>
      <c r="R199" s="323">
        <v>71871</v>
      </c>
      <c r="S199" s="323">
        <v>11894385.575704901</v>
      </c>
      <c r="T199" s="323">
        <v>9384185.9010000005</v>
      </c>
      <c r="U199" s="323">
        <v>616696</v>
      </c>
      <c r="V199" s="323">
        <v>89787313.012337804</v>
      </c>
      <c r="W199" s="323">
        <v>70838533.987000003</v>
      </c>
      <c r="X199" s="323">
        <v>461716</v>
      </c>
      <c r="Y199" s="323">
        <v>63201910.066410929</v>
      </c>
      <c r="Z199" s="323">
        <v>49863733.572999999</v>
      </c>
      <c r="AA199" s="323">
        <v>1078412</v>
      </c>
      <c r="AB199" s="323">
        <v>152989223.07874873</v>
      </c>
      <c r="AC199" s="173">
        <v>120702267.56</v>
      </c>
    </row>
    <row r="200" spans="2:29" hidden="1" outlineLevel="1" x14ac:dyDescent="0.25">
      <c r="B200" s="205">
        <v>44105</v>
      </c>
      <c r="C200" s="323">
        <v>583043</v>
      </c>
      <c r="D200" s="323">
        <v>83430733.772027746</v>
      </c>
      <c r="E200" s="323">
        <v>66275487.600000001</v>
      </c>
      <c r="F200" s="323">
        <v>432062</v>
      </c>
      <c r="G200" s="323">
        <v>57642403.992863625</v>
      </c>
      <c r="H200" s="323">
        <v>45789821.788000003</v>
      </c>
      <c r="I200" s="323">
        <v>1015105</v>
      </c>
      <c r="J200" s="323">
        <v>141073137.76489136</v>
      </c>
      <c r="K200" s="323">
        <v>112065309.388</v>
      </c>
      <c r="L200" s="323">
        <v>38500</v>
      </c>
      <c r="M200" s="323">
        <v>6389230.56956138</v>
      </c>
      <c r="N200" s="323">
        <v>5075460.2319999998</v>
      </c>
      <c r="O200" s="323">
        <v>33724</v>
      </c>
      <c r="P200" s="323">
        <v>5436951.6486763153</v>
      </c>
      <c r="Q200" s="323">
        <v>4318991.3990000002</v>
      </c>
      <c r="R200" s="323">
        <v>72224</v>
      </c>
      <c r="S200" s="323">
        <v>11826182.218237696</v>
      </c>
      <c r="T200" s="323">
        <v>9394451.6309999991</v>
      </c>
      <c r="U200" s="323">
        <v>621543</v>
      </c>
      <c r="V200" s="323">
        <v>89819964.341589123</v>
      </c>
      <c r="W200" s="323">
        <v>71350947.832000002</v>
      </c>
      <c r="X200" s="323">
        <v>465786</v>
      </c>
      <c r="Y200" s="323">
        <v>63079355.641539939</v>
      </c>
      <c r="Z200" s="323">
        <v>50108813.186999999</v>
      </c>
      <c r="AA200" s="323">
        <v>1087329</v>
      </c>
      <c r="AB200" s="323">
        <v>152899319.98312905</v>
      </c>
      <c r="AC200" s="173">
        <v>121459761.01899999</v>
      </c>
    </row>
    <row r="201" spans="2:29" hidden="1" outlineLevel="1" x14ac:dyDescent="0.25">
      <c r="B201" s="205">
        <v>44136</v>
      </c>
      <c r="C201" s="323">
        <v>589403</v>
      </c>
      <c r="D201" s="323">
        <v>84531317.653779164</v>
      </c>
      <c r="E201" s="323">
        <v>67057614.181000002</v>
      </c>
      <c r="F201" s="323">
        <v>436187</v>
      </c>
      <c r="G201" s="323">
        <v>58151440.59906137</v>
      </c>
      <c r="H201" s="323">
        <v>46130794.787</v>
      </c>
      <c r="I201" s="323">
        <v>1025590</v>
      </c>
      <c r="J201" s="323">
        <v>142682758.25284055</v>
      </c>
      <c r="K201" s="323">
        <v>113188408.96799999</v>
      </c>
      <c r="L201" s="323">
        <v>38626</v>
      </c>
      <c r="M201" s="323">
        <v>6397010.4045415986</v>
      </c>
      <c r="N201" s="323">
        <v>5074666.6150000002</v>
      </c>
      <c r="O201" s="323">
        <v>34000</v>
      </c>
      <c r="P201" s="323">
        <v>5460012.6891089594</v>
      </c>
      <c r="Q201" s="323">
        <v>4331358.3</v>
      </c>
      <c r="R201" s="323">
        <v>72626</v>
      </c>
      <c r="S201" s="323">
        <v>11857023.093650559</v>
      </c>
      <c r="T201" s="323">
        <v>9406024.9149999991</v>
      </c>
      <c r="U201" s="323">
        <v>628029</v>
      </c>
      <c r="V201" s="323">
        <v>90928328.058320776</v>
      </c>
      <c r="W201" s="323">
        <v>72132280.796000004</v>
      </c>
      <c r="X201" s="323">
        <v>470187</v>
      </c>
      <c r="Y201" s="323">
        <v>63611453.28817033</v>
      </c>
      <c r="Z201" s="323">
        <v>50462153.086999997</v>
      </c>
      <c r="AA201" s="323">
        <v>1098216</v>
      </c>
      <c r="AB201" s="323">
        <v>154539781.3464911</v>
      </c>
      <c r="AC201" s="173">
        <v>122594433.883</v>
      </c>
    </row>
    <row r="202" spans="2:29" hidden="1" outlineLevel="1" x14ac:dyDescent="0.25">
      <c r="B202" s="205">
        <v>44166</v>
      </c>
      <c r="C202" s="323">
        <v>595180</v>
      </c>
      <c r="D202" s="323">
        <v>85138180.977567554</v>
      </c>
      <c r="E202" s="323">
        <v>67767224.564999998</v>
      </c>
      <c r="F202" s="323">
        <v>439776</v>
      </c>
      <c r="G202" s="323">
        <v>58316850.121434517</v>
      </c>
      <c r="H202" s="323">
        <v>46418317.055</v>
      </c>
      <c r="I202" s="323">
        <v>1034956</v>
      </c>
      <c r="J202" s="323">
        <v>143455031.09900206</v>
      </c>
      <c r="K202" s="323">
        <v>114185541.62</v>
      </c>
      <c r="L202" s="323">
        <v>38619</v>
      </c>
      <c r="M202" s="323">
        <v>6362008.2183404071</v>
      </c>
      <c r="N202" s="323">
        <v>5063951.7390000001</v>
      </c>
      <c r="O202" s="323">
        <v>34075</v>
      </c>
      <c r="P202" s="323">
        <v>5436050.7144692438</v>
      </c>
      <c r="Q202" s="323">
        <v>4326919.665</v>
      </c>
      <c r="R202" s="323">
        <v>72694</v>
      </c>
      <c r="S202" s="323">
        <v>11798058.932809653</v>
      </c>
      <c r="T202" s="323">
        <v>9390871.4039999992</v>
      </c>
      <c r="U202" s="323">
        <v>633799</v>
      </c>
      <c r="V202" s="323">
        <v>91500189.195907965</v>
      </c>
      <c r="W202" s="323">
        <v>72831176.304000005</v>
      </c>
      <c r="X202" s="323">
        <v>473851</v>
      </c>
      <c r="Y202" s="323">
        <v>63752900.835903764</v>
      </c>
      <c r="Z202" s="323">
        <v>50745236.719999999</v>
      </c>
      <c r="AA202" s="323">
        <v>1107650</v>
      </c>
      <c r="AB202" s="323">
        <v>155253090.03181171</v>
      </c>
      <c r="AC202" s="173">
        <v>123576413.024</v>
      </c>
    </row>
    <row r="203" spans="2:29" collapsed="1" x14ac:dyDescent="0.25">
      <c r="B203" s="325" t="s">
        <v>702</v>
      </c>
      <c r="C203" s="324">
        <v>569814.16666666663</v>
      </c>
      <c r="D203" s="324">
        <v>81186832.090685979</v>
      </c>
      <c r="E203" s="324"/>
      <c r="F203" s="324">
        <v>419795.08333333331</v>
      </c>
      <c r="G203" s="324">
        <v>56167934.913547657</v>
      </c>
      <c r="H203" s="324"/>
      <c r="I203" s="324">
        <v>989609.25</v>
      </c>
      <c r="J203" s="324">
        <v>137354767.00423363</v>
      </c>
      <c r="K203" s="324"/>
      <c r="L203" s="324">
        <v>38063.25</v>
      </c>
      <c r="M203" s="324">
        <v>6346568.5861969637</v>
      </c>
      <c r="N203" s="324"/>
      <c r="O203" s="324">
        <v>33240.166666666664</v>
      </c>
      <c r="P203" s="324">
        <v>5395472.3769845413</v>
      </c>
      <c r="Q203" s="324"/>
      <c r="R203" s="324">
        <v>71303.416666666672</v>
      </c>
      <c r="S203" s="324">
        <v>11742040.963181509</v>
      </c>
      <c r="T203" s="324"/>
      <c r="U203" s="324">
        <v>607877.41666666663</v>
      </c>
      <c r="V203" s="324">
        <v>87533400.676882938</v>
      </c>
      <c r="W203" s="324"/>
      <c r="X203" s="324">
        <v>453035.25</v>
      </c>
      <c r="Y203" s="324">
        <v>61563407.290532194</v>
      </c>
      <c r="Z203" s="324"/>
      <c r="AA203" s="324">
        <v>1060912.6666666667</v>
      </c>
      <c r="AB203" s="324">
        <v>149096807.96741512</v>
      </c>
      <c r="AC203" s="327"/>
    </row>
    <row r="204" spans="2:29" hidden="1" outlineLevel="1" x14ac:dyDescent="0.25">
      <c r="B204" s="205">
        <v>44197</v>
      </c>
      <c r="C204" s="323">
        <v>600842</v>
      </c>
      <c r="D204" s="323">
        <v>95381457.799425423</v>
      </c>
      <c r="E204" s="323">
        <v>76453709.691</v>
      </c>
      <c r="F204" s="323">
        <v>443662</v>
      </c>
      <c r="G204" s="323">
        <v>66350085.031677589</v>
      </c>
      <c r="H204" s="323">
        <v>53183399.122000001</v>
      </c>
      <c r="I204" s="323">
        <v>1044504</v>
      </c>
      <c r="J204" s="323">
        <v>161731542.83110303</v>
      </c>
      <c r="K204" s="323">
        <v>129637108.81299999</v>
      </c>
      <c r="L204" s="323">
        <v>38683</v>
      </c>
      <c r="M204" s="323">
        <v>7132271.3413992655</v>
      </c>
      <c r="N204" s="323">
        <v>5716924.6009999998</v>
      </c>
      <c r="O204" s="323">
        <v>34228</v>
      </c>
      <c r="P204" s="323">
        <v>6126567.1843613917</v>
      </c>
      <c r="Q204" s="323">
        <v>4910795.03</v>
      </c>
      <c r="R204" s="323">
        <v>72911</v>
      </c>
      <c r="S204" s="323">
        <v>13258838.525760658</v>
      </c>
      <c r="T204" s="323">
        <v>10627719.630999999</v>
      </c>
      <c r="U204" s="323">
        <v>639525</v>
      </c>
      <c r="V204" s="323">
        <v>102513729.14082471</v>
      </c>
      <c r="W204" s="323">
        <v>82170634.291999996</v>
      </c>
      <c r="X204" s="323">
        <v>477890</v>
      </c>
      <c r="Y204" s="323">
        <v>72476652.216038987</v>
      </c>
      <c r="Z204" s="323">
        <v>58094194.152000003</v>
      </c>
      <c r="AA204" s="323">
        <v>1117415</v>
      </c>
      <c r="AB204" s="323">
        <v>174990381.35686368</v>
      </c>
      <c r="AC204" s="173">
        <v>140264828.44400001</v>
      </c>
    </row>
    <row r="205" spans="2:29" hidden="1" outlineLevel="1" x14ac:dyDescent="0.25">
      <c r="B205" s="205">
        <v>44228</v>
      </c>
      <c r="C205" s="323">
        <v>605436</v>
      </c>
      <c r="D205" s="323">
        <v>95474351.52288571</v>
      </c>
      <c r="E205" s="323">
        <v>76669977.292999998</v>
      </c>
      <c r="F205" s="323">
        <v>447257</v>
      </c>
      <c r="G205" s="323">
        <v>66420398.91051697</v>
      </c>
      <c r="H205" s="323">
        <v>53338413.877999999</v>
      </c>
      <c r="I205" s="323">
        <v>1052693</v>
      </c>
      <c r="J205" s="323">
        <v>161894750.43340269</v>
      </c>
      <c r="K205" s="323">
        <v>130008391.171</v>
      </c>
      <c r="L205" s="323">
        <v>38750</v>
      </c>
      <c r="M205" s="323">
        <v>7116866.1135848975</v>
      </c>
      <c r="N205" s="323">
        <v>5715147.1009999998</v>
      </c>
      <c r="O205" s="323">
        <v>34279</v>
      </c>
      <c r="P205" s="323">
        <v>6115553.915406011</v>
      </c>
      <c r="Q205" s="323">
        <v>4911050.6890000002</v>
      </c>
      <c r="R205" s="323">
        <v>73029</v>
      </c>
      <c r="S205" s="323">
        <v>13232420.028990908</v>
      </c>
      <c r="T205" s="323">
        <v>10626197.789999999</v>
      </c>
      <c r="U205" s="323">
        <v>644186</v>
      </c>
      <c r="V205" s="323">
        <v>102591217.63647062</v>
      </c>
      <c r="W205" s="323">
        <v>82385124.393999994</v>
      </c>
      <c r="X205" s="323">
        <v>481536</v>
      </c>
      <c r="Y205" s="323">
        <v>72535952.825922981</v>
      </c>
      <c r="Z205" s="323">
        <v>58249464.567000002</v>
      </c>
      <c r="AA205" s="323">
        <v>1125722</v>
      </c>
      <c r="AB205" s="323">
        <v>175127170.46239358</v>
      </c>
      <c r="AC205" s="173">
        <v>140634588.961</v>
      </c>
    </row>
    <row r="206" spans="2:29" hidden="1" outlineLevel="1" x14ac:dyDescent="0.25">
      <c r="B206" s="205">
        <v>44256</v>
      </c>
      <c r="C206" s="323">
        <v>610095</v>
      </c>
      <c r="D206" s="323">
        <v>96042718.746504605</v>
      </c>
      <c r="E206" s="323">
        <v>77415895.508000001</v>
      </c>
      <c r="F206" s="323">
        <v>450099</v>
      </c>
      <c r="G206" s="323">
        <v>66590979.478568666</v>
      </c>
      <c r="H206" s="323">
        <v>53676118.048</v>
      </c>
      <c r="I206" s="323">
        <v>1060194</v>
      </c>
      <c r="J206" s="323">
        <v>162633698.22507328</v>
      </c>
      <c r="K206" s="323">
        <v>131092013.55599999</v>
      </c>
      <c r="L206" s="323">
        <v>38777</v>
      </c>
      <c r="M206" s="323">
        <v>7093527.1873565055</v>
      </c>
      <c r="N206" s="323">
        <v>5717786.4879999999</v>
      </c>
      <c r="O206" s="323">
        <v>34317</v>
      </c>
      <c r="P206" s="323">
        <v>6102120.2798196115</v>
      </c>
      <c r="Q206" s="323">
        <v>4918656.1160000004</v>
      </c>
      <c r="R206" s="323">
        <v>73094</v>
      </c>
      <c r="S206" s="323">
        <v>13195647.467176117</v>
      </c>
      <c r="T206" s="323">
        <v>10636442.604</v>
      </c>
      <c r="U206" s="323">
        <v>648872</v>
      </c>
      <c r="V206" s="323">
        <v>103136245.93386112</v>
      </c>
      <c r="W206" s="323">
        <v>83133681.996000007</v>
      </c>
      <c r="X206" s="323">
        <v>484416</v>
      </c>
      <c r="Y206" s="323">
        <v>72693099.758388281</v>
      </c>
      <c r="Z206" s="323">
        <v>58594774.163999997</v>
      </c>
      <c r="AA206" s="323">
        <v>1133288</v>
      </c>
      <c r="AB206" s="323">
        <v>175829345.69224939</v>
      </c>
      <c r="AC206" s="173">
        <v>141728456.16</v>
      </c>
    </row>
    <row r="207" spans="2:29" hidden="1" outlineLevel="1" x14ac:dyDescent="0.25">
      <c r="B207" s="205">
        <v>44287</v>
      </c>
      <c r="C207" s="323">
        <v>615165</v>
      </c>
      <c r="D207" s="323">
        <v>96598771.905903339</v>
      </c>
      <c r="E207" s="323">
        <v>78157630.570999995</v>
      </c>
      <c r="F207" s="323">
        <v>453554</v>
      </c>
      <c r="G207" s="323">
        <v>66776028.059799366</v>
      </c>
      <c r="H207" s="323">
        <v>54028183.061999999</v>
      </c>
      <c r="I207" s="323">
        <v>1068719</v>
      </c>
      <c r="J207" s="323">
        <v>163374799.96570271</v>
      </c>
      <c r="K207" s="323">
        <v>132185813.633</v>
      </c>
      <c r="L207" s="323">
        <v>39434</v>
      </c>
      <c r="M207" s="323">
        <v>7133586.9622568944</v>
      </c>
      <c r="N207" s="323">
        <v>5771753.0300000003</v>
      </c>
      <c r="O207" s="323">
        <v>35231</v>
      </c>
      <c r="P207" s="323">
        <v>6180768.975148825</v>
      </c>
      <c r="Q207" s="323">
        <v>5000832.2949999999</v>
      </c>
      <c r="R207" s="323">
        <v>74665</v>
      </c>
      <c r="S207" s="323">
        <v>13314355.93740572</v>
      </c>
      <c r="T207" s="323">
        <v>10772585.324999999</v>
      </c>
      <c r="U207" s="323">
        <v>654599</v>
      </c>
      <c r="V207" s="323">
        <v>103732358.86816023</v>
      </c>
      <c r="W207" s="323">
        <v>83929383.600999996</v>
      </c>
      <c r="X207" s="323">
        <v>488785</v>
      </c>
      <c r="Y207" s="323">
        <v>72956797.034948185</v>
      </c>
      <c r="Z207" s="323">
        <v>59029015.357000001</v>
      </c>
      <c r="AA207" s="323">
        <v>1143384</v>
      </c>
      <c r="AB207" s="323">
        <v>176689155.90310842</v>
      </c>
      <c r="AC207" s="173">
        <v>142958398.958</v>
      </c>
    </row>
    <row r="208" spans="2:29" hidden="1" outlineLevel="1" x14ac:dyDescent="0.25">
      <c r="B208" s="205">
        <v>44317</v>
      </c>
      <c r="C208" s="323">
        <v>619925</v>
      </c>
      <c r="D208" s="323">
        <v>97191182.729793683</v>
      </c>
      <c r="E208" s="323">
        <v>78848211.272</v>
      </c>
      <c r="F208" s="323">
        <v>456843</v>
      </c>
      <c r="G208" s="323">
        <v>67051566.139457174</v>
      </c>
      <c r="H208" s="323">
        <v>54396869.186999999</v>
      </c>
      <c r="I208" s="323">
        <v>1076768</v>
      </c>
      <c r="J208" s="323">
        <v>164242748.86925089</v>
      </c>
      <c r="K208" s="323">
        <v>133245080.45900001</v>
      </c>
      <c r="L208" s="323">
        <v>40665</v>
      </c>
      <c r="M208" s="323">
        <v>7224383.7679575263</v>
      </c>
      <c r="N208" s="323">
        <v>5860919.9069999997</v>
      </c>
      <c r="O208" s="323">
        <v>36858</v>
      </c>
      <c r="P208" s="323">
        <v>6311075.5728426771</v>
      </c>
      <c r="Q208" s="323">
        <v>5119981.1150000002</v>
      </c>
      <c r="R208" s="323">
        <v>77523</v>
      </c>
      <c r="S208" s="323">
        <v>13535459.340800203</v>
      </c>
      <c r="T208" s="323">
        <v>10980901.022</v>
      </c>
      <c r="U208" s="323">
        <v>660590</v>
      </c>
      <c r="V208" s="323">
        <v>104415566.49775122</v>
      </c>
      <c r="W208" s="323">
        <v>84709131.179000005</v>
      </c>
      <c r="X208" s="323">
        <v>493701</v>
      </c>
      <c r="Y208" s="323">
        <v>73362641.712299854</v>
      </c>
      <c r="Z208" s="323">
        <v>59516850.302000001</v>
      </c>
      <c r="AA208" s="323">
        <v>1154291</v>
      </c>
      <c r="AB208" s="323">
        <v>177778208.21005109</v>
      </c>
      <c r="AC208" s="173">
        <v>144225981.48100001</v>
      </c>
    </row>
    <row r="209" spans="2:29" hidden="1" outlineLevel="1" x14ac:dyDescent="0.25">
      <c r="B209" s="205">
        <v>44348</v>
      </c>
      <c r="C209" s="323">
        <v>624280</v>
      </c>
      <c r="D209" s="323">
        <v>98016090.16417256</v>
      </c>
      <c r="E209" s="323">
        <v>79580831.511999995</v>
      </c>
      <c r="F209" s="323">
        <v>459648</v>
      </c>
      <c r="G209" s="323">
        <v>67490709.888480768</v>
      </c>
      <c r="H209" s="323">
        <v>54796786.968999997</v>
      </c>
      <c r="I209" s="323">
        <v>1083928</v>
      </c>
      <c r="J209" s="323">
        <v>165506800.05265334</v>
      </c>
      <c r="K209" s="323">
        <v>134377618.48100001</v>
      </c>
      <c r="L209" s="323">
        <v>41406</v>
      </c>
      <c r="M209" s="323">
        <v>7292550.316807135</v>
      </c>
      <c r="N209" s="323">
        <v>5920938.2570000002</v>
      </c>
      <c r="O209" s="323">
        <v>37901</v>
      </c>
      <c r="P209" s="323">
        <v>6420075.1246528886</v>
      </c>
      <c r="Q209" s="323">
        <v>5212561.6919999998</v>
      </c>
      <c r="R209" s="323">
        <v>79307</v>
      </c>
      <c r="S209" s="323">
        <v>13712625.441460023</v>
      </c>
      <c r="T209" s="323">
        <v>11133499.948999999</v>
      </c>
      <c r="U209" s="323">
        <v>665686</v>
      </c>
      <c r="V209" s="323">
        <v>105308640.48097971</v>
      </c>
      <c r="W209" s="323">
        <v>85501769.768999994</v>
      </c>
      <c r="X209" s="323">
        <v>497549</v>
      </c>
      <c r="Y209" s="323">
        <v>73910785.013133645</v>
      </c>
      <c r="Z209" s="323">
        <v>60009348.660999998</v>
      </c>
      <c r="AA209" s="323">
        <v>1163235</v>
      </c>
      <c r="AB209" s="323">
        <v>179219425.49411339</v>
      </c>
      <c r="AC209" s="173">
        <v>145511118.43000001</v>
      </c>
    </row>
    <row r="210" spans="2:29" hidden="1" outlineLevel="1" x14ac:dyDescent="0.25">
      <c r="B210" s="205">
        <v>44378</v>
      </c>
      <c r="C210" s="323">
        <v>628233</v>
      </c>
      <c r="D210" s="323">
        <v>102677491.19743618</v>
      </c>
      <c r="E210" s="323">
        <v>84039924.519999996</v>
      </c>
      <c r="F210" s="323">
        <v>462542</v>
      </c>
      <c r="G210" s="323">
        <v>70792923.692459717</v>
      </c>
      <c r="H210" s="323">
        <v>57942903.495999999</v>
      </c>
      <c r="I210" s="323">
        <v>1090775</v>
      </c>
      <c r="J210" s="323">
        <v>173470414.88989592</v>
      </c>
      <c r="K210" s="323">
        <v>141982828.016</v>
      </c>
      <c r="L210" s="323">
        <v>41969</v>
      </c>
      <c r="M210" s="323">
        <v>7590530.6453521885</v>
      </c>
      <c r="N210" s="323">
        <v>6212730.9019999998</v>
      </c>
      <c r="O210" s="323">
        <v>38877</v>
      </c>
      <c r="P210" s="323">
        <v>6755226.9766633799</v>
      </c>
      <c r="Q210" s="323">
        <v>5529047.8820000002</v>
      </c>
      <c r="R210" s="323">
        <v>80846</v>
      </c>
      <c r="S210" s="323">
        <v>14345757.622015567</v>
      </c>
      <c r="T210" s="323">
        <v>11741778.784</v>
      </c>
      <c r="U210" s="323">
        <v>670202</v>
      </c>
      <c r="V210" s="323">
        <v>110268021.84278837</v>
      </c>
      <c r="W210" s="323">
        <v>90252655.422000006</v>
      </c>
      <c r="X210" s="323">
        <v>501419</v>
      </c>
      <c r="Y210" s="323">
        <v>77548150.669123098</v>
      </c>
      <c r="Z210" s="323">
        <v>63471951.377999999</v>
      </c>
      <c r="AA210" s="323">
        <v>1171621</v>
      </c>
      <c r="AB210" s="323">
        <v>187816172.51191148</v>
      </c>
      <c r="AC210" s="173">
        <v>153724606.80000001</v>
      </c>
    </row>
    <row r="211" spans="2:29" hidden="1" outlineLevel="1" x14ac:dyDescent="0.25">
      <c r="B211" s="205">
        <v>44409</v>
      </c>
      <c r="C211" s="323">
        <v>632311</v>
      </c>
      <c r="D211" s="323">
        <v>103465730.34226115</v>
      </c>
      <c r="E211" s="323">
        <v>84989369.709000006</v>
      </c>
      <c r="F211" s="323">
        <v>464709</v>
      </c>
      <c r="G211" s="323">
        <v>71364447.876755908</v>
      </c>
      <c r="H211" s="323">
        <v>58620563.781000003</v>
      </c>
      <c r="I211" s="323">
        <v>1097020</v>
      </c>
      <c r="J211" s="323">
        <v>174830178.21901706</v>
      </c>
      <c r="K211" s="323">
        <v>143609933.49000001</v>
      </c>
      <c r="L211" s="323">
        <v>42296</v>
      </c>
      <c r="M211" s="323">
        <v>7618785.6136341635</v>
      </c>
      <c r="N211" s="323">
        <v>6258263.341</v>
      </c>
      <c r="O211" s="323">
        <v>39447</v>
      </c>
      <c r="P211" s="323">
        <v>6831748.7979207011</v>
      </c>
      <c r="Q211" s="323">
        <v>5611771.3799999999</v>
      </c>
      <c r="R211" s="323">
        <v>81743</v>
      </c>
      <c r="S211" s="323">
        <v>14450534.411554866</v>
      </c>
      <c r="T211" s="323">
        <v>11870034.721000001</v>
      </c>
      <c r="U211" s="323">
        <v>674607</v>
      </c>
      <c r="V211" s="323">
        <v>111084515.95589532</v>
      </c>
      <c r="W211" s="323">
        <v>91247633.049999997</v>
      </c>
      <c r="X211" s="323">
        <v>504156</v>
      </c>
      <c r="Y211" s="323">
        <v>78196196.674676612</v>
      </c>
      <c r="Z211" s="323">
        <v>64232335.160999998</v>
      </c>
      <c r="AA211" s="323">
        <v>1178763</v>
      </c>
      <c r="AB211" s="323">
        <v>189280712.63057193</v>
      </c>
      <c r="AC211" s="173">
        <v>155479968.211</v>
      </c>
    </row>
    <row r="212" spans="2:29" hidden="1" outlineLevel="1" x14ac:dyDescent="0.25">
      <c r="B212" s="205">
        <v>44440</v>
      </c>
      <c r="C212" s="323">
        <v>638396</v>
      </c>
      <c r="D212" s="323">
        <v>103548490.57895324</v>
      </c>
      <c r="E212" s="323">
        <v>86059222.452000007</v>
      </c>
      <c r="F212" s="323">
        <v>469874</v>
      </c>
      <c r="G212" s="323">
        <v>71505211.10409303</v>
      </c>
      <c r="H212" s="323">
        <v>59428030.620999999</v>
      </c>
      <c r="I212" s="323">
        <v>1108270</v>
      </c>
      <c r="J212" s="323">
        <v>175053701.68304625</v>
      </c>
      <c r="K212" s="323">
        <v>145487253.07300001</v>
      </c>
      <c r="L212" s="323">
        <v>42481</v>
      </c>
      <c r="M212" s="323">
        <v>7548830.208240347</v>
      </c>
      <c r="N212" s="323">
        <v>6273838.0300000003</v>
      </c>
      <c r="O212" s="323">
        <v>39831</v>
      </c>
      <c r="P212" s="323">
        <v>6808067.4968749471</v>
      </c>
      <c r="Q212" s="323">
        <v>5658189.6260000002</v>
      </c>
      <c r="R212" s="323">
        <v>82312</v>
      </c>
      <c r="S212" s="323">
        <v>14356897.705115296</v>
      </c>
      <c r="T212" s="323">
        <v>11932027.655999999</v>
      </c>
      <c r="U212" s="323">
        <v>680877</v>
      </c>
      <c r="V212" s="323">
        <v>111097320.78719358</v>
      </c>
      <c r="W212" s="323">
        <v>92333060.481999993</v>
      </c>
      <c r="X212" s="323">
        <v>509705</v>
      </c>
      <c r="Y212" s="323">
        <v>78313278.600967988</v>
      </c>
      <c r="Z212" s="323">
        <v>65086220.247000001</v>
      </c>
      <c r="AA212" s="323">
        <v>1190582</v>
      </c>
      <c r="AB212" s="323">
        <v>189410599.38816157</v>
      </c>
      <c r="AC212" s="173">
        <v>157419280.729</v>
      </c>
    </row>
    <row r="213" spans="2:29" hidden="1" outlineLevel="1" x14ac:dyDescent="0.25">
      <c r="B213" s="205">
        <v>44470</v>
      </c>
      <c r="C213" s="323">
        <v>645913</v>
      </c>
      <c r="D213" s="323">
        <v>103595020.59759696</v>
      </c>
      <c r="E213" s="323">
        <v>87252480.541999996</v>
      </c>
      <c r="F213" s="323">
        <v>475311</v>
      </c>
      <c r="G213" s="323">
        <v>71579572.184717387</v>
      </c>
      <c r="H213" s="323">
        <v>60287600.631999999</v>
      </c>
      <c r="I213" s="323">
        <v>1121224</v>
      </c>
      <c r="J213" s="323">
        <v>175174592.78231436</v>
      </c>
      <c r="K213" s="323">
        <v>147540081.17399999</v>
      </c>
      <c r="L213" s="323">
        <v>42530</v>
      </c>
      <c r="M213" s="323">
        <v>7451633.9785667947</v>
      </c>
      <c r="N213" s="323">
        <v>6276108.108</v>
      </c>
      <c r="O213" s="323">
        <v>40062</v>
      </c>
      <c r="P213" s="323">
        <v>6761532.7724454617</v>
      </c>
      <c r="Q213" s="323">
        <v>5694873.2019999996</v>
      </c>
      <c r="R213" s="323">
        <v>82592</v>
      </c>
      <c r="S213" s="323">
        <v>14213166.751012255</v>
      </c>
      <c r="T213" s="323">
        <v>11970981.310000001</v>
      </c>
      <c r="U213" s="323">
        <v>688443</v>
      </c>
      <c r="V213" s="323">
        <v>111046654.57616374</v>
      </c>
      <c r="W213" s="323">
        <v>93528588.650000006</v>
      </c>
      <c r="X213" s="323">
        <v>515373</v>
      </c>
      <c r="Y213" s="323">
        <v>78341104.957162857</v>
      </c>
      <c r="Z213" s="323">
        <v>65982473.833999999</v>
      </c>
      <c r="AA213" s="323">
        <v>1203816</v>
      </c>
      <c r="AB213" s="323">
        <v>189387759.5333266</v>
      </c>
      <c r="AC213" s="173">
        <v>159511062.484</v>
      </c>
    </row>
    <row r="214" spans="2:29" hidden="1" outlineLevel="1" x14ac:dyDescent="0.25">
      <c r="B214" s="205">
        <v>44501</v>
      </c>
      <c r="C214" s="323">
        <v>654021</v>
      </c>
      <c r="D214" s="323">
        <v>104501558.50554991</v>
      </c>
      <c r="E214" s="323">
        <v>88455012.145999998</v>
      </c>
      <c r="F214" s="323">
        <v>481364</v>
      </c>
      <c r="G214" s="323">
        <v>72231105.509463921</v>
      </c>
      <c r="H214" s="323">
        <v>61139789.745999999</v>
      </c>
      <c r="I214" s="323">
        <v>1135385</v>
      </c>
      <c r="J214" s="323">
        <v>176732664.01501381</v>
      </c>
      <c r="K214" s="323">
        <v>149594801.89199999</v>
      </c>
      <c r="L214" s="323">
        <v>43059</v>
      </c>
      <c r="M214" s="323">
        <v>7456871.6912027923</v>
      </c>
      <c r="N214" s="323">
        <v>6311845.3490000004</v>
      </c>
      <c r="O214" s="323">
        <v>41024</v>
      </c>
      <c r="P214" s="323">
        <v>6827838.0356551381</v>
      </c>
      <c r="Q214" s="323">
        <v>5779401.8099999996</v>
      </c>
      <c r="R214" s="323">
        <v>84083</v>
      </c>
      <c r="S214" s="323">
        <v>14284709.72685793</v>
      </c>
      <c r="T214" s="323">
        <v>12091247.159</v>
      </c>
      <c r="U214" s="323">
        <v>697080</v>
      </c>
      <c r="V214" s="323">
        <v>111958430.1967527</v>
      </c>
      <c r="W214" s="323">
        <v>94766857.495000005</v>
      </c>
      <c r="X214" s="323">
        <v>522388</v>
      </c>
      <c r="Y214" s="323">
        <v>79058943.545119062</v>
      </c>
      <c r="Z214" s="323">
        <v>66919191.556000002</v>
      </c>
      <c r="AA214" s="323">
        <v>1219468</v>
      </c>
      <c r="AB214" s="323">
        <v>191017373.74187177</v>
      </c>
      <c r="AC214" s="173">
        <v>161686049.051</v>
      </c>
    </row>
    <row r="215" spans="2:29" hidden="1" outlineLevel="1" x14ac:dyDescent="0.25">
      <c r="B215" s="205">
        <v>44531</v>
      </c>
      <c r="C215" s="323">
        <v>661228</v>
      </c>
      <c r="D215" s="323">
        <v>104939208.1890225</v>
      </c>
      <c r="E215" s="323">
        <v>89519543.391000003</v>
      </c>
      <c r="F215" s="323">
        <v>486375</v>
      </c>
      <c r="G215" s="323">
        <v>72534533.651511297</v>
      </c>
      <c r="H215" s="323">
        <v>61876380.093000002</v>
      </c>
      <c r="I215" s="323">
        <v>1147603</v>
      </c>
      <c r="J215" s="323">
        <v>177473741.84053379</v>
      </c>
      <c r="K215" s="323">
        <v>151395923.484</v>
      </c>
      <c r="L215" s="323">
        <v>43273</v>
      </c>
      <c r="M215" s="323">
        <v>7402949.6464738734</v>
      </c>
      <c r="N215" s="323">
        <v>6315167.4529999997</v>
      </c>
      <c r="O215" s="323">
        <v>41477</v>
      </c>
      <c r="P215" s="323">
        <v>6806012.1131192492</v>
      </c>
      <c r="Q215" s="323">
        <v>5805943.3380000005</v>
      </c>
      <c r="R215" s="323">
        <v>84750</v>
      </c>
      <c r="S215" s="323">
        <v>14208961.759593122</v>
      </c>
      <c r="T215" s="323">
        <v>12121110.790999999</v>
      </c>
      <c r="U215" s="323">
        <v>704501</v>
      </c>
      <c r="V215" s="323">
        <v>112342157.83549637</v>
      </c>
      <c r="W215" s="323">
        <v>95834710.843999997</v>
      </c>
      <c r="X215" s="323">
        <v>527852</v>
      </c>
      <c r="Y215" s="323">
        <v>79340545.764630541</v>
      </c>
      <c r="Z215" s="323">
        <v>67682323.430999994</v>
      </c>
      <c r="AA215" s="323">
        <v>1232353</v>
      </c>
      <c r="AB215" s="323">
        <v>191682703.60012689</v>
      </c>
      <c r="AC215" s="173">
        <v>163517034.27500001</v>
      </c>
    </row>
    <row r="216" spans="2:29" collapsed="1" x14ac:dyDescent="0.25">
      <c r="B216" s="325" t="s">
        <v>703</v>
      </c>
      <c r="C216" s="324">
        <v>627987.08333333337</v>
      </c>
      <c r="D216" s="324">
        <v>100119339.35662544</v>
      </c>
      <c r="E216" s="324"/>
      <c r="F216" s="324">
        <v>462603.16666666669</v>
      </c>
      <c r="G216" s="324">
        <v>69223963.460625157</v>
      </c>
      <c r="H216" s="324"/>
      <c r="I216" s="324">
        <v>1090590.25</v>
      </c>
      <c r="J216" s="324">
        <v>169343302.81725058</v>
      </c>
      <c r="K216" s="324"/>
      <c r="L216" s="324">
        <v>41110.25</v>
      </c>
      <c r="M216" s="324">
        <v>7338565.6227360303</v>
      </c>
      <c r="N216" s="324"/>
      <c r="O216" s="324">
        <v>37794.333333333336</v>
      </c>
      <c r="P216" s="324">
        <v>6503882.2704091892</v>
      </c>
      <c r="Q216" s="324"/>
      <c r="R216" s="324">
        <v>78904.583333333328</v>
      </c>
      <c r="S216" s="324">
        <v>13842447.893145224</v>
      </c>
      <c r="T216" s="324"/>
      <c r="U216" s="324">
        <v>669097.33333333337</v>
      </c>
      <c r="V216" s="324">
        <v>107457904.97936147</v>
      </c>
      <c r="W216" s="324"/>
      <c r="X216" s="324">
        <v>500397.5</v>
      </c>
      <c r="Y216" s="324">
        <v>75727845.731034338</v>
      </c>
      <c r="Z216" s="324"/>
      <c r="AA216" s="324">
        <v>1169494.8333333333</v>
      </c>
      <c r="AB216" s="324">
        <v>183185750.71039581</v>
      </c>
      <c r="AC216" s="327"/>
    </row>
    <row r="217" spans="2:29" hidden="1" outlineLevel="1" x14ac:dyDescent="0.25">
      <c r="B217" s="205">
        <v>44562</v>
      </c>
      <c r="C217" s="323">
        <v>669074</v>
      </c>
      <c r="D217" s="323">
        <v>110150280.85370415</v>
      </c>
      <c r="E217" s="323">
        <v>95093530.766000003</v>
      </c>
      <c r="F217" s="323">
        <v>492231</v>
      </c>
      <c r="G217" s="323">
        <v>76525278.752559185</v>
      </c>
      <c r="H217" s="323">
        <v>66064824.284000002</v>
      </c>
      <c r="I217" s="323">
        <v>1161305</v>
      </c>
      <c r="J217" s="323">
        <v>186675559.60626334</v>
      </c>
      <c r="K217" s="323">
        <v>161158355.05000001</v>
      </c>
      <c r="L217" s="323">
        <v>43561</v>
      </c>
      <c r="M217" s="323">
        <v>7916615.2847729633</v>
      </c>
      <c r="N217" s="323">
        <v>6834470.9910000004</v>
      </c>
      <c r="O217" s="323">
        <v>41983</v>
      </c>
      <c r="P217" s="323">
        <v>7331654.8641765919</v>
      </c>
      <c r="Q217" s="323">
        <v>6329470.4469999997</v>
      </c>
      <c r="R217" s="323">
        <v>85544</v>
      </c>
      <c r="S217" s="323">
        <v>15248270.148949556</v>
      </c>
      <c r="T217" s="323">
        <v>13163941.437999999</v>
      </c>
      <c r="U217" s="323">
        <v>712635</v>
      </c>
      <c r="V217" s="323">
        <v>118066896.13847712</v>
      </c>
      <c r="W217" s="323">
        <v>101928001.757</v>
      </c>
      <c r="X217" s="323">
        <v>534214</v>
      </c>
      <c r="Y217" s="323">
        <v>83856933.616735786</v>
      </c>
      <c r="Z217" s="323">
        <v>72394294.731000006</v>
      </c>
      <c r="AA217" s="323">
        <v>1246849</v>
      </c>
      <c r="AB217" s="323">
        <v>201923829.7552129</v>
      </c>
      <c r="AC217" s="173">
        <v>174322296.48800001</v>
      </c>
    </row>
    <row r="218" spans="2:29" hidden="1" outlineLevel="1" x14ac:dyDescent="0.25">
      <c r="B218" s="205">
        <v>44593</v>
      </c>
      <c r="C218" s="323">
        <v>157011</v>
      </c>
      <c r="D218" s="323">
        <v>32856542.880509634</v>
      </c>
      <c r="E218" s="323">
        <v>28447360.478999998</v>
      </c>
      <c r="F218" s="323">
        <v>156303</v>
      </c>
      <c r="G218" s="323">
        <v>29605277.083476584</v>
      </c>
      <c r="H218" s="323">
        <v>25632398.16</v>
      </c>
      <c r="I218" s="323">
        <v>313314</v>
      </c>
      <c r="J218" s="323">
        <v>62461819.963986218</v>
      </c>
      <c r="K218" s="323">
        <v>54079758.638999999</v>
      </c>
      <c r="L218" s="323">
        <v>43796</v>
      </c>
      <c r="M218" s="323">
        <v>8340810.5417867918</v>
      </c>
      <c r="N218" s="323">
        <v>7221515.8190000001</v>
      </c>
      <c r="O218" s="323">
        <v>42423</v>
      </c>
      <c r="P218" s="323">
        <v>7773961.5846214257</v>
      </c>
      <c r="Q218" s="323">
        <v>6730735.1339999996</v>
      </c>
      <c r="R218" s="323">
        <v>86219</v>
      </c>
      <c r="S218" s="323">
        <v>16114772.126408216</v>
      </c>
      <c r="T218" s="323">
        <v>13952250.953</v>
      </c>
      <c r="U218" s="323">
        <v>200807</v>
      </c>
      <c r="V218" s="323">
        <v>41197353.422296427</v>
      </c>
      <c r="W218" s="323">
        <v>35668876.298</v>
      </c>
      <c r="X218" s="323">
        <v>198726</v>
      </c>
      <c r="Y218" s="323">
        <v>37379238.668098018</v>
      </c>
      <c r="Z218" s="323">
        <v>32363133.294</v>
      </c>
      <c r="AA218" s="323">
        <v>399533</v>
      </c>
      <c r="AB218" s="323">
        <v>78576592.090394437</v>
      </c>
      <c r="AC218" s="173">
        <v>68032009.591999993</v>
      </c>
    </row>
    <row r="219" spans="2:29" hidden="1" outlineLevel="1" x14ac:dyDescent="0.25">
      <c r="B219" s="205">
        <v>44621</v>
      </c>
      <c r="C219" s="323">
        <v>158373</v>
      </c>
      <c r="D219" s="323">
        <v>32589930.258731991</v>
      </c>
      <c r="E219" s="323">
        <v>28739803.392999999</v>
      </c>
      <c r="F219" s="323">
        <v>158291</v>
      </c>
      <c r="G219" s="323">
        <v>29523590.583204709</v>
      </c>
      <c r="H219" s="323">
        <v>26035716.618000001</v>
      </c>
      <c r="I219" s="323">
        <v>316664</v>
      </c>
      <c r="J219" s="323">
        <v>62113520.8419367</v>
      </c>
      <c r="K219" s="323">
        <v>54775520.011</v>
      </c>
      <c r="L219" s="323">
        <v>44375</v>
      </c>
      <c r="M219" s="323">
        <v>8237562.8772849757</v>
      </c>
      <c r="N219" s="323">
        <v>7264389.2039999999</v>
      </c>
      <c r="O219" s="323">
        <v>43297</v>
      </c>
      <c r="P219" s="323">
        <v>7710158.8909536013</v>
      </c>
      <c r="Q219" s="323">
        <v>6799291.9560000002</v>
      </c>
      <c r="R219" s="323">
        <v>87672</v>
      </c>
      <c r="S219" s="323">
        <v>15947721.768238576</v>
      </c>
      <c r="T219" s="323">
        <v>14063681.16</v>
      </c>
      <c r="U219" s="323">
        <v>202748</v>
      </c>
      <c r="V219" s="323">
        <v>40827493.136016965</v>
      </c>
      <c r="W219" s="323">
        <v>36004192.597000003</v>
      </c>
      <c r="X219" s="323">
        <v>201588</v>
      </c>
      <c r="Y219" s="323">
        <v>37233749.474158309</v>
      </c>
      <c r="Z219" s="323">
        <v>32835008.574000001</v>
      </c>
      <c r="AA219" s="323">
        <v>404336</v>
      </c>
      <c r="AB219" s="323">
        <v>78061242.610175282</v>
      </c>
      <c r="AC219" s="173">
        <v>68839201.171000004</v>
      </c>
    </row>
    <row r="220" spans="2:29" hidden="1" outlineLevel="1" x14ac:dyDescent="0.25">
      <c r="B220" s="205">
        <v>44652</v>
      </c>
      <c r="C220" s="323">
        <v>154818</v>
      </c>
      <c r="D220" s="323">
        <v>31654792.977993693</v>
      </c>
      <c r="E220" s="323">
        <v>28305473.328000002</v>
      </c>
      <c r="F220" s="323">
        <v>157061</v>
      </c>
      <c r="G220" s="323">
        <v>29102602.253317021</v>
      </c>
      <c r="H220" s="323">
        <v>26023323.938000001</v>
      </c>
      <c r="I220" s="323">
        <v>311879</v>
      </c>
      <c r="J220" s="323">
        <v>60757395.231310718</v>
      </c>
      <c r="K220" s="323">
        <v>54328797.266000003</v>
      </c>
      <c r="L220" s="323">
        <v>44630</v>
      </c>
      <c r="M220" s="323">
        <v>8129432.6149429167</v>
      </c>
      <c r="N220" s="323">
        <v>7269276.3530000001</v>
      </c>
      <c r="O220" s="323">
        <v>43805</v>
      </c>
      <c r="P220" s="323">
        <v>7642785.1513927821</v>
      </c>
      <c r="Q220" s="323">
        <v>6834119.9199999999</v>
      </c>
      <c r="R220" s="323">
        <v>88435</v>
      </c>
      <c r="S220" s="323">
        <v>15772217.7663357</v>
      </c>
      <c r="T220" s="323">
        <v>14103396.273</v>
      </c>
      <c r="U220" s="323">
        <v>199448</v>
      </c>
      <c r="V220" s="323">
        <v>39784225.592936613</v>
      </c>
      <c r="W220" s="323">
        <v>35574749.681000002</v>
      </c>
      <c r="X220" s="323">
        <v>200866</v>
      </c>
      <c r="Y220" s="323">
        <v>36745387.404709801</v>
      </c>
      <c r="Z220" s="323">
        <v>32857443.857999999</v>
      </c>
      <c r="AA220" s="323">
        <v>400314</v>
      </c>
      <c r="AB220" s="323">
        <v>76529612.997646406</v>
      </c>
      <c r="AC220" s="173">
        <v>68432193.539000005</v>
      </c>
    </row>
    <row r="221" spans="2:29" hidden="1" outlineLevel="1" x14ac:dyDescent="0.25">
      <c r="B221" s="205">
        <v>44682</v>
      </c>
      <c r="C221" s="323">
        <v>111871</v>
      </c>
      <c r="D221" s="323">
        <v>23736752.704494804</v>
      </c>
      <c r="E221" s="323">
        <v>21479681.938999999</v>
      </c>
      <c r="F221" s="323">
        <v>65720</v>
      </c>
      <c r="G221" s="323">
        <v>13870693.205978042</v>
      </c>
      <c r="H221" s="323">
        <v>12551762.325999999</v>
      </c>
      <c r="I221" s="323">
        <v>177591</v>
      </c>
      <c r="J221" s="323">
        <v>37607445.910472848</v>
      </c>
      <c r="K221" s="323">
        <v>34031444.265000001</v>
      </c>
      <c r="L221" s="323">
        <v>44880</v>
      </c>
      <c r="M221" s="323">
        <v>8029736.6668967474</v>
      </c>
      <c r="N221" s="323">
        <v>7266208.3059999999</v>
      </c>
      <c r="O221" s="323">
        <v>44391</v>
      </c>
      <c r="P221" s="323">
        <v>7579114.9807944559</v>
      </c>
      <c r="Q221" s="323">
        <v>6858435.1529999999</v>
      </c>
      <c r="R221" s="323">
        <v>89271</v>
      </c>
      <c r="S221" s="323">
        <v>15608851.647691201</v>
      </c>
      <c r="T221" s="323">
        <v>14124643.459000001</v>
      </c>
      <c r="U221" s="323">
        <v>156751</v>
      </c>
      <c r="V221" s="323">
        <v>31766489.371391553</v>
      </c>
      <c r="W221" s="323">
        <v>28745890.245000001</v>
      </c>
      <c r="X221" s="323">
        <v>110111</v>
      </c>
      <c r="Y221" s="323">
        <v>21449808.186772496</v>
      </c>
      <c r="Z221" s="323">
        <v>19410197.478999998</v>
      </c>
      <c r="AA221" s="323">
        <v>266862</v>
      </c>
      <c r="AB221" s="323">
        <v>53216297.558164045</v>
      </c>
      <c r="AC221" s="173">
        <v>48156087.723999999</v>
      </c>
    </row>
    <row r="222" spans="2:29" hidden="1" outlineLevel="1" x14ac:dyDescent="0.25">
      <c r="B222" s="205">
        <v>44713</v>
      </c>
      <c r="C222" s="323">
        <v>109948</v>
      </c>
      <c r="D222" s="323">
        <v>23127157.927061807</v>
      </c>
      <c r="E222" s="323">
        <v>21123233.438999999</v>
      </c>
      <c r="F222" s="323">
        <v>64976</v>
      </c>
      <c r="G222" s="323">
        <v>13600930.048805987</v>
      </c>
      <c r="H222" s="323">
        <v>12422435.187000001</v>
      </c>
      <c r="I222" s="323">
        <v>174924</v>
      </c>
      <c r="J222" s="323">
        <v>36728087.9758678</v>
      </c>
      <c r="K222" s="323">
        <v>33545668.625999998</v>
      </c>
      <c r="L222" s="323">
        <v>45192</v>
      </c>
      <c r="M222" s="323">
        <v>7966726.1230526157</v>
      </c>
      <c r="N222" s="323">
        <v>7276424.3739999998</v>
      </c>
      <c r="O222" s="323">
        <v>45010</v>
      </c>
      <c r="P222" s="323">
        <v>7554872.5817421693</v>
      </c>
      <c r="Q222" s="323">
        <v>6900257.1629999997</v>
      </c>
      <c r="R222" s="323">
        <v>90202</v>
      </c>
      <c r="S222" s="323">
        <v>15521598.704794787</v>
      </c>
      <c r="T222" s="323">
        <v>14176681.537</v>
      </c>
      <c r="U222" s="323">
        <v>155140</v>
      </c>
      <c r="V222" s="323">
        <v>31093884.050114423</v>
      </c>
      <c r="W222" s="323">
        <v>28399657.813000001</v>
      </c>
      <c r="X222" s="323">
        <v>109986</v>
      </c>
      <c r="Y222" s="323">
        <v>21155802.630548157</v>
      </c>
      <c r="Z222" s="323">
        <v>19322692.350000001</v>
      </c>
      <c r="AA222" s="323">
        <v>265126</v>
      </c>
      <c r="AB222" s="323">
        <v>52249686.68066258</v>
      </c>
      <c r="AC222" s="173">
        <v>47722350.163000003</v>
      </c>
    </row>
    <row r="223" spans="2:29" hidden="1" outlineLevel="1" x14ac:dyDescent="0.25">
      <c r="B223" s="205">
        <v>44743</v>
      </c>
      <c r="C223" s="323">
        <v>109799</v>
      </c>
      <c r="D223" s="323">
        <v>25112548.433253713</v>
      </c>
      <c r="E223" s="323">
        <v>23251915.916000001</v>
      </c>
      <c r="F223" s="323">
        <v>64729</v>
      </c>
      <c r="G223" s="323">
        <v>14840527.005152274</v>
      </c>
      <c r="H223" s="323">
        <v>13740966.472999999</v>
      </c>
      <c r="I223" s="323">
        <v>174528</v>
      </c>
      <c r="J223" s="323">
        <v>39953075.438405983</v>
      </c>
      <c r="K223" s="323">
        <v>36992882.388999999</v>
      </c>
      <c r="L223" s="323">
        <v>45366</v>
      </c>
      <c r="M223" s="323">
        <v>8278583.9610104468</v>
      </c>
      <c r="N223" s="323">
        <v>7665209.2350000003</v>
      </c>
      <c r="O223" s="323">
        <v>45364</v>
      </c>
      <c r="P223" s="323">
        <v>7882289.2420235844</v>
      </c>
      <c r="Q223" s="323">
        <v>7298276.6830000002</v>
      </c>
      <c r="R223" s="323">
        <v>90730</v>
      </c>
      <c r="S223" s="323">
        <v>16160873.20303403</v>
      </c>
      <c r="T223" s="323">
        <v>14963485.918</v>
      </c>
      <c r="U223" s="323">
        <v>155165</v>
      </c>
      <c r="V223" s="323">
        <v>33391132.394264162</v>
      </c>
      <c r="W223" s="323">
        <v>30917125.151000001</v>
      </c>
      <c r="X223" s="323">
        <v>110093</v>
      </c>
      <c r="Y223" s="323">
        <v>22722816.247175857</v>
      </c>
      <c r="Z223" s="323">
        <v>21039243.155999999</v>
      </c>
      <c r="AA223" s="323">
        <v>265258</v>
      </c>
      <c r="AB223" s="323">
        <v>56113948.641440019</v>
      </c>
      <c r="AC223" s="173">
        <v>51956368.306999996</v>
      </c>
    </row>
    <row r="224" spans="2:29" hidden="1" outlineLevel="1" x14ac:dyDescent="0.25">
      <c r="B224" s="205">
        <v>44774</v>
      </c>
      <c r="C224" s="323">
        <v>109904</v>
      </c>
      <c r="D224" s="323">
        <v>24851983.796279609</v>
      </c>
      <c r="E224" s="323">
        <v>23289298.221999999</v>
      </c>
      <c r="F224" s="323">
        <v>64644</v>
      </c>
      <c r="G224" s="323">
        <v>14657968.440462265</v>
      </c>
      <c r="H224" s="323">
        <v>13736279.612</v>
      </c>
      <c r="I224" s="323">
        <v>174548</v>
      </c>
      <c r="J224" s="323">
        <v>39509952.236741878</v>
      </c>
      <c r="K224" s="323">
        <v>37025577.833999999</v>
      </c>
      <c r="L224" s="323">
        <v>45575</v>
      </c>
      <c r="M224" s="323">
        <v>8193409.1815131409</v>
      </c>
      <c r="N224" s="323">
        <v>7678209.9749999996</v>
      </c>
      <c r="O224" s="323">
        <v>45817</v>
      </c>
      <c r="P224" s="323">
        <v>7831076.3633999452</v>
      </c>
      <c r="Q224" s="323">
        <v>7338660.54</v>
      </c>
      <c r="R224" s="323">
        <v>91392</v>
      </c>
      <c r="S224" s="323">
        <v>16024485.544913085</v>
      </c>
      <c r="T224" s="323">
        <v>15016870.515000001</v>
      </c>
      <c r="U224" s="323">
        <v>155479</v>
      </c>
      <c r="V224" s="323">
        <v>33045392.977792751</v>
      </c>
      <c r="W224" s="323">
        <v>30967508.197000001</v>
      </c>
      <c r="X224" s="323">
        <v>110461</v>
      </c>
      <c r="Y224" s="323">
        <v>22489044.80386221</v>
      </c>
      <c r="Z224" s="323">
        <v>21074940.151999999</v>
      </c>
      <c r="AA224" s="323">
        <v>265940</v>
      </c>
      <c r="AB224" s="323">
        <v>55534437.781654961</v>
      </c>
      <c r="AC224" s="173">
        <v>52042448.348999999</v>
      </c>
    </row>
    <row r="225" spans="2:29" hidden="1" outlineLevel="1" x14ac:dyDescent="0.25">
      <c r="B225" s="205">
        <v>44805</v>
      </c>
      <c r="C225" s="323">
        <v>109666</v>
      </c>
      <c r="D225" s="323">
        <v>24593626.978223134</v>
      </c>
      <c r="E225" s="323">
        <v>23246434.522999998</v>
      </c>
      <c r="F225" s="323">
        <v>64275</v>
      </c>
      <c r="G225" s="323">
        <v>14464939.561629293</v>
      </c>
      <c r="H225" s="323">
        <v>13672577.481000001</v>
      </c>
      <c r="I225" s="323">
        <v>173941</v>
      </c>
      <c r="J225" s="323">
        <v>39058566.539852425</v>
      </c>
      <c r="K225" s="323">
        <v>36919012.004000001</v>
      </c>
      <c r="L225" s="323">
        <v>45697</v>
      </c>
      <c r="M225" s="323">
        <v>8113307.0965244425</v>
      </c>
      <c r="N225" s="323">
        <v>7668875.4510000004</v>
      </c>
      <c r="O225" s="323">
        <v>46202</v>
      </c>
      <c r="P225" s="323">
        <v>7791370.2614902109</v>
      </c>
      <c r="Q225" s="323">
        <v>7364573.7079999996</v>
      </c>
      <c r="R225" s="323">
        <v>91899</v>
      </c>
      <c r="S225" s="323">
        <v>15904677.358014653</v>
      </c>
      <c r="T225" s="323">
        <v>15033449.159</v>
      </c>
      <c r="U225" s="323">
        <v>155363</v>
      </c>
      <c r="V225" s="323">
        <v>32706934.074747574</v>
      </c>
      <c r="W225" s="323">
        <v>30915309.973999999</v>
      </c>
      <c r="X225" s="323">
        <v>110477</v>
      </c>
      <c r="Y225" s="323">
        <v>22256309.823119503</v>
      </c>
      <c r="Z225" s="323">
        <v>21037151.188999999</v>
      </c>
      <c r="AA225" s="323">
        <v>265840</v>
      </c>
      <c r="AB225" s="323">
        <v>54963243.897867084</v>
      </c>
      <c r="AC225" s="173">
        <v>51952461.163000003</v>
      </c>
    </row>
    <row r="226" spans="2:29" hidden="1" outlineLevel="1" x14ac:dyDescent="0.25">
      <c r="B226" s="205">
        <v>44835</v>
      </c>
      <c r="C226" s="323">
        <v>109393</v>
      </c>
      <c r="D226" s="323">
        <v>24414081.986289863</v>
      </c>
      <c r="E226" s="323">
        <v>23196045.528999999</v>
      </c>
      <c r="F226" s="323">
        <v>63815</v>
      </c>
      <c r="G226" s="323">
        <v>14303872.791003047</v>
      </c>
      <c r="H226" s="323">
        <v>13590242.085999999</v>
      </c>
      <c r="I226" s="323">
        <v>173208</v>
      </c>
      <c r="J226" s="323">
        <v>38717954.777292907</v>
      </c>
      <c r="K226" s="323">
        <v>36786287.615000002</v>
      </c>
      <c r="L226" s="323">
        <v>45739</v>
      </c>
      <c r="M226" s="323">
        <v>8062205.8628844991</v>
      </c>
      <c r="N226" s="323">
        <v>7659976.4989999998</v>
      </c>
      <c r="O226" s="323">
        <v>46381</v>
      </c>
      <c r="P226" s="323">
        <v>7765888.2077287016</v>
      </c>
      <c r="Q226" s="323">
        <v>7378442.3490000004</v>
      </c>
      <c r="R226" s="323">
        <v>92120</v>
      </c>
      <c r="S226" s="323">
        <v>15828094.070613202</v>
      </c>
      <c r="T226" s="323">
        <v>15038418.847999999</v>
      </c>
      <c r="U226" s="323">
        <v>155132</v>
      </c>
      <c r="V226" s="323">
        <v>32476287.849174362</v>
      </c>
      <c r="W226" s="323">
        <v>30856022.028000001</v>
      </c>
      <c r="X226" s="323">
        <v>110196</v>
      </c>
      <c r="Y226" s="323">
        <v>22069760.998731747</v>
      </c>
      <c r="Z226" s="323">
        <v>20968684.434999999</v>
      </c>
      <c r="AA226" s="323">
        <v>265328</v>
      </c>
      <c r="AB226" s="323">
        <v>54546048.847906113</v>
      </c>
      <c r="AC226" s="173">
        <v>51824706.463</v>
      </c>
    </row>
    <row r="227" spans="2:29" hidden="1" outlineLevel="1" x14ac:dyDescent="0.25">
      <c r="B227" s="205">
        <v>44866</v>
      </c>
      <c r="C227" s="323">
        <v>109031</v>
      </c>
      <c r="D227" s="323">
        <v>24112771.201245259</v>
      </c>
      <c r="E227" s="323">
        <v>23133193.734000001</v>
      </c>
      <c r="F227" s="323">
        <v>63526</v>
      </c>
      <c r="G227" s="323">
        <v>14120635.630394444</v>
      </c>
      <c r="H227" s="323">
        <v>13546987.07</v>
      </c>
      <c r="I227" s="323">
        <v>172557</v>
      </c>
      <c r="J227" s="323">
        <v>38233406.8316397</v>
      </c>
      <c r="K227" s="323">
        <v>36680180.803999998</v>
      </c>
      <c r="L227" s="323">
        <v>45910</v>
      </c>
      <c r="M227" s="323">
        <v>8000235.4536884865</v>
      </c>
      <c r="N227" s="323">
        <v>7675227.1699999999</v>
      </c>
      <c r="O227" s="323">
        <v>46666</v>
      </c>
      <c r="P227" s="323">
        <v>7727763.687850615</v>
      </c>
      <c r="Q227" s="323">
        <v>7413824.5259999996</v>
      </c>
      <c r="R227" s="323">
        <v>92576</v>
      </c>
      <c r="S227" s="323">
        <v>15727999.141539101</v>
      </c>
      <c r="T227" s="323">
        <v>15089051.696</v>
      </c>
      <c r="U227" s="323">
        <v>154941</v>
      </c>
      <c r="V227" s="323">
        <v>32113006.654933743</v>
      </c>
      <c r="W227" s="323">
        <v>30808420.903999999</v>
      </c>
      <c r="X227" s="323">
        <v>110192</v>
      </c>
      <c r="Y227" s="323">
        <v>21848399.318245057</v>
      </c>
      <c r="Z227" s="323">
        <v>20960811.596000001</v>
      </c>
      <c r="AA227" s="323">
        <v>265133</v>
      </c>
      <c r="AB227" s="323">
        <v>53961405.973178804</v>
      </c>
      <c r="AC227" s="173">
        <v>51769232.5</v>
      </c>
    </row>
    <row r="228" spans="2:29" hidden="1" outlineLevel="1" x14ac:dyDescent="0.25">
      <c r="B228" s="205">
        <v>44896</v>
      </c>
      <c r="C228" s="323">
        <v>108989</v>
      </c>
      <c r="D228" s="323">
        <v>24051686.264425702</v>
      </c>
      <c r="E228" s="323">
        <v>23140037.881999999</v>
      </c>
      <c r="F228" s="323">
        <v>63190</v>
      </c>
      <c r="G228" s="323">
        <v>14030806.493115714</v>
      </c>
      <c r="H228" s="323">
        <v>13498986.732000001</v>
      </c>
      <c r="I228" s="323">
        <v>172179</v>
      </c>
      <c r="J228" s="323">
        <v>38082492.757541411</v>
      </c>
      <c r="K228" s="323">
        <v>36639024.614</v>
      </c>
      <c r="L228" s="323">
        <v>45881</v>
      </c>
      <c r="M228" s="323">
        <v>7951338.6032858221</v>
      </c>
      <c r="N228" s="323">
        <v>7649953.2910000002</v>
      </c>
      <c r="O228" s="323">
        <v>46817</v>
      </c>
      <c r="P228" s="323">
        <v>7714202.8542449791</v>
      </c>
      <c r="Q228" s="323">
        <v>7421805.8689999999</v>
      </c>
      <c r="R228" s="323">
        <v>92698</v>
      </c>
      <c r="S228" s="323">
        <v>15665541.4575308</v>
      </c>
      <c r="T228" s="323">
        <v>15071759.16</v>
      </c>
      <c r="U228" s="323">
        <v>154870</v>
      </c>
      <c r="V228" s="323">
        <v>32003024.867711522</v>
      </c>
      <c r="W228" s="323">
        <v>30789991.173</v>
      </c>
      <c r="X228" s="323">
        <v>110007</v>
      </c>
      <c r="Y228" s="323">
        <v>21745009.347360693</v>
      </c>
      <c r="Z228" s="323">
        <v>20920792.601</v>
      </c>
      <c r="AA228" s="323">
        <v>264877</v>
      </c>
      <c r="AB228" s="323">
        <v>53748034.215072215</v>
      </c>
      <c r="AC228" s="173">
        <v>51710783.773999996</v>
      </c>
    </row>
    <row r="229" spans="2:29" collapsed="1" x14ac:dyDescent="0.25">
      <c r="B229" s="325" t="s">
        <v>704</v>
      </c>
      <c r="C229" s="324">
        <v>168156.41666666666</v>
      </c>
      <c r="D229" s="324">
        <v>33437679.688517779</v>
      </c>
      <c r="E229" s="324"/>
      <c r="F229" s="324">
        <v>123230.08333333333</v>
      </c>
      <c r="G229" s="324">
        <v>23220593.48742488</v>
      </c>
      <c r="H229" s="324"/>
      <c r="I229" s="324">
        <v>291386.5</v>
      </c>
      <c r="J229" s="324">
        <v>56658273.175942667</v>
      </c>
      <c r="K229" s="324"/>
      <c r="L229" s="324">
        <v>45050.166666666664</v>
      </c>
      <c r="M229" s="324">
        <v>8101663.6889703209</v>
      </c>
      <c r="N229" s="324"/>
      <c r="O229" s="324">
        <v>44846.333333333336</v>
      </c>
      <c r="P229" s="324">
        <v>7692094.8892015889</v>
      </c>
      <c r="Q229" s="324"/>
      <c r="R229" s="324">
        <v>89896.5</v>
      </c>
      <c r="S229" s="324">
        <v>15793758.578171909</v>
      </c>
      <c r="T229" s="324"/>
      <c r="U229" s="324">
        <v>213206.58333333334</v>
      </c>
      <c r="V229" s="324">
        <v>41539343.377488106</v>
      </c>
      <c r="W229" s="324"/>
      <c r="X229" s="324">
        <v>168076.41666666666</v>
      </c>
      <c r="Y229" s="324">
        <v>30912688.376626465</v>
      </c>
      <c r="Z229" s="324"/>
      <c r="AA229" s="324">
        <v>381283</v>
      </c>
      <c r="AB229" s="324">
        <v>72452031.754114568</v>
      </c>
      <c r="AC229" s="327"/>
    </row>
    <row r="230" spans="2:29" outlineLevel="1" x14ac:dyDescent="0.25">
      <c r="B230" s="205">
        <v>44927</v>
      </c>
      <c r="C230" s="323">
        <v>108797</v>
      </c>
      <c r="D230" s="323">
        <v>23830855.917698015</v>
      </c>
      <c r="E230" s="323">
        <v>23112169.975000001</v>
      </c>
      <c r="F230" s="323">
        <v>62891</v>
      </c>
      <c r="G230" s="323">
        <v>13869123.900833085</v>
      </c>
      <c r="H230" s="323">
        <v>13450861.778000001</v>
      </c>
      <c r="I230" s="323">
        <v>171688</v>
      </c>
      <c r="J230" s="323">
        <v>37699979.818531096</v>
      </c>
      <c r="K230" s="323">
        <v>36563031.752999999</v>
      </c>
      <c r="L230" s="323">
        <v>46104</v>
      </c>
      <c r="M230" s="323">
        <v>7905695.1059556026</v>
      </c>
      <c r="N230" s="323">
        <v>7667276.8150000004</v>
      </c>
      <c r="O230" s="323">
        <v>47256</v>
      </c>
      <c r="P230" s="323">
        <v>7706217.1641229577</v>
      </c>
      <c r="Q230" s="323">
        <v>7473814.6869999999</v>
      </c>
      <c r="R230" s="323">
        <v>93360</v>
      </c>
      <c r="S230" s="323">
        <v>15611912.27007856</v>
      </c>
      <c r="T230" s="323">
        <v>15141091.502</v>
      </c>
      <c r="U230" s="323">
        <v>154901</v>
      </c>
      <c r="V230" s="323">
        <v>31736551.023653619</v>
      </c>
      <c r="W230" s="323">
        <v>30779446.789999999</v>
      </c>
      <c r="X230" s="323">
        <v>110147</v>
      </c>
      <c r="Y230" s="323">
        <v>21575341.064956043</v>
      </c>
      <c r="Z230" s="323">
        <v>20924676.465</v>
      </c>
      <c r="AA230" s="323">
        <v>265048</v>
      </c>
      <c r="AB230" s="323">
        <v>53311892.088609658</v>
      </c>
      <c r="AC230" s="173">
        <v>51704123.255000003</v>
      </c>
    </row>
    <row r="231" spans="2:29" outlineLevel="1" x14ac:dyDescent="0.25">
      <c r="B231" s="205">
        <v>44958</v>
      </c>
      <c r="C231" s="323">
        <v>108645</v>
      </c>
      <c r="D231" s="323">
        <v>23831666.549684208</v>
      </c>
      <c r="E231" s="323">
        <v>23098112.738000002</v>
      </c>
      <c r="F231" s="323">
        <v>62678</v>
      </c>
      <c r="G231" s="323">
        <v>13846910.260242388</v>
      </c>
      <c r="H231" s="323">
        <v>13420693.58</v>
      </c>
      <c r="I231" s="323">
        <v>171323</v>
      </c>
      <c r="J231" s="323">
        <v>37678576.809926599</v>
      </c>
      <c r="K231" s="323">
        <v>36518806.318000004</v>
      </c>
      <c r="L231" s="323">
        <v>46210</v>
      </c>
      <c r="M231" s="323">
        <v>8499286.8251693621</v>
      </c>
      <c r="N231" s="323">
        <v>8237673.3859999999</v>
      </c>
      <c r="O231" s="323">
        <v>47542</v>
      </c>
      <c r="P231" s="323">
        <v>8332809.8358497219</v>
      </c>
      <c r="Q231" s="323">
        <v>8076320.6639999999</v>
      </c>
      <c r="R231" s="323">
        <v>93752</v>
      </c>
      <c r="S231" s="323">
        <v>16832096.661019083</v>
      </c>
      <c r="T231" s="323">
        <v>16313994.050000001</v>
      </c>
      <c r="U231" s="323">
        <v>154855</v>
      </c>
      <c r="V231" s="323">
        <v>32330953.374853574</v>
      </c>
      <c r="W231" s="323">
        <v>31335786.124000002</v>
      </c>
      <c r="X231" s="323">
        <v>110220</v>
      </c>
      <c r="Y231" s="323">
        <v>22179720.096092109</v>
      </c>
      <c r="Z231" s="323">
        <v>21497014.243999999</v>
      </c>
      <c r="AA231" s="323">
        <v>265075</v>
      </c>
      <c r="AB231" s="323">
        <v>54510673.470945679</v>
      </c>
      <c r="AC231" s="173">
        <v>52832800.368000001</v>
      </c>
    </row>
    <row r="232" spans="2:29" outlineLevel="1" x14ac:dyDescent="0.25">
      <c r="B232" s="205">
        <v>44986</v>
      </c>
      <c r="C232" s="323">
        <v>108598</v>
      </c>
      <c r="D232" s="323">
        <v>23577028.473626193</v>
      </c>
      <c r="E232" s="323">
        <v>23099681.600000001</v>
      </c>
      <c r="F232" s="323">
        <v>62593</v>
      </c>
      <c r="G232" s="323">
        <v>13699151.967314072</v>
      </c>
      <c r="H232" s="323">
        <v>13421795.244000001</v>
      </c>
      <c r="I232" s="323">
        <v>171191</v>
      </c>
      <c r="J232" s="323">
        <v>37276180.440940268</v>
      </c>
      <c r="K232" s="323">
        <v>36521476.843999997</v>
      </c>
      <c r="L232" s="323">
        <v>46381</v>
      </c>
      <c r="M232" s="323">
        <v>8431161.4850316308</v>
      </c>
      <c r="N232" s="323">
        <v>8260461.9170000004</v>
      </c>
      <c r="O232" s="323">
        <v>47964</v>
      </c>
      <c r="P232" s="323">
        <v>8301375.8449796326</v>
      </c>
      <c r="Q232" s="323">
        <v>8133303.9519999996</v>
      </c>
      <c r="R232" s="323">
        <v>94345</v>
      </c>
      <c r="S232" s="323">
        <v>16732537.330011263</v>
      </c>
      <c r="T232" s="323">
        <v>16393765.869000001</v>
      </c>
      <c r="U232" s="323">
        <v>154979</v>
      </c>
      <c r="V232" s="323">
        <v>32008189.958657827</v>
      </c>
      <c r="W232" s="323">
        <v>31360143.517000001</v>
      </c>
      <c r="X232" s="323">
        <v>110557</v>
      </c>
      <c r="Y232" s="323">
        <v>22000527.812293705</v>
      </c>
      <c r="Z232" s="323">
        <v>21555099.195999999</v>
      </c>
      <c r="AA232" s="323">
        <v>265536</v>
      </c>
      <c r="AB232" s="323">
        <v>54008717.770951532</v>
      </c>
      <c r="AC232" s="173">
        <v>52915242.713</v>
      </c>
    </row>
    <row r="233" spans="2:29" outlineLevel="1" x14ac:dyDescent="0.25">
      <c r="B233" s="205">
        <v>45017</v>
      </c>
      <c r="C233" s="323">
        <v>108605</v>
      </c>
      <c r="D233" s="323">
        <v>23530664.193814058</v>
      </c>
      <c r="E233" s="323">
        <v>23125421.499000002</v>
      </c>
      <c r="F233" s="323">
        <v>62459</v>
      </c>
      <c r="G233" s="323">
        <v>13649829.766753709</v>
      </c>
      <c r="H233" s="323">
        <v>13414753.793</v>
      </c>
      <c r="I233" s="323">
        <v>171064</v>
      </c>
      <c r="J233" s="323">
        <v>37180493.960567765</v>
      </c>
      <c r="K233" s="323">
        <v>36540175.292000003</v>
      </c>
      <c r="L233" s="323">
        <v>46538</v>
      </c>
      <c r="M233" s="323">
        <v>8431117.6783189978</v>
      </c>
      <c r="N233" s="323">
        <v>8285917.8310000002</v>
      </c>
      <c r="O233" s="323">
        <v>48252</v>
      </c>
      <c r="P233" s="323">
        <v>8325372.9992592838</v>
      </c>
      <c r="Q233" s="323">
        <v>8181994.2759999996</v>
      </c>
      <c r="R233" s="323">
        <v>94790</v>
      </c>
      <c r="S233" s="323">
        <v>16756490.677578283</v>
      </c>
      <c r="T233" s="323">
        <v>16467912.107000001</v>
      </c>
      <c r="U233" s="323">
        <v>155143</v>
      </c>
      <c r="V233" s="323">
        <v>31961781.872133058</v>
      </c>
      <c r="W233" s="323">
        <v>31411339.329999998</v>
      </c>
      <c r="X233" s="323">
        <v>110711</v>
      </c>
      <c r="Y233" s="323">
        <v>21975202.766012993</v>
      </c>
      <c r="Z233" s="323">
        <v>21596748.068999998</v>
      </c>
      <c r="AA233" s="323">
        <v>265854</v>
      </c>
      <c r="AB233" s="323">
        <v>53936984.63814605</v>
      </c>
      <c r="AC233" s="173">
        <v>53008087.398999996</v>
      </c>
    </row>
    <row r="234" spans="2:29" outlineLevel="1" x14ac:dyDescent="0.25">
      <c r="B234" s="205">
        <v>45047</v>
      </c>
      <c r="C234" s="323">
        <v>108135</v>
      </c>
      <c r="D234" s="323">
        <v>23415569.308864079</v>
      </c>
      <c r="E234" s="323">
        <v>23038162.153999999</v>
      </c>
      <c r="F234" s="323">
        <v>62137</v>
      </c>
      <c r="G234" s="323">
        <v>13530494.025547458</v>
      </c>
      <c r="H234" s="323">
        <v>13312412.407</v>
      </c>
      <c r="I234" s="323">
        <v>170272</v>
      </c>
      <c r="J234" s="323">
        <v>36946063.334411539</v>
      </c>
      <c r="K234" s="323">
        <v>36350574.560999997</v>
      </c>
      <c r="L234" s="323">
        <v>46775</v>
      </c>
      <c r="M234" s="323">
        <v>8442004.7592136357</v>
      </c>
      <c r="N234" s="323">
        <v>8305938.3260000004</v>
      </c>
      <c r="O234" s="323">
        <v>48540</v>
      </c>
      <c r="P234" s="323">
        <v>8340096.6185247228</v>
      </c>
      <c r="Q234" s="323">
        <v>8205672.7189999996</v>
      </c>
      <c r="R234" s="323">
        <v>95315</v>
      </c>
      <c r="S234" s="323">
        <v>16782101.37773836</v>
      </c>
      <c r="T234" s="323">
        <v>16511611.045</v>
      </c>
      <c r="U234" s="323">
        <v>154910</v>
      </c>
      <c r="V234" s="323">
        <v>31857574.068077713</v>
      </c>
      <c r="W234" s="323">
        <v>31344100.48</v>
      </c>
      <c r="X234" s="323">
        <v>110677</v>
      </c>
      <c r="Y234" s="323">
        <v>21870590.644072182</v>
      </c>
      <c r="Z234" s="323">
        <v>21518085.125999998</v>
      </c>
      <c r="AA234" s="323">
        <v>265587</v>
      </c>
      <c r="AB234" s="323">
        <v>53728164.712149896</v>
      </c>
      <c r="AC234" s="173">
        <v>52862185.605999999</v>
      </c>
    </row>
    <row r="235" spans="2:29" outlineLevel="1" x14ac:dyDescent="0.25">
      <c r="B235" s="205">
        <v>45078</v>
      </c>
      <c r="C235" s="323">
        <v>107841</v>
      </c>
      <c r="D235" s="323">
        <v>25823451.228533477</v>
      </c>
      <c r="E235" s="323">
        <v>25368465.980999999</v>
      </c>
      <c r="F235" s="323">
        <v>61932</v>
      </c>
      <c r="G235" s="323">
        <v>15007822.915114567</v>
      </c>
      <c r="H235" s="323">
        <v>14743399.002</v>
      </c>
      <c r="I235" s="323">
        <v>169773</v>
      </c>
      <c r="J235" s="323">
        <v>40831274.143648043</v>
      </c>
      <c r="K235" s="323">
        <v>40111864.983000003</v>
      </c>
      <c r="L235" s="323">
        <v>46987</v>
      </c>
      <c r="M235" s="323">
        <v>8472918.6735029295</v>
      </c>
      <c r="N235" s="323">
        <v>8323633.7089999998</v>
      </c>
      <c r="O235" s="323">
        <v>48880</v>
      </c>
      <c r="P235" s="323">
        <v>8383574.4349270444</v>
      </c>
      <c r="Q235" s="323">
        <v>8235863.6330000004</v>
      </c>
      <c r="R235" s="323">
        <v>95867</v>
      </c>
      <c r="S235" s="323">
        <v>16856493.108429972</v>
      </c>
      <c r="T235" s="323">
        <v>16559497.342</v>
      </c>
      <c r="U235" s="323">
        <v>154828</v>
      </c>
      <c r="V235" s="323">
        <v>34296369.902036406</v>
      </c>
      <c r="W235" s="323">
        <v>33692099.689999998</v>
      </c>
      <c r="X235" s="323">
        <v>110812</v>
      </c>
      <c r="Y235" s="323">
        <v>23391397.350041609</v>
      </c>
      <c r="Z235" s="323">
        <v>22979262.635000002</v>
      </c>
      <c r="AA235" s="323">
        <v>265640</v>
      </c>
      <c r="AB235" s="323">
        <v>57687767.252078019</v>
      </c>
      <c r="AC235" s="173">
        <v>56671362.325000003</v>
      </c>
    </row>
    <row r="236" spans="2:29" outlineLevel="1" x14ac:dyDescent="0.25">
      <c r="B236" s="205">
        <v>45108</v>
      </c>
      <c r="C236" s="323">
        <v>107603</v>
      </c>
      <c r="D236" s="323">
        <v>25693207.047612201</v>
      </c>
      <c r="E236" s="323">
        <v>25329299.515999999</v>
      </c>
      <c r="F236" s="323">
        <v>61709</v>
      </c>
      <c r="G236" s="323">
        <v>14919242.47528227</v>
      </c>
      <c r="H236" s="323">
        <v>14707932.743000001</v>
      </c>
      <c r="I236" s="323">
        <v>169312</v>
      </c>
      <c r="J236" s="323">
        <v>40612449.522894472</v>
      </c>
      <c r="K236" s="323">
        <v>40037232.259000003</v>
      </c>
      <c r="L236" s="323">
        <v>47071</v>
      </c>
      <c r="M236" s="323">
        <v>8452818.5394586194</v>
      </c>
      <c r="N236" s="323">
        <v>8333096.4539999999</v>
      </c>
      <c r="O236" s="323">
        <v>49165</v>
      </c>
      <c r="P236" s="323">
        <v>8388891.5105216485</v>
      </c>
      <c r="Q236" s="323">
        <v>8270074.8600000003</v>
      </c>
      <c r="R236" s="323">
        <v>96236</v>
      </c>
      <c r="S236" s="323">
        <v>16841710.049980268</v>
      </c>
      <c r="T236" s="323">
        <v>16603171.313999999</v>
      </c>
      <c r="U236" s="323">
        <v>154674</v>
      </c>
      <c r="V236" s="323">
        <v>34146025.587070823</v>
      </c>
      <c r="W236" s="323">
        <v>33662395.969999999</v>
      </c>
      <c r="X236" s="323">
        <v>110874</v>
      </c>
      <c r="Y236" s="323">
        <v>23308133.985803921</v>
      </c>
      <c r="Z236" s="323">
        <v>22978007.603</v>
      </c>
      <c r="AA236" s="323">
        <v>265548</v>
      </c>
      <c r="AB236" s="323">
        <v>57454159.57287474</v>
      </c>
      <c r="AC236" s="173">
        <v>56640403.572999999</v>
      </c>
    </row>
    <row r="237" spans="2:29" outlineLevel="1" x14ac:dyDescent="0.25">
      <c r="B237" s="205">
        <v>45139</v>
      </c>
      <c r="C237" s="323">
        <v>107495</v>
      </c>
      <c r="D237" s="323">
        <v>25663640.120643418</v>
      </c>
      <c r="E237" s="323">
        <v>25328349.484999999</v>
      </c>
      <c r="F237" s="323">
        <v>61425</v>
      </c>
      <c r="G237" s="323">
        <v>14864934.265868494</v>
      </c>
      <c r="H237" s="323">
        <v>14670726.693</v>
      </c>
      <c r="I237" s="323">
        <v>168920</v>
      </c>
      <c r="J237" s="323">
        <v>40528574.386511907</v>
      </c>
      <c r="K237" s="323">
        <v>39999076.178000003</v>
      </c>
      <c r="L237" s="323">
        <v>47164</v>
      </c>
      <c r="M237" s="323">
        <v>8457516.4288654532</v>
      </c>
      <c r="N237" s="323">
        <v>8347020.5659999996</v>
      </c>
      <c r="O237" s="323">
        <v>49448</v>
      </c>
      <c r="P237" s="323">
        <v>8422043.9830262996</v>
      </c>
      <c r="Q237" s="323">
        <v>8312011.5609999998</v>
      </c>
      <c r="R237" s="323">
        <v>96612</v>
      </c>
      <c r="S237" s="323">
        <v>16879560.411891751</v>
      </c>
      <c r="T237" s="323">
        <v>16659032.127</v>
      </c>
      <c r="U237" s="323">
        <v>154659</v>
      </c>
      <c r="V237" s="323">
        <v>34121156.54950887</v>
      </c>
      <c r="W237" s="323">
        <v>33675370.050999999</v>
      </c>
      <c r="X237" s="323">
        <v>110873</v>
      </c>
      <c r="Y237" s="323">
        <v>23286978.248894796</v>
      </c>
      <c r="Z237" s="323">
        <v>22982738.254000001</v>
      </c>
      <c r="AA237" s="323">
        <v>265532</v>
      </c>
      <c r="AB237" s="323">
        <v>57408134.798403665</v>
      </c>
      <c r="AC237" s="173">
        <v>56658108.305</v>
      </c>
    </row>
    <row r="238" spans="2:29" outlineLevel="1" x14ac:dyDescent="0.25">
      <c r="B238" s="205">
        <v>45170</v>
      </c>
      <c r="C238" s="323">
        <v>107346</v>
      </c>
      <c r="D238" s="323">
        <v>25456748.281662352</v>
      </c>
      <c r="E238" s="323">
        <v>25293121.418000001</v>
      </c>
      <c r="F238" s="323">
        <v>61168</v>
      </c>
      <c r="G238" s="323">
        <v>14713950.319611557</v>
      </c>
      <c r="H238" s="323">
        <v>14619374.314999999</v>
      </c>
      <c r="I238" s="323">
        <v>168514</v>
      </c>
      <c r="J238" s="323">
        <v>40170698.601273909</v>
      </c>
      <c r="K238" s="323">
        <v>39912495.733000003</v>
      </c>
      <c r="L238" s="323">
        <v>47248</v>
      </c>
      <c r="M238" s="323">
        <v>8403362.1472224426</v>
      </c>
      <c r="N238" s="323">
        <v>8349348.3439999996</v>
      </c>
      <c r="O238" s="323">
        <v>49763</v>
      </c>
      <c r="P238" s="323">
        <v>8398356.413156068</v>
      </c>
      <c r="Q238" s="323">
        <v>8344374.7850000001</v>
      </c>
      <c r="R238" s="323">
        <v>97011</v>
      </c>
      <c r="S238" s="323">
        <v>16801718.560378511</v>
      </c>
      <c r="T238" s="323">
        <v>16693723.129000001</v>
      </c>
      <c r="U238" s="323">
        <v>154594</v>
      </c>
      <c r="V238" s="323">
        <v>33860110.428884797</v>
      </c>
      <c r="W238" s="323">
        <v>33642469.762000002</v>
      </c>
      <c r="X238" s="323">
        <v>110931</v>
      </c>
      <c r="Y238" s="323">
        <v>23112306.732767623</v>
      </c>
      <c r="Z238" s="323">
        <v>22963749.100000001</v>
      </c>
      <c r="AA238" s="323">
        <v>265525</v>
      </c>
      <c r="AB238" s="323">
        <v>56972417.161652423</v>
      </c>
      <c r="AC238" s="173">
        <v>56606218.862000003</v>
      </c>
    </row>
    <row r="239" spans="2:29" outlineLevel="1" x14ac:dyDescent="0.25">
      <c r="B239" s="205">
        <v>45200</v>
      </c>
      <c r="C239" s="323">
        <v>106548</v>
      </c>
      <c r="D239" s="323">
        <v>25224769.168864466</v>
      </c>
      <c r="E239" s="323">
        <v>25173157.954999998</v>
      </c>
      <c r="F239" s="323">
        <v>60882</v>
      </c>
      <c r="G239" s="323">
        <v>14607925.986343496</v>
      </c>
      <c r="H239" s="323">
        <v>14578037.396</v>
      </c>
      <c r="I239" s="323">
        <v>167430</v>
      </c>
      <c r="J239" s="323">
        <v>39832695.155207962</v>
      </c>
      <c r="K239" s="323">
        <v>39751195.351000004</v>
      </c>
      <c r="L239" s="323">
        <v>47288</v>
      </c>
      <c r="M239" s="323">
        <v>8365093.1226242064</v>
      </c>
      <c r="N239" s="323">
        <v>8347977.699</v>
      </c>
      <c r="O239" s="323">
        <v>49876</v>
      </c>
      <c r="P239" s="323">
        <v>8370006.1830059905</v>
      </c>
      <c r="Q239" s="323">
        <v>8352880.7070000004</v>
      </c>
      <c r="R239" s="323">
        <v>97164</v>
      </c>
      <c r="S239" s="323">
        <v>16735099.305630196</v>
      </c>
      <c r="T239" s="323">
        <v>16700858.405999999</v>
      </c>
      <c r="U239" s="323">
        <v>153836</v>
      </c>
      <c r="V239" s="323">
        <v>33589862.29148867</v>
      </c>
      <c r="W239" s="323">
        <v>33521135.653999999</v>
      </c>
      <c r="X239" s="323">
        <v>110758</v>
      </c>
      <c r="Y239" s="323">
        <v>22977932.169349488</v>
      </c>
      <c r="Z239" s="323">
        <v>22930918.103</v>
      </c>
      <c r="AA239" s="323">
        <v>264594</v>
      </c>
      <c r="AB239" s="323">
        <v>56567794.460838154</v>
      </c>
      <c r="AC239" s="173">
        <v>56452053.756999999</v>
      </c>
    </row>
    <row r="240" spans="2:29" outlineLevel="1" x14ac:dyDescent="0.25">
      <c r="B240" s="205">
        <v>45231</v>
      </c>
      <c r="C240" s="323">
        <v>106386</v>
      </c>
      <c r="D240" s="323">
        <v>24991578.172402967</v>
      </c>
      <c r="E240" s="323">
        <v>25126472.482999999</v>
      </c>
      <c r="F240" s="323">
        <v>60624</v>
      </c>
      <c r="G240" s="323">
        <v>14439329.453238769</v>
      </c>
      <c r="H240" s="323">
        <v>14517267.044</v>
      </c>
      <c r="I240" s="323">
        <v>167010</v>
      </c>
      <c r="J240" s="323">
        <v>39430907.625641733</v>
      </c>
      <c r="K240" s="323">
        <v>39643739.527000003</v>
      </c>
      <c r="L240" s="323">
        <v>47294</v>
      </c>
      <c r="M240" s="323">
        <v>8289366.7986347964</v>
      </c>
      <c r="N240" s="323">
        <v>8334109.4079999998</v>
      </c>
      <c r="O240" s="323">
        <v>49989</v>
      </c>
      <c r="P240" s="323">
        <v>8311396.0716351271</v>
      </c>
      <c r="Q240" s="323">
        <v>8356257.5860000001</v>
      </c>
      <c r="R240" s="323">
        <v>97283</v>
      </c>
      <c r="S240" s="323">
        <v>16600762.870269923</v>
      </c>
      <c r="T240" s="323">
        <v>16690366.994000001</v>
      </c>
      <c r="U240" s="323">
        <v>153680</v>
      </c>
      <c r="V240" s="323">
        <v>33280944.97103776</v>
      </c>
      <c r="W240" s="323">
        <v>33460581.890999999</v>
      </c>
      <c r="X240" s="323">
        <v>110613</v>
      </c>
      <c r="Y240" s="323">
        <v>22750725.524873894</v>
      </c>
      <c r="Z240" s="323">
        <v>22873524.629999999</v>
      </c>
      <c r="AA240" s="323">
        <v>264293</v>
      </c>
      <c r="AB240" s="323">
        <v>56031670.495911658</v>
      </c>
      <c r="AC240" s="173">
        <v>56334106.520999998</v>
      </c>
    </row>
    <row r="241" spans="2:29" outlineLevel="1" x14ac:dyDescent="0.25">
      <c r="B241" s="205">
        <v>45261</v>
      </c>
      <c r="C241" s="323">
        <v>105880</v>
      </c>
      <c r="D241" s="323">
        <v>25039244.065000001</v>
      </c>
      <c r="E241" s="323">
        <v>25039244.065000001</v>
      </c>
      <c r="F241" s="323">
        <v>60307</v>
      </c>
      <c r="G241" s="323">
        <v>14450349.472999999</v>
      </c>
      <c r="H241" s="323">
        <v>14450349.472999999</v>
      </c>
      <c r="I241" s="323">
        <v>166187</v>
      </c>
      <c r="J241" s="323">
        <v>39489593.538000003</v>
      </c>
      <c r="K241" s="323">
        <v>39489593.538000003</v>
      </c>
      <c r="L241" s="323">
        <v>47405</v>
      </c>
      <c r="M241" s="323">
        <v>8339131.6310000001</v>
      </c>
      <c r="N241" s="323">
        <v>8339131.6310000001</v>
      </c>
      <c r="O241" s="323">
        <v>50164</v>
      </c>
      <c r="P241" s="323">
        <v>8365112.523</v>
      </c>
      <c r="Q241" s="323">
        <v>8365112.523</v>
      </c>
      <c r="R241" s="323">
        <v>97569</v>
      </c>
      <c r="S241" s="323">
        <v>16704244.153999999</v>
      </c>
      <c r="T241" s="323">
        <v>16704244.153999999</v>
      </c>
      <c r="U241" s="323">
        <v>153285</v>
      </c>
      <c r="V241" s="323">
        <v>33378375.695999999</v>
      </c>
      <c r="W241" s="323">
        <v>33378375.695999999</v>
      </c>
      <c r="X241" s="323">
        <v>110471</v>
      </c>
      <c r="Y241" s="323">
        <v>22815461.995999999</v>
      </c>
      <c r="Z241" s="323">
        <v>22815461.995999999</v>
      </c>
      <c r="AA241" s="323">
        <v>263756</v>
      </c>
      <c r="AB241" s="323">
        <v>56193837.692000002</v>
      </c>
      <c r="AC241" s="173">
        <v>56193837.692000002</v>
      </c>
    </row>
    <row r="242" spans="2:29" x14ac:dyDescent="0.25">
      <c r="B242" s="321" t="s">
        <v>869</v>
      </c>
      <c r="C242" s="324">
        <v>107656.58333333333</v>
      </c>
      <c r="D242" s="324">
        <v>24673201.877367113</v>
      </c>
      <c r="E242" s="324"/>
      <c r="F242" s="324">
        <v>61733.75</v>
      </c>
      <c r="G242" s="324">
        <v>14299922.067429155</v>
      </c>
      <c r="H242" s="324"/>
      <c r="I242" s="324">
        <v>169390.33333333334</v>
      </c>
      <c r="J242" s="324">
        <v>38973123.944796264</v>
      </c>
      <c r="K242" s="324"/>
      <c r="L242" s="324">
        <v>46872.083333333336</v>
      </c>
      <c r="M242" s="324">
        <v>8374122.7662498057</v>
      </c>
      <c r="N242" s="324"/>
      <c r="O242" s="324">
        <v>48903.25</v>
      </c>
      <c r="P242" s="324">
        <v>8303771.1318340413</v>
      </c>
      <c r="Q242" s="324"/>
      <c r="R242" s="324">
        <v>95775.333333333328</v>
      </c>
      <c r="S242" s="324">
        <v>16677893.898083851</v>
      </c>
      <c r="T242" s="324"/>
      <c r="U242" s="324">
        <v>154528.66666666666</v>
      </c>
      <c r="V242" s="324">
        <v>33047324.643616918</v>
      </c>
      <c r="W242" s="324"/>
      <c r="X242" s="324">
        <v>110637</v>
      </c>
      <c r="Y242" s="324">
        <v>22603693.199263196</v>
      </c>
      <c r="Z242" s="324"/>
      <c r="AA242" s="324">
        <v>265165.66666666669</v>
      </c>
      <c r="AB242" s="324">
        <v>55651017.842880122</v>
      </c>
      <c r="AC242" s="327"/>
    </row>
    <row r="243" spans="2:29" x14ac:dyDescent="0.25">
      <c r="B243" s="4" t="s">
        <v>788</v>
      </c>
      <c r="C243" s="259"/>
      <c r="D243" s="259"/>
      <c r="E243" s="259"/>
      <c r="F243" s="259"/>
      <c r="G243" s="259"/>
      <c r="H243" s="259"/>
      <c r="I243" s="259"/>
      <c r="J243" s="259"/>
      <c r="K243" s="259"/>
      <c r="L243" s="259"/>
      <c r="M243" s="259"/>
    </row>
    <row r="244" spans="2:29" ht="29.25" customHeight="1" x14ac:dyDescent="0.25">
      <c r="B244" s="397" t="s">
        <v>897</v>
      </c>
      <c r="C244" s="397"/>
      <c r="D244" s="397"/>
      <c r="E244" s="397"/>
      <c r="F244" s="397"/>
      <c r="G244" s="397"/>
      <c r="H244" s="397"/>
      <c r="I244" s="397"/>
      <c r="J244" s="397"/>
      <c r="K244" s="397"/>
      <c r="L244" s="397"/>
      <c r="M244" s="397"/>
      <c r="N244" s="397"/>
      <c r="O244" s="397"/>
      <c r="P244" s="397"/>
      <c r="Q244" s="397"/>
      <c r="R244" s="397"/>
      <c r="S244" s="397"/>
      <c r="T244" s="397"/>
      <c r="U244" s="397"/>
      <c r="V244" s="397"/>
      <c r="W244" s="397"/>
      <c r="X244" s="397"/>
      <c r="Y244" s="397"/>
      <c r="Z244" s="397"/>
      <c r="AA244" s="397"/>
      <c r="AB244" s="397"/>
      <c r="AC244" s="397"/>
    </row>
    <row r="245" spans="2:29" x14ac:dyDescent="0.25">
      <c r="B245" s="253" t="s">
        <v>893</v>
      </c>
      <c r="C245" s="244"/>
      <c r="D245" s="244"/>
      <c r="E245" s="244"/>
      <c r="F245" s="244"/>
      <c r="G245" s="244"/>
      <c r="H245" s="244"/>
      <c r="I245" s="244"/>
      <c r="J245" s="244"/>
      <c r="K245" s="244"/>
      <c r="L245" s="244"/>
      <c r="M245" s="257"/>
      <c r="N245" s="226"/>
    </row>
    <row r="246" spans="2:29" x14ac:dyDescent="0.25">
      <c r="B246" s="4"/>
      <c r="C246" s="4"/>
      <c r="D246" s="4"/>
      <c r="E246" s="4"/>
      <c r="F246" s="4"/>
      <c r="G246" s="4"/>
      <c r="H246" s="4"/>
      <c r="I246" s="4"/>
      <c r="J246" s="4"/>
      <c r="K246" s="4"/>
    </row>
    <row r="247" spans="2:29" x14ac:dyDescent="0.25">
      <c r="B247" s="4"/>
      <c r="C247" s="4"/>
      <c r="D247" s="4"/>
      <c r="E247" s="4"/>
      <c r="F247" s="4"/>
      <c r="G247" s="4"/>
      <c r="H247" s="4"/>
      <c r="I247" s="4"/>
      <c r="J247" s="4"/>
      <c r="K247" s="4"/>
    </row>
    <row r="248" spans="2:29" x14ac:dyDescent="0.25">
      <c r="B248" s="4"/>
      <c r="C248" s="4"/>
      <c r="D248" s="4"/>
      <c r="E248" s="4"/>
      <c r="F248" s="4"/>
      <c r="G248" s="4"/>
      <c r="H248" s="4"/>
      <c r="I248" s="4"/>
      <c r="J248" s="4"/>
      <c r="K248" s="4"/>
    </row>
    <row r="249" spans="2:29" x14ac:dyDescent="0.25">
      <c r="B249" s="4"/>
      <c r="C249" s="4"/>
      <c r="D249" s="4"/>
      <c r="E249" s="4"/>
      <c r="F249" s="4"/>
      <c r="G249" s="4"/>
      <c r="H249" s="4"/>
      <c r="I249" s="4"/>
      <c r="J249" s="4"/>
      <c r="K249" s="4"/>
    </row>
    <row r="250" spans="2:29" x14ac:dyDescent="0.25">
      <c r="B250" s="4"/>
      <c r="C250" s="4"/>
      <c r="D250" s="4"/>
      <c r="E250" s="4"/>
      <c r="F250" s="4"/>
      <c r="G250" s="4"/>
      <c r="H250" s="4"/>
      <c r="I250" s="4"/>
      <c r="J250" s="4"/>
      <c r="K250" s="4"/>
    </row>
    <row r="251" spans="2:29" x14ac:dyDescent="0.25">
      <c r="B251" s="4"/>
      <c r="C251" s="4"/>
      <c r="D251" s="4"/>
      <c r="E251" s="4"/>
      <c r="F251" s="4"/>
      <c r="G251" s="4"/>
      <c r="H251" s="4"/>
      <c r="I251" s="4"/>
      <c r="J251" s="4"/>
      <c r="K251" s="4"/>
    </row>
    <row r="252" spans="2:29" x14ac:dyDescent="0.25">
      <c r="B252" s="4"/>
      <c r="C252" s="4"/>
      <c r="D252" s="4"/>
      <c r="E252" s="4"/>
      <c r="F252" s="4"/>
      <c r="G252" s="4"/>
      <c r="H252" s="4"/>
      <c r="I252" s="4"/>
      <c r="J252" s="4"/>
      <c r="K252" s="4"/>
    </row>
  </sheetData>
  <mergeCells count="25">
    <mergeCell ref="D26:F26"/>
    <mergeCell ref="G26:I26"/>
    <mergeCell ref="J26:L26"/>
    <mergeCell ref="B28:B30"/>
    <mergeCell ref="B32:L32"/>
    <mergeCell ref="B15:B17"/>
    <mergeCell ref="B19:L19"/>
    <mergeCell ref="D7:F7"/>
    <mergeCell ref="G7:I7"/>
    <mergeCell ref="J7:L7"/>
    <mergeCell ref="B9:B11"/>
    <mergeCell ref="B12:B14"/>
    <mergeCell ref="B244:AC244"/>
    <mergeCell ref="U38:AC38"/>
    <mergeCell ref="U39:W39"/>
    <mergeCell ref="X39:Z39"/>
    <mergeCell ref="AA39:AC39"/>
    <mergeCell ref="C39:E39"/>
    <mergeCell ref="F39:H39"/>
    <mergeCell ref="I39:K39"/>
    <mergeCell ref="C38:K38"/>
    <mergeCell ref="L38:T38"/>
    <mergeCell ref="L39:N39"/>
    <mergeCell ref="O39:Q39"/>
    <mergeCell ref="R39:T39"/>
  </mergeCells>
  <phoneticPr fontId="27" type="noConversion"/>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F14E4-7163-48E4-923D-CC159E0CB4FE}">
  <dimension ref="A3:I519"/>
  <sheetViews>
    <sheetView workbookViewId="0"/>
  </sheetViews>
  <sheetFormatPr baseColWidth="10" defaultRowHeight="15" x14ac:dyDescent="0.25"/>
  <sheetData>
    <row r="3" spans="1:7" ht="45" x14ac:dyDescent="0.25">
      <c r="A3" s="136" t="s">
        <v>501</v>
      </c>
      <c r="B3" s="136" t="s">
        <v>502</v>
      </c>
      <c r="C3" s="136">
        <v>1</v>
      </c>
      <c r="D3" s="154"/>
      <c r="E3" s="154"/>
      <c r="F3" s="155"/>
    </row>
    <row r="4" spans="1:7" x14ac:dyDescent="0.25">
      <c r="A4" s="136"/>
      <c r="B4" s="136"/>
      <c r="C4" s="136"/>
      <c r="D4" s="136"/>
      <c r="F4" s="143"/>
    </row>
    <row r="5" spans="1:7" ht="30" x14ac:dyDescent="0.25">
      <c r="A5" s="136"/>
      <c r="B5" s="136"/>
      <c r="C5" s="136" t="s">
        <v>500</v>
      </c>
      <c r="D5" s="136"/>
      <c r="F5" s="143"/>
    </row>
    <row r="6" spans="1:7" x14ac:dyDescent="0.25">
      <c r="A6" s="136" t="s">
        <v>126</v>
      </c>
      <c r="B6" s="136" t="s">
        <v>479</v>
      </c>
      <c r="C6" s="136" t="s">
        <v>480</v>
      </c>
      <c r="D6" s="136" t="s">
        <v>481</v>
      </c>
      <c r="E6" s="136" t="s">
        <v>482</v>
      </c>
      <c r="F6" s="136" t="s">
        <v>483</v>
      </c>
      <c r="G6" s="136" t="s">
        <v>25</v>
      </c>
    </row>
    <row r="7" spans="1:7" x14ac:dyDescent="0.25">
      <c r="A7" s="136"/>
      <c r="B7" s="136"/>
      <c r="C7" s="136"/>
      <c r="G7" s="143"/>
    </row>
    <row r="8" spans="1:7" ht="30" x14ac:dyDescent="0.25">
      <c r="A8" s="136" t="s">
        <v>131</v>
      </c>
      <c r="B8" s="136">
        <v>32</v>
      </c>
      <c r="C8" s="146">
        <v>8631</v>
      </c>
      <c r="D8" s="136">
        <v>1</v>
      </c>
      <c r="E8" s="146">
        <v>1938</v>
      </c>
      <c r="F8" s="136">
        <v>329</v>
      </c>
      <c r="G8" s="146">
        <v>10931</v>
      </c>
    </row>
    <row r="9" spans="1:7" x14ac:dyDescent="0.25">
      <c r="A9" s="136" t="s">
        <v>137</v>
      </c>
      <c r="B9" s="136">
        <v>0</v>
      </c>
      <c r="C9" s="136">
        <v>192</v>
      </c>
      <c r="D9">
        <v>0</v>
      </c>
      <c r="E9" s="136">
        <v>38</v>
      </c>
      <c r="F9" s="136">
        <v>4</v>
      </c>
      <c r="G9" s="136">
        <v>234</v>
      </c>
    </row>
    <row r="10" spans="1:7" x14ac:dyDescent="0.25">
      <c r="A10" s="136" t="s">
        <v>132</v>
      </c>
      <c r="B10" s="136">
        <v>2</v>
      </c>
      <c r="C10" s="136">
        <v>137</v>
      </c>
      <c r="D10">
        <v>0</v>
      </c>
      <c r="E10" s="136">
        <v>25</v>
      </c>
      <c r="F10" s="136">
        <v>3</v>
      </c>
      <c r="G10" s="136">
        <v>167</v>
      </c>
    </row>
    <row r="11" spans="1:7" x14ac:dyDescent="0.25">
      <c r="A11" s="136" t="s">
        <v>133</v>
      </c>
      <c r="B11" s="136">
        <v>6</v>
      </c>
      <c r="C11" s="136">
        <v>476</v>
      </c>
      <c r="D11" s="136">
        <v>1</v>
      </c>
      <c r="E11" s="136">
        <v>103</v>
      </c>
      <c r="F11" s="136">
        <v>14</v>
      </c>
      <c r="G11" s="136">
        <v>600</v>
      </c>
    </row>
    <row r="12" spans="1:7" x14ac:dyDescent="0.25">
      <c r="A12" s="136" t="s">
        <v>134</v>
      </c>
      <c r="B12" s="136">
        <v>90</v>
      </c>
      <c r="C12" s="146">
        <v>26648</v>
      </c>
      <c r="D12" s="136">
        <v>11</v>
      </c>
      <c r="E12" s="146">
        <v>6786</v>
      </c>
      <c r="F12" s="136">
        <v>678</v>
      </c>
      <c r="G12" s="146">
        <v>34213</v>
      </c>
    </row>
    <row r="13" spans="1:7" x14ac:dyDescent="0.25">
      <c r="A13" s="136" t="s">
        <v>135</v>
      </c>
      <c r="B13" s="136">
        <v>2</v>
      </c>
      <c r="C13" s="136">
        <v>876</v>
      </c>
      <c r="D13" s="167">
        <v>0</v>
      </c>
      <c r="E13" s="136">
        <v>200</v>
      </c>
      <c r="F13" s="136">
        <v>26</v>
      </c>
      <c r="G13" s="146">
        <v>1104</v>
      </c>
    </row>
    <row r="14" spans="1:7" ht="30" x14ac:dyDescent="0.25">
      <c r="A14" s="136" t="s">
        <v>136</v>
      </c>
      <c r="B14" s="136">
        <v>9</v>
      </c>
      <c r="C14" s="146">
        <v>1589</v>
      </c>
      <c r="D14" s="167">
        <v>0</v>
      </c>
      <c r="E14" s="136">
        <v>403</v>
      </c>
      <c r="F14" s="136">
        <v>50</v>
      </c>
      <c r="G14" s="146">
        <v>2051</v>
      </c>
    </row>
    <row r="15" spans="1:7" x14ac:dyDescent="0.25">
      <c r="A15" s="136" t="s">
        <v>25</v>
      </c>
      <c r="B15" s="137">
        <f>SUM(B8:B14)</f>
        <v>141</v>
      </c>
      <c r="C15" s="137">
        <f t="shared" ref="C15:G15" si="0">SUM(C8:C14)</f>
        <v>38549</v>
      </c>
      <c r="D15" s="137">
        <f t="shared" si="0"/>
        <v>13</v>
      </c>
      <c r="E15" s="137">
        <f t="shared" si="0"/>
        <v>9493</v>
      </c>
      <c r="F15" s="137">
        <f t="shared" si="0"/>
        <v>1104</v>
      </c>
      <c r="G15" s="137">
        <f t="shared" si="0"/>
        <v>49300</v>
      </c>
    </row>
    <row r="16" spans="1:7" x14ac:dyDescent="0.25">
      <c r="A16" s="136"/>
      <c r="B16" s="136"/>
      <c r="C16" s="136"/>
      <c r="D16" s="147"/>
      <c r="E16" s="147"/>
      <c r="F16" s="147"/>
      <c r="G16" s="144"/>
    </row>
    <row r="21" spans="1:8" ht="45" x14ac:dyDescent="0.25">
      <c r="A21" s="136" t="s">
        <v>138</v>
      </c>
      <c r="B21" s="154"/>
      <c r="C21" s="154"/>
      <c r="D21" s="154"/>
      <c r="E21" s="154"/>
      <c r="F21" s="155"/>
    </row>
    <row r="22" spans="1:8" x14ac:dyDescent="0.25">
      <c r="A22" s="136"/>
      <c r="B22" s="136"/>
      <c r="C22" s="136"/>
      <c r="F22" s="143"/>
    </row>
    <row r="23" spans="1:8" ht="30" x14ac:dyDescent="0.25">
      <c r="A23" s="136"/>
      <c r="B23" s="136" t="s">
        <v>500</v>
      </c>
      <c r="C23" s="136"/>
      <c r="F23" s="143"/>
    </row>
    <row r="24" spans="1:8" x14ac:dyDescent="0.25">
      <c r="A24" s="136" t="s">
        <v>126</v>
      </c>
      <c r="B24" s="136" t="s">
        <v>479</v>
      </c>
      <c r="C24" s="136" t="s">
        <v>480</v>
      </c>
      <c r="D24" s="136" t="s">
        <v>481</v>
      </c>
      <c r="E24" s="136" t="s">
        <v>482</v>
      </c>
      <c r="F24" s="136" t="s">
        <v>483</v>
      </c>
      <c r="G24" s="136" t="s">
        <v>25</v>
      </c>
    </row>
    <row r="25" spans="1:8" x14ac:dyDescent="0.25">
      <c r="A25" s="136"/>
      <c r="B25" s="136"/>
      <c r="C25" s="136"/>
      <c r="G25" s="143"/>
    </row>
    <row r="26" spans="1:8" ht="30" x14ac:dyDescent="0.25">
      <c r="A26" s="136" t="s">
        <v>139</v>
      </c>
      <c r="B26" s="136">
        <v>137</v>
      </c>
      <c r="C26" s="146">
        <v>41859</v>
      </c>
      <c r="D26" s="136">
        <v>18</v>
      </c>
      <c r="E26" s="146">
        <v>10946</v>
      </c>
      <c r="F26" s="146">
        <v>1282</v>
      </c>
      <c r="G26" s="146">
        <v>54242</v>
      </c>
    </row>
    <row r="27" spans="1:8" x14ac:dyDescent="0.25">
      <c r="A27" s="136" t="s">
        <v>140</v>
      </c>
      <c r="B27" s="136">
        <v>30</v>
      </c>
      <c r="C27" s="146">
        <v>14670</v>
      </c>
      <c r="D27" s="136">
        <v>8</v>
      </c>
      <c r="E27" s="146">
        <v>3983</v>
      </c>
      <c r="F27" s="136">
        <v>498</v>
      </c>
      <c r="G27" s="146">
        <v>19189</v>
      </c>
    </row>
    <row r="28" spans="1:8" ht="30" x14ac:dyDescent="0.25">
      <c r="A28" s="136" t="s">
        <v>141</v>
      </c>
      <c r="B28">
        <v>0</v>
      </c>
      <c r="C28" s="136">
        <v>414</v>
      </c>
      <c r="D28">
        <v>0</v>
      </c>
      <c r="E28" s="136">
        <v>130</v>
      </c>
      <c r="F28" s="136">
        <v>12</v>
      </c>
      <c r="G28" s="136">
        <v>556</v>
      </c>
    </row>
    <row r="29" spans="1:8" ht="30" x14ac:dyDescent="0.25">
      <c r="A29" s="136" t="s">
        <v>142</v>
      </c>
      <c r="B29" s="136">
        <v>3</v>
      </c>
      <c r="C29" s="146">
        <v>1165</v>
      </c>
      <c r="D29" s="136">
        <v>1</v>
      </c>
      <c r="E29" s="136">
        <v>377</v>
      </c>
      <c r="F29" s="136">
        <v>59</v>
      </c>
      <c r="G29" s="146">
        <v>1605</v>
      </c>
    </row>
    <row r="30" spans="1:8" x14ac:dyDescent="0.25">
      <c r="A30" s="136" t="s">
        <v>143</v>
      </c>
      <c r="B30" s="136">
        <v>0</v>
      </c>
      <c r="C30" s="136">
        <v>37</v>
      </c>
      <c r="D30" s="168">
        <v>0</v>
      </c>
      <c r="E30" s="136">
        <v>5</v>
      </c>
      <c r="F30" s="136">
        <v>1</v>
      </c>
      <c r="G30" s="136">
        <v>43</v>
      </c>
      <c r="H30" s="143"/>
    </row>
    <row r="31" spans="1:8" ht="45" x14ac:dyDescent="0.25">
      <c r="A31" s="136" t="s">
        <v>144</v>
      </c>
      <c r="B31" s="136">
        <v>1</v>
      </c>
      <c r="C31" s="136">
        <v>680</v>
      </c>
      <c r="D31" s="168">
        <v>0</v>
      </c>
      <c r="E31" s="136">
        <v>145</v>
      </c>
      <c r="F31" s="136">
        <v>25</v>
      </c>
      <c r="G31" s="136">
        <v>851</v>
      </c>
    </row>
    <row r="32" spans="1:8" ht="30" x14ac:dyDescent="0.25">
      <c r="A32" s="136" t="s">
        <v>145</v>
      </c>
      <c r="B32" s="167">
        <v>0</v>
      </c>
      <c r="C32" s="136">
        <v>98</v>
      </c>
      <c r="D32" s="168">
        <v>0</v>
      </c>
      <c r="E32" s="136">
        <v>29</v>
      </c>
      <c r="F32" s="136">
        <v>2</v>
      </c>
      <c r="G32" s="136">
        <v>129</v>
      </c>
    </row>
    <row r="33" spans="1:8" x14ac:dyDescent="0.25">
      <c r="A33" s="136" t="s">
        <v>146</v>
      </c>
      <c r="B33" s="136">
        <v>4</v>
      </c>
      <c r="C33" s="146">
        <v>1885</v>
      </c>
      <c r="D33" s="168">
        <v>0</v>
      </c>
      <c r="E33" s="136">
        <v>570</v>
      </c>
      <c r="F33" s="136">
        <v>63</v>
      </c>
      <c r="G33" s="146">
        <v>2522</v>
      </c>
    </row>
    <row r="34" spans="1:8" x14ac:dyDescent="0.25">
      <c r="A34" s="136" t="s">
        <v>147</v>
      </c>
      <c r="B34" s="136">
        <v>11</v>
      </c>
      <c r="C34" s="146">
        <v>4223</v>
      </c>
      <c r="D34" s="136">
        <v>7</v>
      </c>
      <c r="E34" s="146">
        <v>1046</v>
      </c>
      <c r="F34" s="136">
        <v>126</v>
      </c>
      <c r="G34" s="146">
        <v>5413</v>
      </c>
    </row>
    <row r="35" spans="1:8" x14ac:dyDescent="0.25">
      <c r="A35" s="136"/>
      <c r="G35" s="143"/>
    </row>
    <row r="36" spans="1:8" x14ac:dyDescent="0.25">
      <c r="A36" s="136" t="s">
        <v>25</v>
      </c>
      <c r="B36" s="137">
        <f>SUM(B26:B35)</f>
        <v>186</v>
      </c>
      <c r="C36" s="137">
        <f t="shared" ref="C36:G36" si="1">SUM(C26:C35)</f>
        <v>65031</v>
      </c>
      <c r="D36" s="137">
        <f t="shared" si="1"/>
        <v>34</v>
      </c>
      <c r="E36" s="137">
        <f t="shared" si="1"/>
        <v>17231</v>
      </c>
      <c r="F36" s="137">
        <f t="shared" si="1"/>
        <v>2068</v>
      </c>
      <c r="G36" s="137">
        <f t="shared" si="1"/>
        <v>84550</v>
      </c>
    </row>
    <row r="37" spans="1:8" x14ac:dyDescent="0.25">
      <c r="A37" s="136"/>
      <c r="B37" s="136"/>
      <c r="C37" s="136"/>
      <c r="D37" s="147"/>
      <c r="E37" s="147"/>
      <c r="F37" s="147"/>
      <c r="G37" s="144"/>
    </row>
    <row r="42" spans="1:8" ht="45" x14ac:dyDescent="0.25">
      <c r="A42" s="136" t="s">
        <v>501</v>
      </c>
      <c r="B42" s="136" t="s">
        <v>502</v>
      </c>
      <c r="C42" s="136">
        <v>3</v>
      </c>
      <c r="D42" s="154"/>
      <c r="E42" s="154"/>
      <c r="F42" s="154"/>
      <c r="G42" s="155"/>
    </row>
    <row r="43" spans="1:8" x14ac:dyDescent="0.25">
      <c r="A43" s="136"/>
      <c r="B43" s="136"/>
      <c r="C43" s="136"/>
      <c r="D43" s="136"/>
      <c r="G43" s="143"/>
    </row>
    <row r="44" spans="1:8" ht="30" x14ac:dyDescent="0.25">
      <c r="A44" s="136"/>
      <c r="B44" s="136"/>
      <c r="C44" s="136" t="s">
        <v>500</v>
      </c>
      <c r="D44" s="136"/>
      <c r="G44" s="143"/>
    </row>
    <row r="45" spans="1:8" x14ac:dyDescent="0.25">
      <c r="A45" s="136" t="s">
        <v>126</v>
      </c>
      <c r="B45" s="136"/>
      <c r="C45" s="136" t="s">
        <v>479</v>
      </c>
      <c r="D45" s="136" t="s">
        <v>480</v>
      </c>
      <c r="E45" s="136" t="s">
        <v>481</v>
      </c>
      <c r="F45" s="136" t="s">
        <v>482</v>
      </c>
      <c r="G45" s="136" t="s">
        <v>483</v>
      </c>
      <c r="H45" s="136" t="s">
        <v>25</v>
      </c>
    </row>
    <row r="46" spans="1:8" x14ac:dyDescent="0.25">
      <c r="A46" s="136"/>
      <c r="B46" s="136"/>
      <c r="C46" s="136"/>
      <c r="D46" s="136"/>
      <c r="H46" s="143"/>
    </row>
    <row r="47" spans="1:8" ht="30" x14ac:dyDescent="0.25">
      <c r="A47" s="136" t="s">
        <v>148</v>
      </c>
      <c r="B47" s="136"/>
      <c r="C47" s="136">
        <v>1</v>
      </c>
      <c r="D47" s="136">
        <v>962</v>
      </c>
      <c r="E47" s="136">
        <v>0</v>
      </c>
      <c r="F47" s="136">
        <v>159</v>
      </c>
      <c r="G47" s="136">
        <v>31</v>
      </c>
      <c r="H47" s="146">
        <v>1153</v>
      </c>
    </row>
    <row r="48" spans="1:8" x14ac:dyDescent="0.25">
      <c r="A48" s="136" t="s">
        <v>149</v>
      </c>
      <c r="B48" s="136"/>
      <c r="C48" s="136">
        <v>9</v>
      </c>
      <c r="D48" s="146">
        <v>2524</v>
      </c>
      <c r="E48" s="136">
        <v>1</v>
      </c>
      <c r="F48" s="136">
        <v>499</v>
      </c>
      <c r="G48" s="136">
        <v>92</v>
      </c>
      <c r="H48" s="146">
        <v>3125</v>
      </c>
    </row>
    <row r="49" spans="1:8" x14ac:dyDescent="0.25">
      <c r="A49" s="136" t="s">
        <v>490</v>
      </c>
      <c r="B49" s="136"/>
      <c r="C49" s="136">
        <v>5</v>
      </c>
      <c r="D49" s="146">
        <v>2246</v>
      </c>
      <c r="E49" s="136">
        <v>3</v>
      </c>
      <c r="F49" s="136">
        <v>497</v>
      </c>
      <c r="G49" s="136">
        <v>44</v>
      </c>
      <c r="H49" s="146">
        <v>2795</v>
      </c>
    </row>
    <row r="50" spans="1:8" x14ac:dyDescent="0.25">
      <c r="A50" s="136" t="s">
        <v>150</v>
      </c>
      <c r="B50" s="136"/>
      <c r="C50" s="136">
        <v>67</v>
      </c>
      <c r="D50" s="146">
        <v>20329</v>
      </c>
      <c r="E50" s="136">
        <v>7</v>
      </c>
      <c r="F50" s="146">
        <v>4285</v>
      </c>
      <c r="G50" s="136">
        <v>511</v>
      </c>
      <c r="H50" s="146">
        <v>25199</v>
      </c>
    </row>
    <row r="51" spans="1:8" ht="30" x14ac:dyDescent="0.25">
      <c r="A51" s="136" t="s">
        <v>151</v>
      </c>
      <c r="B51" s="136"/>
      <c r="C51" s="136">
        <v>6</v>
      </c>
      <c r="D51" s="146">
        <v>1399</v>
      </c>
      <c r="E51" s="136">
        <v>1</v>
      </c>
      <c r="F51" s="136">
        <v>380</v>
      </c>
      <c r="G51" s="136">
        <v>25</v>
      </c>
      <c r="H51" s="146">
        <v>1811</v>
      </c>
    </row>
    <row r="52" spans="1:8" x14ac:dyDescent="0.25">
      <c r="A52" s="136" t="s">
        <v>152</v>
      </c>
      <c r="B52" s="136"/>
      <c r="C52" s="136">
        <v>4</v>
      </c>
      <c r="D52" s="146">
        <v>1169</v>
      </c>
      <c r="E52" s="167">
        <v>0</v>
      </c>
      <c r="F52" s="136">
        <v>197</v>
      </c>
      <c r="G52" s="136">
        <v>13</v>
      </c>
      <c r="H52" s="146">
        <v>1383</v>
      </c>
    </row>
    <row r="53" spans="1:8" x14ac:dyDescent="0.25">
      <c r="A53" s="136" t="s">
        <v>153</v>
      </c>
      <c r="B53" s="136"/>
      <c r="C53" s="136">
        <v>2</v>
      </c>
      <c r="D53" s="146">
        <v>1687</v>
      </c>
      <c r="E53" s="136">
        <v>1</v>
      </c>
      <c r="F53" s="136">
        <v>361</v>
      </c>
      <c r="G53" s="136">
        <v>43</v>
      </c>
      <c r="H53" s="146">
        <v>2094</v>
      </c>
    </row>
    <row r="54" spans="1:8" ht="30" x14ac:dyDescent="0.25">
      <c r="A54" s="136" t="s">
        <v>154</v>
      </c>
      <c r="B54" s="136"/>
      <c r="C54" s="136">
        <v>4</v>
      </c>
      <c r="D54" s="146">
        <v>1565</v>
      </c>
      <c r="E54" s="136">
        <v>1</v>
      </c>
      <c r="F54" s="136">
        <v>299</v>
      </c>
      <c r="G54" s="136">
        <v>40</v>
      </c>
      <c r="H54" s="146">
        <v>1909</v>
      </c>
    </row>
    <row r="55" spans="1:8" x14ac:dyDescent="0.25">
      <c r="A55" s="136" t="s">
        <v>155</v>
      </c>
      <c r="B55" s="136"/>
      <c r="C55" s="136">
        <v>34</v>
      </c>
      <c r="D55" s="146">
        <v>9905</v>
      </c>
      <c r="E55" s="136">
        <v>3</v>
      </c>
      <c r="F55" s="146">
        <v>1871</v>
      </c>
      <c r="G55" s="136">
        <v>198</v>
      </c>
      <c r="H55" s="146">
        <v>12011</v>
      </c>
    </row>
    <row r="56" spans="1:8" x14ac:dyDescent="0.25">
      <c r="A56" s="136"/>
      <c r="H56" s="143"/>
    </row>
    <row r="57" spans="1:8" x14ac:dyDescent="0.25">
      <c r="A57" s="136" t="s">
        <v>25</v>
      </c>
      <c r="B57" s="136"/>
      <c r="C57" s="136">
        <v>132</v>
      </c>
      <c r="D57" s="146">
        <v>41786</v>
      </c>
      <c r="E57" s="136">
        <v>17</v>
      </c>
      <c r="F57" s="146">
        <v>8548</v>
      </c>
      <c r="G57" s="136">
        <v>997</v>
      </c>
      <c r="H57" s="146">
        <v>51480</v>
      </c>
    </row>
    <row r="58" spans="1:8" x14ac:dyDescent="0.25">
      <c r="A58" s="136"/>
      <c r="B58" s="136"/>
      <c r="C58" s="136"/>
      <c r="D58" s="136"/>
      <c r="E58" s="147"/>
      <c r="F58" s="147"/>
      <c r="G58" s="147"/>
      <c r="H58" s="144"/>
    </row>
    <row r="63" spans="1:8" ht="45" x14ac:dyDescent="0.25">
      <c r="A63" s="136" t="s">
        <v>501</v>
      </c>
      <c r="B63" s="136" t="s">
        <v>502</v>
      </c>
      <c r="C63" s="136">
        <v>4</v>
      </c>
      <c r="D63" s="154"/>
      <c r="E63" s="154"/>
      <c r="F63" s="155"/>
    </row>
    <row r="64" spans="1:8" x14ac:dyDescent="0.25">
      <c r="A64" s="136"/>
      <c r="B64" s="136"/>
      <c r="C64" s="136"/>
      <c r="D64" s="136"/>
      <c r="F64" s="143"/>
    </row>
    <row r="65" spans="1:7" ht="30" x14ac:dyDescent="0.25">
      <c r="A65" s="136"/>
      <c r="B65" s="136"/>
      <c r="C65" s="136" t="s">
        <v>500</v>
      </c>
      <c r="D65" s="136"/>
      <c r="F65" s="143"/>
    </row>
    <row r="66" spans="1:7" x14ac:dyDescent="0.25">
      <c r="A66" s="136" t="s">
        <v>126</v>
      </c>
      <c r="B66" s="136" t="s">
        <v>479</v>
      </c>
      <c r="C66" s="136" t="s">
        <v>480</v>
      </c>
      <c r="D66" s="136" t="s">
        <v>481</v>
      </c>
      <c r="E66" s="136" t="s">
        <v>482</v>
      </c>
      <c r="F66" s="136" t="s">
        <v>483</v>
      </c>
      <c r="G66" s="136" t="s">
        <v>25</v>
      </c>
    </row>
    <row r="67" spans="1:7" x14ac:dyDescent="0.25">
      <c r="A67" s="136"/>
      <c r="B67" s="136"/>
      <c r="C67" s="136"/>
      <c r="G67" s="143"/>
    </row>
    <row r="68" spans="1:7" ht="30" x14ac:dyDescent="0.25">
      <c r="A68" s="136" t="s">
        <v>156</v>
      </c>
      <c r="B68" s="136">
        <v>13</v>
      </c>
      <c r="C68" s="146">
        <v>2131</v>
      </c>
      <c r="D68" s="136">
        <v>1</v>
      </c>
      <c r="E68" s="136">
        <v>347</v>
      </c>
      <c r="F68" s="136">
        <v>52</v>
      </c>
      <c r="G68" s="146">
        <v>2544</v>
      </c>
    </row>
    <row r="69" spans="1:7" x14ac:dyDescent="0.25">
      <c r="A69" s="136" t="s">
        <v>157</v>
      </c>
      <c r="B69" s="136">
        <v>2</v>
      </c>
      <c r="C69" s="146">
        <v>1814</v>
      </c>
      <c r="D69">
        <v>0</v>
      </c>
      <c r="E69" s="136">
        <v>241</v>
      </c>
      <c r="F69" s="136">
        <v>31</v>
      </c>
      <c r="G69" s="146">
        <v>2088</v>
      </c>
    </row>
    <row r="70" spans="1:7" ht="30" x14ac:dyDescent="0.25">
      <c r="A70" s="136" t="s">
        <v>158</v>
      </c>
      <c r="B70" s="136">
        <v>3</v>
      </c>
      <c r="C70" s="146">
        <v>3132</v>
      </c>
      <c r="D70" s="136">
        <v>4</v>
      </c>
      <c r="E70" s="136">
        <v>459</v>
      </c>
      <c r="F70" s="136">
        <v>47</v>
      </c>
      <c r="G70" s="146">
        <v>3645</v>
      </c>
    </row>
    <row r="71" spans="1:7" x14ac:dyDescent="0.25">
      <c r="A71" s="136" t="s">
        <v>159</v>
      </c>
      <c r="B71" s="136">
        <v>86</v>
      </c>
      <c r="C71" s="146">
        <v>35562</v>
      </c>
      <c r="D71" s="136">
        <v>30</v>
      </c>
      <c r="E71" s="146">
        <v>7197</v>
      </c>
      <c r="F71" s="136">
        <v>906</v>
      </c>
      <c r="G71" s="146">
        <v>43781</v>
      </c>
    </row>
    <row r="72" spans="1:7" x14ac:dyDescent="0.25">
      <c r="A72" s="136" t="s">
        <v>160</v>
      </c>
      <c r="B72" s="136">
        <v>15</v>
      </c>
      <c r="C72" s="146">
        <v>6324</v>
      </c>
      <c r="D72" s="136">
        <v>3</v>
      </c>
      <c r="E72" s="146">
        <v>1147</v>
      </c>
      <c r="F72" s="136">
        <v>126</v>
      </c>
      <c r="G72" s="146">
        <v>7615</v>
      </c>
    </row>
    <row r="73" spans="1:7" x14ac:dyDescent="0.25">
      <c r="A73" s="136" t="s">
        <v>161</v>
      </c>
      <c r="B73" s="136">
        <v>3</v>
      </c>
      <c r="C73" s="136">
        <v>731</v>
      </c>
      <c r="D73" s="136">
        <v>1</v>
      </c>
      <c r="E73" s="136">
        <v>102</v>
      </c>
      <c r="F73" s="136">
        <v>20</v>
      </c>
      <c r="G73" s="136">
        <v>857</v>
      </c>
    </row>
    <row r="74" spans="1:7" x14ac:dyDescent="0.25">
      <c r="A74" s="136" t="s">
        <v>162</v>
      </c>
      <c r="B74" s="136">
        <v>89</v>
      </c>
      <c r="C74" s="146">
        <v>32734</v>
      </c>
      <c r="D74" s="136">
        <v>44</v>
      </c>
      <c r="E74" s="146">
        <v>7692</v>
      </c>
      <c r="F74" s="136">
        <v>869</v>
      </c>
      <c r="G74" s="146">
        <v>41428</v>
      </c>
    </row>
    <row r="75" spans="1:7" x14ac:dyDescent="0.25">
      <c r="A75" s="136" t="s">
        <v>163</v>
      </c>
      <c r="B75" s="136">
        <v>3</v>
      </c>
      <c r="C75" s="146">
        <v>3849</v>
      </c>
      <c r="D75" s="136">
        <v>3</v>
      </c>
      <c r="E75" s="136">
        <v>606</v>
      </c>
      <c r="F75" s="136">
        <v>88</v>
      </c>
      <c r="G75" s="146">
        <v>4549</v>
      </c>
    </row>
    <row r="76" spans="1:7" ht="30" x14ac:dyDescent="0.25">
      <c r="A76" s="136" t="s">
        <v>164</v>
      </c>
      <c r="B76" s="136">
        <v>11</v>
      </c>
      <c r="C76" s="146">
        <v>5111</v>
      </c>
      <c r="D76" s="136">
        <v>5</v>
      </c>
      <c r="E76" s="136">
        <v>715</v>
      </c>
      <c r="F76" s="136">
        <v>107</v>
      </c>
      <c r="G76" s="146">
        <v>5949</v>
      </c>
    </row>
    <row r="77" spans="1:7" x14ac:dyDescent="0.25">
      <c r="A77" s="136" t="s">
        <v>165</v>
      </c>
      <c r="B77" s="136">
        <v>39</v>
      </c>
      <c r="C77" s="146">
        <v>19496</v>
      </c>
      <c r="D77" s="136">
        <v>8</v>
      </c>
      <c r="E77" s="146">
        <v>3011</v>
      </c>
      <c r="F77" s="136">
        <v>420</v>
      </c>
      <c r="G77" s="146">
        <v>22974</v>
      </c>
    </row>
    <row r="78" spans="1:7" x14ac:dyDescent="0.25">
      <c r="A78" s="136" t="s">
        <v>166</v>
      </c>
      <c r="B78" s="136">
        <v>2</v>
      </c>
      <c r="C78" s="136">
        <v>837</v>
      </c>
      <c r="D78" s="136">
        <v>1</v>
      </c>
      <c r="E78" s="136">
        <v>126</v>
      </c>
      <c r="F78" s="136">
        <v>24</v>
      </c>
      <c r="G78" s="136">
        <v>990</v>
      </c>
    </row>
    <row r="79" spans="1:7" x14ac:dyDescent="0.25">
      <c r="A79" s="136" t="s">
        <v>167</v>
      </c>
      <c r="B79" s="136">
        <v>7</v>
      </c>
      <c r="C79" s="146">
        <v>2024</v>
      </c>
      <c r="D79" s="136">
        <v>1</v>
      </c>
      <c r="E79" s="136">
        <v>473</v>
      </c>
      <c r="F79" s="136">
        <v>56</v>
      </c>
      <c r="G79" s="146">
        <v>2561</v>
      </c>
    </row>
    <row r="80" spans="1:7" ht="30" x14ac:dyDescent="0.25">
      <c r="A80" s="136" t="s">
        <v>168</v>
      </c>
      <c r="B80" s="136"/>
      <c r="C80" s="136">
        <v>927</v>
      </c>
      <c r="D80" s="167">
        <v>0</v>
      </c>
      <c r="E80" s="136">
        <v>84</v>
      </c>
      <c r="F80" s="136">
        <v>10</v>
      </c>
      <c r="G80" s="146">
        <v>1021</v>
      </c>
    </row>
    <row r="81" spans="1:8" ht="30" x14ac:dyDescent="0.25">
      <c r="A81" s="136" t="s">
        <v>169</v>
      </c>
      <c r="B81" s="136">
        <v>10</v>
      </c>
      <c r="C81" s="146">
        <v>5212</v>
      </c>
      <c r="D81" s="136">
        <v>7</v>
      </c>
      <c r="E81" s="136">
        <v>858</v>
      </c>
      <c r="F81" s="136">
        <v>98</v>
      </c>
      <c r="G81" s="146">
        <v>6185</v>
      </c>
    </row>
    <row r="82" spans="1:8" x14ac:dyDescent="0.25">
      <c r="A82" s="136" t="s">
        <v>491</v>
      </c>
      <c r="B82" s="136">
        <v>16</v>
      </c>
      <c r="C82" s="146">
        <v>4735</v>
      </c>
      <c r="D82" s="136">
        <v>13</v>
      </c>
      <c r="E82" s="136">
        <v>764</v>
      </c>
      <c r="F82" s="136">
        <v>120</v>
      </c>
      <c r="G82" s="146">
        <v>5648</v>
      </c>
    </row>
    <row r="83" spans="1:8" x14ac:dyDescent="0.25">
      <c r="A83" s="136" t="s">
        <v>25</v>
      </c>
      <c r="B83" s="136">
        <v>299</v>
      </c>
      <c r="C83" s="146">
        <v>124619</v>
      </c>
      <c r="D83" s="136">
        <v>121</v>
      </c>
      <c r="E83" s="146">
        <v>23822</v>
      </c>
      <c r="F83" s="146">
        <v>2974</v>
      </c>
      <c r="G83" s="146">
        <v>151835</v>
      </c>
    </row>
    <row r="84" spans="1:8" x14ac:dyDescent="0.25">
      <c r="A84" s="136"/>
      <c r="B84" s="136"/>
      <c r="C84" s="136"/>
      <c r="F84" s="143"/>
    </row>
    <row r="85" spans="1:8" x14ac:dyDescent="0.25">
      <c r="A85" s="136"/>
      <c r="B85" s="147"/>
      <c r="C85" s="147"/>
      <c r="D85" s="147"/>
      <c r="E85" s="147"/>
      <c r="F85" s="144"/>
    </row>
    <row r="91" spans="1:8" ht="45" x14ac:dyDescent="0.25">
      <c r="A91" s="136" t="s">
        <v>501</v>
      </c>
      <c r="B91" s="136" t="s">
        <v>502</v>
      </c>
      <c r="C91" s="136">
        <v>5</v>
      </c>
      <c r="D91" s="154"/>
      <c r="E91" s="154"/>
      <c r="F91" s="154"/>
      <c r="G91" s="155"/>
    </row>
    <row r="92" spans="1:8" x14ac:dyDescent="0.25">
      <c r="A92" s="136"/>
      <c r="B92" s="136"/>
      <c r="C92" s="136"/>
      <c r="D92" s="136"/>
      <c r="G92" s="143"/>
    </row>
    <row r="93" spans="1:8" ht="30" x14ac:dyDescent="0.25">
      <c r="A93" s="136"/>
      <c r="B93" s="136"/>
      <c r="C93" s="136" t="s">
        <v>500</v>
      </c>
      <c r="D93" s="136"/>
      <c r="G93" s="143"/>
    </row>
    <row r="94" spans="1:8" x14ac:dyDescent="0.25">
      <c r="A94" s="136" t="s">
        <v>126</v>
      </c>
      <c r="B94" s="136"/>
      <c r="C94" s="136" t="s">
        <v>479</v>
      </c>
      <c r="D94" s="136" t="s">
        <v>480</v>
      </c>
      <c r="E94" s="136" t="s">
        <v>481</v>
      </c>
      <c r="F94" s="136" t="s">
        <v>482</v>
      </c>
      <c r="G94" s="136" t="s">
        <v>483</v>
      </c>
      <c r="H94" s="136" t="s">
        <v>25</v>
      </c>
    </row>
    <row r="95" spans="1:8" x14ac:dyDescent="0.25">
      <c r="A95" s="136"/>
      <c r="B95" s="136"/>
      <c r="C95" s="136"/>
      <c r="D95" s="136"/>
      <c r="H95" s="143"/>
    </row>
    <row r="96" spans="1:8" ht="30" x14ac:dyDescent="0.25">
      <c r="A96" s="136" t="s">
        <v>170</v>
      </c>
      <c r="B96" s="136"/>
      <c r="C96" s="136">
        <v>8</v>
      </c>
      <c r="D96" s="146">
        <v>2930</v>
      </c>
      <c r="E96" s="136">
        <v>1</v>
      </c>
      <c r="F96" s="136">
        <v>718</v>
      </c>
      <c r="G96" s="136">
        <v>100</v>
      </c>
      <c r="H96" s="146">
        <v>3757</v>
      </c>
    </row>
    <row r="97" spans="1:8" x14ac:dyDescent="0.25">
      <c r="A97" s="136" t="s">
        <v>171</v>
      </c>
      <c r="B97" s="136"/>
      <c r="C97" s="136">
        <v>13</v>
      </c>
      <c r="D97" s="146">
        <v>3901</v>
      </c>
      <c r="E97" s="136">
        <v>1</v>
      </c>
      <c r="F97" s="136">
        <v>979</v>
      </c>
      <c r="G97" s="136">
        <v>85</v>
      </c>
      <c r="H97" s="146">
        <v>4979</v>
      </c>
    </row>
    <row r="98" spans="1:8" ht="30" x14ac:dyDescent="0.25">
      <c r="A98" s="136" t="s">
        <v>172</v>
      </c>
      <c r="B98" s="136"/>
      <c r="C98" s="136">
        <v>5</v>
      </c>
      <c r="D98" s="146">
        <v>2004</v>
      </c>
      <c r="E98" s="136">
        <v>2</v>
      </c>
      <c r="F98" s="136">
        <v>378</v>
      </c>
      <c r="G98" s="136">
        <v>42</v>
      </c>
      <c r="H98" s="146">
        <v>2431</v>
      </c>
    </row>
    <row r="99" spans="1:8" ht="30" x14ac:dyDescent="0.25">
      <c r="A99" s="136" t="s">
        <v>173</v>
      </c>
      <c r="B99" s="136"/>
      <c r="C99" s="136">
        <v>13</v>
      </c>
      <c r="D99" s="146">
        <v>5034</v>
      </c>
      <c r="E99" s="136">
        <v>1</v>
      </c>
      <c r="F99" s="136">
        <v>862</v>
      </c>
      <c r="G99" s="136">
        <v>124</v>
      </c>
      <c r="H99" s="146">
        <v>6034</v>
      </c>
    </row>
    <row r="100" spans="1:8" ht="30" x14ac:dyDescent="0.25">
      <c r="A100" s="136" t="s">
        <v>174</v>
      </c>
      <c r="B100" s="136"/>
      <c r="C100" s="136">
        <v>13</v>
      </c>
      <c r="D100" s="146">
        <v>4521</v>
      </c>
      <c r="E100" s="136">
        <v>5</v>
      </c>
      <c r="F100" s="136">
        <v>897</v>
      </c>
      <c r="G100" s="136">
        <v>92</v>
      </c>
      <c r="H100" s="146">
        <v>5528</v>
      </c>
    </row>
    <row r="101" spans="1:8" x14ac:dyDescent="0.25">
      <c r="A101" s="136" t="s">
        <v>175</v>
      </c>
      <c r="B101" s="136"/>
      <c r="C101" s="136">
        <v>3</v>
      </c>
      <c r="D101" s="146">
        <v>2676</v>
      </c>
      <c r="E101" s="136">
        <v>1</v>
      </c>
      <c r="F101" s="136">
        <v>468</v>
      </c>
      <c r="G101" s="136">
        <v>49</v>
      </c>
      <c r="H101" s="146">
        <v>3197</v>
      </c>
    </row>
    <row r="102" spans="1:8" x14ac:dyDescent="0.25">
      <c r="A102" s="136" t="s">
        <v>176</v>
      </c>
      <c r="B102" s="136"/>
      <c r="C102" s="136">
        <v>17</v>
      </c>
      <c r="D102" s="146">
        <v>5887</v>
      </c>
      <c r="E102" s="136">
        <v>2</v>
      </c>
      <c r="F102" s="146">
        <v>1489</v>
      </c>
      <c r="G102" s="136">
        <v>172</v>
      </c>
      <c r="H102" s="146">
        <v>7567</v>
      </c>
    </row>
    <row r="103" spans="1:8" x14ac:dyDescent="0.25">
      <c r="A103" s="136" t="s">
        <v>177</v>
      </c>
      <c r="B103" s="136"/>
      <c r="C103" s="136">
        <v>6</v>
      </c>
      <c r="D103" s="146">
        <v>3878</v>
      </c>
      <c r="E103" s="136">
        <v>1</v>
      </c>
      <c r="F103" s="136">
        <v>920</v>
      </c>
      <c r="G103" s="136">
        <v>99</v>
      </c>
      <c r="H103" s="146">
        <v>4904</v>
      </c>
    </row>
    <row r="104" spans="1:8" x14ac:dyDescent="0.25">
      <c r="A104" s="136" t="s">
        <v>178</v>
      </c>
      <c r="B104" s="136"/>
      <c r="C104" s="136">
        <v>4</v>
      </c>
      <c r="D104" s="146">
        <v>3390</v>
      </c>
      <c r="E104" s="136">
        <v>4</v>
      </c>
      <c r="F104" s="136">
        <v>696</v>
      </c>
      <c r="G104" s="136">
        <v>92</v>
      </c>
      <c r="H104" s="146">
        <v>4186</v>
      </c>
    </row>
    <row r="105" spans="1:8" x14ac:dyDescent="0.25">
      <c r="A105" s="136" t="s">
        <v>179</v>
      </c>
      <c r="B105" s="136"/>
      <c r="C105" s="136">
        <v>6</v>
      </c>
      <c r="D105" s="146">
        <v>3345</v>
      </c>
      <c r="E105" s="136">
        <v>2</v>
      </c>
      <c r="F105" s="136">
        <v>650</v>
      </c>
      <c r="G105" s="136">
        <v>70</v>
      </c>
      <c r="H105" s="146">
        <v>4073</v>
      </c>
    </row>
    <row r="106" spans="1:8" ht="30" x14ac:dyDescent="0.25">
      <c r="A106" s="136" t="s">
        <v>180</v>
      </c>
      <c r="B106" s="136"/>
      <c r="C106" s="136">
        <v>4</v>
      </c>
      <c r="D106" s="136">
        <v>668</v>
      </c>
      <c r="E106" s="167">
        <v>0</v>
      </c>
      <c r="F106" s="136">
        <v>107</v>
      </c>
      <c r="G106" s="136">
        <v>21</v>
      </c>
      <c r="H106" s="136">
        <v>800</v>
      </c>
    </row>
    <row r="107" spans="1:8" ht="45" x14ac:dyDescent="0.25">
      <c r="A107" s="136" t="s">
        <v>181</v>
      </c>
      <c r="B107" s="136"/>
      <c r="C107" s="167">
        <v>0</v>
      </c>
      <c r="D107" s="136">
        <v>141</v>
      </c>
      <c r="E107" s="167">
        <v>0</v>
      </c>
      <c r="F107" s="136">
        <v>18</v>
      </c>
      <c r="G107" s="136">
        <v>1</v>
      </c>
      <c r="H107" s="136">
        <v>160</v>
      </c>
    </row>
    <row r="108" spans="1:8" x14ac:dyDescent="0.25">
      <c r="A108" s="136" t="s">
        <v>182</v>
      </c>
      <c r="B108" s="136"/>
      <c r="C108" s="136">
        <v>22</v>
      </c>
      <c r="D108" s="146">
        <v>10654</v>
      </c>
      <c r="E108" s="136">
        <v>6</v>
      </c>
      <c r="F108" s="146">
        <v>1904</v>
      </c>
      <c r="G108" s="136">
        <v>204</v>
      </c>
      <c r="H108" s="146">
        <v>12790</v>
      </c>
    </row>
    <row r="109" spans="1:8" x14ac:dyDescent="0.25">
      <c r="A109" s="136" t="s">
        <v>183</v>
      </c>
      <c r="B109" s="136"/>
      <c r="C109" s="136">
        <v>10</v>
      </c>
      <c r="D109" s="146">
        <v>2659</v>
      </c>
      <c r="E109" s="136">
        <v>1</v>
      </c>
      <c r="F109" s="136">
        <v>513</v>
      </c>
      <c r="G109" s="136">
        <v>64</v>
      </c>
      <c r="H109" s="146">
        <v>3247</v>
      </c>
    </row>
    <row r="110" spans="1:8" x14ac:dyDescent="0.25">
      <c r="A110" s="136" t="s">
        <v>184</v>
      </c>
      <c r="B110" s="136"/>
      <c r="C110" s="136">
        <v>25</v>
      </c>
      <c r="D110" s="146">
        <v>7222</v>
      </c>
      <c r="E110" s="136">
        <v>5</v>
      </c>
      <c r="F110" s="146">
        <v>1401</v>
      </c>
      <c r="G110" s="136">
        <v>150</v>
      </c>
      <c r="H110" s="146">
        <v>8803</v>
      </c>
    </row>
    <row r="111" spans="1:8" x14ac:dyDescent="0.25">
      <c r="A111" s="136" t="s">
        <v>185</v>
      </c>
      <c r="B111" s="136"/>
      <c r="C111" s="136">
        <v>29</v>
      </c>
      <c r="D111" s="146">
        <v>8916</v>
      </c>
      <c r="E111" s="136">
        <v>4</v>
      </c>
      <c r="F111" s="146">
        <v>1518</v>
      </c>
      <c r="G111" s="136">
        <v>205</v>
      </c>
      <c r="H111" s="146">
        <v>10672</v>
      </c>
    </row>
    <row r="112" spans="1:8" x14ac:dyDescent="0.25">
      <c r="A112" s="136" t="s">
        <v>186</v>
      </c>
      <c r="B112" s="136"/>
      <c r="C112" s="136">
        <v>13</v>
      </c>
      <c r="D112" s="146">
        <v>4744</v>
      </c>
      <c r="E112" s="136">
        <v>3</v>
      </c>
      <c r="F112" s="136">
        <v>832</v>
      </c>
      <c r="G112" s="136">
        <v>95</v>
      </c>
      <c r="H112" s="146">
        <v>5687</v>
      </c>
    </row>
    <row r="113" spans="1:9" x14ac:dyDescent="0.25">
      <c r="A113" s="136" t="s">
        <v>187</v>
      </c>
      <c r="B113" s="136"/>
      <c r="C113" s="136">
        <v>35</v>
      </c>
      <c r="D113" s="146">
        <v>11557</v>
      </c>
      <c r="E113" s="136">
        <v>11</v>
      </c>
      <c r="F113" s="146">
        <v>2786</v>
      </c>
      <c r="G113" s="136">
        <v>217</v>
      </c>
      <c r="H113" s="146">
        <v>14606</v>
      </c>
    </row>
    <row r="114" spans="1:9" x14ac:dyDescent="0.25">
      <c r="A114" s="136" t="s">
        <v>188</v>
      </c>
      <c r="B114" s="136"/>
      <c r="C114" s="136">
        <v>17</v>
      </c>
      <c r="D114" s="146">
        <v>4300</v>
      </c>
      <c r="E114" s="136">
        <v>1</v>
      </c>
      <c r="F114" s="146">
        <v>1016</v>
      </c>
      <c r="G114" s="136">
        <v>110</v>
      </c>
      <c r="H114" s="146">
        <v>5444</v>
      </c>
    </row>
    <row r="115" spans="1:9" x14ac:dyDescent="0.25">
      <c r="A115" s="136" t="s">
        <v>189</v>
      </c>
      <c r="B115" s="136"/>
      <c r="C115" s="136">
        <v>6</v>
      </c>
      <c r="D115" s="146">
        <v>3399</v>
      </c>
      <c r="E115" s="136">
        <v>1</v>
      </c>
      <c r="F115" s="136">
        <v>626</v>
      </c>
      <c r="G115" s="136">
        <v>97</v>
      </c>
      <c r="H115" s="146">
        <v>4129</v>
      </c>
    </row>
    <row r="116" spans="1:9" ht="30" x14ac:dyDescent="0.25">
      <c r="A116" s="136" t="s">
        <v>190</v>
      </c>
      <c r="B116" s="136"/>
      <c r="C116" s="167">
        <v>0</v>
      </c>
      <c r="D116" s="146">
        <v>1253</v>
      </c>
      <c r="E116" s="136">
        <v>1</v>
      </c>
      <c r="F116" s="169">
        <v>269</v>
      </c>
      <c r="G116" s="136">
        <v>27</v>
      </c>
      <c r="H116" s="146">
        <v>1550</v>
      </c>
    </row>
    <row r="117" spans="1:9" x14ac:dyDescent="0.25">
      <c r="A117" s="136" t="s">
        <v>191</v>
      </c>
      <c r="B117" s="136"/>
      <c r="C117" s="136">
        <v>0</v>
      </c>
      <c r="D117" s="146">
        <v>1068</v>
      </c>
      <c r="E117" s="167">
        <v>0</v>
      </c>
      <c r="F117" s="136">
        <v>194</v>
      </c>
      <c r="G117" s="136">
        <v>37</v>
      </c>
      <c r="H117" s="146">
        <v>1299</v>
      </c>
      <c r="I117" s="143"/>
    </row>
    <row r="118" spans="1:9" x14ac:dyDescent="0.25">
      <c r="A118" s="136" t="s">
        <v>192</v>
      </c>
      <c r="B118" s="136"/>
      <c r="C118" s="136">
        <v>4</v>
      </c>
      <c r="D118" s="146">
        <v>1890</v>
      </c>
      <c r="E118" s="167">
        <v>0</v>
      </c>
      <c r="F118" s="136">
        <v>422</v>
      </c>
      <c r="G118" s="136">
        <v>43</v>
      </c>
      <c r="H118" s="146">
        <v>2359</v>
      </c>
    </row>
    <row r="119" spans="1:9" ht="30" x14ac:dyDescent="0.25">
      <c r="A119" s="136" t="s">
        <v>193</v>
      </c>
      <c r="B119" s="136"/>
      <c r="C119" s="136">
        <v>13</v>
      </c>
      <c r="D119" s="146">
        <v>3568</v>
      </c>
      <c r="E119" s="167">
        <v>0</v>
      </c>
      <c r="F119" s="136">
        <v>837</v>
      </c>
      <c r="G119" s="136">
        <v>91</v>
      </c>
      <c r="H119" s="146">
        <v>4509</v>
      </c>
    </row>
    <row r="120" spans="1:9" x14ac:dyDescent="0.25">
      <c r="A120" s="136" t="s">
        <v>194</v>
      </c>
      <c r="B120" s="136"/>
      <c r="C120" s="136">
        <v>5</v>
      </c>
      <c r="D120" s="146">
        <v>3328</v>
      </c>
      <c r="E120" s="136">
        <v>2</v>
      </c>
      <c r="F120" s="136">
        <v>613</v>
      </c>
      <c r="G120" s="136">
        <v>83</v>
      </c>
      <c r="H120" s="146">
        <v>4031</v>
      </c>
    </row>
    <row r="121" spans="1:9" x14ac:dyDescent="0.25">
      <c r="A121" s="136" t="s">
        <v>195</v>
      </c>
      <c r="B121" s="136"/>
      <c r="C121" s="136">
        <v>54</v>
      </c>
      <c r="D121" s="146">
        <v>17131</v>
      </c>
      <c r="E121" s="136">
        <v>8</v>
      </c>
      <c r="F121" s="146">
        <v>3182</v>
      </c>
      <c r="G121" s="136">
        <v>342</v>
      </c>
      <c r="H121" s="146">
        <v>20717</v>
      </c>
    </row>
    <row r="122" spans="1:9" x14ac:dyDescent="0.25">
      <c r="A122" s="136" t="s">
        <v>196</v>
      </c>
      <c r="B122" s="136"/>
      <c r="C122" s="136">
        <v>73</v>
      </c>
      <c r="D122" s="146">
        <v>27789</v>
      </c>
      <c r="E122" s="136">
        <v>41</v>
      </c>
      <c r="F122" s="146">
        <v>5264</v>
      </c>
      <c r="G122" s="136">
        <v>574</v>
      </c>
      <c r="H122" s="146">
        <v>33741</v>
      </c>
    </row>
    <row r="123" spans="1:9" x14ac:dyDescent="0.25">
      <c r="A123" s="136" t="s">
        <v>197</v>
      </c>
      <c r="B123" s="136"/>
      <c r="C123" s="136">
        <v>14</v>
      </c>
      <c r="D123" s="146">
        <v>5665</v>
      </c>
      <c r="E123" s="136">
        <v>3</v>
      </c>
      <c r="F123" s="146">
        <v>1043</v>
      </c>
      <c r="G123" s="136">
        <v>146</v>
      </c>
      <c r="H123" s="146">
        <v>6871</v>
      </c>
    </row>
    <row r="124" spans="1:9" ht="30" x14ac:dyDescent="0.25">
      <c r="A124" s="136" t="s">
        <v>198</v>
      </c>
      <c r="B124" s="136"/>
      <c r="C124" s="136">
        <v>5</v>
      </c>
      <c r="D124" s="146">
        <v>1463</v>
      </c>
      <c r="E124" s="136">
        <v>2</v>
      </c>
      <c r="F124" s="136">
        <v>224</v>
      </c>
      <c r="G124" s="136">
        <v>24</v>
      </c>
      <c r="H124" s="146">
        <v>1718</v>
      </c>
    </row>
    <row r="125" spans="1:9" ht="30" x14ac:dyDescent="0.25">
      <c r="A125" s="136" t="s">
        <v>199</v>
      </c>
      <c r="B125" s="136"/>
      <c r="C125" s="136">
        <v>64</v>
      </c>
      <c r="D125" s="146">
        <v>18084</v>
      </c>
      <c r="E125" s="136">
        <v>9</v>
      </c>
      <c r="F125" s="146">
        <v>4161</v>
      </c>
      <c r="G125" s="136">
        <v>425</v>
      </c>
      <c r="H125" s="146">
        <v>22743</v>
      </c>
    </row>
    <row r="126" spans="1:9" ht="30" x14ac:dyDescent="0.25">
      <c r="A126" s="136" t="s">
        <v>200</v>
      </c>
      <c r="B126" s="136"/>
      <c r="C126" s="136">
        <v>6</v>
      </c>
      <c r="D126" s="146">
        <v>2897</v>
      </c>
      <c r="E126" s="136">
        <v>3</v>
      </c>
      <c r="F126" s="136">
        <v>721</v>
      </c>
      <c r="G126" s="136">
        <v>58</v>
      </c>
      <c r="H126" s="146">
        <v>3685</v>
      </c>
    </row>
    <row r="127" spans="1:9" x14ac:dyDescent="0.25">
      <c r="A127" s="136" t="s">
        <v>201</v>
      </c>
      <c r="B127" s="136"/>
      <c r="C127" s="136">
        <v>44</v>
      </c>
      <c r="D127" s="146">
        <v>13418</v>
      </c>
      <c r="E127" s="136">
        <v>9</v>
      </c>
      <c r="F127" s="146">
        <v>2758</v>
      </c>
      <c r="G127" s="136">
        <v>266</v>
      </c>
      <c r="H127" s="146">
        <v>16495</v>
      </c>
    </row>
    <row r="128" spans="1:9" ht="30" x14ac:dyDescent="0.25">
      <c r="A128" s="136" t="s">
        <v>202</v>
      </c>
      <c r="B128" s="136"/>
      <c r="C128" s="136">
        <v>10</v>
      </c>
      <c r="D128" s="146">
        <v>2603</v>
      </c>
      <c r="E128" s="136">
        <v>1</v>
      </c>
      <c r="F128" s="136">
        <v>504</v>
      </c>
      <c r="G128" s="136">
        <v>44</v>
      </c>
      <c r="H128" s="146">
        <v>3162</v>
      </c>
    </row>
    <row r="129" spans="1:8" ht="30" x14ac:dyDescent="0.25">
      <c r="A129" s="136" t="s">
        <v>203</v>
      </c>
      <c r="B129" s="136"/>
      <c r="C129" s="136">
        <v>5</v>
      </c>
      <c r="D129" s="146">
        <v>1695</v>
      </c>
      <c r="E129" s="167">
        <v>0</v>
      </c>
      <c r="F129" s="136">
        <v>540</v>
      </c>
      <c r="G129" s="136">
        <v>56</v>
      </c>
      <c r="H129" s="146">
        <v>2296</v>
      </c>
    </row>
    <row r="130" spans="1:8" ht="30" x14ac:dyDescent="0.25">
      <c r="A130" s="136" t="s">
        <v>204</v>
      </c>
      <c r="B130" s="136"/>
      <c r="C130" s="136">
        <v>176</v>
      </c>
      <c r="D130" s="146">
        <v>57195</v>
      </c>
      <c r="E130" s="136">
        <v>44</v>
      </c>
      <c r="F130" s="146">
        <v>10444</v>
      </c>
      <c r="G130" s="146">
        <v>1233</v>
      </c>
      <c r="H130" s="146">
        <v>69092</v>
      </c>
    </row>
    <row r="131" spans="1:8" ht="30" x14ac:dyDescent="0.25">
      <c r="A131" s="136" t="s">
        <v>205</v>
      </c>
      <c r="B131" s="136"/>
      <c r="C131" s="136">
        <v>45</v>
      </c>
      <c r="D131" s="146">
        <v>19458</v>
      </c>
      <c r="E131" s="136">
        <v>20</v>
      </c>
      <c r="F131" s="146">
        <v>4016</v>
      </c>
      <c r="G131" s="136">
        <v>531</v>
      </c>
      <c r="H131" s="146">
        <v>24070</v>
      </c>
    </row>
    <row r="132" spans="1:8" ht="30" x14ac:dyDescent="0.25">
      <c r="A132" s="136" t="s">
        <v>492</v>
      </c>
      <c r="B132" s="136"/>
      <c r="C132" s="136">
        <v>132</v>
      </c>
      <c r="D132" s="146">
        <v>56510</v>
      </c>
      <c r="E132" s="136">
        <v>42</v>
      </c>
      <c r="F132" s="146">
        <v>12188</v>
      </c>
      <c r="G132" s="146">
        <v>1307</v>
      </c>
      <c r="H132" s="146">
        <v>70179</v>
      </c>
    </row>
    <row r="133" spans="1:8" x14ac:dyDescent="0.25">
      <c r="A133" s="136" t="s">
        <v>206</v>
      </c>
      <c r="B133" s="136"/>
      <c r="C133" s="136">
        <v>7</v>
      </c>
      <c r="D133" s="146">
        <v>1284</v>
      </c>
      <c r="E133" s="167">
        <v>0</v>
      </c>
      <c r="F133" s="136">
        <v>248</v>
      </c>
      <c r="G133" s="136">
        <v>27</v>
      </c>
      <c r="H133" s="146">
        <v>1566</v>
      </c>
    </row>
    <row r="134" spans="1:8" x14ac:dyDescent="0.25">
      <c r="A134" s="136"/>
      <c r="H134" s="143"/>
    </row>
    <row r="135" spans="1:8" x14ac:dyDescent="0.25">
      <c r="A135" s="136" t="s">
        <v>25</v>
      </c>
      <c r="B135" s="136"/>
      <c r="C135" s="137">
        <f>SUM(C96:C134)</f>
        <v>906</v>
      </c>
      <c r="D135" s="137">
        <f t="shared" ref="D135:H135" si="2">SUM(D96:D134)</f>
        <v>328125</v>
      </c>
      <c r="E135" s="137">
        <f t="shared" si="2"/>
        <v>237</v>
      </c>
      <c r="F135" s="137">
        <f t="shared" si="2"/>
        <v>66406</v>
      </c>
      <c r="G135" s="137">
        <f t="shared" si="2"/>
        <v>7403</v>
      </c>
      <c r="H135" s="137">
        <f t="shared" si="2"/>
        <v>403077</v>
      </c>
    </row>
    <row r="136" spans="1:8" x14ac:dyDescent="0.25">
      <c r="A136" s="136"/>
      <c r="B136" s="136"/>
      <c r="C136" s="136"/>
      <c r="D136" s="136"/>
      <c r="H136" s="143"/>
    </row>
    <row r="137" spans="1:8" x14ac:dyDescent="0.25">
      <c r="A137" s="136"/>
      <c r="B137" s="147"/>
      <c r="C137" s="147"/>
      <c r="D137" s="147"/>
      <c r="E137" s="147"/>
      <c r="F137" s="147"/>
      <c r="G137" s="147"/>
      <c r="H137" s="144"/>
    </row>
    <row r="141" spans="1:8" ht="45" x14ac:dyDescent="0.25">
      <c r="A141" s="136" t="s">
        <v>501</v>
      </c>
      <c r="B141" s="136" t="s">
        <v>502</v>
      </c>
      <c r="C141" s="136">
        <v>6</v>
      </c>
      <c r="D141" s="154"/>
      <c r="E141" s="154"/>
      <c r="F141" s="154"/>
      <c r="G141" s="155"/>
    </row>
    <row r="142" spans="1:8" x14ac:dyDescent="0.25">
      <c r="A142" s="136"/>
      <c r="B142" s="136"/>
      <c r="C142" s="136"/>
      <c r="D142" s="136"/>
      <c r="G142" s="143"/>
    </row>
    <row r="143" spans="1:8" ht="30" x14ac:dyDescent="0.25">
      <c r="A143" s="136"/>
      <c r="B143" s="136"/>
      <c r="C143" s="136" t="s">
        <v>500</v>
      </c>
      <c r="D143" s="136"/>
      <c r="G143" s="143"/>
    </row>
    <row r="144" spans="1:8" x14ac:dyDescent="0.25">
      <c r="A144" s="136" t="s">
        <v>126</v>
      </c>
      <c r="B144" s="136"/>
      <c r="C144" s="136" t="s">
        <v>479</v>
      </c>
      <c r="D144" s="136" t="s">
        <v>480</v>
      </c>
      <c r="E144" s="136" t="s">
        <v>481</v>
      </c>
      <c r="F144" s="136" t="s">
        <v>482</v>
      </c>
      <c r="G144" s="136" t="s">
        <v>483</v>
      </c>
      <c r="H144" s="136" t="s">
        <v>25</v>
      </c>
    </row>
    <row r="145" spans="1:8" x14ac:dyDescent="0.25">
      <c r="A145" s="136"/>
      <c r="B145" s="136"/>
      <c r="C145" s="136"/>
      <c r="D145" s="136"/>
      <c r="H145" s="143"/>
    </row>
    <row r="146" spans="1:8" x14ac:dyDescent="0.25">
      <c r="A146" s="136" t="s">
        <v>207</v>
      </c>
      <c r="B146" s="136"/>
      <c r="C146" s="136">
        <v>10</v>
      </c>
      <c r="D146" s="146">
        <v>3236</v>
      </c>
      <c r="E146" s="136">
        <v>2</v>
      </c>
      <c r="F146" s="136">
        <v>704</v>
      </c>
      <c r="G146" s="136">
        <v>83</v>
      </c>
      <c r="H146" s="146">
        <v>4035</v>
      </c>
    </row>
    <row r="147" spans="1:8" ht="30" x14ac:dyDescent="0.25">
      <c r="A147" s="136" t="s">
        <v>208</v>
      </c>
      <c r="B147" s="136"/>
      <c r="C147" s="136">
        <v>18</v>
      </c>
      <c r="D147" s="146">
        <v>6369</v>
      </c>
      <c r="E147" s="136">
        <v>2</v>
      </c>
      <c r="F147" s="146">
        <v>1452</v>
      </c>
      <c r="G147" s="136">
        <v>146</v>
      </c>
      <c r="H147" s="146">
        <v>7987</v>
      </c>
    </row>
    <row r="148" spans="1:8" x14ac:dyDescent="0.25">
      <c r="A148" s="136" t="s">
        <v>209</v>
      </c>
      <c r="B148" s="136"/>
      <c r="C148" s="136">
        <v>5</v>
      </c>
      <c r="D148" s="146">
        <v>2111</v>
      </c>
      <c r="E148">
        <v>0</v>
      </c>
      <c r="F148" s="136">
        <v>379</v>
      </c>
      <c r="G148" s="136">
        <v>50</v>
      </c>
      <c r="H148" s="146">
        <v>2545</v>
      </c>
    </row>
    <row r="149" spans="1:8" x14ac:dyDescent="0.25">
      <c r="A149" s="136" t="s">
        <v>210</v>
      </c>
      <c r="B149" s="136"/>
      <c r="C149" s="136">
        <v>6</v>
      </c>
      <c r="D149" s="146">
        <v>1465</v>
      </c>
      <c r="E149" s="168">
        <v>0</v>
      </c>
      <c r="F149" s="136">
        <v>276</v>
      </c>
      <c r="G149" s="136">
        <v>26</v>
      </c>
      <c r="H149" s="146">
        <v>1773</v>
      </c>
    </row>
    <row r="150" spans="1:8" x14ac:dyDescent="0.25">
      <c r="A150" s="136" t="s">
        <v>211</v>
      </c>
      <c r="B150" s="136"/>
      <c r="C150" s="136">
        <v>2</v>
      </c>
      <c r="D150" s="146">
        <v>3576</v>
      </c>
      <c r="E150" s="136">
        <v>1</v>
      </c>
      <c r="F150" s="136">
        <v>601</v>
      </c>
      <c r="G150" s="136">
        <v>69</v>
      </c>
      <c r="H150" s="146">
        <v>4249</v>
      </c>
    </row>
    <row r="151" spans="1:8" x14ac:dyDescent="0.25">
      <c r="A151" s="136" t="s">
        <v>493</v>
      </c>
      <c r="B151" s="136"/>
      <c r="C151" s="136">
        <v>7</v>
      </c>
      <c r="D151" s="146">
        <v>3428</v>
      </c>
      <c r="E151" s="136">
        <v>3</v>
      </c>
      <c r="F151" s="136">
        <v>661</v>
      </c>
      <c r="G151" s="136">
        <v>66</v>
      </c>
      <c r="H151" s="146">
        <v>4165</v>
      </c>
    </row>
    <row r="152" spans="1:8" x14ac:dyDescent="0.25">
      <c r="A152" s="136" t="s">
        <v>212</v>
      </c>
      <c r="B152" s="136"/>
      <c r="C152" s="136">
        <v>11</v>
      </c>
      <c r="D152" s="146">
        <v>4835</v>
      </c>
      <c r="E152" s="136">
        <v>1</v>
      </c>
      <c r="F152" s="136">
        <v>871</v>
      </c>
      <c r="G152" s="136">
        <v>88</v>
      </c>
      <c r="H152" s="146">
        <v>5806</v>
      </c>
    </row>
    <row r="153" spans="1:8" ht="30" x14ac:dyDescent="0.25">
      <c r="A153" s="136" t="s">
        <v>213</v>
      </c>
      <c r="B153" s="136"/>
      <c r="C153" s="136">
        <v>1</v>
      </c>
      <c r="D153" s="136">
        <v>771</v>
      </c>
      <c r="E153" s="167">
        <v>0</v>
      </c>
      <c r="F153" s="136">
        <v>142</v>
      </c>
      <c r="G153" s="136">
        <v>13</v>
      </c>
      <c r="H153" s="136">
        <v>927</v>
      </c>
    </row>
    <row r="154" spans="1:8" ht="30" x14ac:dyDescent="0.25">
      <c r="A154" s="136" t="s">
        <v>214</v>
      </c>
      <c r="B154" s="136"/>
      <c r="C154" s="136">
        <v>8</v>
      </c>
      <c r="D154" s="146">
        <v>4613</v>
      </c>
      <c r="E154" s="136">
        <v>1</v>
      </c>
      <c r="F154" s="136">
        <v>817</v>
      </c>
      <c r="G154" s="136">
        <v>117</v>
      </c>
      <c r="H154" s="146">
        <v>5556</v>
      </c>
    </row>
    <row r="155" spans="1:8" x14ac:dyDescent="0.25">
      <c r="A155" s="136" t="s">
        <v>215</v>
      </c>
      <c r="B155" s="136"/>
      <c r="C155" s="136">
        <v>4</v>
      </c>
      <c r="D155" s="146">
        <v>1243</v>
      </c>
      <c r="E155" s="167">
        <v>0</v>
      </c>
      <c r="F155" s="136">
        <v>258</v>
      </c>
      <c r="G155" s="136">
        <v>33</v>
      </c>
      <c r="H155" s="146">
        <v>1538</v>
      </c>
    </row>
    <row r="156" spans="1:8" x14ac:dyDescent="0.25">
      <c r="A156" s="136" t="s">
        <v>216</v>
      </c>
      <c r="B156" s="136"/>
      <c r="C156" s="136">
        <v>5</v>
      </c>
      <c r="D156" s="146">
        <v>1604</v>
      </c>
      <c r="E156" s="167">
        <v>0</v>
      </c>
      <c r="F156" s="136">
        <v>297</v>
      </c>
      <c r="G156" s="136">
        <v>41</v>
      </c>
      <c r="H156" s="146">
        <v>1947</v>
      </c>
    </row>
    <row r="157" spans="1:8" x14ac:dyDescent="0.25">
      <c r="A157" s="136" t="s">
        <v>217</v>
      </c>
      <c r="B157" s="136"/>
      <c r="C157" s="136">
        <v>12</v>
      </c>
      <c r="D157" s="146">
        <v>5219</v>
      </c>
      <c r="E157" s="136">
        <v>2</v>
      </c>
      <c r="F157" s="146">
        <v>1268</v>
      </c>
      <c r="G157" s="136">
        <v>141</v>
      </c>
      <c r="H157" s="146">
        <v>6642</v>
      </c>
    </row>
    <row r="158" spans="1:8" x14ac:dyDescent="0.25">
      <c r="A158" s="136" t="s">
        <v>218</v>
      </c>
      <c r="B158" s="136"/>
      <c r="C158" s="136">
        <v>10</v>
      </c>
      <c r="D158" s="146">
        <v>2637</v>
      </c>
      <c r="E158" s="136">
        <v>1</v>
      </c>
      <c r="F158" s="136">
        <v>471</v>
      </c>
      <c r="G158" s="136">
        <v>44</v>
      </c>
      <c r="H158" s="146">
        <v>3163</v>
      </c>
    </row>
    <row r="159" spans="1:8" ht="30" x14ac:dyDescent="0.25">
      <c r="A159" s="136" t="s">
        <v>219</v>
      </c>
      <c r="B159" s="136"/>
      <c r="C159" s="136">
        <v>3</v>
      </c>
      <c r="D159" s="146">
        <v>1624</v>
      </c>
      <c r="E159" s="136">
        <v>1</v>
      </c>
      <c r="F159" s="136">
        <v>260</v>
      </c>
      <c r="G159" s="136">
        <v>42</v>
      </c>
      <c r="H159" s="146">
        <v>1930</v>
      </c>
    </row>
    <row r="160" spans="1:8" x14ac:dyDescent="0.25">
      <c r="A160" s="136" t="s">
        <v>220</v>
      </c>
      <c r="B160" s="136"/>
      <c r="C160" s="136">
        <v>21</v>
      </c>
      <c r="D160" s="146">
        <v>4253</v>
      </c>
      <c r="E160" s="167">
        <v>0</v>
      </c>
      <c r="F160" s="136">
        <v>961</v>
      </c>
      <c r="G160" s="136">
        <v>102</v>
      </c>
      <c r="H160" s="146">
        <v>5337</v>
      </c>
    </row>
    <row r="161" spans="1:8" x14ac:dyDescent="0.25">
      <c r="A161" s="136" t="s">
        <v>221</v>
      </c>
      <c r="B161" s="136"/>
      <c r="C161" s="136">
        <v>11</v>
      </c>
      <c r="D161" s="146">
        <v>3154</v>
      </c>
      <c r="E161" s="167">
        <v>0</v>
      </c>
      <c r="F161" s="136">
        <v>585</v>
      </c>
      <c r="G161" s="136">
        <v>61</v>
      </c>
      <c r="H161" s="146">
        <v>3811</v>
      </c>
    </row>
    <row r="162" spans="1:8" x14ac:dyDescent="0.25">
      <c r="A162" s="136" t="s">
        <v>222</v>
      </c>
      <c r="B162" s="136"/>
      <c r="C162" s="136">
        <v>4</v>
      </c>
      <c r="D162" s="146">
        <v>1444</v>
      </c>
      <c r="E162" s="136">
        <v>1</v>
      </c>
      <c r="F162" s="136">
        <v>294</v>
      </c>
      <c r="G162" s="136">
        <v>41</v>
      </c>
      <c r="H162" s="146">
        <v>1784</v>
      </c>
    </row>
    <row r="163" spans="1:8" x14ac:dyDescent="0.25">
      <c r="A163" s="136" t="s">
        <v>223</v>
      </c>
      <c r="B163" s="136"/>
      <c r="C163" s="136">
        <v>3</v>
      </c>
      <c r="D163" s="146">
        <v>2042</v>
      </c>
      <c r="E163" s="136">
        <v>3</v>
      </c>
      <c r="F163" s="136">
        <v>443</v>
      </c>
      <c r="G163" s="136">
        <v>43</v>
      </c>
      <c r="H163" s="146">
        <v>2534</v>
      </c>
    </row>
    <row r="164" spans="1:8" x14ac:dyDescent="0.25">
      <c r="A164" s="136" t="s">
        <v>224</v>
      </c>
      <c r="B164" s="136"/>
      <c r="C164" s="136">
        <v>8</v>
      </c>
      <c r="D164" s="146">
        <v>2364</v>
      </c>
      <c r="E164" s="167">
        <v>0</v>
      </c>
      <c r="F164" s="136">
        <v>538</v>
      </c>
      <c r="G164" s="136">
        <v>42</v>
      </c>
      <c r="H164" s="146">
        <v>2952</v>
      </c>
    </row>
    <row r="165" spans="1:8" ht="30" x14ac:dyDescent="0.25">
      <c r="A165" s="136" t="s">
        <v>225</v>
      </c>
      <c r="B165" s="136"/>
      <c r="C165" s="136">
        <v>5</v>
      </c>
      <c r="D165" s="146">
        <v>1463</v>
      </c>
      <c r="E165" s="167">
        <v>0</v>
      </c>
      <c r="F165" s="136">
        <v>234</v>
      </c>
      <c r="G165" s="136">
        <v>33</v>
      </c>
      <c r="H165" s="146">
        <v>1735</v>
      </c>
    </row>
    <row r="166" spans="1:8" x14ac:dyDescent="0.25">
      <c r="A166" s="136" t="s">
        <v>226</v>
      </c>
      <c r="B166" s="136"/>
      <c r="C166" s="136">
        <v>4</v>
      </c>
      <c r="D166" s="146">
        <v>2223</v>
      </c>
      <c r="E166" s="136">
        <v>1</v>
      </c>
      <c r="F166" s="136">
        <v>473</v>
      </c>
      <c r="G166" s="136">
        <v>43</v>
      </c>
      <c r="H166" s="146">
        <v>2744</v>
      </c>
    </row>
    <row r="167" spans="1:8" x14ac:dyDescent="0.25">
      <c r="A167" s="136" t="s">
        <v>227</v>
      </c>
      <c r="B167" s="136"/>
      <c r="C167" s="136">
        <v>6</v>
      </c>
      <c r="D167" s="146">
        <v>2894</v>
      </c>
      <c r="E167" s="136">
        <v>2</v>
      </c>
      <c r="F167" s="136">
        <v>414</v>
      </c>
      <c r="G167" s="136">
        <v>47</v>
      </c>
      <c r="H167" s="146">
        <v>3363</v>
      </c>
    </row>
    <row r="168" spans="1:8" ht="30" x14ac:dyDescent="0.25">
      <c r="A168" s="136" t="s">
        <v>228</v>
      </c>
      <c r="B168" s="136"/>
      <c r="C168" s="136">
        <v>8</v>
      </c>
      <c r="D168" s="146">
        <v>3969</v>
      </c>
      <c r="E168" s="136">
        <v>3</v>
      </c>
      <c r="F168" s="136">
        <v>747</v>
      </c>
      <c r="G168" s="136">
        <v>66</v>
      </c>
      <c r="H168" s="146">
        <v>4793</v>
      </c>
    </row>
    <row r="169" spans="1:8" x14ac:dyDescent="0.25">
      <c r="A169" s="136" t="s">
        <v>229</v>
      </c>
      <c r="B169" s="136"/>
      <c r="C169" s="136">
        <v>9</v>
      </c>
      <c r="D169" s="146">
        <v>3233</v>
      </c>
      <c r="E169" s="136">
        <v>1</v>
      </c>
      <c r="F169" s="136">
        <v>612</v>
      </c>
      <c r="G169" s="136">
        <v>97</v>
      </c>
      <c r="H169" s="146">
        <v>3952</v>
      </c>
    </row>
    <row r="170" spans="1:8" x14ac:dyDescent="0.25">
      <c r="A170" s="136" t="s">
        <v>230</v>
      </c>
      <c r="B170" s="136"/>
      <c r="C170" s="136">
        <v>5</v>
      </c>
      <c r="D170" s="146">
        <v>1619</v>
      </c>
      <c r="E170" s="167">
        <v>0</v>
      </c>
      <c r="F170" s="136">
        <v>324</v>
      </c>
      <c r="G170" s="136">
        <v>30</v>
      </c>
      <c r="H170" s="146">
        <v>1978</v>
      </c>
    </row>
    <row r="171" spans="1:8" ht="30" x14ac:dyDescent="0.25">
      <c r="A171" s="136" t="s">
        <v>231</v>
      </c>
      <c r="B171" s="136"/>
      <c r="C171" s="136">
        <v>2</v>
      </c>
      <c r="D171" s="136">
        <v>909</v>
      </c>
      <c r="E171" s="136">
        <v>1</v>
      </c>
      <c r="F171" s="136">
        <v>193</v>
      </c>
      <c r="G171" s="136">
        <v>17</v>
      </c>
      <c r="H171" s="146">
        <v>1122</v>
      </c>
    </row>
    <row r="172" spans="1:8" ht="30" x14ac:dyDescent="0.25">
      <c r="A172" s="136" t="s">
        <v>232</v>
      </c>
      <c r="B172" s="136"/>
      <c r="C172" s="136">
        <v>8</v>
      </c>
      <c r="D172" s="146">
        <v>2491</v>
      </c>
      <c r="E172" s="136">
        <v>1</v>
      </c>
      <c r="F172" s="136">
        <v>455</v>
      </c>
      <c r="G172" s="136">
        <v>63</v>
      </c>
      <c r="H172" s="146">
        <v>3018</v>
      </c>
    </row>
    <row r="173" spans="1:8" x14ac:dyDescent="0.25">
      <c r="A173" s="136" t="s">
        <v>233</v>
      </c>
      <c r="B173" s="136"/>
      <c r="C173" s="136">
        <v>117</v>
      </c>
      <c r="D173" s="146">
        <v>38092</v>
      </c>
      <c r="E173" s="136">
        <v>35</v>
      </c>
      <c r="F173" s="146">
        <v>8952</v>
      </c>
      <c r="G173" s="136">
        <v>957</v>
      </c>
      <c r="H173" s="146">
        <v>48153</v>
      </c>
    </row>
    <row r="174" spans="1:8" x14ac:dyDescent="0.25">
      <c r="A174" s="136" t="s">
        <v>234</v>
      </c>
      <c r="B174" s="136"/>
      <c r="C174" s="136">
        <v>21</v>
      </c>
      <c r="D174" s="146">
        <v>10380</v>
      </c>
      <c r="E174" s="136">
        <v>9</v>
      </c>
      <c r="F174" s="146">
        <v>2209</v>
      </c>
      <c r="G174" s="136">
        <v>211</v>
      </c>
      <c r="H174" s="146">
        <v>12830</v>
      </c>
    </row>
    <row r="175" spans="1:8" x14ac:dyDescent="0.25">
      <c r="A175" s="136" t="s">
        <v>235</v>
      </c>
      <c r="B175" s="136"/>
      <c r="C175" s="136">
        <v>8</v>
      </c>
      <c r="D175" s="146">
        <v>3845</v>
      </c>
      <c r="E175" s="136">
        <v>2</v>
      </c>
      <c r="F175" s="136">
        <v>841</v>
      </c>
      <c r="G175" s="136">
        <v>90</v>
      </c>
      <c r="H175" s="146">
        <v>4786</v>
      </c>
    </row>
    <row r="176" spans="1:8" ht="30" x14ac:dyDescent="0.25">
      <c r="A176" s="136" t="s">
        <v>236</v>
      </c>
      <c r="B176" s="136"/>
      <c r="C176" s="136">
        <v>30</v>
      </c>
      <c r="D176" s="146">
        <v>12944</v>
      </c>
      <c r="E176" s="136">
        <v>1</v>
      </c>
      <c r="F176" s="146">
        <v>2516</v>
      </c>
      <c r="G176" s="136">
        <v>277</v>
      </c>
      <c r="H176" s="146">
        <v>15768</v>
      </c>
    </row>
    <row r="177" spans="1:8" ht="30" x14ac:dyDescent="0.25">
      <c r="A177" s="136" t="s">
        <v>237</v>
      </c>
      <c r="B177" s="136"/>
      <c r="C177" s="136">
        <v>21</v>
      </c>
      <c r="D177" s="146">
        <v>9778</v>
      </c>
      <c r="E177" s="136">
        <v>2</v>
      </c>
      <c r="F177" s="146">
        <v>1826</v>
      </c>
      <c r="G177" s="136">
        <v>230</v>
      </c>
      <c r="H177" s="146">
        <v>11857</v>
      </c>
    </row>
    <row r="178" spans="1:8" ht="30" x14ac:dyDescent="0.25">
      <c r="A178" s="136" t="s">
        <v>238</v>
      </c>
      <c r="B178" s="136"/>
      <c r="C178" s="136">
        <v>11</v>
      </c>
      <c r="D178" s="146">
        <v>7565</v>
      </c>
      <c r="E178" s="136">
        <v>5</v>
      </c>
      <c r="F178" s="146">
        <v>1496</v>
      </c>
      <c r="G178" s="136">
        <v>160</v>
      </c>
      <c r="H178" s="146">
        <v>9237</v>
      </c>
    </row>
    <row r="179" spans="1:8" x14ac:dyDescent="0.25">
      <c r="A179" s="136"/>
      <c r="H179" s="143"/>
    </row>
    <row r="180" spans="1:8" x14ac:dyDescent="0.25">
      <c r="A180" s="136" t="s">
        <v>25</v>
      </c>
      <c r="B180" s="136"/>
      <c r="C180" s="137">
        <f>SUM(C146:C179)</f>
        <v>404</v>
      </c>
      <c r="D180" s="137">
        <f t="shared" ref="D180:H180" si="3">SUM(D146:D179)</f>
        <v>157393</v>
      </c>
      <c r="E180" s="137">
        <f t="shared" si="3"/>
        <v>81</v>
      </c>
      <c r="F180" s="137">
        <f t="shared" si="3"/>
        <v>32570</v>
      </c>
      <c r="G180" s="137">
        <f t="shared" si="3"/>
        <v>3569</v>
      </c>
      <c r="H180" s="137">
        <f t="shared" si="3"/>
        <v>194017</v>
      </c>
    </row>
    <row r="181" spans="1:8" x14ac:dyDescent="0.25">
      <c r="A181" s="136"/>
      <c r="B181" s="136"/>
      <c r="C181" s="136"/>
      <c r="D181" s="136"/>
      <c r="E181" s="147"/>
      <c r="F181" s="147"/>
      <c r="G181" s="147"/>
      <c r="H181" s="144"/>
    </row>
    <row r="185" spans="1:8" ht="45" x14ac:dyDescent="0.25">
      <c r="A185" s="136" t="s">
        <v>501</v>
      </c>
      <c r="B185" s="136" t="s">
        <v>502</v>
      </c>
      <c r="C185" s="136">
        <v>7</v>
      </c>
      <c r="D185" s="154"/>
      <c r="E185" s="154"/>
      <c r="F185" s="155"/>
    </row>
    <row r="186" spans="1:8" x14ac:dyDescent="0.25">
      <c r="A186" s="136"/>
      <c r="B186" s="136"/>
      <c r="C186" s="136"/>
      <c r="D186" s="136"/>
      <c r="F186" s="143"/>
    </row>
    <row r="187" spans="1:8" ht="30" x14ac:dyDescent="0.25">
      <c r="A187" s="136"/>
      <c r="B187" s="136"/>
      <c r="C187" s="136" t="s">
        <v>500</v>
      </c>
      <c r="D187" s="136"/>
      <c r="F187" s="143"/>
    </row>
    <row r="188" spans="1:8" x14ac:dyDescent="0.25">
      <c r="A188" s="136" t="s">
        <v>126</v>
      </c>
      <c r="B188" s="136" t="s">
        <v>479</v>
      </c>
      <c r="C188" s="136" t="s">
        <v>480</v>
      </c>
      <c r="D188" s="136" t="s">
        <v>481</v>
      </c>
      <c r="E188" s="136" t="s">
        <v>482</v>
      </c>
      <c r="F188" s="136" t="s">
        <v>483</v>
      </c>
      <c r="G188" s="136" t="s">
        <v>25</v>
      </c>
    </row>
    <row r="189" spans="1:8" x14ac:dyDescent="0.25">
      <c r="A189" s="136"/>
      <c r="B189" s="136"/>
      <c r="C189" s="136"/>
      <c r="D189" s="136"/>
      <c r="E189" s="158"/>
      <c r="G189" s="143"/>
    </row>
    <row r="190" spans="1:8" ht="30" x14ac:dyDescent="0.25">
      <c r="A190" s="136" t="s">
        <v>239</v>
      </c>
      <c r="B190" s="136">
        <v>27</v>
      </c>
      <c r="C190" s="146">
        <v>9982</v>
      </c>
      <c r="D190" s="136">
        <v>12</v>
      </c>
      <c r="E190" s="146">
        <v>1856</v>
      </c>
      <c r="F190" s="136">
        <v>174</v>
      </c>
      <c r="G190" s="146">
        <v>12051</v>
      </c>
    </row>
    <row r="191" spans="1:8" x14ac:dyDescent="0.25">
      <c r="A191" s="136" t="s">
        <v>240</v>
      </c>
      <c r="B191" s="136">
        <v>5</v>
      </c>
      <c r="C191" s="146">
        <v>1892</v>
      </c>
      <c r="D191">
        <v>0</v>
      </c>
      <c r="E191" s="136">
        <v>397</v>
      </c>
      <c r="F191" s="136">
        <v>50</v>
      </c>
      <c r="G191" s="146">
        <v>2344</v>
      </c>
    </row>
    <row r="192" spans="1:8" x14ac:dyDescent="0.25">
      <c r="A192" s="136" t="s">
        <v>241</v>
      </c>
      <c r="B192" s="136">
        <v>8</v>
      </c>
      <c r="C192" s="146">
        <v>3773</v>
      </c>
      <c r="D192" s="136">
        <v>1</v>
      </c>
      <c r="E192" s="136">
        <v>786</v>
      </c>
      <c r="F192" s="136">
        <v>83</v>
      </c>
      <c r="G192" s="146">
        <v>4651</v>
      </c>
    </row>
    <row r="193" spans="1:7" ht="30" x14ac:dyDescent="0.25">
      <c r="A193" s="136" t="s">
        <v>242</v>
      </c>
      <c r="B193" s="136">
        <v>33</v>
      </c>
      <c r="C193" s="146">
        <v>8007</v>
      </c>
      <c r="D193" s="136">
        <v>3</v>
      </c>
      <c r="E193" s="146">
        <v>1747</v>
      </c>
      <c r="F193" s="136">
        <v>172</v>
      </c>
      <c r="G193" s="146">
        <v>9962</v>
      </c>
    </row>
    <row r="194" spans="1:7" x14ac:dyDescent="0.25">
      <c r="A194" s="136" t="s">
        <v>243</v>
      </c>
      <c r="B194" s="136">
        <v>8</v>
      </c>
      <c r="C194" s="146">
        <v>2551</v>
      </c>
      <c r="D194" s="167">
        <v>0</v>
      </c>
      <c r="E194" s="136">
        <v>610</v>
      </c>
      <c r="F194" s="136">
        <v>32</v>
      </c>
      <c r="G194" s="146">
        <v>3201</v>
      </c>
    </row>
    <row r="195" spans="1:7" x14ac:dyDescent="0.25">
      <c r="A195" s="136" t="s">
        <v>244</v>
      </c>
      <c r="B195" s="136">
        <v>47</v>
      </c>
      <c r="C195" s="146">
        <v>25031</v>
      </c>
      <c r="D195" s="136">
        <v>16</v>
      </c>
      <c r="E195" s="146">
        <v>3837</v>
      </c>
      <c r="F195" s="136">
        <v>537</v>
      </c>
      <c r="G195" s="146">
        <v>29468</v>
      </c>
    </row>
    <row r="196" spans="1:7" ht="30" x14ac:dyDescent="0.25">
      <c r="A196" s="136" t="s">
        <v>245</v>
      </c>
      <c r="B196" s="136">
        <v>2</v>
      </c>
      <c r="C196" s="136">
        <v>706</v>
      </c>
      <c r="D196" s="167">
        <v>0</v>
      </c>
      <c r="E196" s="136">
        <v>180</v>
      </c>
      <c r="F196" s="136">
        <v>11</v>
      </c>
      <c r="G196" s="136">
        <v>899</v>
      </c>
    </row>
    <row r="197" spans="1:7" x14ac:dyDescent="0.25">
      <c r="A197" s="136" t="s">
        <v>494</v>
      </c>
      <c r="B197" s="136">
        <v>5</v>
      </c>
      <c r="C197" s="146">
        <v>2353</v>
      </c>
      <c r="D197" s="167">
        <v>0</v>
      </c>
      <c r="E197" s="136">
        <v>435</v>
      </c>
      <c r="F197" s="136">
        <v>28</v>
      </c>
      <c r="G197" s="146">
        <v>2821</v>
      </c>
    </row>
    <row r="198" spans="1:7" x14ac:dyDescent="0.25">
      <c r="A198" s="136" t="s">
        <v>246</v>
      </c>
      <c r="B198" s="136">
        <v>3</v>
      </c>
      <c r="C198" s="146">
        <v>1378</v>
      </c>
      <c r="D198" s="136">
        <v>1</v>
      </c>
      <c r="E198" s="136">
        <v>199</v>
      </c>
      <c r="F198" s="136">
        <v>26</v>
      </c>
      <c r="G198" s="146">
        <v>1607</v>
      </c>
    </row>
    <row r="199" spans="1:7" x14ac:dyDescent="0.25">
      <c r="A199" s="136" t="s">
        <v>247</v>
      </c>
      <c r="B199" s="136">
        <v>46</v>
      </c>
      <c r="C199" s="146">
        <v>17260</v>
      </c>
      <c r="D199" s="136">
        <v>10</v>
      </c>
      <c r="E199" s="146">
        <v>3215</v>
      </c>
      <c r="F199" s="136">
        <v>325</v>
      </c>
      <c r="G199" s="146">
        <v>20856</v>
      </c>
    </row>
    <row r="200" spans="1:7" x14ac:dyDescent="0.25">
      <c r="A200" s="136" t="s">
        <v>248</v>
      </c>
      <c r="B200" s="136">
        <v>9</v>
      </c>
      <c r="C200" s="146">
        <v>5818</v>
      </c>
      <c r="D200" s="167">
        <v>0</v>
      </c>
      <c r="E200" s="146">
        <v>1235</v>
      </c>
      <c r="F200" s="136">
        <v>146</v>
      </c>
      <c r="G200" s="146">
        <v>7208</v>
      </c>
    </row>
    <row r="201" spans="1:7" x14ac:dyDescent="0.25">
      <c r="A201" s="136" t="s">
        <v>249</v>
      </c>
      <c r="B201" s="136">
        <v>6</v>
      </c>
      <c r="C201" s="146">
        <v>5115</v>
      </c>
      <c r="D201" s="136">
        <v>2</v>
      </c>
      <c r="E201" s="146">
        <v>1016</v>
      </c>
      <c r="F201" s="136">
        <v>159</v>
      </c>
      <c r="G201" s="146">
        <v>6298</v>
      </c>
    </row>
    <row r="202" spans="1:7" x14ac:dyDescent="0.25">
      <c r="A202" s="136" t="s">
        <v>250</v>
      </c>
      <c r="B202" s="136">
        <v>18</v>
      </c>
      <c r="C202" s="146">
        <v>7962</v>
      </c>
      <c r="D202" s="136">
        <v>7</v>
      </c>
      <c r="E202" s="146">
        <v>1147</v>
      </c>
      <c r="F202" s="136">
        <v>157</v>
      </c>
      <c r="G202" s="146">
        <v>9291</v>
      </c>
    </row>
    <row r="203" spans="1:7" x14ac:dyDescent="0.25">
      <c r="A203" s="136" t="s">
        <v>251</v>
      </c>
      <c r="B203" s="136">
        <v>29</v>
      </c>
      <c r="C203" s="146">
        <v>8694</v>
      </c>
      <c r="D203" s="136">
        <v>8</v>
      </c>
      <c r="E203" s="146">
        <v>1726</v>
      </c>
      <c r="F203" s="136">
        <v>175</v>
      </c>
      <c r="G203" s="146">
        <v>10632</v>
      </c>
    </row>
    <row r="204" spans="1:7" x14ac:dyDescent="0.25">
      <c r="A204" s="136" t="s">
        <v>252</v>
      </c>
      <c r="B204" s="136">
        <v>0</v>
      </c>
      <c r="C204" s="146">
        <v>1678</v>
      </c>
      <c r="D204" s="167">
        <v>0</v>
      </c>
      <c r="E204" s="136">
        <v>292</v>
      </c>
      <c r="F204" s="136">
        <v>38</v>
      </c>
      <c r="G204" s="146">
        <v>2008</v>
      </c>
    </row>
    <row r="205" spans="1:7" x14ac:dyDescent="0.25">
      <c r="A205" s="136" t="s">
        <v>253</v>
      </c>
      <c r="B205" s="136">
        <v>7</v>
      </c>
      <c r="C205" s="146">
        <v>1433</v>
      </c>
      <c r="D205" s="167">
        <v>0</v>
      </c>
      <c r="E205" s="136">
        <v>320</v>
      </c>
      <c r="F205" s="136">
        <v>35</v>
      </c>
      <c r="G205" s="146">
        <v>1795</v>
      </c>
    </row>
    <row r="206" spans="1:7" x14ac:dyDescent="0.25">
      <c r="A206" s="136" t="s">
        <v>254</v>
      </c>
      <c r="B206" s="136">
        <v>4</v>
      </c>
      <c r="C206" s="146">
        <v>1631</v>
      </c>
      <c r="D206" s="167">
        <v>0</v>
      </c>
      <c r="E206" s="136">
        <v>224</v>
      </c>
      <c r="F206" s="136">
        <v>34</v>
      </c>
      <c r="G206" s="146">
        <v>1893</v>
      </c>
    </row>
    <row r="207" spans="1:7" x14ac:dyDescent="0.25">
      <c r="A207" s="136" t="s">
        <v>255</v>
      </c>
      <c r="B207" s="136">
        <v>2</v>
      </c>
      <c r="C207" s="146">
        <v>1880</v>
      </c>
      <c r="D207" s="167">
        <v>0</v>
      </c>
      <c r="E207" s="136">
        <v>248</v>
      </c>
      <c r="F207" s="136">
        <v>31</v>
      </c>
      <c r="G207" s="146">
        <v>2161</v>
      </c>
    </row>
    <row r="208" spans="1:7" x14ac:dyDescent="0.25">
      <c r="A208" s="136" t="s">
        <v>256</v>
      </c>
      <c r="B208" s="136">
        <v>7</v>
      </c>
      <c r="C208" s="146">
        <v>4002</v>
      </c>
      <c r="D208" s="136">
        <v>2</v>
      </c>
      <c r="E208" s="136">
        <v>872</v>
      </c>
      <c r="F208" s="136">
        <v>73</v>
      </c>
      <c r="G208" s="146">
        <v>4956</v>
      </c>
    </row>
    <row r="209" spans="1:7" x14ac:dyDescent="0.25">
      <c r="A209" s="136" t="s">
        <v>257</v>
      </c>
      <c r="B209" s="136">
        <v>2</v>
      </c>
      <c r="C209" s="146">
        <v>2570</v>
      </c>
      <c r="D209" s="167">
        <v>0</v>
      </c>
      <c r="E209" s="136">
        <v>522</v>
      </c>
      <c r="F209" s="136">
        <v>55</v>
      </c>
      <c r="G209" s="146">
        <v>3149</v>
      </c>
    </row>
    <row r="210" spans="1:7" x14ac:dyDescent="0.25">
      <c r="A210" s="136" t="s">
        <v>258</v>
      </c>
      <c r="B210" s="136">
        <v>2</v>
      </c>
      <c r="C210" s="146">
        <v>2439</v>
      </c>
      <c r="D210" s="167">
        <v>0</v>
      </c>
      <c r="E210" s="136">
        <v>350</v>
      </c>
      <c r="F210" s="136">
        <v>56</v>
      </c>
      <c r="G210" s="146">
        <v>2847</v>
      </c>
    </row>
    <row r="211" spans="1:7" ht="30" x14ac:dyDescent="0.25">
      <c r="A211" s="136" t="s">
        <v>259</v>
      </c>
      <c r="B211" s="136">
        <v>8</v>
      </c>
      <c r="C211" s="146">
        <v>3367</v>
      </c>
      <c r="D211" s="136">
        <v>3</v>
      </c>
      <c r="E211" s="136">
        <v>458</v>
      </c>
      <c r="F211" s="136">
        <v>71</v>
      </c>
      <c r="G211" s="146">
        <v>3907</v>
      </c>
    </row>
    <row r="212" spans="1:7" ht="30" x14ac:dyDescent="0.25">
      <c r="A212" s="136" t="s">
        <v>260</v>
      </c>
      <c r="B212" s="136">
        <v>19</v>
      </c>
      <c r="C212" s="146">
        <v>7507</v>
      </c>
      <c r="D212" s="136">
        <v>2</v>
      </c>
      <c r="E212" s="146">
        <v>1281</v>
      </c>
      <c r="F212" s="136">
        <v>139</v>
      </c>
      <c r="G212" s="146">
        <v>8948</v>
      </c>
    </row>
    <row r="213" spans="1:7" x14ac:dyDescent="0.25">
      <c r="A213" s="136" t="s">
        <v>261</v>
      </c>
      <c r="B213" s="136">
        <v>32</v>
      </c>
      <c r="C213" s="146">
        <v>8613</v>
      </c>
      <c r="D213" s="136">
        <v>2</v>
      </c>
      <c r="E213" s="146">
        <v>1325</v>
      </c>
      <c r="F213" s="136">
        <v>147</v>
      </c>
      <c r="G213" s="146">
        <v>10119</v>
      </c>
    </row>
    <row r="214" spans="1:7" ht="30" x14ac:dyDescent="0.25">
      <c r="A214" s="136" t="s">
        <v>262</v>
      </c>
      <c r="B214" s="136">
        <v>2</v>
      </c>
      <c r="C214" s="146">
        <v>1608</v>
      </c>
      <c r="E214" s="136">
        <v>390</v>
      </c>
      <c r="F214" s="136">
        <v>30</v>
      </c>
      <c r="G214" s="146">
        <v>2030</v>
      </c>
    </row>
    <row r="215" spans="1:7" x14ac:dyDescent="0.25">
      <c r="A215" s="136" t="s">
        <v>263</v>
      </c>
      <c r="B215" s="136">
        <v>105</v>
      </c>
      <c r="C215" s="146">
        <v>39306</v>
      </c>
      <c r="D215" s="136">
        <v>26</v>
      </c>
      <c r="E215" s="146">
        <v>7612</v>
      </c>
      <c r="F215" s="136">
        <v>865</v>
      </c>
      <c r="G215" s="146">
        <v>47914</v>
      </c>
    </row>
    <row r="216" spans="1:7" x14ac:dyDescent="0.25">
      <c r="A216" s="136" t="s">
        <v>264</v>
      </c>
      <c r="B216" s="136">
        <v>14</v>
      </c>
      <c r="C216" s="146">
        <v>5362</v>
      </c>
      <c r="D216" s="136">
        <v>3</v>
      </c>
      <c r="E216" s="136">
        <v>834</v>
      </c>
      <c r="F216" s="136">
        <v>136</v>
      </c>
      <c r="G216" s="146">
        <v>6349</v>
      </c>
    </row>
    <row r="217" spans="1:7" ht="30" x14ac:dyDescent="0.25">
      <c r="A217" s="136" t="s">
        <v>265</v>
      </c>
      <c r="B217" s="136">
        <v>1</v>
      </c>
      <c r="C217" s="136">
        <v>864</v>
      </c>
      <c r="D217" s="136">
        <v>1</v>
      </c>
      <c r="E217" s="136">
        <v>135</v>
      </c>
      <c r="F217" s="136">
        <v>24</v>
      </c>
      <c r="G217" s="146">
        <v>1025</v>
      </c>
    </row>
    <row r="218" spans="1:7" ht="30" x14ac:dyDescent="0.25">
      <c r="A218" s="136" t="s">
        <v>266</v>
      </c>
      <c r="B218" s="136">
        <v>8</v>
      </c>
      <c r="C218" s="146">
        <v>3230</v>
      </c>
      <c r="D218" s="136">
        <v>1</v>
      </c>
      <c r="E218" s="136">
        <v>631</v>
      </c>
      <c r="F218" s="136">
        <v>64</v>
      </c>
      <c r="G218" s="146">
        <v>3934</v>
      </c>
    </row>
    <row r="219" spans="1:7" ht="30" x14ac:dyDescent="0.25">
      <c r="A219" s="136" t="s">
        <v>267</v>
      </c>
      <c r="B219" s="136">
        <v>5</v>
      </c>
      <c r="C219" s="146">
        <v>3240</v>
      </c>
      <c r="D219" s="136">
        <v>1</v>
      </c>
      <c r="E219" s="136">
        <v>558</v>
      </c>
      <c r="F219" s="136">
        <v>77</v>
      </c>
      <c r="G219" s="146">
        <v>3881</v>
      </c>
    </row>
    <row r="220" spans="1:7" x14ac:dyDescent="0.25">
      <c r="A220" s="136" t="s">
        <v>25</v>
      </c>
      <c r="B220" s="137">
        <f>SUM(B190:B219)</f>
        <v>464</v>
      </c>
      <c r="C220" s="137">
        <f t="shared" ref="C220:G220" si="4">SUM(C190:C219)</f>
        <v>189252</v>
      </c>
      <c r="D220" s="137">
        <f t="shared" si="4"/>
        <v>101</v>
      </c>
      <c r="E220" s="137">
        <f t="shared" si="4"/>
        <v>34438</v>
      </c>
      <c r="F220" s="137">
        <f t="shared" si="4"/>
        <v>3950</v>
      </c>
      <c r="G220" s="137">
        <f t="shared" si="4"/>
        <v>228205</v>
      </c>
    </row>
    <row r="221" spans="1:7" x14ac:dyDescent="0.25">
      <c r="A221" s="136"/>
      <c r="B221" s="136"/>
      <c r="C221" s="136"/>
      <c r="D221" s="136"/>
      <c r="E221" s="170"/>
      <c r="F221" s="147"/>
      <c r="G221" s="144"/>
    </row>
    <row r="225" spans="1:8" ht="45" x14ac:dyDescent="0.25">
      <c r="A225" s="136" t="s">
        <v>268</v>
      </c>
      <c r="B225" s="154"/>
      <c r="C225" s="154"/>
      <c r="D225" s="154"/>
      <c r="E225" s="155"/>
    </row>
    <row r="226" spans="1:8" x14ac:dyDescent="0.25">
      <c r="A226" s="136"/>
      <c r="B226" s="136"/>
      <c r="C226" s="136"/>
      <c r="E226" s="143"/>
    </row>
    <row r="227" spans="1:8" x14ac:dyDescent="0.25">
      <c r="A227" s="136"/>
      <c r="B227" s="136"/>
      <c r="C227" s="136"/>
      <c r="D227" s="154"/>
      <c r="E227" s="154"/>
      <c r="F227" s="154"/>
      <c r="G227" s="155"/>
    </row>
    <row r="228" spans="1:8" ht="30" x14ac:dyDescent="0.25">
      <c r="A228" s="136"/>
      <c r="B228" s="136"/>
      <c r="C228" s="136" t="s">
        <v>500</v>
      </c>
      <c r="D228" s="136"/>
      <c r="G228" s="143"/>
    </row>
    <row r="229" spans="1:8" x14ac:dyDescent="0.25">
      <c r="A229" s="136" t="s">
        <v>126</v>
      </c>
      <c r="B229" s="136" t="s">
        <v>479</v>
      </c>
      <c r="C229" s="136" t="s">
        <v>480</v>
      </c>
      <c r="D229" s="136" t="s">
        <v>481</v>
      </c>
      <c r="E229" s="136" t="s">
        <v>482</v>
      </c>
      <c r="F229" s="136" t="s">
        <v>483</v>
      </c>
      <c r="G229" s="136" t="s">
        <v>25</v>
      </c>
      <c r="H229" s="143"/>
    </row>
    <row r="230" spans="1:8" x14ac:dyDescent="0.25">
      <c r="A230" s="136"/>
      <c r="B230" s="136"/>
      <c r="C230" s="136"/>
      <c r="H230" s="143"/>
    </row>
    <row r="231" spans="1:8" ht="30" x14ac:dyDescent="0.25">
      <c r="A231" s="136" t="s">
        <v>269</v>
      </c>
      <c r="B231" s="136">
        <v>4</v>
      </c>
      <c r="C231" s="136">
        <v>815</v>
      </c>
      <c r="D231" s="136">
        <v>0</v>
      </c>
      <c r="E231" s="136">
        <v>128</v>
      </c>
      <c r="F231" s="136">
        <v>23</v>
      </c>
      <c r="G231" s="136">
        <v>970</v>
      </c>
      <c r="H231" s="143"/>
    </row>
    <row r="232" spans="1:8" x14ac:dyDescent="0.25">
      <c r="A232" s="136" t="s">
        <v>270</v>
      </c>
      <c r="B232" s="136">
        <v>4</v>
      </c>
      <c r="C232" s="136">
        <v>863</v>
      </c>
      <c r="D232" s="136">
        <v>0</v>
      </c>
      <c r="E232" s="136">
        <v>151</v>
      </c>
      <c r="F232" s="136">
        <v>9</v>
      </c>
      <c r="G232" s="146">
        <v>1027</v>
      </c>
      <c r="H232" s="143"/>
    </row>
    <row r="233" spans="1:8" x14ac:dyDescent="0.25">
      <c r="A233" s="136" t="s">
        <v>271</v>
      </c>
      <c r="B233" s="136">
        <v>16</v>
      </c>
      <c r="C233" s="146">
        <v>5959</v>
      </c>
      <c r="D233" s="136">
        <v>3</v>
      </c>
      <c r="E233" s="146">
        <v>1709</v>
      </c>
      <c r="F233" s="136">
        <v>121</v>
      </c>
      <c r="G233" s="146">
        <v>7808</v>
      </c>
      <c r="H233" s="143"/>
    </row>
    <row r="234" spans="1:8" x14ac:dyDescent="0.25">
      <c r="A234" s="136" t="s">
        <v>272</v>
      </c>
      <c r="B234" s="136">
        <v>18</v>
      </c>
      <c r="C234" s="146">
        <v>5555</v>
      </c>
      <c r="D234" s="136">
        <v>3</v>
      </c>
      <c r="E234" s="146">
        <v>1081</v>
      </c>
      <c r="F234" s="136">
        <v>116</v>
      </c>
      <c r="G234" s="146">
        <v>6773</v>
      </c>
      <c r="H234" s="143"/>
    </row>
    <row r="235" spans="1:8" x14ac:dyDescent="0.25">
      <c r="A235" s="136" t="s">
        <v>495</v>
      </c>
      <c r="B235" s="136">
        <v>11</v>
      </c>
      <c r="C235" s="146">
        <v>6031</v>
      </c>
      <c r="D235" s="168">
        <v>0</v>
      </c>
      <c r="E235" s="146">
        <v>1432</v>
      </c>
      <c r="F235" s="136">
        <v>117</v>
      </c>
      <c r="G235" s="146">
        <v>7591</v>
      </c>
      <c r="H235" s="143"/>
    </row>
    <row r="236" spans="1:8" ht="30" x14ac:dyDescent="0.25">
      <c r="A236" s="136" t="s">
        <v>273</v>
      </c>
      <c r="B236" s="136">
        <v>44</v>
      </c>
      <c r="C236" s="146">
        <v>13344</v>
      </c>
      <c r="D236" s="136">
        <v>12</v>
      </c>
      <c r="E236" s="146">
        <v>2946</v>
      </c>
      <c r="F236" s="136">
        <v>274</v>
      </c>
      <c r="G236" s="146">
        <v>16620</v>
      </c>
      <c r="H236" s="143"/>
    </row>
    <row r="237" spans="1:8" ht="30" x14ac:dyDescent="0.25">
      <c r="A237" s="136" t="s">
        <v>274</v>
      </c>
      <c r="B237" s="136">
        <v>113</v>
      </c>
      <c r="C237" s="146">
        <v>35778</v>
      </c>
      <c r="D237" s="136">
        <v>37</v>
      </c>
      <c r="E237" s="146">
        <v>8576</v>
      </c>
      <c r="F237" s="136">
        <v>804</v>
      </c>
      <c r="G237" s="146">
        <v>45308</v>
      </c>
      <c r="H237" s="143"/>
    </row>
    <row r="238" spans="1:8" x14ac:dyDescent="0.25">
      <c r="A238" s="136" t="s">
        <v>275</v>
      </c>
      <c r="B238" s="136">
        <v>3</v>
      </c>
      <c r="C238" s="146">
        <v>1171</v>
      </c>
      <c r="D238" s="136">
        <v>1</v>
      </c>
      <c r="E238" s="136">
        <v>424</v>
      </c>
      <c r="F238" s="136">
        <v>50</v>
      </c>
      <c r="G238" s="146">
        <v>1649</v>
      </c>
      <c r="H238" s="143"/>
    </row>
    <row r="239" spans="1:8" x14ac:dyDescent="0.25">
      <c r="A239" s="136" t="s">
        <v>276</v>
      </c>
      <c r="B239" s="136">
        <v>45</v>
      </c>
      <c r="C239" s="146">
        <v>18189</v>
      </c>
      <c r="D239" s="136">
        <v>11</v>
      </c>
      <c r="E239" s="146">
        <v>4342</v>
      </c>
      <c r="F239" s="136">
        <v>373</v>
      </c>
      <c r="G239" s="146">
        <v>22960</v>
      </c>
      <c r="H239" s="143"/>
    </row>
    <row r="240" spans="1:8" ht="30" x14ac:dyDescent="0.25">
      <c r="A240" s="136" t="s">
        <v>277</v>
      </c>
      <c r="B240" s="136">
        <v>22</v>
      </c>
      <c r="C240" s="146">
        <v>5903</v>
      </c>
      <c r="D240" s="136">
        <v>2</v>
      </c>
      <c r="E240" s="146">
        <v>1890</v>
      </c>
      <c r="F240" s="136">
        <v>107</v>
      </c>
      <c r="G240" s="146">
        <v>7924</v>
      </c>
      <c r="H240" s="143"/>
    </row>
    <row r="241" spans="1:9" x14ac:dyDescent="0.25">
      <c r="A241" s="136" t="s">
        <v>278</v>
      </c>
      <c r="B241" s="136">
        <v>2</v>
      </c>
      <c r="C241" s="146">
        <v>2299</v>
      </c>
      <c r="D241" s="146">
        <v>0</v>
      </c>
      <c r="E241" s="136">
        <v>393</v>
      </c>
      <c r="F241" s="136">
        <v>45</v>
      </c>
      <c r="G241" s="146">
        <v>2739</v>
      </c>
      <c r="I241" s="143"/>
    </row>
    <row r="242" spans="1:9" x14ac:dyDescent="0.25">
      <c r="A242" s="136" t="s">
        <v>279</v>
      </c>
      <c r="B242" s="136">
        <v>44</v>
      </c>
      <c r="C242" s="146">
        <v>15216</v>
      </c>
      <c r="D242" s="136">
        <v>11</v>
      </c>
      <c r="E242" s="146">
        <v>3105</v>
      </c>
      <c r="F242" s="136">
        <v>292</v>
      </c>
      <c r="G242" s="146">
        <v>18668</v>
      </c>
      <c r="H242" s="143"/>
    </row>
    <row r="243" spans="1:9" x14ac:dyDescent="0.25">
      <c r="A243" s="136" t="s">
        <v>280</v>
      </c>
      <c r="B243" s="136">
        <v>10</v>
      </c>
      <c r="C243" s="146">
        <v>3863</v>
      </c>
      <c r="D243" s="136">
        <v>3</v>
      </c>
      <c r="E243" s="136">
        <v>829</v>
      </c>
      <c r="F243" s="136">
        <v>90</v>
      </c>
      <c r="G243" s="146">
        <v>4795</v>
      </c>
      <c r="H243" s="143"/>
    </row>
    <row r="244" spans="1:9" x14ac:dyDescent="0.25">
      <c r="A244" s="136" t="s">
        <v>281</v>
      </c>
      <c r="B244" s="136">
        <v>16</v>
      </c>
      <c r="C244" s="146">
        <v>5049</v>
      </c>
      <c r="D244" s="136">
        <v>1</v>
      </c>
      <c r="E244" s="146">
        <v>1158</v>
      </c>
      <c r="F244" s="136">
        <v>108</v>
      </c>
      <c r="G244" s="146">
        <v>6332</v>
      </c>
      <c r="H244" s="143"/>
    </row>
    <row r="245" spans="1:9" x14ac:dyDescent="0.25">
      <c r="A245" s="136" t="s">
        <v>282</v>
      </c>
      <c r="B245" s="136">
        <v>11</v>
      </c>
      <c r="C245" s="146">
        <v>4313</v>
      </c>
      <c r="D245" s="136">
        <v>1</v>
      </c>
      <c r="E245" s="145">
        <v>1292</v>
      </c>
      <c r="F245" s="136">
        <v>115</v>
      </c>
      <c r="G245" s="146">
        <v>5732</v>
      </c>
      <c r="H245" s="143"/>
    </row>
    <row r="246" spans="1:9" ht="30" x14ac:dyDescent="0.25">
      <c r="A246" s="136" t="s">
        <v>283</v>
      </c>
      <c r="B246" s="136">
        <v>10</v>
      </c>
      <c r="C246" s="146">
        <v>3287</v>
      </c>
      <c r="D246" s="136">
        <v>1</v>
      </c>
      <c r="E246">
        <v>768</v>
      </c>
      <c r="F246" s="136">
        <v>71</v>
      </c>
      <c r="G246" s="146">
        <v>4137</v>
      </c>
      <c r="H246" s="143"/>
    </row>
    <row r="247" spans="1:9" ht="30" x14ac:dyDescent="0.25">
      <c r="A247" s="136" t="s">
        <v>284</v>
      </c>
      <c r="B247" s="136">
        <v>78</v>
      </c>
      <c r="C247" s="146">
        <v>33883</v>
      </c>
      <c r="D247" s="136">
        <v>13</v>
      </c>
      <c r="E247" s="145">
        <v>6500</v>
      </c>
      <c r="F247" s="136">
        <v>708</v>
      </c>
      <c r="G247" s="146">
        <v>41182</v>
      </c>
      <c r="H247" s="143"/>
    </row>
    <row r="248" spans="1:9" x14ac:dyDescent="0.25">
      <c r="A248" s="136" t="s">
        <v>285</v>
      </c>
      <c r="B248" s="136">
        <v>22</v>
      </c>
      <c r="C248" s="146">
        <v>9398</v>
      </c>
      <c r="D248" s="136">
        <v>3</v>
      </c>
      <c r="E248" s="145">
        <v>2441</v>
      </c>
      <c r="F248" s="136">
        <v>172</v>
      </c>
      <c r="G248" s="146">
        <v>12036</v>
      </c>
      <c r="H248" s="143"/>
    </row>
    <row r="249" spans="1:9" x14ac:dyDescent="0.25">
      <c r="A249" s="136" t="s">
        <v>286</v>
      </c>
      <c r="B249" s="136">
        <v>20</v>
      </c>
      <c r="C249" s="146">
        <v>6090</v>
      </c>
      <c r="D249" s="136">
        <v>6</v>
      </c>
      <c r="E249" s="145">
        <v>1218</v>
      </c>
      <c r="F249" s="136">
        <v>125</v>
      </c>
      <c r="G249" s="146">
        <v>7459</v>
      </c>
      <c r="H249" s="143"/>
    </row>
    <row r="250" spans="1:9" ht="30" x14ac:dyDescent="0.25">
      <c r="A250" s="136" t="s">
        <v>287</v>
      </c>
      <c r="B250" s="136">
        <v>10</v>
      </c>
      <c r="C250" s="146">
        <v>5056</v>
      </c>
      <c r="D250" s="136">
        <v>4</v>
      </c>
      <c r="E250" s="145">
        <v>1117</v>
      </c>
      <c r="F250" s="136">
        <v>110</v>
      </c>
      <c r="G250" s="146">
        <v>6297</v>
      </c>
      <c r="H250" s="143"/>
    </row>
    <row r="251" spans="1:9" x14ac:dyDescent="0.25">
      <c r="A251" s="136" t="s">
        <v>288</v>
      </c>
      <c r="B251" s="136">
        <v>8</v>
      </c>
      <c r="C251" s="146">
        <v>1921</v>
      </c>
      <c r="E251" s="136">
        <v>324</v>
      </c>
      <c r="F251" s="136">
        <v>47</v>
      </c>
      <c r="G251" s="146">
        <v>2300</v>
      </c>
      <c r="H251" s="143"/>
    </row>
    <row r="252" spans="1:9" x14ac:dyDescent="0.25">
      <c r="A252" s="136" t="s">
        <v>289</v>
      </c>
      <c r="B252" s="136">
        <v>22</v>
      </c>
      <c r="C252" s="146">
        <v>8390</v>
      </c>
      <c r="D252" s="136">
        <v>2</v>
      </c>
      <c r="E252" s="145">
        <v>1974</v>
      </c>
      <c r="F252" s="136">
        <v>155</v>
      </c>
      <c r="G252" s="146">
        <v>10543</v>
      </c>
      <c r="H252" s="143"/>
    </row>
    <row r="253" spans="1:9" x14ac:dyDescent="0.25">
      <c r="A253" s="136" t="s">
        <v>290</v>
      </c>
      <c r="B253" s="136">
        <v>2</v>
      </c>
      <c r="C253" s="136">
        <v>975</v>
      </c>
      <c r="D253" s="136">
        <v>1</v>
      </c>
      <c r="E253">
        <v>124</v>
      </c>
      <c r="F253" s="136">
        <v>20</v>
      </c>
      <c r="G253" s="146">
        <v>1122</v>
      </c>
      <c r="H253" s="143"/>
    </row>
    <row r="254" spans="1:9" x14ac:dyDescent="0.25">
      <c r="A254" s="136" t="s">
        <v>291</v>
      </c>
      <c r="B254" s="136">
        <v>4</v>
      </c>
      <c r="C254" s="146">
        <v>2024</v>
      </c>
      <c r="E254" s="136">
        <v>351</v>
      </c>
      <c r="F254" s="136">
        <v>35</v>
      </c>
      <c r="G254" s="146">
        <v>2414</v>
      </c>
      <c r="H254" s="143"/>
    </row>
    <row r="255" spans="1:9" ht="30" x14ac:dyDescent="0.25">
      <c r="A255" s="136" t="s">
        <v>292</v>
      </c>
      <c r="B255" s="136">
        <v>38</v>
      </c>
      <c r="C255" s="146">
        <v>14176</v>
      </c>
      <c r="D255" s="136">
        <v>7</v>
      </c>
      <c r="E255" s="145">
        <v>3543</v>
      </c>
      <c r="F255" s="136">
        <v>373</v>
      </c>
      <c r="G255" s="146">
        <v>18137</v>
      </c>
    </row>
    <row r="256" spans="1:9" ht="30" x14ac:dyDescent="0.25">
      <c r="A256" s="136" t="s">
        <v>293</v>
      </c>
      <c r="B256" s="136">
        <v>6</v>
      </c>
      <c r="C256" s="136">
        <v>791</v>
      </c>
      <c r="E256" s="136">
        <v>155</v>
      </c>
      <c r="F256" s="136">
        <v>19</v>
      </c>
      <c r="G256" s="136">
        <v>971</v>
      </c>
      <c r="H256" s="143"/>
    </row>
    <row r="257" spans="1:8" ht="30" x14ac:dyDescent="0.25">
      <c r="A257" s="136" t="s">
        <v>294</v>
      </c>
      <c r="B257" s="136">
        <v>11</v>
      </c>
      <c r="C257" s="146">
        <v>2684</v>
      </c>
      <c r="D257" s="136">
        <v>3</v>
      </c>
      <c r="E257">
        <v>487</v>
      </c>
      <c r="F257" s="136">
        <v>50</v>
      </c>
      <c r="G257" s="146">
        <v>3235</v>
      </c>
      <c r="H257" s="143"/>
    </row>
    <row r="258" spans="1:8" ht="30" x14ac:dyDescent="0.25">
      <c r="A258" s="136" t="s">
        <v>295</v>
      </c>
      <c r="B258" s="136">
        <v>9</v>
      </c>
      <c r="C258" s="146">
        <v>2616</v>
      </c>
      <c r="D258" s="136">
        <v>1</v>
      </c>
      <c r="E258">
        <v>663</v>
      </c>
      <c r="F258" s="136">
        <v>63</v>
      </c>
      <c r="G258" s="146">
        <v>3352</v>
      </c>
      <c r="H258" s="143"/>
    </row>
    <row r="259" spans="1:8" ht="30" x14ac:dyDescent="0.25">
      <c r="A259" s="136" t="s">
        <v>296</v>
      </c>
      <c r="B259" s="136">
        <v>82</v>
      </c>
      <c r="C259" s="146">
        <v>25316</v>
      </c>
      <c r="D259" s="136">
        <v>39</v>
      </c>
      <c r="E259" s="145">
        <v>6847</v>
      </c>
      <c r="F259" s="136">
        <v>597</v>
      </c>
      <c r="G259" s="146">
        <v>32881</v>
      </c>
      <c r="H259" s="143"/>
    </row>
    <row r="260" spans="1:8" x14ac:dyDescent="0.25">
      <c r="A260" s="136" t="s">
        <v>297</v>
      </c>
      <c r="B260" s="136">
        <v>2</v>
      </c>
      <c r="C260" s="146">
        <v>1390</v>
      </c>
      <c r="E260" s="136">
        <v>364</v>
      </c>
      <c r="F260" s="136">
        <v>41</v>
      </c>
      <c r="G260" s="146">
        <v>1797</v>
      </c>
      <c r="H260" s="143"/>
    </row>
    <row r="261" spans="1:8" x14ac:dyDescent="0.25">
      <c r="A261" s="136" t="s">
        <v>298</v>
      </c>
      <c r="B261" s="136">
        <v>34</v>
      </c>
      <c r="C261" s="146">
        <v>11181</v>
      </c>
      <c r="D261" s="136">
        <v>4</v>
      </c>
      <c r="E261" s="145">
        <v>2262</v>
      </c>
      <c r="F261" s="136">
        <v>210</v>
      </c>
      <c r="G261" s="146">
        <v>13691</v>
      </c>
      <c r="H261" s="143"/>
    </row>
    <row r="262" spans="1:8" x14ac:dyDescent="0.25">
      <c r="A262" s="136" t="s">
        <v>299</v>
      </c>
      <c r="B262" s="136">
        <v>12</v>
      </c>
      <c r="C262" s="146">
        <v>3050</v>
      </c>
      <c r="D262" s="136">
        <v>3</v>
      </c>
      <c r="E262">
        <v>531</v>
      </c>
      <c r="F262" s="136">
        <v>61</v>
      </c>
      <c r="G262" s="146">
        <v>3657</v>
      </c>
      <c r="H262" s="143"/>
    </row>
    <row r="263" spans="1:8" x14ac:dyDescent="0.25">
      <c r="A263" s="136" t="s">
        <v>300</v>
      </c>
      <c r="B263" s="136">
        <v>19</v>
      </c>
      <c r="C263" s="146">
        <v>5296</v>
      </c>
      <c r="E263" s="146">
        <v>1243</v>
      </c>
      <c r="F263" s="136">
        <v>108</v>
      </c>
      <c r="G263" s="146">
        <v>6666</v>
      </c>
      <c r="H263" s="143"/>
    </row>
    <row r="264" spans="1:8" x14ac:dyDescent="0.25">
      <c r="A264" s="136"/>
      <c r="H264" s="143"/>
    </row>
    <row r="265" spans="1:8" x14ac:dyDescent="0.25">
      <c r="A265" s="136" t="s">
        <v>25</v>
      </c>
      <c r="B265" s="137">
        <f>SUM(B231:B264)</f>
        <v>752</v>
      </c>
      <c r="C265" s="137">
        <f t="shared" ref="C265:G265" si="5">SUM(C231:C264)</f>
        <v>261872</v>
      </c>
      <c r="D265" s="137">
        <f t="shared" si="5"/>
        <v>172</v>
      </c>
      <c r="E265" s="137">
        <f t="shared" si="5"/>
        <v>60368</v>
      </c>
      <c r="F265" s="137">
        <f t="shared" si="5"/>
        <v>5609</v>
      </c>
      <c r="G265" s="137">
        <f t="shared" si="5"/>
        <v>328773</v>
      </c>
      <c r="H265" s="143"/>
    </row>
    <row r="266" spans="1:8" x14ac:dyDescent="0.25">
      <c r="A266" s="136"/>
      <c r="B266" s="136"/>
      <c r="C266" s="136"/>
      <c r="D266" s="147"/>
      <c r="E266" s="147"/>
      <c r="F266" s="147"/>
      <c r="G266" s="144"/>
    </row>
    <row r="267" spans="1:8" ht="45" x14ac:dyDescent="0.25">
      <c r="A267" s="136" t="s">
        <v>501</v>
      </c>
      <c r="B267" s="136" t="s">
        <v>502</v>
      </c>
      <c r="C267" s="136">
        <v>9</v>
      </c>
      <c r="D267" s="154"/>
      <c r="E267" s="154"/>
      <c r="F267" s="155"/>
    </row>
    <row r="268" spans="1:8" x14ac:dyDescent="0.25">
      <c r="A268" s="136"/>
      <c r="B268" s="136"/>
      <c r="C268" s="136"/>
      <c r="D268" s="136"/>
      <c r="F268" s="143"/>
    </row>
    <row r="269" spans="1:8" ht="30" x14ac:dyDescent="0.25">
      <c r="A269" s="136"/>
      <c r="B269" s="136"/>
      <c r="C269" s="136" t="s">
        <v>500</v>
      </c>
      <c r="D269" s="136"/>
      <c r="F269" s="143"/>
    </row>
    <row r="270" spans="1:8" x14ac:dyDescent="0.25">
      <c r="A270" s="136" t="s">
        <v>126</v>
      </c>
      <c r="B270" s="136" t="s">
        <v>479</v>
      </c>
      <c r="C270" s="136" t="s">
        <v>480</v>
      </c>
      <c r="D270" s="136" t="s">
        <v>481</v>
      </c>
      <c r="E270" t="s">
        <v>482</v>
      </c>
      <c r="F270" s="136" t="s">
        <v>483</v>
      </c>
      <c r="G270" s="136" t="s">
        <v>25</v>
      </c>
    </row>
    <row r="271" spans="1:8" x14ac:dyDescent="0.25">
      <c r="A271" s="136"/>
      <c r="B271" s="136"/>
      <c r="C271" s="136"/>
      <c r="D271" s="136"/>
      <c r="G271" s="143"/>
    </row>
    <row r="272" spans="1:8" x14ac:dyDescent="0.25">
      <c r="A272" s="136" t="s">
        <v>301</v>
      </c>
      <c r="B272" s="136">
        <v>25</v>
      </c>
      <c r="C272" s="146">
        <v>9666</v>
      </c>
      <c r="D272" s="136">
        <v>4</v>
      </c>
      <c r="E272" s="145">
        <v>2211</v>
      </c>
      <c r="F272" s="136">
        <v>190</v>
      </c>
      <c r="G272" s="146">
        <v>12096</v>
      </c>
    </row>
    <row r="273" spans="1:7" x14ac:dyDescent="0.25">
      <c r="A273" s="136" t="s">
        <v>302</v>
      </c>
      <c r="B273" s="136">
        <v>15</v>
      </c>
      <c r="C273" s="146">
        <v>4939</v>
      </c>
      <c r="E273" s="146">
        <v>1139</v>
      </c>
      <c r="F273" s="136">
        <v>109</v>
      </c>
      <c r="G273" s="146">
        <v>6202</v>
      </c>
    </row>
    <row r="274" spans="1:7" x14ac:dyDescent="0.25">
      <c r="A274" s="136" t="s">
        <v>303</v>
      </c>
      <c r="B274" s="136">
        <v>7</v>
      </c>
      <c r="C274" s="146">
        <v>1900</v>
      </c>
      <c r="E274" s="136">
        <v>377</v>
      </c>
      <c r="F274" s="136">
        <v>59</v>
      </c>
      <c r="G274" s="146">
        <v>2343</v>
      </c>
    </row>
    <row r="275" spans="1:7" x14ac:dyDescent="0.25">
      <c r="A275" s="136" t="s">
        <v>304</v>
      </c>
      <c r="B275" s="136">
        <v>12</v>
      </c>
      <c r="C275" s="146">
        <v>4094</v>
      </c>
      <c r="D275" s="136">
        <v>2</v>
      </c>
      <c r="E275">
        <v>789</v>
      </c>
      <c r="F275" s="136">
        <v>87</v>
      </c>
      <c r="G275" s="146">
        <v>4984</v>
      </c>
    </row>
    <row r="276" spans="1:7" x14ac:dyDescent="0.25">
      <c r="A276" s="136" t="s">
        <v>305</v>
      </c>
      <c r="B276" s="136">
        <v>10</v>
      </c>
      <c r="C276" s="146">
        <v>4058</v>
      </c>
      <c r="D276" s="136">
        <v>3</v>
      </c>
      <c r="E276">
        <v>798</v>
      </c>
      <c r="F276" s="136">
        <v>113</v>
      </c>
      <c r="G276" s="146">
        <v>4982</v>
      </c>
    </row>
    <row r="277" spans="1:7" ht="30" x14ac:dyDescent="0.25">
      <c r="A277" s="136" t="s">
        <v>306</v>
      </c>
      <c r="B277" s="136">
        <v>13</v>
      </c>
      <c r="C277" s="146">
        <v>3953</v>
      </c>
      <c r="D277" s="136">
        <v>1</v>
      </c>
      <c r="E277">
        <v>718</v>
      </c>
      <c r="F277" s="136">
        <v>98</v>
      </c>
      <c r="G277" s="146">
        <v>4783</v>
      </c>
    </row>
    <row r="278" spans="1:7" ht="30" x14ac:dyDescent="0.25">
      <c r="A278" s="136" t="s">
        <v>307</v>
      </c>
      <c r="B278" s="136">
        <v>3</v>
      </c>
      <c r="C278" s="146">
        <v>1348</v>
      </c>
      <c r="E278" s="136">
        <v>238</v>
      </c>
      <c r="F278" s="136">
        <v>33</v>
      </c>
      <c r="G278" s="146">
        <v>1622</v>
      </c>
    </row>
    <row r="279" spans="1:7" x14ac:dyDescent="0.25">
      <c r="A279" s="136" t="s">
        <v>308</v>
      </c>
      <c r="B279" s="136">
        <v>3</v>
      </c>
      <c r="C279" s="146">
        <v>1309</v>
      </c>
      <c r="D279" s="136">
        <v>1</v>
      </c>
      <c r="E279">
        <v>281</v>
      </c>
      <c r="F279" s="136">
        <v>25</v>
      </c>
      <c r="G279" s="146">
        <v>1619</v>
      </c>
    </row>
    <row r="280" spans="1:7" x14ac:dyDescent="0.25">
      <c r="A280" s="136" t="s">
        <v>309</v>
      </c>
      <c r="B280" s="136">
        <v>13</v>
      </c>
      <c r="C280" s="146">
        <v>4463</v>
      </c>
      <c r="D280" s="136">
        <v>1</v>
      </c>
      <c r="E280">
        <v>770</v>
      </c>
      <c r="F280" s="136">
        <v>93</v>
      </c>
      <c r="G280" s="146">
        <v>5340</v>
      </c>
    </row>
    <row r="281" spans="1:7" ht="30" x14ac:dyDescent="0.25">
      <c r="A281" s="136" t="s">
        <v>310</v>
      </c>
      <c r="B281" s="136">
        <v>8</v>
      </c>
      <c r="C281" s="146">
        <v>2191</v>
      </c>
      <c r="D281" s="136">
        <v>1</v>
      </c>
      <c r="E281">
        <v>524</v>
      </c>
      <c r="F281" s="136">
        <v>58</v>
      </c>
      <c r="G281" s="146">
        <v>2782</v>
      </c>
    </row>
    <row r="282" spans="1:7" x14ac:dyDescent="0.25">
      <c r="A282" s="136" t="s">
        <v>311</v>
      </c>
      <c r="B282" s="136">
        <v>8</v>
      </c>
      <c r="C282" s="146">
        <v>3449</v>
      </c>
      <c r="E282" s="136">
        <v>736</v>
      </c>
      <c r="F282" s="136">
        <v>78</v>
      </c>
      <c r="G282" s="146">
        <v>4271</v>
      </c>
    </row>
    <row r="283" spans="1:7" x14ac:dyDescent="0.25">
      <c r="A283" s="136" t="s">
        <v>312</v>
      </c>
      <c r="B283" s="136">
        <v>11</v>
      </c>
      <c r="C283" s="146">
        <v>5963</v>
      </c>
      <c r="D283" s="136">
        <v>2</v>
      </c>
      <c r="E283" s="145">
        <v>1283</v>
      </c>
      <c r="F283" s="136">
        <v>153</v>
      </c>
      <c r="G283" s="146">
        <v>7412</v>
      </c>
    </row>
    <row r="284" spans="1:7" x14ac:dyDescent="0.25">
      <c r="A284" s="136" t="s">
        <v>313</v>
      </c>
      <c r="B284" s="136">
        <v>12</v>
      </c>
      <c r="C284" s="146">
        <v>4568</v>
      </c>
      <c r="D284" s="136">
        <v>3</v>
      </c>
      <c r="E284">
        <v>802</v>
      </c>
      <c r="F284" s="136">
        <v>132</v>
      </c>
      <c r="G284" s="146">
        <v>5517</v>
      </c>
    </row>
    <row r="285" spans="1:7" ht="30" x14ac:dyDescent="0.25">
      <c r="A285" s="136" t="s">
        <v>314</v>
      </c>
      <c r="B285" s="136">
        <v>8</v>
      </c>
      <c r="C285" s="146">
        <v>1647</v>
      </c>
      <c r="E285" s="136">
        <v>347</v>
      </c>
      <c r="F285" s="136">
        <v>55</v>
      </c>
      <c r="G285" s="146">
        <v>2057</v>
      </c>
    </row>
    <row r="286" spans="1:7" x14ac:dyDescent="0.25">
      <c r="A286" s="136" t="s">
        <v>315</v>
      </c>
      <c r="B286" s="136">
        <v>7</v>
      </c>
      <c r="C286" s="146">
        <v>1420</v>
      </c>
      <c r="E286" s="136">
        <v>341</v>
      </c>
      <c r="F286" s="136">
        <v>37</v>
      </c>
      <c r="G286" s="146">
        <v>1805</v>
      </c>
    </row>
    <row r="287" spans="1:7" x14ac:dyDescent="0.25">
      <c r="A287" s="136" t="s">
        <v>316</v>
      </c>
      <c r="B287" s="136">
        <v>3</v>
      </c>
      <c r="C287" s="146">
        <v>1547</v>
      </c>
      <c r="E287" s="136">
        <v>327</v>
      </c>
      <c r="F287" s="136">
        <v>40</v>
      </c>
      <c r="G287" s="146">
        <v>1917</v>
      </c>
    </row>
    <row r="288" spans="1:7" x14ac:dyDescent="0.25">
      <c r="A288" s="136" t="s">
        <v>317</v>
      </c>
      <c r="B288" s="136">
        <v>7</v>
      </c>
      <c r="C288" s="146">
        <v>1419</v>
      </c>
      <c r="E288" s="136">
        <v>252</v>
      </c>
      <c r="F288" s="136">
        <v>52</v>
      </c>
      <c r="G288" s="146">
        <v>1730</v>
      </c>
    </row>
    <row r="289" spans="1:7" ht="30" x14ac:dyDescent="0.25">
      <c r="A289" s="136" t="s">
        <v>318</v>
      </c>
      <c r="B289" s="136">
        <v>13</v>
      </c>
      <c r="C289" s="146">
        <v>6025</v>
      </c>
      <c r="D289" s="136">
        <v>3</v>
      </c>
      <c r="E289" s="145">
        <v>1140</v>
      </c>
      <c r="F289" s="136">
        <v>162</v>
      </c>
      <c r="G289" s="146">
        <v>7343</v>
      </c>
    </row>
    <row r="290" spans="1:7" ht="30" x14ac:dyDescent="0.25">
      <c r="A290" s="136" t="s">
        <v>319</v>
      </c>
      <c r="B290" s="136">
        <v>29</v>
      </c>
      <c r="C290" s="146">
        <v>9961</v>
      </c>
      <c r="D290" s="136">
        <v>2</v>
      </c>
      <c r="E290" s="145">
        <v>2042</v>
      </c>
      <c r="F290" s="136">
        <v>292</v>
      </c>
      <c r="G290" s="146">
        <v>12326</v>
      </c>
    </row>
    <row r="291" spans="1:7" ht="30" x14ac:dyDescent="0.25">
      <c r="A291" s="136" t="s">
        <v>320</v>
      </c>
      <c r="B291" s="136">
        <v>1</v>
      </c>
      <c r="C291" s="146">
        <v>1085</v>
      </c>
      <c r="E291" s="136">
        <v>210</v>
      </c>
      <c r="F291" s="136">
        <v>28</v>
      </c>
      <c r="G291" s="146">
        <v>1324</v>
      </c>
    </row>
    <row r="292" spans="1:7" ht="30" x14ac:dyDescent="0.25">
      <c r="A292" s="136" t="s">
        <v>321</v>
      </c>
      <c r="B292" s="136">
        <v>14</v>
      </c>
      <c r="C292" s="146">
        <v>4874</v>
      </c>
      <c r="D292" s="136">
        <v>2</v>
      </c>
      <c r="E292" s="145">
        <v>1116</v>
      </c>
      <c r="F292" s="136">
        <v>128</v>
      </c>
      <c r="G292" s="146">
        <v>6134</v>
      </c>
    </row>
    <row r="293" spans="1:7" x14ac:dyDescent="0.25">
      <c r="A293" s="136" t="s">
        <v>322</v>
      </c>
      <c r="B293" s="136">
        <v>9</v>
      </c>
      <c r="C293" s="146">
        <v>3663</v>
      </c>
      <c r="D293" s="136">
        <v>2</v>
      </c>
      <c r="E293">
        <v>783</v>
      </c>
      <c r="F293" s="136">
        <v>117</v>
      </c>
      <c r="G293" s="146">
        <v>4574</v>
      </c>
    </row>
    <row r="294" spans="1:7" x14ac:dyDescent="0.25">
      <c r="A294" s="136" t="s">
        <v>323</v>
      </c>
      <c r="B294" s="136"/>
      <c r="C294" s="146">
        <v>2403</v>
      </c>
      <c r="E294" s="136">
        <v>632</v>
      </c>
      <c r="F294" s="136">
        <v>70</v>
      </c>
      <c r="G294" s="146">
        <v>3105</v>
      </c>
    </row>
    <row r="295" spans="1:7" x14ac:dyDescent="0.25">
      <c r="A295" s="136" t="s">
        <v>324</v>
      </c>
      <c r="B295" s="136">
        <v>3</v>
      </c>
      <c r="C295" s="146">
        <v>1857</v>
      </c>
      <c r="D295" s="136">
        <v>1</v>
      </c>
      <c r="E295">
        <v>467</v>
      </c>
      <c r="F295" s="136">
        <v>69</v>
      </c>
      <c r="G295" s="146">
        <v>2397</v>
      </c>
    </row>
    <row r="296" spans="1:7" x14ac:dyDescent="0.25">
      <c r="A296" s="136" t="s">
        <v>325</v>
      </c>
      <c r="B296" s="136">
        <v>10</v>
      </c>
      <c r="C296" s="146">
        <v>2325</v>
      </c>
      <c r="E296" s="136">
        <v>503</v>
      </c>
      <c r="F296" s="136">
        <v>55</v>
      </c>
      <c r="G296" s="146">
        <v>2893</v>
      </c>
    </row>
    <row r="297" spans="1:7" x14ac:dyDescent="0.25">
      <c r="A297" s="136" t="s">
        <v>326</v>
      </c>
      <c r="B297" s="136">
        <v>141</v>
      </c>
      <c r="C297" s="146">
        <v>42674</v>
      </c>
      <c r="D297" s="136">
        <v>17</v>
      </c>
      <c r="E297" s="145">
        <v>9506</v>
      </c>
      <c r="F297" s="136">
        <v>940</v>
      </c>
      <c r="G297" s="146">
        <v>53278</v>
      </c>
    </row>
    <row r="298" spans="1:7" ht="30" x14ac:dyDescent="0.25">
      <c r="A298" s="136" t="s">
        <v>327</v>
      </c>
      <c r="B298" s="136">
        <v>10</v>
      </c>
      <c r="C298" s="146">
        <v>2865</v>
      </c>
      <c r="D298" s="136">
        <v>1</v>
      </c>
      <c r="E298">
        <v>557</v>
      </c>
      <c r="F298" s="136">
        <v>59</v>
      </c>
      <c r="G298" s="146">
        <v>3492</v>
      </c>
    </row>
    <row r="299" spans="1:7" x14ac:dyDescent="0.25">
      <c r="A299" s="136" t="s">
        <v>328</v>
      </c>
      <c r="B299" s="136">
        <v>6</v>
      </c>
      <c r="C299" s="146">
        <v>1911</v>
      </c>
      <c r="E299" s="136">
        <v>467</v>
      </c>
      <c r="F299" s="136">
        <v>51</v>
      </c>
      <c r="G299" s="146">
        <v>2435</v>
      </c>
    </row>
    <row r="300" spans="1:7" x14ac:dyDescent="0.25">
      <c r="A300" s="136" t="s">
        <v>329</v>
      </c>
      <c r="B300" s="136">
        <v>13</v>
      </c>
      <c r="C300" s="146">
        <v>4227</v>
      </c>
      <c r="D300" s="136">
        <v>2</v>
      </c>
      <c r="E300" s="145">
        <v>1039</v>
      </c>
      <c r="F300" s="136">
        <v>81</v>
      </c>
      <c r="G300" s="146">
        <v>5362</v>
      </c>
    </row>
    <row r="301" spans="1:7" x14ac:dyDescent="0.25">
      <c r="A301" s="136" t="s">
        <v>330</v>
      </c>
      <c r="B301" s="136">
        <v>27</v>
      </c>
      <c r="C301" s="146">
        <v>7246</v>
      </c>
      <c r="D301" s="136">
        <v>6</v>
      </c>
      <c r="E301" s="145">
        <v>1584</v>
      </c>
      <c r="F301" s="136">
        <v>165</v>
      </c>
      <c r="G301" s="146">
        <v>9028</v>
      </c>
    </row>
    <row r="302" spans="1:7" x14ac:dyDescent="0.25">
      <c r="A302" s="136" t="s">
        <v>331</v>
      </c>
      <c r="B302" s="136">
        <v>12</v>
      </c>
      <c r="C302" s="146">
        <v>4318</v>
      </c>
      <c r="D302" s="136">
        <v>1</v>
      </c>
      <c r="E302">
        <v>899</v>
      </c>
      <c r="F302" s="136">
        <v>115</v>
      </c>
      <c r="G302" s="146">
        <v>5345</v>
      </c>
    </row>
    <row r="303" spans="1:7" x14ac:dyDescent="0.25">
      <c r="A303" s="136" t="s">
        <v>332</v>
      </c>
      <c r="B303" s="136">
        <v>18</v>
      </c>
      <c r="C303" s="146">
        <v>10264</v>
      </c>
      <c r="D303" s="136">
        <v>4</v>
      </c>
      <c r="E303" s="145">
        <v>1970</v>
      </c>
      <c r="F303" s="136">
        <v>286</v>
      </c>
      <c r="G303" s="146">
        <v>12542</v>
      </c>
    </row>
    <row r="304" spans="1:7" x14ac:dyDescent="0.25">
      <c r="A304" s="136" t="s">
        <v>25</v>
      </c>
      <c r="B304" s="137">
        <f>SUM(B272:B303)</f>
        <v>471</v>
      </c>
      <c r="C304" s="137">
        <f t="shared" ref="C304:G304" si="6">SUM(C272:C303)</f>
        <v>163632</v>
      </c>
      <c r="D304" s="137">
        <f t="shared" si="6"/>
        <v>59</v>
      </c>
      <c r="E304" s="137">
        <f t="shared" si="6"/>
        <v>34848</v>
      </c>
      <c r="F304" s="137">
        <f t="shared" si="6"/>
        <v>4030</v>
      </c>
      <c r="G304" s="137">
        <f t="shared" si="6"/>
        <v>203040</v>
      </c>
    </row>
    <row r="305" spans="1:7" x14ac:dyDescent="0.25">
      <c r="A305" s="136"/>
      <c r="B305" s="136"/>
      <c r="C305" s="136"/>
      <c r="D305" s="136"/>
      <c r="F305" s="143"/>
    </row>
    <row r="306" spans="1:7" x14ac:dyDescent="0.25">
      <c r="A306" s="136"/>
      <c r="B306" s="147"/>
      <c r="C306" s="147"/>
      <c r="D306" s="147"/>
      <c r="E306" s="147"/>
      <c r="F306" s="144"/>
    </row>
    <row r="308" spans="1:7" ht="45" x14ac:dyDescent="0.25">
      <c r="A308" s="136" t="s">
        <v>333</v>
      </c>
      <c r="B308" s="154"/>
      <c r="C308" s="154"/>
      <c r="D308" s="154"/>
      <c r="E308" s="155"/>
    </row>
    <row r="309" spans="1:7" x14ac:dyDescent="0.25">
      <c r="A309" s="136"/>
      <c r="B309" s="136"/>
      <c r="C309" s="136"/>
      <c r="E309" s="143"/>
    </row>
    <row r="310" spans="1:7" x14ac:dyDescent="0.25">
      <c r="A310" s="136"/>
      <c r="B310" s="136"/>
      <c r="C310" s="136"/>
      <c r="D310" s="154"/>
      <c r="E310" s="154"/>
      <c r="F310" s="154"/>
      <c r="G310" s="155"/>
    </row>
    <row r="311" spans="1:7" ht="30" x14ac:dyDescent="0.25">
      <c r="A311" s="136"/>
      <c r="B311" s="136"/>
      <c r="C311" s="136" t="s">
        <v>500</v>
      </c>
      <c r="D311" s="136"/>
      <c r="G311" s="143"/>
    </row>
    <row r="312" spans="1:7" x14ac:dyDescent="0.25">
      <c r="A312" s="136" t="s">
        <v>126</v>
      </c>
      <c r="B312" s="136" t="s">
        <v>479</v>
      </c>
      <c r="C312" s="136" t="s">
        <v>480</v>
      </c>
      <c r="D312" s="136" t="s">
        <v>481</v>
      </c>
      <c r="E312" t="s">
        <v>482</v>
      </c>
      <c r="F312" s="136" t="s">
        <v>25</v>
      </c>
      <c r="G312" s="143"/>
    </row>
    <row r="313" spans="1:7" x14ac:dyDescent="0.25">
      <c r="A313" s="136"/>
      <c r="B313" s="136"/>
      <c r="C313" s="136"/>
      <c r="G313" s="143"/>
    </row>
    <row r="314" spans="1:7" x14ac:dyDescent="0.25">
      <c r="A314" s="136" t="s">
        <v>334</v>
      </c>
      <c r="B314" s="136">
        <v>15</v>
      </c>
      <c r="C314" s="146">
        <v>7617</v>
      </c>
      <c r="D314" s="136">
        <v>7</v>
      </c>
      <c r="E314" s="145">
        <v>1476</v>
      </c>
      <c r="F314" s="146">
        <v>9277</v>
      </c>
      <c r="G314" s="143"/>
    </row>
    <row r="315" spans="1:7" x14ac:dyDescent="0.25">
      <c r="A315" s="136" t="s">
        <v>335</v>
      </c>
      <c r="B315" s="136">
        <v>17</v>
      </c>
      <c r="C315" s="146">
        <v>5174</v>
      </c>
      <c r="D315" s="136">
        <v>2</v>
      </c>
      <c r="E315">
        <v>959</v>
      </c>
      <c r="F315" s="146">
        <v>6285</v>
      </c>
      <c r="G315" s="143"/>
    </row>
    <row r="316" spans="1:7" x14ac:dyDescent="0.25">
      <c r="A316" s="136" t="s">
        <v>336</v>
      </c>
      <c r="B316" s="136">
        <v>16</v>
      </c>
      <c r="C316" s="146">
        <v>7188</v>
      </c>
      <c r="D316" s="136">
        <v>8</v>
      </c>
      <c r="E316" s="145">
        <v>1675</v>
      </c>
      <c r="F316" s="146">
        <v>9051</v>
      </c>
      <c r="G316" s="143"/>
    </row>
    <row r="317" spans="1:7" x14ac:dyDescent="0.25">
      <c r="A317" s="136" t="s">
        <v>337</v>
      </c>
      <c r="B317" s="136">
        <v>1</v>
      </c>
      <c r="C317" s="136">
        <v>540</v>
      </c>
      <c r="E317" s="136">
        <v>90</v>
      </c>
      <c r="F317" s="136">
        <v>647</v>
      </c>
      <c r="G317" s="143"/>
    </row>
    <row r="318" spans="1:7" x14ac:dyDescent="0.25">
      <c r="A318" s="136" t="s">
        <v>338</v>
      </c>
      <c r="B318" s="136">
        <v>9</v>
      </c>
      <c r="C318" s="146">
        <v>2331</v>
      </c>
      <c r="D318" s="136">
        <v>1</v>
      </c>
      <c r="E318">
        <v>386</v>
      </c>
      <c r="F318" s="146">
        <v>2768</v>
      </c>
      <c r="G318" s="143"/>
    </row>
    <row r="319" spans="1:7" x14ac:dyDescent="0.25">
      <c r="A319" s="136" t="s">
        <v>339</v>
      </c>
      <c r="B319" s="136">
        <v>2</v>
      </c>
      <c r="C319" s="136">
        <v>711</v>
      </c>
      <c r="D319" s="136">
        <v>1</v>
      </c>
      <c r="E319">
        <v>116</v>
      </c>
      <c r="F319" s="136">
        <v>846</v>
      </c>
      <c r="G319" s="143"/>
    </row>
    <row r="320" spans="1:7" ht="30" x14ac:dyDescent="0.25">
      <c r="A320" s="136" t="s">
        <v>340</v>
      </c>
      <c r="B320" s="136">
        <v>1</v>
      </c>
      <c r="C320" s="136">
        <v>675</v>
      </c>
      <c r="E320" s="136">
        <v>110</v>
      </c>
      <c r="F320" s="136">
        <v>802</v>
      </c>
      <c r="G320" s="143"/>
    </row>
    <row r="321" spans="1:7" x14ac:dyDescent="0.25">
      <c r="A321" s="136" t="s">
        <v>341</v>
      </c>
      <c r="B321" s="136">
        <v>4</v>
      </c>
      <c r="C321" s="146">
        <v>1923</v>
      </c>
      <c r="D321" s="136">
        <v>3</v>
      </c>
      <c r="E321">
        <v>322</v>
      </c>
      <c r="F321" s="146">
        <v>2306</v>
      </c>
      <c r="G321" s="143"/>
    </row>
    <row r="322" spans="1:7" x14ac:dyDescent="0.25">
      <c r="A322" s="136" t="s">
        <v>342</v>
      </c>
      <c r="B322" s="136">
        <v>12</v>
      </c>
      <c r="C322" s="146">
        <v>2347</v>
      </c>
      <c r="E322" s="136">
        <v>468</v>
      </c>
      <c r="F322" s="146">
        <v>2879</v>
      </c>
      <c r="G322" s="143"/>
    </row>
    <row r="323" spans="1:7" x14ac:dyDescent="0.25">
      <c r="A323" s="136" t="s">
        <v>343</v>
      </c>
      <c r="B323" s="136">
        <v>8</v>
      </c>
      <c r="C323" s="146">
        <v>3125</v>
      </c>
      <c r="D323" s="136">
        <v>2</v>
      </c>
      <c r="E323">
        <v>583</v>
      </c>
      <c r="F323" s="146">
        <v>3791</v>
      </c>
      <c r="G323" s="143"/>
    </row>
    <row r="324" spans="1:7" x14ac:dyDescent="0.25">
      <c r="A324" s="136" t="s">
        <v>344</v>
      </c>
      <c r="B324" s="136">
        <v>1</v>
      </c>
      <c r="C324" s="136">
        <v>410</v>
      </c>
      <c r="E324" s="136">
        <v>57</v>
      </c>
      <c r="F324" s="136">
        <v>479</v>
      </c>
      <c r="G324" s="143"/>
    </row>
    <row r="325" spans="1:7" x14ac:dyDescent="0.25">
      <c r="A325" s="136" t="s">
        <v>345</v>
      </c>
      <c r="B325" s="136">
        <v>5</v>
      </c>
      <c r="C325" s="146">
        <v>1234</v>
      </c>
      <c r="E325" s="136">
        <v>289</v>
      </c>
      <c r="F325" s="146">
        <v>1567</v>
      </c>
      <c r="G325" s="143"/>
    </row>
    <row r="326" spans="1:7" ht="30" x14ac:dyDescent="0.25">
      <c r="A326" s="136" t="s">
        <v>346</v>
      </c>
      <c r="B326" s="136">
        <v>6</v>
      </c>
      <c r="C326" s="146">
        <v>3044</v>
      </c>
      <c r="D326" s="136">
        <v>1</v>
      </c>
      <c r="E326">
        <v>704</v>
      </c>
      <c r="F326" s="146">
        <v>3820</v>
      </c>
      <c r="G326" s="143"/>
    </row>
    <row r="327" spans="1:7" ht="30" x14ac:dyDescent="0.25">
      <c r="A327" s="136" t="s">
        <v>347</v>
      </c>
      <c r="B327" s="136">
        <v>8</v>
      </c>
      <c r="C327" s="146">
        <v>3285</v>
      </c>
      <c r="D327" s="136">
        <v>1</v>
      </c>
      <c r="E327">
        <v>846</v>
      </c>
      <c r="F327" s="146">
        <v>4215</v>
      </c>
      <c r="G327" s="143"/>
    </row>
    <row r="328" spans="1:7" x14ac:dyDescent="0.25">
      <c r="A328" s="136" t="s">
        <v>348</v>
      </c>
      <c r="B328" s="136">
        <v>12</v>
      </c>
      <c r="C328" s="146">
        <v>2909</v>
      </c>
      <c r="D328" s="136">
        <v>1</v>
      </c>
      <c r="E328">
        <v>602</v>
      </c>
      <c r="F328" s="146">
        <v>3603</v>
      </c>
      <c r="G328" s="143"/>
    </row>
    <row r="329" spans="1:7" x14ac:dyDescent="0.25">
      <c r="A329" s="136" t="s">
        <v>349</v>
      </c>
      <c r="B329" s="136">
        <v>91</v>
      </c>
      <c r="C329" s="146">
        <v>29501</v>
      </c>
      <c r="D329" s="136">
        <v>5</v>
      </c>
      <c r="E329" s="145">
        <v>4407</v>
      </c>
      <c r="F329" s="146">
        <v>34740</v>
      </c>
      <c r="G329" s="143"/>
    </row>
    <row r="330" spans="1:7" x14ac:dyDescent="0.25">
      <c r="A330" s="136" t="s">
        <v>350</v>
      </c>
      <c r="B330" s="136">
        <v>2</v>
      </c>
      <c r="C330" s="136">
        <v>405</v>
      </c>
      <c r="D330" s="136">
        <v>1</v>
      </c>
      <c r="E330">
        <v>65</v>
      </c>
      <c r="F330" s="136">
        <v>482</v>
      </c>
      <c r="G330" s="143"/>
    </row>
    <row r="331" spans="1:7" ht="30" x14ac:dyDescent="0.25">
      <c r="A331" s="136" t="s">
        <v>351</v>
      </c>
      <c r="B331" s="136">
        <v>83</v>
      </c>
      <c r="C331" s="146">
        <v>30044</v>
      </c>
      <c r="D331" s="136">
        <v>11</v>
      </c>
      <c r="E331" s="145">
        <v>5777</v>
      </c>
      <c r="F331" s="146">
        <v>36694</v>
      </c>
      <c r="G331" s="143"/>
    </row>
    <row r="332" spans="1:7" ht="30" x14ac:dyDescent="0.25">
      <c r="A332" s="136" t="s">
        <v>352</v>
      </c>
      <c r="B332" s="136">
        <v>1</v>
      </c>
      <c r="C332" s="146">
        <v>1477</v>
      </c>
      <c r="E332" s="136">
        <v>248</v>
      </c>
      <c r="F332" s="146">
        <v>1766</v>
      </c>
      <c r="G332" s="143"/>
    </row>
    <row r="333" spans="1:7" ht="30" x14ac:dyDescent="0.25">
      <c r="A333" s="136" t="s">
        <v>353</v>
      </c>
      <c r="B333" s="136">
        <v>12</v>
      </c>
      <c r="C333" s="146">
        <v>5493</v>
      </c>
      <c r="D333" s="136">
        <v>6</v>
      </c>
      <c r="E333" s="145">
        <v>1168</v>
      </c>
      <c r="F333" s="146">
        <v>6845</v>
      </c>
      <c r="G333" s="143"/>
    </row>
    <row r="334" spans="1:7" ht="30" x14ac:dyDescent="0.25">
      <c r="A334" s="136" t="s">
        <v>354</v>
      </c>
      <c r="B334" s="136">
        <v>5</v>
      </c>
      <c r="C334" s="136">
        <v>717</v>
      </c>
      <c r="E334" s="136">
        <v>171</v>
      </c>
      <c r="F334" s="136">
        <v>906</v>
      </c>
      <c r="G334" s="143"/>
    </row>
    <row r="335" spans="1:7" ht="30" x14ac:dyDescent="0.25">
      <c r="A335" s="136" t="s">
        <v>355</v>
      </c>
      <c r="B335" s="136">
        <v>14</v>
      </c>
      <c r="C335" s="146">
        <v>4588</v>
      </c>
      <c r="E335" s="136">
        <v>603</v>
      </c>
      <c r="F335" s="146">
        <v>5321</v>
      </c>
      <c r="G335" s="143"/>
    </row>
    <row r="336" spans="1:7" x14ac:dyDescent="0.25">
      <c r="A336" s="136" t="s">
        <v>356</v>
      </c>
      <c r="B336" s="136">
        <v>4</v>
      </c>
      <c r="C336" s="146">
        <v>2166</v>
      </c>
      <c r="D336" s="136">
        <v>1</v>
      </c>
      <c r="E336">
        <v>380</v>
      </c>
      <c r="F336" s="146">
        <v>2617</v>
      </c>
      <c r="G336" s="143"/>
    </row>
    <row r="337" spans="1:7" x14ac:dyDescent="0.25">
      <c r="A337" s="136" t="s">
        <v>357</v>
      </c>
      <c r="B337" s="136">
        <v>4</v>
      </c>
      <c r="C337" s="136">
        <v>884</v>
      </c>
      <c r="D337" s="136">
        <v>1</v>
      </c>
      <c r="E337">
        <v>119</v>
      </c>
      <c r="F337" s="146">
        <v>1025</v>
      </c>
      <c r="G337" s="143"/>
    </row>
    <row r="338" spans="1:7" x14ac:dyDescent="0.25">
      <c r="A338" s="136" t="s">
        <v>358</v>
      </c>
      <c r="B338" s="136">
        <v>10</v>
      </c>
      <c r="C338" s="146">
        <v>3070</v>
      </c>
      <c r="D338" s="136">
        <v>2</v>
      </c>
      <c r="E338">
        <v>592</v>
      </c>
      <c r="F338" s="146">
        <v>3771</v>
      </c>
      <c r="G338" s="143"/>
    </row>
    <row r="339" spans="1:7" x14ac:dyDescent="0.25">
      <c r="A339" s="136" t="s">
        <v>359</v>
      </c>
      <c r="B339" s="136">
        <v>2</v>
      </c>
      <c r="C339" s="146">
        <v>1388</v>
      </c>
      <c r="D339" s="136">
        <v>1</v>
      </c>
      <c r="E339" s="145">
        <v>254</v>
      </c>
      <c r="F339" s="146">
        <v>1671</v>
      </c>
      <c r="G339" s="143"/>
    </row>
    <row r="340" spans="1:7" x14ac:dyDescent="0.25">
      <c r="A340" s="136" t="s">
        <v>360</v>
      </c>
      <c r="B340" s="136">
        <v>6</v>
      </c>
      <c r="C340" s="146">
        <v>1458</v>
      </c>
      <c r="D340" s="136">
        <v>1</v>
      </c>
      <c r="E340">
        <v>366</v>
      </c>
      <c r="F340" s="146">
        <v>1867</v>
      </c>
      <c r="G340" s="143"/>
    </row>
    <row r="341" spans="1:7" x14ac:dyDescent="0.25">
      <c r="A341" s="136" t="s">
        <v>361</v>
      </c>
      <c r="B341" s="136">
        <v>14</v>
      </c>
      <c r="C341" s="146">
        <v>2959</v>
      </c>
      <c r="D341" s="136">
        <v>2</v>
      </c>
      <c r="E341">
        <v>426</v>
      </c>
      <c r="F341" s="146">
        <v>3465</v>
      </c>
      <c r="G341" s="143"/>
    </row>
    <row r="342" spans="1:7" ht="45" x14ac:dyDescent="0.25">
      <c r="A342" s="136" t="s">
        <v>362</v>
      </c>
      <c r="B342" s="136">
        <v>9</v>
      </c>
      <c r="C342" s="146">
        <v>1697</v>
      </c>
      <c r="E342" s="136">
        <v>292</v>
      </c>
      <c r="F342" s="146">
        <v>2052</v>
      </c>
    </row>
    <row r="343" spans="1:7" x14ac:dyDescent="0.25">
      <c r="A343" s="136" t="s">
        <v>363</v>
      </c>
      <c r="B343" s="136">
        <v>8</v>
      </c>
      <c r="C343" s="146">
        <v>2247</v>
      </c>
      <c r="D343" s="136">
        <v>1</v>
      </c>
      <c r="E343" s="145">
        <v>300</v>
      </c>
      <c r="F343" s="146">
        <v>2627</v>
      </c>
      <c r="G343" s="143"/>
    </row>
    <row r="344" spans="1:7" x14ac:dyDescent="0.25">
      <c r="A344" s="136"/>
      <c r="G344" s="143"/>
    </row>
    <row r="345" spans="1:7" x14ac:dyDescent="0.25">
      <c r="A345" s="136" t="s">
        <v>25</v>
      </c>
      <c r="B345" s="137">
        <f>SUM(B314:B344)</f>
        <v>382</v>
      </c>
      <c r="C345" s="137">
        <f t="shared" ref="C345:F345" si="7">SUM(C314:C344)</f>
        <v>130607</v>
      </c>
      <c r="D345" s="137">
        <f t="shared" si="7"/>
        <v>59</v>
      </c>
      <c r="E345" s="137">
        <f t="shared" si="7"/>
        <v>23851</v>
      </c>
      <c r="F345" s="137">
        <f t="shared" si="7"/>
        <v>158185</v>
      </c>
      <c r="G345" s="143"/>
    </row>
    <row r="346" spans="1:7" x14ac:dyDescent="0.25">
      <c r="A346" s="136"/>
      <c r="B346" s="136"/>
      <c r="C346" s="136"/>
      <c r="D346" s="147"/>
      <c r="E346" s="147"/>
      <c r="F346" s="147"/>
      <c r="G346" s="144"/>
    </row>
    <row r="348" spans="1:7" ht="45" x14ac:dyDescent="0.25">
      <c r="A348" s="136" t="s">
        <v>501</v>
      </c>
      <c r="B348" s="136" t="s">
        <v>502</v>
      </c>
      <c r="C348" s="136">
        <v>11</v>
      </c>
      <c r="D348" s="154"/>
      <c r="E348" s="154"/>
      <c r="F348" s="155"/>
    </row>
    <row r="349" spans="1:7" x14ac:dyDescent="0.25">
      <c r="A349" s="136"/>
      <c r="B349" s="136"/>
      <c r="C349" s="136"/>
      <c r="D349" s="136"/>
      <c r="F349" s="143"/>
    </row>
    <row r="350" spans="1:7" ht="30" x14ac:dyDescent="0.25">
      <c r="A350" s="136"/>
      <c r="B350" s="136"/>
      <c r="C350" s="136" t="s">
        <v>500</v>
      </c>
      <c r="D350" s="136"/>
      <c r="F350" s="143"/>
    </row>
    <row r="351" spans="1:7" x14ac:dyDescent="0.25">
      <c r="A351" s="136" t="s">
        <v>126</v>
      </c>
      <c r="B351" s="136" t="s">
        <v>479</v>
      </c>
      <c r="C351" s="136" t="s">
        <v>480</v>
      </c>
      <c r="D351" s="136" t="s">
        <v>481</v>
      </c>
      <c r="E351" t="s">
        <v>482</v>
      </c>
      <c r="F351" s="136" t="s">
        <v>483</v>
      </c>
      <c r="G351" s="136" t="s">
        <v>25</v>
      </c>
    </row>
    <row r="352" spans="1:7" x14ac:dyDescent="0.25">
      <c r="A352" s="136"/>
      <c r="B352" s="136"/>
      <c r="C352" s="136"/>
      <c r="G352" s="143"/>
    </row>
    <row r="353" spans="1:7" ht="30" x14ac:dyDescent="0.25">
      <c r="A353" s="136" t="s">
        <v>364</v>
      </c>
      <c r="B353" s="136">
        <v>3</v>
      </c>
      <c r="C353" s="146">
        <v>1159</v>
      </c>
      <c r="D353" s="136">
        <v>1</v>
      </c>
      <c r="E353">
        <v>200</v>
      </c>
      <c r="F353" s="136">
        <v>33</v>
      </c>
      <c r="G353" s="146">
        <v>1396</v>
      </c>
    </row>
    <row r="354" spans="1:7" x14ac:dyDescent="0.25">
      <c r="A354" s="136" t="s">
        <v>365</v>
      </c>
      <c r="B354" s="136">
        <v>3</v>
      </c>
      <c r="C354" s="136">
        <v>644</v>
      </c>
      <c r="D354" s="136">
        <v>1</v>
      </c>
      <c r="E354">
        <v>143</v>
      </c>
      <c r="F354" s="136">
        <v>16</v>
      </c>
      <c r="G354" s="136">
        <v>807</v>
      </c>
    </row>
    <row r="355" spans="1:7" x14ac:dyDescent="0.25">
      <c r="A355" s="136" t="s">
        <v>366</v>
      </c>
      <c r="B355" s="136">
        <v>3</v>
      </c>
      <c r="C355" s="136">
        <v>473</v>
      </c>
      <c r="D355" s="136">
        <v>2</v>
      </c>
      <c r="E355">
        <v>89</v>
      </c>
      <c r="F355" s="136">
        <v>15</v>
      </c>
      <c r="G355" s="136">
        <v>582</v>
      </c>
    </row>
    <row r="356" spans="1:7" x14ac:dyDescent="0.25">
      <c r="A356" s="136" t="s">
        <v>367</v>
      </c>
      <c r="B356" s="136">
        <v>26</v>
      </c>
      <c r="C356" s="146">
        <v>7403</v>
      </c>
      <c r="D356" s="136">
        <v>4</v>
      </c>
      <c r="E356" s="145">
        <v>1966</v>
      </c>
      <c r="F356" s="136">
        <v>194</v>
      </c>
      <c r="G356" s="146">
        <v>9593</v>
      </c>
    </row>
    <row r="357" spans="1:7" x14ac:dyDescent="0.25">
      <c r="A357" s="136" t="s">
        <v>368</v>
      </c>
      <c r="B357" s="136"/>
      <c r="C357" s="136">
        <v>153</v>
      </c>
      <c r="E357" s="136">
        <v>27</v>
      </c>
      <c r="F357" s="136">
        <v>3</v>
      </c>
      <c r="G357" s="136">
        <v>183</v>
      </c>
    </row>
    <row r="358" spans="1:7" ht="30" x14ac:dyDescent="0.25">
      <c r="A358" s="136" t="s">
        <v>369</v>
      </c>
      <c r="B358" s="136"/>
      <c r="C358" s="136">
        <v>158</v>
      </c>
      <c r="E358" s="136">
        <v>17</v>
      </c>
      <c r="F358" s="136">
        <v>3</v>
      </c>
      <c r="G358" s="136">
        <v>178</v>
      </c>
    </row>
    <row r="359" spans="1:7" x14ac:dyDescent="0.25">
      <c r="A359" s="136" t="s">
        <v>370</v>
      </c>
      <c r="B359" s="136"/>
      <c r="C359" s="136">
        <v>44</v>
      </c>
      <c r="E359" s="136">
        <v>5</v>
      </c>
      <c r="F359" s="136">
        <v>1</v>
      </c>
      <c r="G359" s="136">
        <v>50</v>
      </c>
    </row>
    <row r="360" spans="1:7" ht="30" x14ac:dyDescent="0.25">
      <c r="A360" s="136" t="s">
        <v>371</v>
      </c>
      <c r="B360" s="136">
        <v>7</v>
      </c>
      <c r="C360" s="146">
        <v>3013</v>
      </c>
      <c r="D360" s="136">
        <v>3</v>
      </c>
      <c r="E360">
        <v>662</v>
      </c>
      <c r="F360" s="136">
        <v>54</v>
      </c>
      <c r="G360" s="146">
        <v>3739</v>
      </c>
    </row>
    <row r="361" spans="1:7" x14ac:dyDescent="0.25">
      <c r="A361" s="136" t="s">
        <v>496</v>
      </c>
      <c r="B361" s="136">
        <v>2</v>
      </c>
      <c r="C361" s="136">
        <v>469</v>
      </c>
      <c r="E361" s="136">
        <v>83</v>
      </c>
      <c r="F361" s="136">
        <v>13</v>
      </c>
      <c r="G361" s="136">
        <v>567</v>
      </c>
    </row>
    <row r="362" spans="1:7" x14ac:dyDescent="0.25">
      <c r="A362" s="136" t="s">
        <v>372</v>
      </c>
      <c r="B362" s="136"/>
      <c r="C362" s="136">
        <v>41</v>
      </c>
      <c r="E362" s="136">
        <v>7</v>
      </c>
      <c r="F362" s="136">
        <v>1</v>
      </c>
      <c r="G362" s="136">
        <v>49</v>
      </c>
    </row>
    <row r="363" spans="1:7" x14ac:dyDescent="0.25">
      <c r="A363" s="136" t="s">
        <v>25</v>
      </c>
      <c r="B363" s="137">
        <f>SUM(B353:B362)</f>
        <v>44</v>
      </c>
      <c r="C363" s="137">
        <f t="shared" ref="C363:G363" si="8">SUM(C353:C362)</f>
        <v>13557</v>
      </c>
      <c r="D363" s="137">
        <f t="shared" si="8"/>
        <v>11</v>
      </c>
      <c r="E363" s="137">
        <f t="shared" si="8"/>
        <v>3199</v>
      </c>
      <c r="F363" s="137">
        <f t="shared" si="8"/>
        <v>333</v>
      </c>
      <c r="G363" s="137">
        <f t="shared" si="8"/>
        <v>17144</v>
      </c>
    </row>
    <row r="364" spans="1:7" x14ac:dyDescent="0.25">
      <c r="A364" s="136"/>
      <c r="B364" s="136"/>
      <c r="C364" s="136"/>
      <c r="D364" s="147"/>
      <c r="E364" s="147"/>
      <c r="F364" s="144"/>
    </row>
    <row r="368" spans="1:7" ht="45" x14ac:dyDescent="0.25">
      <c r="A368" s="136" t="s">
        <v>501</v>
      </c>
      <c r="B368" s="136" t="s">
        <v>502</v>
      </c>
      <c r="C368" s="136">
        <v>12</v>
      </c>
      <c r="D368" s="154"/>
      <c r="E368" s="154"/>
      <c r="F368" s="154"/>
      <c r="G368" s="155"/>
    </row>
    <row r="369" spans="1:9" x14ac:dyDescent="0.25">
      <c r="A369" s="136"/>
      <c r="B369" s="136"/>
      <c r="C369" s="136"/>
      <c r="D369" s="136"/>
      <c r="G369" s="143"/>
    </row>
    <row r="370" spans="1:9" x14ac:dyDescent="0.25">
      <c r="A370" s="136"/>
      <c r="B370" s="136"/>
      <c r="C370" s="136"/>
      <c r="D370" s="154"/>
      <c r="E370" s="154"/>
      <c r="F370" s="155"/>
      <c r="G370" s="143"/>
    </row>
    <row r="371" spans="1:9" ht="30" x14ac:dyDescent="0.25">
      <c r="A371" s="156"/>
      <c r="B371" s="156" t="s">
        <v>500</v>
      </c>
      <c r="C371" s="156"/>
      <c r="F371" s="143"/>
      <c r="G371" s="156"/>
    </row>
    <row r="372" spans="1:9" x14ac:dyDescent="0.25">
      <c r="A372" s="159" t="s">
        <v>126</v>
      </c>
      <c r="B372" s="159" t="s">
        <v>479</v>
      </c>
      <c r="C372" s="159" t="s">
        <v>480</v>
      </c>
      <c r="D372" s="159" t="s">
        <v>481</v>
      </c>
      <c r="E372" s="152" t="s">
        <v>482</v>
      </c>
      <c r="F372" s="159" t="s">
        <v>483</v>
      </c>
      <c r="G372" s="159" t="s">
        <v>25</v>
      </c>
    </row>
    <row r="373" spans="1:9" x14ac:dyDescent="0.25">
      <c r="A373" s="159"/>
      <c r="B373" s="159"/>
      <c r="C373" s="159"/>
      <c r="D373" s="152"/>
      <c r="E373" s="152"/>
      <c r="F373" s="152"/>
      <c r="G373" s="152"/>
      <c r="H373" s="158"/>
    </row>
    <row r="374" spans="1:9" ht="30" x14ac:dyDescent="0.25">
      <c r="A374" s="159" t="s">
        <v>373</v>
      </c>
      <c r="B374" s="159">
        <v>1</v>
      </c>
      <c r="C374" s="159">
        <v>101</v>
      </c>
      <c r="D374" s="152"/>
      <c r="E374" s="159">
        <v>33</v>
      </c>
      <c r="F374" s="159">
        <v>4</v>
      </c>
      <c r="G374" s="159">
        <v>139</v>
      </c>
    </row>
    <row r="375" spans="1:9" ht="30" x14ac:dyDescent="0.25">
      <c r="A375" s="159" t="s">
        <v>374</v>
      </c>
      <c r="C375" s="159">
        <v>4</v>
      </c>
      <c r="D375" s="152"/>
      <c r="E375" s="152"/>
      <c r="F375" s="152"/>
      <c r="G375" s="159">
        <v>4</v>
      </c>
    </row>
    <row r="376" spans="1:9" ht="30" x14ac:dyDescent="0.25">
      <c r="A376" s="159" t="s">
        <v>375</v>
      </c>
      <c r="C376" s="159">
        <v>19</v>
      </c>
      <c r="E376" s="159">
        <v>4</v>
      </c>
      <c r="F376" s="159">
        <v>2</v>
      </c>
      <c r="G376" s="159">
        <v>25</v>
      </c>
      <c r="H376" s="171"/>
    </row>
    <row r="377" spans="1:9" x14ac:dyDescent="0.25">
      <c r="A377" s="159" t="s">
        <v>376</v>
      </c>
      <c r="B377" s="159">
        <v>7</v>
      </c>
      <c r="C377" s="172">
        <v>4322</v>
      </c>
      <c r="D377" s="159">
        <v>7</v>
      </c>
      <c r="E377" s="152">
        <v>872</v>
      </c>
      <c r="F377" s="159">
        <v>107</v>
      </c>
      <c r="G377" s="175">
        <v>5315</v>
      </c>
      <c r="H377" s="171"/>
    </row>
    <row r="378" spans="1:9" x14ac:dyDescent="0.25">
      <c r="A378" s="159" t="s">
        <v>377</v>
      </c>
      <c r="B378" s="159">
        <v>3</v>
      </c>
      <c r="C378" s="159">
        <v>918</v>
      </c>
      <c r="E378" s="159">
        <v>182</v>
      </c>
      <c r="F378" s="159">
        <v>17</v>
      </c>
      <c r="G378" s="175">
        <v>1120</v>
      </c>
    </row>
    <row r="379" spans="1:9" ht="30" x14ac:dyDescent="0.25">
      <c r="A379" s="159" t="s">
        <v>378</v>
      </c>
      <c r="B379" s="159"/>
      <c r="C379" s="159">
        <v>65</v>
      </c>
      <c r="E379" s="159">
        <v>13</v>
      </c>
      <c r="F379" s="159">
        <v>2</v>
      </c>
      <c r="G379" s="176">
        <v>80</v>
      </c>
      <c r="I379" s="171"/>
    </row>
    <row r="380" spans="1:9" ht="30" x14ac:dyDescent="0.25">
      <c r="A380" s="159" t="s">
        <v>379</v>
      </c>
      <c r="B380" s="159">
        <v>71</v>
      </c>
      <c r="C380" s="172">
        <v>19979</v>
      </c>
      <c r="D380" s="159">
        <v>32</v>
      </c>
      <c r="E380" s="173">
        <v>4673</v>
      </c>
      <c r="F380" s="159">
        <v>454</v>
      </c>
      <c r="G380" s="175">
        <v>25209</v>
      </c>
    </row>
    <row r="381" spans="1:9" x14ac:dyDescent="0.25">
      <c r="A381" s="159" t="s">
        <v>380</v>
      </c>
      <c r="B381" s="159"/>
      <c r="C381" s="159">
        <v>15</v>
      </c>
      <c r="F381" s="159">
        <v>1</v>
      </c>
      <c r="G381" s="176">
        <v>16</v>
      </c>
    </row>
    <row r="382" spans="1:9" ht="30" x14ac:dyDescent="0.25">
      <c r="A382" s="159" t="s">
        <v>381</v>
      </c>
      <c r="B382" s="159"/>
      <c r="C382" s="159">
        <v>28</v>
      </c>
      <c r="E382" s="159">
        <v>7</v>
      </c>
      <c r="G382" s="176">
        <v>35</v>
      </c>
    </row>
    <row r="383" spans="1:9" x14ac:dyDescent="0.25">
      <c r="A383" s="159" t="s">
        <v>382</v>
      </c>
      <c r="B383" s="159"/>
      <c r="C383" s="159">
        <v>3</v>
      </c>
      <c r="D383" s="159"/>
      <c r="E383" s="159"/>
      <c r="F383" s="159">
        <v>1</v>
      </c>
      <c r="G383" s="176">
        <v>4</v>
      </c>
    </row>
    <row r="384" spans="1:9" ht="30" x14ac:dyDescent="0.25">
      <c r="A384" s="159" t="s">
        <v>383</v>
      </c>
      <c r="B384" s="159"/>
      <c r="C384" s="159">
        <v>4</v>
      </c>
      <c r="D384" s="159"/>
      <c r="E384" s="159">
        <v>2</v>
      </c>
      <c r="G384" s="176">
        <v>6</v>
      </c>
    </row>
    <row r="385" spans="1:8" x14ac:dyDescent="0.25">
      <c r="A385" s="159"/>
      <c r="B385" s="152"/>
      <c r="C385" s="152"/>
      <c r="D385" s="152"/>
      <c r="E385" s="152"/>
      <c r="F385" s="152"/>
      <c r="G385" s="153"/>
      <c r="H385" s="171"/>
    </row>
    <row r="386" spans="1:8" x14ac:dyDescent="0.25">
      <c r="A386" s="159" t="s">
        <v>25</v>
      </c>
      <c r="B386" s="174">
        <f>SUM(B374:B385)</f>
        <v>82</v>
      </c>
      <c r="C386" s="174">
        <f t="shared" ref="C386:G386" si="9">SUM(C374:C385)</f>
        <v>25458</v>
      </c>
      <c r="D386" s="174">
        <f t="shared" si="9"/>
        <v>39</v>
      </c>
      <c r="E386" s="174">
        <f t="shared" si="9"/>
        <v>5786</v>
      </c>
      <c r="F386" s="174">
        <f t="shared" si="9"/>
        <v>588</v>
      </c>
      <c r="G386" s="177">
        <f t="shared" si="9"/>
        <v>31953</v>
      </c>
    </row>
    <row r="387" spans="1:8" x14ac:dyDescent="0.25">
      <c r="A387" s="157"/>
      <c r="B387" s="157"/>
      <c r="C387" s="157"/>
      <c r="D387" s="147"/>
      <c r="E387" s="147"/>
      <c r="F387" s="144"/>
    </row>
    <row r="390" spans="1:8" ht="45" x14ac:dyDescent="0.25">
      <c r="A390" s="136" t="s">
        <v>384</v>
      </c>
      <c r="B390" s="154"/>
      <c r="C390" s="154"/>
      <c r="D390" s="154"/>
      <c r="E390" s="154"/>
      <c r="F390" s="155"/>
    </row>
    <row r="391" spans="1:8" x14ac:dyDescent="0.25">
      <c r="A391" s="136"/>
      <c r="B391" s="136"/>
      <c r="C391" s="136"/>
      <c r="F391" s="143"/>
    </row>
    <row r="392" spans="1:8" ht="30" x14ac:dyDescent="0.25">
      <c r="A392" s="136"/>
      <c r="B392" s="136" t="s">
        <v>500</v>
      </c>
      <c r="C392" s="136"/>
      <c r="F392" s="143"/>
    </row>
    <row r="393" spans="1:8" x14ac:dyDescent="0.25">
      <c r="A393" s="136" t="s">
        <v>126</v>
      </c>
      <c r="B393" s="136" t="s">
        <v>479</v>
      </c>
      <c r="C393" s="136" t="s">
        <v>480</v>
      </c>
      <c r="D393" s="136" t="s">
        <v>481</v>
      </c>
      <c r="E393" t="s">
        <v>482</v>
      </c>
      <c r="F393" s="136" t="s">
        <v>483</v>
      </c>
      <c r="G393" s="136" t="s">
        <v>25</v>
      </c>
    </row>
    <row r="394" spans="1:8" x14ac:dyDescent="0.25">
      <c r="A394" s="136"/>
      <c r="B394" s="136"/>
      <c r="C394" s="136"/>
      <c r="G394" s="143"/>
    </row>
    <row r="395" spans="1:8" x14ac:dyDescent="0.25">
      <c r="A395" s="136" t="s">
        <v>385</v>
      </c>
      <c r="B395" s="136">
        <v>1</v>
      </c>
      <c r="C395" s="136">
        <v>924</v>
      </c>
      <c r="D395" s="136">
        <v>1</v>
      </c>
      <c r="E395">
        <v>119</v>
      </c>
      <c r="F395" s="136">
        <v>21</v>
      </c>
      <c r="G395" s="146">
        <v>1066</v>
      </c>
    </row>
    <row r="396" spans="1:8" x14ac:dyDescent="0.25">
      <c r="A396" s="136" t="s">
        <v>386</v>
      </c>
      <c r="B396" s="136">
        <v>17</v>
      </c>
      <c r="C396" s="146">
        <v>12230</v>
      </c>
      <c r="D396" s="136">
        <v>9</v>
      </c>
      <c r="E396" s="145">
        <v>1993</v>
      </c>
      <c r="F396" s="136">
        <v>282</v>
      </c>
      <c r="G396" s="146">
        <v>14531</v>
      </c>
    </row>
    <row r="397" spans="1:8" ht="30" x14ac:dyDescent="0.25">
      <c r="A397" s="136" t="s">
        <v>387</v>
      </c>
      <c r="B397" s="136">
        <v>6</v>
      </c>
      <c r="C397" s="146">
        <v>2917</v>
      </c>
      <c r="D397" s="136">
        <v>1</v>
      </c>
      <c r="E397">
        <v>571</v>
      </c>
      <c r="F397" s="136">
        <v>86</v>
      </c>
      <c r="G397" s="146">
        <v>3581</v>
      </c>
    </row>
    <row r="398" spans="1:8" x14ac:dyDescent="0.25">
      <c r="A398" s="136" t="s">
        <v>388</v>
      </c>
      <c r="B398" s="136">
        <v>38</v>
      </c>
      <c r="C398" s="146">
        <v>13179</v>
      </c>
      <c r="D398" s="136">
        <v>5</v>
      </c>
      <c r="E398" s="145">
        <v>2692</v>
      </c>
      <c r="F398" s="136">
        <v>261</v>
      </c>
      <c r="G398" s="146">
        <v>16175</v>
      </c>
    </row>
    <row r="399" spans="1:8" ht="30" x14ac:dyDescent="0.25">
      <c r="A399" s="136" t="s">
        <v>389</v>
      </c>
      <c r="B399" s="136">
        <v>62</v>
      </c>
      <c r="C399" s="146">
        <v>25815</v>
      </c>
      <c r="D399" s="136">
        <v>11</v>
      </c>
      <c r="E399" s="145">
        <v>3671</v>
      </c>
      <c r="F399" s="136">
        <v>485</v>
      </c>
      <c r="G399" s="146">
        <v>30044</v>
      </c>
    </row>
    <row r="400" spans="1:8" x14ac:dyDescent="0.25">
      <c r="A400" s="136" t="s">
        <v>390</v>
      </c>
      <c r="B400" s="136">
        <v>29</v>
      </c>
      <c r="C400" s="146">
        <v>12648</v>
      </c>
      <c r="D400" s="136">
        <v>7</v>
      </c>
      <c r="E400" s="145">
        <v>2490</v>
      </c>
      <c r="F400" s="136">
        <v>406</v>
      </c>
      <c r="G400" s="146">
        <v>15580</v>
      </c>
    </row>
    <row r="401" spans="1:7" x14ac:dyDescent="0.25">
      <c r="A401" s="136" t="s">
        <v>391</v>
      </c>
      <c r="B401" s="136">
        <v>66</v>
      </c>
      <c r="C401" s="146">
        <v>25984</v>
      </c>
      <c r="D401" s="136">
        <v>9</v>
      </c>
      <c r="E401" s="145">
        <v>4636</v>
      </c>
      <c r="F401" s="136">
        <v>488</v>
      </c>
      <c r="G401" s="146">
        <v>31183</v>
      </c>
    </row>
    <row r="402" spans="1:7" x14ac:dyDescent="0.25">
      <c r="A402" s="136" t="s">
        <v>392</v>
      </c>
      <c r="B402" s="136">
        <v>4</v>
      </c>
      <c r="C402" s="146">
        <v>5170</v>
      </c>
      <c r="D402" s="136">
        <v>1</v>
      </c>
      <c r="E402">
        <v>887</v>
      </c>
      <c r="F402" s="136">
        <v>158</v>
      </c>
      <c r="G402" s="146">
        <v>6220</v>
      </c>
    </row>
    <row r="403" spans="1:7" x14ac:dyDescent="0.25">
      <c r="A403" s="136" t="s">
        <v>393</v>
      </c>
      <c r="B403" s="136">
        <v>60</v>
      </c>
      <c r="C403" s="146">
        <v>28734</v>
      </c>
      <c r="D403" s="136">
        <v>22</v>
      </c>
      <c r="E403" s="145">
        <v>4750</v>
      </c>
      <c r="F403" s="136">
        <v>584</v>
      </c>
      <c r="G403" s="146">
        <v>34150</v>
      </c>
    </row>
    <row r="404" spans="1:7" x14ac:dyDescent="0.25">
      <c r="A404" s="136" t="s">
        <v>394</v>
      </c>
      <c r="B404" s="136">
        <v>16</v>
      </c>
      <c r="C404" s="146">
        <v>5174</v>
      </c>
      <c r="D404" s="136">
        <v>2</v>
      </c>
      <c r="E404">
        <v>822</v>
      </c>
      <c r="F404" s="136">
        <v>144</v>
      </c>
      <c r="G404" s="146">
        <v>6158</v>
      </c>
    </row>
    <row r="405" spans="1:7" ht="30" x14ac:dyDescent="0.25">
      <c r="A405" s="136" t="s">
        <v>395</v>
      </c>
      <c r="B405" s="136">
        <v>58</v>
      </c>
      <c r="C405" s="146">
        <v>24111</v>
      </c>
      <c r="D405" s="136">
        <v>18</v>
      </c>
      <c r="E405" s="145">
        <v>4393</v>
      </c>
      <c r="F405" s="136">
        <v>550</v>
      </c>
      <c r="G405" s="146">
        <v>29130</v>
      </c>
    </row>
    <row r="406" spans="1:7" ht="30" x14ac:dyDescent="0.25">
      <c r="A406" s="136" t="s">
        <v>396</v>
      </c>
      <c r="B406" s="136">
        <v>39</v>
      </c>
      <c r="C406" s="146">
        <v>12333</v>
      </c>
      <c r="D406" s="136">
        <v>7</v>
      </c>
      <c r="E406" s="145">
        <v>2733</v>
      </c>
      <c r="F406" s="136">
        <v>301</v>
      </c>
      <c r="G406" s="146">
        <v>15413</v>
      </c>
    </row>
    <row r="407" spans="1:7" ht="30" x14ac:dyDescent="0.25">
      <c r="A407" s="136" t="s">
        <v>397</v>
      </c>
      <c r="B407" s="136">
        <v>33</v>
      </c>
      <c r="C407" s="146">
        <v>14458</v>
      </c>
      <c r="D407" s="136">
        <v>11</v>
      </c>
      <c r="E407" s="145">
        <v>2637</v>
      </c>
      <c r="F407" s="136">
        <v>377</v>
      </c>
      <c r="G407" s="146">
        <v>17516</v>
      </c>
    </row>
    <row r="408" spans="1:7" ht="30" x14ac:dyDescent="0.25">
      <c r="A408" s="136" t="s">
        <v>398</v>
      </c>
      <c r="B408" s="136">
        <v>7</v>
      </c>
      <c r="C408" s="146">
        <v>5267</v>
      </c>
      <c r="D408" s="136">
        <v>2</v>
      </c>
      <c r="E408">
        <v>771</v>
      </c>
      <c r="F408" s="136">
        <v>127</v>
      </c>
      <c r="G408" s="146">
        <v>6174</v>
      </c>
    </row>
    <row r="409" spans="1:7" ht="30" x14ac:dyDescent="0.25">
      <c r="A409" s="136" t="s">
        <v>399</v>
      </c>
      <c r="B409" s="136">
        <v>40</v>
      </c>
      <c r="C409" s="146">
        <v>16217</v>
      </c>
      <c r="D409" s="136">
        <v>5</v>
      </c>
      <c r="E409" s="145">
        <v>2774</v>
      </c>
      <c r="F409" s="136">
        <v>315</v>
      </c>
      <c r="G409" s="146">
        <v>19351</v>
      </c>
    </row>
    <row r="410" spans="1:7" x14ac:dyDescent="0.25">
      <c r="A410" s="136" t="s">
        <v>400</v>
      </c>
      <c r="B410" s="136">
        <v>143</v>
      </c>
      <c r="C410" s="146">
        <v>60425</v>
      </c>
      <c r="D410" s="136">
        <v>33</v>
      </c>
      <c r="E410" s="145">
        <v>13569</v>
      </c>
      <c r="F410" s="146">
        <v>1419</v>
      </c>
      <c r="G410" s="146">
        <v>75589</v>
      </c>
    </row>
    <row r="411" spans="1:7" x14ac:dyDescent="0.25">
      <c r="A411" s="136" t="s">
        <v>401</v>
      </c>
      <c r="B411" s="136">
        <v>56</v>
      </c>
      <c r="C411" s="146">
        <v>22154</v>
      </c>
      <c r="D411" s="136">
        <v>8</v>
      </c>
      <c r="E411" s="145">
        <v>3556</v>
      </c>
      <c r="F411" s="136">
        <v>449</v>
      </c>
      <c r="G411" s="146">
        <v>26223</v>
      </c>
    </row>
    <row r="412" spans="1:7" ht="30" x14ac:dyDescent="0.25">
      <c r="A412" s="136" t="s">
        <v>402</v>
      </c>
      <c r="B412" s="136">
        <v>74</v>
      </c>
      <c r="C412" s="146">
        <v>28470</v>
      </c>
      <c r="D412" s="136">
        <v>6</v>
      </c>
      <c r="E412" s="145">
        <v>3852</v>
      </c>
      <c r="F412" s="136">
        <v>642</v>
      </c>
      <c r="G412" s="146">
        <v>33044</v>
      </c>
    </row>
    <row r="413" spans="1:7" x14ac:dyDescent="0.25">
      <c r="A413" s="136" t="s">
        <v>403</v>
      </c>
      <c r="B413" s="136">
        <v>18</v>
      </c>
      <c r="C413" s="146">
        <v>10581</v>
      </c>
      <c r="D413" s="136">
        <v>3</v>
      </c>
      <c r="E413" s="145">
        <v>2744</v>
      </c>
      <c r="F413" s="136">
        <v>327</v>
      </c>
      <c r="G413" s="146">
        <v>13673</v>
      </c>
    </row>
    <row r="414" spans="1:7" x14ac:dyDescent="0.25">
      <c r="A414" s="136" t="s">
        <v>404</v>
      </c>
      <c r="B414" s="136">
        <v>22</v>
      </c>
      <c r="C414" s="146">
        <v>8601</v>
      </c>
      <c r="D414" s="136">
        <v>4</v>
      </c>
      <c r="E414" s="145">
        <v>1394</v>
      </c>
      <c r="F414" s="136">
        <v>378</v>
      </c>
      <c r="G414" s="146">
        <v>10399</v>
      </c>
    </row>
    <row r="415" spans="1:7" ht="30" x14ac:dyDescent="0.25">
      <c r="A415" s="136" t="s">
        <v>405</v>
      </c>
      <c r="B415" s="136">
        <v>47</v>
      </c>
      <c r="C415" s="146">
        <v>25934</v>
      </c>
      <c r="D415" s="136">
        <v>19</v>
      </c>
      <c r="E415" s="145">
        <v>11809</v>
      </c>
      <c r="F415" s="136">
        <v>995</v>
      </c>
      <c r="G415" s="146">
        <v>38804</v>
      </c>
    </row>
    <row r="416" spans="1:7" ht="45" x14ac:dyDescent="0.25">
      <c r="A416" s="136" t="s">
        <v>406</v>
      </c>
      <c r="B416" s="136">
        <v>13</v>
      </c>
      <c r="C416" s="146">
        <v>5898</v>
      </c>
      <c r="D416" s="136">
        <v>3</v>
      </c>
      <c r="E416" s="145">
        <v>1373</v>
      </c>
      <c r="F416" s="136">
        <v>225</v>
      </c>
      <c r="G416" s="146">
        <v>7512</v>
      </c>
    </row>
    <row r="417" spans="1:7" x14ac:dyDescent="0.25">
      <c r="A417" s="136" t="s">
        <v>407</v>
      </c>
      <c r="B417" s="136">
        <v>66</v>
      </c>
      <c r="C417" s="146">
        <v>19232</v>
      </c>
      <c r="D417" s="136">
        <v>7</v>
      </c>
      <c r="E417" s="145">
        <v>2796</v>
      </c>
      <c r="F417" s="136">
        <v>398</v>
      </c>
      <c r="G417" s="146">
        <v>22499</v>
      </c>
    </row>
    <row r="418" spans="1:7" x14ac:dyDescent="0.25">
      <c r="A418" s="136" t="s">
        <v>408</v>
      </c>
      <c r="B418" s="136">
        <v>56</v>
      </c>
      <c r="C418" s="146">
        <v>19634</v>
      </c>
      <c r="D418" s="136">
        <v>8</v>
      </c>
      <c r="E418" s="145">
        <v>3323</v>
      </c>
      <c r="F418" s="136">
        <v>387</v>
      </c>
      <c r="G418" s="146">
        <v>23408</v>
      </c>
    </row>
    <row r="419" spans="1:7" x14ac:dyDescent="0.25">
      <c r="A419" s="136" t="s">
        <v>409</v>
      </c>
      <c r="B419" s="136">
        <v>39</v>
      </c>
      <c r="C419" s="146">
        <v>20899</v>
      </c>
      <c r="D419" s="136">
        <v>11</v>
      </c>
      <c r="E419" s="145">
        <v>3948</v>
      </c>
      <c r="F419" s="136">
        <v>426</v>
      </c>
      <c r="G419" s="146">
        <v>25323</v>
      </c>
    </row>
    <row r="420" spans="1:7" x14ac:dyDescent="0.25">
      <c r="A420" s="136" t="s">
        <v>410</v>
      </c>
      <c r="B420" s="136">
        <v>181</v>
      </c>
      <c r="C420" s="146">
        <v>72617</v>
      </c>
      <c r="D420" s="136">
        <v>61</v>
      </c>
      <c r="E420" s="145">
        <v>16053</v>
      </c>
      <c r="F420" s="146">
        <v>1674</v>
      </c>
      <c r="G420" s="146">
        <v>90586</v>
      </c>
    </row>
    <row r="421" spans="1:7" ht="30" x14ac:dyDescent="0.25">
      <c r="A421" s="136" t="s">
        <v>411</v>
      </c>
      <c r="B421" s="136">
        <v>8</v>
      </c>
      <c r="C421" s="146">
        <v>2095</v>
      </c>
      <c r="E421" s="136">
        <v>515</v>
      </c>
      <c r="F421" s="136">
        <v>49</v>
      </c>
      <c r="G421" s="146">
        <v>2667</v>
      </c>
    </row>
    <row r="422" spans="1:7" x14ac:dyDescent="0.25">
      <c r="A422" s="136" t="s">
        <v>412</v>
      </c>
      <c r="B422" s="136">
        <v>54</v>
      </c>
      <c r="C422" s="146">
        <v>21093</v>
      </c>
      <c r="D422" s="136">
        <v>13</v>
      </c>
      <c r="E422" s="145">
        <v>3862</v>
      </c>
      <c r="F422" s="136">
        <v>467</v>
      </c>
      <c r="G422" s="146">
        <v>25489</v>
      </c>
    </row>
    <row r="423" spans="1:7" ht="30" x14ac:dyDescent="0.25">
      <c r="A423" s="136" t="s">
        <v>413</v>
      </c>
      <c r="B423" s="136">
        <v>20</v>
      </c>
      <c r="C423" s="146">
        <v>8171</v>
      </c>
      <c r="D423" s="136">
        <v>2</v>
      </c>
      <c r="E423" s="145">
        <v>1386</v>
      </c>
      <c r="F423" s="136">
        <v>233</v>
      </c>
      <c r="G423" s="146">
        <v>9812</v>
      </c>
    </row>
    <row r="424" spans="1:7" x14ac:dyDescent="0.25">
      <c r="A424" s="136" t="s">
        <v>414</v>
      </c>
      <c r="B424" s="136">
        <v>24</v>
      </c>
      <c r="C424" s="146">
        <v>9511</v>
      </c>
      <c r="D424" s="136">
        <v>2</v>
      </c>
      <c r="E424" s="145">
        <v>1446</v>
      </c>
      <c r="F424" s="136">
        <v>258</v>
      </c>
      <c r="G424" s="146">
        <v>11241</v>
      </c>
    </row>
    <row r="425" spans="1:7" ht="45" x14ac:dyDescent="0.25">
      <c r="A425" s="136" t="s">
        <v>415</v>
      </c>
      <c r="B425" s="136">
        <v>49</v>
      </c>
      <c r="C425" s="146">
        <v>22381</v>
      </c>
      <c r="D425" s="136">
        <v>17</v>
      </c>
      <c r="E425" s="145">
        <v>3608</v>
      </c>
      <c r="F425" s="136">
        <v>479</v>
      </c>
      <c r="G425" s="146">
        <v>26534</v>
      </c>
    </row>
    <row r="426" spans="1:7" x14ac:dyDescent="0.25">
      <c r="A426" s="136" t="s">
        <v>497</v>
      </c>
      <c r="B426" s="136">
        <v>22</v>
      </c>
      <c r="C426" s="146">
        <v>13162</v>
      </c>
      <c r="D426" s="136">
        <v>7</v>
      </c>
      <c r="E426" s="145">
        <v>2639</v>
      </c>
      <c r="F426" s="136">
        <v>275</v>
      </c>
      <c r="G426" s="146">
        <v>16105</v>
      </c>
    </row>
    <row r="427" spans="1:7" x14ac:dyDescent="0.25">
      <c r="A427" s="136" t="s">
        <v>498</v>
      </c>
      <c r="B427" s="136">
        <v>78</v>
      </c>
      <c r="C427" s="146">
        <v>34107</v>
      </c>
      <c r="D427" s="136">
        <v>13</v>
      </c>
      <c r="E427" s="145">
        <v>5884</v>
      </c>
      <c r="F427" s="136">
        <v>805</v>
      </c>
      <c r="G427" s="146">
        <v>40887</v>
      </c>
    </row>
    <row r="428" spans="1:7" x14ac:dyDescent="0.25">
      <c r="A428" s="136" t="s">
        <v>416</v>
      </c>
      <c r="B428" s="136">
        <v>7</v>
      </c>
      <c r="C428" s="146">
        <v>3175</v>
      </c>
      <c r="D428" s="136">
        <v>1</v>
      </c>
      <c r="E428">
        <v>611</v>
      </c>
      <c r="F428" s="136">
        <v>103</v>
      </c>
      <c r="G428" s="146">
        <v>3897</v>
      </c>
    </row>
    <row r="429" spans="1:7" ht="30" x14ac:dyDescent="0.25">
      <c r="A429" s="136" t="s">
        <v>417</v>
      </c>
      <c r="B429" s="136">
        <v>22</v>
      </c>
      <c r="C429" s="146">
        <v>12602</v>
      </c>
      <c r="D429" s="136">
        <v>7</v>
      </c>
      <c r="E429" s="145">
        <v>4503</v>
      </c>
      <c r="F429" s="136">
        <v>493</v>
      </c>
      <c r="G429" s="146">
        <v>17627</v>
      </c>
    </row>
    <row r="430" spans="1:7" x14ac:dyDescent="0.25">
      <c r="A430" s="136" t="s">
        <v>418</v>
      </c>
      <c r="B430" s="136">
        <v>82</v>
      </c>
      <c r="C430" s="146">
        <v>31452</v>
      </c>
      <c r="D430" s="136">
        <v>25</v>
      </c>
      <c r="E430" s="145">
        <v>5262</v>
      </c>
      <c r="F430" s="136">
        <v>839</v>
      </c>
      <c r="G430" s="146">
        <v>37660</v>
      </c>
    </row>
    <row r="431" spans="1:7" ht="30" x14ac:dyDescent="0.25">
      <c r="A431" s="136" t="s">
        <v>419</v>
      </c>
      <c r="B431" s="136">
        <v>139</v>
      </c>
      <c r="C431" s="146">
        <v>71068</v>
      </c>
      <c r="D431" s="136">
        <v>25</v>
      </c>
      <c r="E431" s="145">
        <v>11252</v>
      </c>
      <c r="F431" s="146">
        <v>1837</v>
      </c>
      <c r="G431" s="146">
        <v>84321</v>
      </c>
    </row>
    <row r="432" spans="1:7" x14ac:dyDescent="0.25">
      <c r="A432" s="136" t="s">
        <v>420</v>
      </c>
      <c r="B432" s="136">
        <v>46</v>
      </c>
      <c r="C432" s="146">
        <v>18143</v>
      </c>
      <c r="D432" s="136">
        <v>6</v>
      </c>
      <c r="E432" s="145">
        <v>3143</v>
      </c>
      <c r="F432" s="136">
        <v>568</v>
      </c>
      <c r="G432" s="146">
        <v>21906</v>
      </c>
    </row>
    <row r="433" spans="1:7" ht="30" x14ac:dyDescent="0.25">
      <c r="A433" s="136" t="s">
        <v>421</v>
      </c>
      <c r="B433" s="136">
        <v>49</v>
      </c>
      <c r="C433" s="146">
        <v>21030</v>
      </c>
      <c r="D433" s="136">
        <v>4</v>
      </c>
      <c r="E433" s="145">
        <v>3207</v>
      </c>
      <c r="F433" s="136">
        <v>438</v>
      </c>
      <c r="G433" s="146">
        <v>24728</v>
      </c>
    </row>
    <row r="434" spans="1:7" x14ac:dyDescent="0.25">
      <c r="A434" s="136" t="s">
        <v>422</v>
      </c>
      <c r="B434" s="136">
        <v>89</v>
      </c>
      <c r="C434" s="146">
        <v>28084</v>
      </c>
      <c r="D434" s="136">
        <v>6</v>
      </c>
      <c r="E434" s="145">
        <v>4734</v>
      </c>
      <c r="F434" s="136">
        <v>625</v>
      </c>
      <c r="G434" s="146">
        <v>33538</v>
      </c>
    </row>
    <row r="435" spans="1:7" x14ac:dyDescent="0.25">
      <c r="A435" s="136" t="s">
        <v>423</v>
      </c>
      <c r="B435" s="136">
        <v>50</v>
      </c>
      <c r="C435" s="146">
        <v>23517</v>
      </c>
      <c r="D435" s="136">
        <v>10</v>
      </c>
      <c r="E435" s="145">
        <v>3534</v>
      </c>
      <c r="F435" s="136">
        <v>544</v>
      </c>
      <c r="G435" s="146">
        <v>27655</v>
      </c>
    </row>
    <row r="436" spans="1:7" ht="30" x14ac:dyDescent="0.25">
      <c r="A436" s="136" t="s">
        <v>424</v>
      </c>
      <c r="B436" s="136">
        <v>87</v>
      </c>
      <c r="C436" s="146">
        <v>40881</v>
      </c>
      <c r="D436" s="136">
        <v>25</v>
      </c>
      <c r="E436" s="145">
        <v>6718</v>
      </c>
      <c r="F436" s="146">
        <v>1025</v>
      </c>
      <c r="G436" s="146">
        <v>48736</v>
      </c>
    </row>
    <row r="437" spans="1:7" ht="30" x14ac:dyDescent="0.25">
      <c r="A437" s="136" t="s">
        <v>425</v>
      </c>
      <c r="B437" s="136">
        <v>50</v>
      </c>
      <c r="C437" s="146">
        <v>19809</v>
      </c>
      <c r="D437" s="136">
        <v>8</v>
      </c>
      <c r="E437" s="145">
        <v>2971</v>
      </c>
      <c r="F437" s="136">
        <v>448</v>
      </c>
      <c r="G437" s="146">
        <v>23286</v>
      </c>
    </row>
    <row r="438" spans="1:7" ht="30" x14ac:dyDescent="0.25">
      <c r="A438" s="136" t="s">
        <v>426</v>
      </c>
      <c r="B438" s="136">
        <v>3</v>
      </c>
      <c r="C438" s="146">
        <v>2383</v>
      </c>
      <c r="D438" s="136">
        <v>1</v>
      </c>
      <c r="E438">
        <v>492</v>
      </c>
      <c r="F438" s="136">
        <v>53</v>
      </c>
      <c r="G438" s="146">
        <v>2932</v>
      </c>
    </row>
    <row r="439" spans="1:7" ht="30" x14ac:dyDescent="0.25">
      <c r="A439" s="136" t="s">
        <v>427</v>
      </c>
      <c r="B439" s="136">
        <v>49</v>
      </c>
      <c r="C439" s="146">
        <v>16683</v>
      </c>
      <c r="D439" s="136">
        <v>5</v>
      </c>
      <c r="E439" s="145">
        <v>3202</v>
      </c>
      <c r="F439" s="136">
        <v>431</v>
      </c>
      <c r="G439" s="146">
        <v>20370</v>
      </c>
    </row>
    <row r="440" spans="1:7" x14ac:dyDescent="0.25">
      <c r="A440" s="136" t="s">
        <v>428</v>
      </c>
      <c r="B440" s="136">
        <v>6</v>
      </c>
      <c r="C440" s="146">
        <v>1653</v>
      </c>
      <c r="D440" s="136">
        <v>2</v>
      </c>
      <c r="E440">
        <v>321</v>
      </c>
      <c r="F440" s="136">
        <v>47</v>
      </c>
      <c r="G440" s="146">
        <v>2029</v>
      </c>
    </row>
    <row r="441" spans="1:7" ht="30" x14ac:dyDescent="0.25">
      <c r="A441" s="136" t="s">
        <v>429</v>
      </c>
      <c r="B441" s="136">
        <v>45</v>
      </c>
      <c r="C441" s="146">
        <v>17432</v>
      </c>
      <c r="D441" s="136">
        <v>5</v>
      </c>
      <c r="E441" s="145">
        <v>2147</v>
      </c>
      <c r="F441" s="136">
        <v>292</v>
      </c>
      <c r="G441" s="146">
        <v>19921</v>
      </c>
    </row>
    <row r="442" spans="1:7" x14ac:dyDescent="0.25">
      <c r="A442" s="136" t="s">
        <v>430</v>
      </c>
      <c r="B442" s="136">
        <v>420</v>
      </c>
      <c r="C442" s="146">
        <v>53928</v>
      </c>
      <c r="D442" s="136">
        <v>14</v>
      </c>
      <c r="E442" s="145">
        <v>10554</v>
      </c>
      <c r="F442" s="146">
        <v>1765</v>
      </c>
      <c r="G442" s="146">
        <v>66681</v>
      </c>
    </row>
    <row r="443" spans="1:7" x14ac:dyDescent="0.25">
      <c r="A443" s="136" t="s">
        <v>431</v>
      </c>
      <c r="B443" s="136">
        <v>22</v>
      </c>
      <c r="C443" s="146">
        <v>10410</v>
      </c>
      <c r="D443" s="136">
        <v>10</v>
      </c>
      <c r="E443" s="145">
        <v>1956</v>
      </c>
      <c r="F443" s="136">
        <v>255</v>
      </c>
      <c r="G443" s="146">
        <v>12653</v>
      </c>
    </row>
    <row r="444" spans="1:7" x14ac:dyDescent="0.25">
      <c r="A444" s="136" t="s">
        <v>432</v>
      </c>
      <c r="B444" s="136">
        <v>6</v>
      </c>
      <c r="C444" s="146">
        <v>2581</v>
      </c>
      <c r="E444" s="136">
        <v>416</v>
      </c>
      <c r="F444" s="136">
        <v>58</v>
      </c>
      <c r="G444" s="146">
        <v>3061</v>
      </c>
    </row>
    <row r="445" spans="1:7" x14ac:dyDescent="0.25">
      <c r="A445" s="136" t="s">
        <v>433</v>
      </c>
      <c r="B445" s="136">
        <v>7</v>
      </c>
      <c r="C445" s="146">
        <v>4977</v>
      </c>
      <c r="E445" s="146">
        <v>2219</v>
      </c>
      <c r="F445" s="136">
        <v>223</v>
      </c>
      <c r="G445" s="146">
        <v>7426</v>
      </c>
    </row>
    <row r="446" spans="1:7" x14ac:dyDescent="0.25">
      <c r="A446" s="136" t="s">
        <v>499</v>
      </c>
      <c r="B446" s="136">
        <v>56</v>
      </c>
      <c r="C446" s="146">
        <v>28379</v>
      </c>
      <c r="D446" s="136">
        <v>13</v>
      </c>
      <c r="E446" s="145">
        <v>7415</v>
      </c>
      <c r="F446" s="136">
        <v>772</v>
      </c>
      <c r="G446" s="146">
        <v>36635</v>
      </c>
    </row>
    <row r="447" spans="1:7" x14ac:dyDescent="0.25">
      <c r="A447" s="136"/>
      <c r="G447" s="143"/>
    </row>
    <row r="448" spans="1:7" x14ac:dyDescent="0.25">
      <c r="A448" s="136" t="s">
        <v>25</v>
      </c>
      <c r="B448" s="146">
        <f>SUM(B395:B447)</f>
        <v>2681</v>
      </c>
      <c r="C448" s="146">
        <f t="shared" ref="C448:G448" si="10">SUM(C395:C447)</f>
        <v>1018313</v>
      </c>
      <c r="D448" s="146">
        <f t="shared" si="10"/>
        <v>495</v>
      </c>
      <c r="E448" s="146">
        <f t="shared" si="10"/>
        <v>194353</v>
      </c>
      <c r="F448" s="146">
        <f t="shared" si="10"/>
        <v>25287</v>
      </c>
      <c r="G448" s="146">
        <f t="shared" si="10"/>
        <v>1241129</v>
      </c>
    </row>
    <row r="449" spans="1:7" x14ac:dyDescent="0.25">
      <c r="A449" s="136"/>
      <c r="B449" s="136"/>
      <c r="C449" s="136"/>
      <c r="D449" s="147"/>
      <c r="F449" s="147"/>
      <c r="G449" s="144"/>
    </row>
    <row r="454" spans="1:7" ht="45" x14ac:dyDescent="0.25">
      <c r="A454" s="136" t="s">
        <v>434</v>
      </c>
      <c r="B454" s="154"/>
      <c r="C454" s="154"/>
      <c r="D454" s="154"/>
      <c r="E454" s="154"/>
      <c r="F454" s="155"/>
    </row>
    <row r="455" spans="1:7" x14ac:dyDescent="0.25">
      <c r="A455" s="136"/>
      <c r="B455" s="136"/>
      <c r="C455" s="136"/>
      <c r="F455" s="143"/>
    </row>
    <row r="456" spans="1:7" ht="30" x14ac:dyDescent="0.25">
      <c r="A456" s="136"/>
      <c r="B456" s="136" t="s">
        <v>500</v>
      </c>
      <c r="C456" s="136"/>
      <c r="F456" s="143"/>
    </row>
    <row r="457" spans="1:7" x14ac:dyDescent="0.25">
      <c r="A457" s="136" t="s">
        <v>126</v>
      </c>
      <c r="B457" s="136" t="s">
        <v>479</v>
      </c>
      <c r="C457" s="136" t="s">
        <v>480</v>
      </c>
      <c r="D457" s="136" t="s">
        <v>481</v>
      </c>
      <c r="E457" s="136" t="s">
        <v>482</v>
      </c>
      <c r="F457" s="136" t="s">
        <v>483</v>
      </c>
      <c r="G457" s="136" t="s">
        <v>25</v>
      </c>
    </row>
    <row r="458" spans="1:7" x14ac:dyDescent="0.25">
      <c r="A458" s="136"/>
      <c r="B458" s="136"/>
      <c r="C458" s="136"/>
      <c r="G458" s="143"/>
    </row>
    <row r="459" spans="1:7" x14ac:dyDescent="0.25">
      <c r="A459" s="136" t="s">
        <v>435</v>
      </c>
      <c r="B459" s="136">
        <v>2</v>
      </c>
      <c r="C459" s="146">
        <v>1040</v>
      </c>
      <c r="D459" s="136">
        <v>1</v>
      </c>
      <c r="E459" s="136">
        <v>159</v>
      </c>
      <c r="F459" s="136">
        <v>13</v>
      </c>
      <c r="G459" s="146">
        <v>1215</v>
      </c>
    </row>
    <row r="460" spans="1:7" x14ac:dyDescent="0.25">
      <c r="A460" s="136" t="s">
        <v>436</v>
      </c>
      <c r="B460" s="136">
        <v>9</v>
      </c>
      <c r="C460" s="146">
        <v>2600</v>
      </c>
      <c r="D460" s="136">
        <v>2</v>
      </c>
      <c r="E460" s="136">
        <v>421</v>
      </c>
      <c r="F460" s="136">
        <v>81</v>
      </c>
      <c r="G460" s="146">
        <v>3113</v>
      </c>
    </row>
    <row r="461" spans="1:7" x14ac:dyDescent="0.25">
      <c r="A461" s="136" t="s">
        <v>437</v>
      </c>
      <c r="B461" s="136">
        <v>22</v>
      </c>
      <c r="C461" s="146">
        <v>8352</v>
      </c>
      <c r="D461" s="136">
        <v>8</v>
      </c>
      <c r="E461" s="146">
        <v>1465</v>
      </c>
      <c r="F461" s="136">
        <v>187</v>
      </c>
      <c r="G461" s="146">
        <v>10034</v>
      </c>
    </row>
    <row r="462" spans="1:7" ht="30" x14ac:dyDescent="0.25">
      <c r="A462" s="136" t="s">
        <v>438</v>
      </c>
      <c r="B462" s="136">
        <v>5</v>
      </c>
      <c r="C462" s="146">
        <v>1993</v>
      </c>
      <c r="D462" s="136">
        <v>1</v>
      </c>
      <c r="E462" s="136">
        <v>282</v>
      </c>
      <c r="F462" s="136">
        <v>48</v>
      </c>
      <c r="G462" s="146">
        <v>2329</v>
      </c>
    </row>
    <row r="463" spans="1:7" x14ac:dyDescent="0.25">
      <c r="A463" s="136" t="s">
        <v>439</v>
      </c>
      <c r="B463" s="136">
        <v>17</v>
      </c>
      <c r="C463" s="146">
        <v>3454</v>
      </c>
      <c r="D463" s="136">
        <v>5</v>
      </c>
      <c r="E463" s="136">
        <v>556</v>
      </c>
      <c r="F463" s="136">
        <v>66</v>
      </c>
      <c r="G463" s="146">
        <v>4098</v>
      </c>
    </row>
    <row r="464" spans="1:7" x14ac:dyDescent="0.25">
      <c r="A464" s="136" t="s">
        <v>440</v>
      </c>
      <c r="B464" s="136">
        <v>10</v>
      </c>
      <c r="C464" s="146">
        <v>3912</v>
      </c>
      <c r="D464" s="136">
        <v>2</v>
      </c>
      <c r="E464" s="136">
        <v>567</v>
      </c>
      <c r="F464" s="136">
        <v>98</v>
      </c>
      <c r="G464" s="146">
        <v>4589</v>
      </c>
    </row>
    <row r="465" spans="1:7" x14ac:dyDescent="0.25">
      <c r="A465" s="136" t="s">
        <v>441</v>
      </c>
      <c r="B465" s="136">
        <v>7</v>
      </c>
      <c r="C465" s="146">
        <v>1486</v>
      </c>
      <c r="D465" s="136">
        <v>1</v>
      </c>
      <c r="E465" s="136">
        <v>250</v>
      </c>
      <c r="F465" s="136">
        <v>24</v>
      </c>
      <c r="G465" s="146">
        <v>1768</v>
      </c>
    </row>
    <row r="466" spans="1:7" x14ac:dyDescent="0.25">
      <c r="A466" s="136" t="s">
        <v>442</v>
      </c>
      <c r="B466" s="136">
        <v>19</v>
      </c>
      <c r="C466" s="146">
        <v>4468</v>
      </c>
      <c r="D466" s="136">
        <v>2</v>
      </c>
      <c r="E466" s="136">
        <v>955</v>
      </c>
      <c r="F466" s="136">
        <v>104</v>
      </c>
      <c r="G466" s="146">
        <v>5548</v>
      </c>
    </row>
    <row r="467" spans="1:7" ht="30" x14ac:dyDescent="0.25">
      <c r="A467" s="136" t="s">
        <v>443</v>
      </c>
      <c r="B467" s="136">
        <v>12</v>
      </c>
      <c r="C467" s="146">
        <v>6294</v>
      </c>
      <c r="D467" s="136">
        <v>5</v>
      </c>
      <c r="E467" s="146">
        <v>1104</v>
      </c>
      <c r="F467" s="136">
        <v>155</v>
      </c>
      <c r="G467" s="146">
        <v>7570</v>
      </c>
    </row>
    <row r="468" spans="1:7" x14ac:dyDescent="0.25">
      <c r="A468" s="136" t="s">
        <v>444</v>
      </c>
      <c r="B468" s="136">
        <v>20</v>
      </c>
      <c r="C468" s="146">
        <v>6998</v>
      </c>
      <c r="D468" s="136">
        <v>11</v>
      </c>
      <c r="E468" s="146">
        <v>1159</v>
      </c>
      <c r="F468" s="136">
        <v>156</v>
      </c>
      <c r="G468" s="146">
        <v>8344</v>
      </c>
    </row>
    <row r="469" spans="1:7" ht="60" x14ac:dyDescent="0.25">
      <c r="A469" s="136" t="s">
        <v>503</v>
      </c>
      <c r="B469" s="136">
        <v>13</v>
      </c>
      <c r="C469" s="146">
        <v>3804</v>
      </c>
      <c r="D469" s="136">
        <v>1</v>
      </c>
      <c r="E469" s="136">
        <v>560</v>
      </c>
      <c r="F469" s="136">
        <v>88</v>
      </c>
      <c r="G469" s="146">
        <v>4466</v>
      </c>
    </row>
    <row r="470" spans="1:7" x14ac:dyDescent="0.25">
      <c r="A470" s="136" t="s">
        <v>446</v>
      </c>
      <c r="B470" s="136">
        <v>97</v>
      </c>
      <c r="C470" s="146">
        <v>27778</v>
      </c>
      <c r="D470" s="136">
        <v>29</v>
      </c>
      <c r="E470" s="146">
        <v>4913</v>
      </c>
      <c r="F470" s="136">
        <v>600</v>
      </c>
      <c r="G470" s="146">
        <v>33417</v>
      </c>
    </row>
    <row r="471" spans="1:7" x14ac:dyDescent="0.25">
      <c r="A471" s="136"/>
      <c r="G471" s="143"/>
    </row>
    <row r="472" spans="1:7" x14ac:dyDescent="0.25">
      <c r="A472" s="136" t="s">
        <v>25</v>
      </c>
      <c r="B472" s="136">
        <v>233</v>
      </c>
      <c r="C472" s="146">
        <v>72179</v>
      </c>
      <c r="D472" s="136">
        <v>68</v>
      </c>
      <c r="E472" s="146">
        <v>12391</v>
      </c>
      <c r="F472" s="146">
        <v>1620</v>
      </c>
      <c r="G472" s="146">
        <v>86491</v>
      </c>
    </row>
    <row r="473" spans="1:7" x14ac:dyDescent="0.25">
      <c r="A473" s="136"/>
      <c r="B473" s="136"/>
      <c r="C473" s="136"/>
      <c r="F473" s="143"/>
    </row>
    <row r="474" spans="1:7" x14ac:dyDescent="0.25">
      <c r="A474" s="136"/>
      <c r="B474" s="147"/>
      <c r="C474" s="147"/>
      <c r="D474" s="147"/>
      <c r="E474" s="147"/>
      <c r="F474" s="144"/>
    </row>
    <row r="478" spans="1:7" ht="45" x14ac:dyDescent="0.25">
      <c r="A478" s="136" t="s">
        <v>501</v>
      </c>
      <c r="B478" s="136" t="s">
        <v>502</v>
      </c>
      <c r="C478" s="136">
        <v>15</v>
      </c>
      <c r="D478" s="154"/>
      <c r="E478" s="154"/>
      <c r="F478" s="155"/>
    </row>
    <row r="479" spans="1:7" x14ac:dyDescent="0.25">
      <c r="A479" s="136"/>
      <c r="B479" s="136"/>
      <c r="C479" s="136"/>
      <c r="D479" s="136"/>
      <c r="F479" s="143"/>
    </row>
    <row r="480" spans="1:7" ht="30" x14ac:dyDescent="0.25">
      <c r="A480" s="136"/>
      <c r="B480" s="136"/>
      <c r="C480" s="136" t="s">
        <v>500</v>
      </c>
      <c r="D480" s="136"/>
      <c r="F480" s="143"/>
    </row>
    <row r="481" spans="1:7" x14ac:dyDescent="0.25">
      <c r="A481" s="136" t="s">
        <v>126</v>
      </c>
      <c r="B481" s="136" t="s">
        <v>479</v>
      </c>
      <c r="C481" s="136" t="s">
        <v>480</v>
      </c>
      <c r="D481" s="136" t="s">
        <v>481</v>
      </c>
      <c r="E481" s="136" t="s">
        <v>482</v>
      </c>
      <c r="F481" s="136" t="s">
        <v>483</v>
      </c>
      <c r="G481" s="136" t="s">
        <v>25</v>
      </c>
    </row>
    <row r="482" spans="1:7" x14ac:dyDescent="0.25">
      <c r="A482" s="136"/>
      <c r="B482" s="136"/>
      <c r="C482" s="136"/>
      <c r="G482" s="143"/>
    </row>
    <row r="483" spans="1:7" x14ac:dyDescent="0.25">
      <c r="A483" s="136" t="s">
        <v>447</v>
      </c>
      <c r="B483" s="136">
        <v>109</v>
      </c>
      <c r="C483" s="146">
        <v>34285</v>
      </c>
      <c r="D483" s="136">
        <v>16</v>
      </c>
      <c r="E483" s="146">
        <v>5811</v>
      </c>
      <c r="F483" s="136">
        <v>828</v>
      </c>
      <c r="G483" s="146">
        <v>41049</v>
      </c>
    </row>
    <row r="484" spans="1:7" ht="30" x14ac:dyDescent="0.25">
      <c r="A484" s="136" t="s">
        <v>448</v>
      </c>
      <c r="B484" s="136"/>
      <c r="C484" s="136">
        <v>75</v>
      </c>
      <c r="E484" s="136">
        <v>15</v>
      </c>
      <c r="F484" s="136">
        <v>1</v>
      </c>
      <c r="G484" s="136">
        <v>91</v>
      </c>
    </row>
    <row r="485" spans="1:7" ht="30" x14ac:dyDescent="0.25">
      <c r="A485" s="136" t="s">
        <v>449</v>
      </c>
      <c r="B485" s="136">
        <v>1</v>
      </c>
      <c r="C485" s="136">
        <v>62</v>
      </c>
      <c r="E485" s="136">
        <v>21</v>
      </c>
      <c r="G485" s="136">
        <v>84</v>
      </c>
    </row>
    <row r="486" spans="1:7" x14ac:dyDescent="0.25">
      <c r="A486" s="136" t="s">
        <v>450</v>
      </c>
      <c r="B486" s="136"/>
      <c r="C486" s="136">
        <v>218</v>
      </c>
      <c r="E486" s="136">
        <v>58</v>
      </c>
      <c r="F486" s="136">
        <v>8</v>
      </c>
      <c r="G486" s="136">
        <v>284</v>
      </c>
    </row>
    <row r="487" spans="1:7" x14ac:dyDescent="0.25">
      <c r="A487" s="136" t="s">
        <v>25</v>
      </c>
      <c r="B487" s="137">
        <f>SUM(B483:B486)</f>
        <v>110</v>
      </c>
      <c r="C487" s="137">
        <f t="shared" ref="C487:F487" si="11">SUM(C483:C486)</f>
        <v>34640</v>
      </c>
      <c r="D487" s="137">
        <f t="shared" si="11"/>
        <v>16</v>
      </c>
      <c r="E487" s="137">
        <f t="shared" si="11"/>
        <v>5905</v>
      </c>
      <c r="F487" s="137">
        <f t="shared" si="11"/>
        <v>837</v>
      </c>
      <c r="G487" s="137">
        <f>SUM(G483:G486)</f>
        <v>41508</v>
      </c>
    </row>
    <row r="488" spans="1:7" x14ac:dyDescent="0.25">
      <c r="A488" s="136"/>
      <c r="B488" s="136"/>
      <c r="C488" s="136"/>
      <c r="D488" s="147"/>
      <c r="E488" s="147"/>
      <c r="F488" s="144"/>
    </row>
    <row r="492" spans="1:7" ht="45" x14ac:dyDescent="0.25">
      <c r="A492" s="136" t="s">
        <v>501</v>
      </c>
      <c r="B492" s="136" t="s">
        <v>502</v>
      </c>
      <c r="C492" s="136">
        <v>16</v>
      </c>
      <c r="D492" s="154"/>
      <c r="E492" s="154"/>
      <c r="F492" s="155"/>
    </row>
    <row r="493" spans="1:7" x14ac:dyDescent="0.25">
      <c r="A493" s="136"/>
      <c r="B493" s="136"/>
      <c r="C493" s="136"/>
      <c r="D493" s="136"/>
      <c r="F493" s="143"/>
    </row>
    <row r="494" spans="1:7" ht="30" x14ac:dyDescent="0.25">
      <c r="A494" s="136"/>
      <c r="B494" s="136"/>
      <c r="C494" s="136" t="s">
        <v>500</v>
      </c>
      <c r="D494" s="136"/>
      <c r="F494" s="143"/>
    </row>
    <row r="495" spans="1:7" x14ac:dyDescent="0.25">
      <c r="A495" s="136" t="s">
        <v>126</v>
      </c>
      <c r="B495" s="136" t="s">
        <v>479</v>
      </c>
      <c r="C495" s="136" t="s">
        <v>480</v>
      </c>
      <c r="D495" s="136" t="s">
        <v>481</v>
      </c>
      <c r="E495" s="136" t="s">
        <v>482</v>
      </c>
      <c r="F495" s="136" t="s">
        <v>483</v>
      </c>
      <c r="G495" s="136" t="s">
        <v>25</v>
      </c>
    </row>
    <row r="496" spans="1:7" x14ac:dyDescent="0.25">
      <c r="A496" s="136"/>
      <c r="B496" s="136"/>
      <c r="C496" s="136"/>
      <c r="G496" s="143"/>
    </row>
    <row r="497" spans="1:7" x14ac:dyDescent="0.25">
      <c r="A497" s="136" t="s">
        <v>451</v>
      </c>
      <c r="B497" s="136">
        <v>13</v>
      </c>
      <c r="C497" s="146">
        <v>4610</v>
      </c>
      <c r="D497" s="136">
        <v>1</v>
      </c>
      <c r="E497" s="146">
        <v>1258</v>
      </c>
      <c r="F497" s="136">
        <v>132</v>
      </c>
      <c r="G497" s="146">
        <v>6014</v>
      </c>
    </row>
    <row r="498" spans="1:7" x14ac:dyDescent="0.25">
      <c r="A498" s="136" t="s">
        <v>452</v>
      </c>
      <c r="B498" s="136">
        <v>107</v>
      </c>
      <c r="C498" s="146">
        <v>35823</v>
      </c>
      <c r="D498" s="136">
        <v>9</v>
      </c>
      <c r="E498" s="146">
        <v>8805</v>
      </c>
      <c r="F498" s="136">
        <v>912</v>
      </c>
      <c r="G498" s="146">
        <v>45656</v>
      </c>
    </row>
    <row r="499" spans="1:7" ht="30" x14ac:dyDescent="0.25">
      <c r="A499" s="136" t="s">
        <v>453</v>
      </c>
      <c r="B499" s="136">
        <v>18</v>
      </c>
      <c r="C499" s="146">
        <v>4008</v>
      </c>
      <c r="E499" s="136">
        <v>891</v>
      </c>
      <c r="F499" s="136">
        <v>106</v>
      </c>
      <c r="G499" s="146">
        <v>5023</v>
      </c>
    </row>
    <row r="500" spans="1:7" ht="30" x14ac:dyDescent="0.25">
      <c r="A500" s="136" t="s">
        <v>454</v>
      </c>
      <c r="B500" s="136">
        <v>5</v>
      </c>
      <c r="C500" s="146">
        <v>1172</v>
      </c>
      <c r="E500" s="136">
        <v>277</v>
      </c>
      <c r="F500" s="136">
        <v>24</v>
      </c>
      <c r="G500" s="146">
        <v>1478</v>
      </c>
    </row>
    <row r="501" spans="1:7" x14ac:dyDescent="0.25">
      <c r="A501" s="136" t="s">
        <v>455</v>
      </c>
      <c r="B501" s="136">
        <v>5</v>
      </c>
      <c r="C501" s="146">
        <v>3897</v>
      </c>
      <c r="E501" s="136">
        <v>822</v>
      </c>
      <c r="F501" s="136">
        <v>74</v>
      </c>
      <c r="G501" s="146">
        <v>4798</v>
      </c>
    </row>
    <row r="502" spans="1:7" x14ac:dyDescent="0.25">
      <c r="A502" s="136" t="s">
        <v>456</v>
      </c>
      <c r="B502" s="136">
        <v>18</v>
      </c>
      <c r="C502" s="146">
        <v>4370</v>
      </c>
      <c r="D502" s="136">
        <v>1</v>
      </c>
      <c r="E502" s="146">
        <v>1431</v>
      </c>
      <c r="F502" s="136">
        <v>147</v>
      </c>
      <c r="G502" s="146">
        <v>5967</v>
      </c>
    </row>
    <row r="503" spans="1:7" x14ac:dyDescent="0.25">
      <c r="A503" s="136" t="s">
        <v>457</v>
      </c>
      <c r="B503" s="136">
        <v>10</v>
      </c>
      <c r="C503" s="146">
        <v>2703</v>
      </c>
      <c r="D503" s="136">
        <v>1</v>
      </c>
      <c r="E503" s="136">
        <v>848</v>
      </c>
      <c r="F503" s="136">
        <v>73</v>
      </c>
      <c r="G503" s="146">
        <v>3635</v>
      </c>
    </row>
    <row r="504" spans="1:7" x14ac:dyDescent="0.25">
      <c r="A504" s="136" t="s">
        <v>458</v>
      </c>
      <c r="B504" s="136">
        <v>3</v>
      </c>
      <c r="C504" s="146">
        <v>1384</v>
      </c>
      <c r="E504" s="136">
        <v>494</v>
      </c>
      <c r="F504" s="136">
        <v>28</v>
      </c>
      <c r="G504" s="146">
        <v>1909</v>
      </c>
    </row>
    <row r="505" spans="1:7" x14ac:dyDescent="0.25">
      <c r="A505" s="136" t="s">
        <v>459</v>
      </c>
      <c r="B505" s="136">
        <v>2</v>
      </c>
      <c r="C505" s="146">
        <v>1686</v>
      </c>
      <c r="E505" s="136">
        <v>551</v>
      </c>
      <c r="F505" s="136">
        <v>51</v>
      </c>
      <c r="G505" s="146">
        <v>2290</v>
      </c>
    </row>
    <row r="506" spans="1:7" x14ac:dyDescent="0.25">
      <c r="A506" s="136" t="s">
        <v>460</v>
      </c>
      <c r="B506" s="136">
        <v>5</v>
      </c>
      <c r="C506" s="146">
        <v>2316</v>
      </c>
      <c r="E506" s="136">
        <v>695</v>
      </c>
      <c r="F506" s="136">
        <v>81</v>
      </c>
      <c r="G506" s="146">
        <v>3097</v>
      </c>
    </row>
    <row r="507" spans="1:7" ht="30" x14ac:dyDescent="0.25">
      <c r="A507" s="136" t="s">
        <v>461</v>
      </c>
      <c r="B507" s="136">
        <v>4</v>
      </c>
      <c r="C507" s="146">
        <v>1278</v>
      </c>
      <c r="E507" s="136">
        <v>260</v>
      </c>
      <c r="F507" s="136">
        <v>26</v>
      </c>
      <c r="G507" s="146">
        <v>1568</v>
      </c>
    </row>
    <row r="508" spans="1:7" x14ac:dyDescent="0.25">
      <c r="A508" s="136" t="s">
        <v>462</v>
      </c>
      <c r="B508" s="136">
        <v>15</v>
      </c>
      <c r="C508" s="146">
        <v>4075</v>
      </c>
      <c r="D508" s="136">
        <v>3</v>
      </c>
      <c r="E508" s="136">
        <v>910</v>
      </c>
      <c r="F508" s="136">
        <v>132</v>
      </c>
      <c r="G508" s="146">
        <v>5135</v>
      </c>
    </row>
    <row r="509" spans="1:7" x14ac:dyDescent="0.25">
      <c r="A509" s="136" t="s">
        <v>463</v>
      </c>
      <c r="B509" s="136">
        <v>9</v>
      </c>
      <c r="C509" s="146">
        <v>2735</v>
      </c>
      <c r="E509" s="136">
        <v>605</v>
      </c>
      <c r="F509" s="136">
        <v>57</v>
      </c>
      <c r="G509" s="146">
        <v>3406</v>
      </c>
    </row>
    <row r="510" spans="1:7" x14ac:dyDescent="0.25">
      <c r="A510" s="136" t="s">
        <v>464</v>
      </c>
      <c r="B510" s="136">
        <v>4</v>
      </c>
      <c r="C510" s="146">
        <v>1532</v>
      </c>
      <c r="D510" s="136">
        <v>1</v>
      </c>
      <c r="E510" s="136">
        <v>322</v>
      </c>
      <c r="F510" s="136">
        <v>37</v>
      </c>
      <c r="G510" s="146">
        <v>1896</v>
      </c>
    </row>
    <row r="511" spans="1:7" ht="30" x14ac:dyDescent="0.25">
      <c r="A511" s="136" t="s">
        <v>465</v>
      </c>
      <c r="B511" s="136">
        <v>34</v>
      </c>
      <c r="C511" s="146">
        <v>11662</v>
      </c>
      <c r="D511" s="136">
        <v>6</v>
      </c>
      <c r="E511" s="146">
        <v>2801</v>
      </c>
      <c r="F511" s="136">
        <v>253</v>
      </c>
      <c r="G511" s="146">
        <v>14756</v>
      </c>
    </row>
    <row r="512" spans="1:7" ht="30" x14ac:dyDescent="0.25">
      <c r="A512" s="136" t="s">
        <v>466</v>
      </c>
      <c r="B512" s="136">
        <v>2</v>
      </c>
      <c r="C512" s="136">
        <v>915</v>
      </c>
      <c r="E512" s="136">
        <v>208</v>
      </c>
      <c r="F512" s="136">
        <v>24</v>
      </c>
      <c r="G512" s="146">
        <v>1149</v>
      </c>
    </row>
    <row r="513" spans="1:7" ht="30" x14ac:dyDescent="0.25">
      <c r="A513" s="136" t="s">
        <v>467</v>
      </c>
      <c r="B513" s="136">
        <v>16</v>
      </c>
      <c r="C513" s="146">
        <v>3685</v>
      </c>
      <c r="E513" s="146">
        <v>1109</v>
      </c>
      <c r="F513" s="136">
        <v>141</v>
      </c>
      <c r="G513" s="146">
        <v>4951</v>
      </c>
    </row>
    <row r="514" spans="1:7" ht="30" x14ac:dyDescent="0.25">
      <c r="A514" s="136" t="s">
        <v>468</v>
      </c>
      <c r="B514" s="136">
        <v>10</v>
      </c>
      <c r="C514" s="146">
        <v>2256</v>
      </c>
      <c r="D514" s="136">
        <v>1</v>
      </c>
      <c r="E514" s="136">
        <v>614</v>
      </c>
      <c r="F514" s="136">
        <v>62</v>
      </c>
      <c r="G514" s="146">
        <v>2943</v>
      </c>
    </row>
    <row r="515" spans="1:7" x14ac:dyDescent="0.25">
      <c r="A515" s="136" t="s">
        <v>469</v>
      </c>
      <c r="B515" s="136">
        <v>5</v>
      </c>
      <c r="C515" s="146">
        <v>1271</v>
      </c>
      <c r="D515" s="136">
        <v>1</v>
      </c>
      <c r="E515" s="136">
        <v>240</v>
      </c>
      <c r="F515" s="136">
        <v>33</v>
      </c>
      <c r="G515" s="146">
        <v>1550</v>
      </c>
    </row>
    <row r="516" spans="1:7" x14ac:dyDescent="0.25">
      <c r="A516" s="136" t="s">
        <v>470</v>
      </c>
      <c r="B516" s="136">
        <v>11</v>
      </c>
      <c r="C516" s="146">
        <v>3744</v>
      </c>
      <c r="E516" s="136">
        <v>854</v>
      </c>
      <c r="F516" s="136">
        <v>95</v>
      </c>
      <c r="G516" s="146">
        <v>4704</v>
      </c>
    </row>
    <row r="517" spans="1:7" x14ac:dyDescent="0.25">
      <c r="A517" s="136" t="s">
        <v>471</v>
      </c>
      <c r="B517" s="136">
        <v>3</v>
      </c>
      <c r="C517" s="146">
        <v>2785</v>
      </c>
      <c r="D517" s="136">
        <v>1</v>
      </c>
      <c r="E517" s="136">
        <v>811</v>
      </c>
      <c r="F517" s="136">
        <v>75</v>
      </c>
      <c r="G517" s="146">
        <v>3675</v>
      </c>
    </row>
    <row r="518" spans="1:7" x14ac:dyDescent="0.25">
      <c r="A518" s="136" t="s">
        <v>25</v>
      </c>
      <c r="B518" s="137">
        <f>SUM(B497:B517)</f>
        <v>299</v>
      </c>
      <c r="C518" s="137">
        <f t="shared" ref="C518:G518" si="12">SUM(C497:C517)</f>
        <v>97907</v>
      </c>
      <c r="D518" s="137">
        <f t="shared" si="12"/>
        <v>25</v>
      </c>
      <c r="E518" s="137">
        <f t="shared" si="12"/>
        <v>24806</v>
      </c>
      <c r="F518" s="137">
        <f t="shared" si="12"/>
        <v>2563</v>
      </c>
      <c r="G518" s="137">
        <f t="shared" si="12"/>
        <v>125600</v>
      </c>
    </row>
    <row r="519" spans="1:7" x14ac:dyDescent="0.25">
      <c r="A519" s="136"/>
      <c r="B519" s="136"/>
      <c r="C519" s="136"/>
      <c r="D519" s="147"/>
      <c r="E519" s="147"/>
      <c r="F519" s="147"/>
      <c r="G519" s="14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82D8AC-C0F4-45E2-B873-800E325382C8}">
  <sheetPr>
    <tabColor theme="9"/>
  </sheetPr>
  <dimension ref="B2:T32"/>
  <sheetViews>
    <sheetView showGridLines="0" workbookViewId="0"/>
  </sheetViews>
  <sheetFormatPr baseColWidth="10" defaultRowHeight="15" x14ac:dyDescent="0.25"/>
  <cols>
    <col min="2" max="2" width="21.28515625" customWidth="1"/>
    <col min="18" max="18" width="14.28515625" customWidth="1"/>
    <col min="19" max="19" width="18.5703125" customWidth="1"/>
  </cols>
  <sheetData>
    <row r="2" spans="2:20" ht="23.25" x14ac:dyDescent="0.25">
      <c r="B2" s="1" t="s">
        <v>844</v>
      </c>
    </row>
    <row r="4" spans="2:20" ht="18.75" x14ac:dyDescent="0.3">
      <c r="B4" s="2" t="s">
        <v>845</v>
      </c>
      <c r="C4" s="2"/>
      <c r="D4" s="2"/>
      <c r="E4" s="2"/>
      <c r="F4" s="2"/>
    </row>
    <row r="5" spans="2:20" x14ac:dyDescent="0.25">
      <c r="B5" s="351" t="s">
        <v>871</v>
      </c>
    </row>
    <row r="7" spans="2:20" x14ac:dyDescent="0.25">
      <c r="B7" s="522" t="s">
        <v>522</v>
      </c>
      <c r="C7" s="523" t="s">
        <v>472</v>
      </c>
      <c r="D7" s="524"/>
      <c r="E7" s="524"/>
      <c r="F7" s="524"/>
      <c r="G7" s="524"/>
      <c r="H7" s="524"/>
      <c r="I7" s="524"/>
      <c r="J7" s="524"/>
      <c r="K7" s="524"/>
      <c r="L7" s="524"/>
      <c r="M7" s="524"/>
      <c r="N7" s="524"/>
      <c r="O7" s="524"/>
      <c r="P7" s="524"/>
      <c r="Q7" s="524"/>
      <c r="R7" s="525"/>
      <c r="S7" s="426" t="s">
        <v>946</v>
      </c>
    </row>
    <row r="8" spans="2:20" x14ac:dyDescent="0.25">
      <c r="B8" s="526"/>
      <c r="C8" s="363">
        <v>2008</v>
      </c>
      <c r="D8" s="363">
        <v>2009</v>
      </c>
      <c r="E8" s="363">
        <v>2010</v>
      </c>
      <c r="F8" s="363">
        <v>2011</v>
      </c>
      <c r="G8" s="363">
        <v>2012</v>
      </c>
      <c r="H8" s="363">
        <v>2013</v>
      </c>
      <c r="I8" s="363">
        <v>2014</v>
      </c>
      <c r="J8" s="363">
        <v>2015</v>
      </c>
      <c r="K8" s="363">
        <v>2016</v>
      </c>
      <c r="L8" s="363">
        <v>2017</v>
      </c>
      <c r="M8" s="363">
        <v>2018</v>
      </c>
      <c r="N8" s="363">
        <v>2019</v>
      </c>
      <c r="O8" s="363">
        <v>2020</v>
      </c>
      <c r="P8" s="363">
        <v>2021</v>
      </c>
      <c r="Q8" s="363">
        <v>2022</v>
      </c>
      <c r="R8" s="363">
        <v>2023</v>
      </c>
      <c r="S8" s="427"/>
    </row>
    <row r="9" spans="2:20" ht="17.25" x14ac:dyDescent="0.25">
      <c r="B9" s="152" t="s">
        <v>948</v>
      </c>
      <c r="C9" s="250">
        <v>0</v>
      </c>
      <c r="D9" s="250">
        <v>1481</v>
      </c>
      <c r="E9" s="250">
        <v>635</v>
      </c>
      <c r="F9" s="250">
        <v>746</v>
      </c>
      <c r="G9" s="250">
        <v>719</v>
      </c>
      <c r="H9" s="250">
        <v>407</v>
      </c>
      <c r="I9" s="250">
        <v>3429</v>
      </c>
      <c r="J9" s="250">
        <v>892</v>
      </c>
      <c r="K9" s="250">
        <v>736</v>
      </c>
      <c r="L9" s="250">
        <v>854</v>
      </c>
      <c r="M9" s="250">
        <v>587</v>
      </c>
      <c r="N9" s="250">
        <v>781</v>
      </c>
      <c r="O9" s="250">
        <v>2529</v>
      </c>
      <c r="P9" s="250">
        <v>863</v>
      </c>
      <c r="Q9" s="250">
        <v>53</v>
      </c>
      <c r="R9" s="250"/>
      <c r="S9" s="294">
        <v>14712</v>
      </c>
    </row>
    <row r="10" spans="2:20" x14ac:dyDescent="0.25">
      <c r="B10" s="152" t="s">
        <v>2</v>
      </c>
      <c r="C10" s="250">
        <v>0</v>
      </c>
      <c r="D10" s="250">
        <v>818</v>
      </c>
      <c r="E10" s="250">
        <v>247</v>
      </c>
      <c r="F10" s="250">
        <v>349</v>
      </c>
      <c r="G10" s="250">
        <v>487</v>
      </c>
      <c r="H10" s="250">
        <v>315</v>
      </c>
      <c r="I10" s="250">
        <v>557</v>
      </c>
      <c r="J10" s="250">
        <v>780</v>
      </c>
      <c r="K10" s="250">
        <v>804</v>
      </c>
      <c r="L10" s="250">
        <v>726</v>
      </c>
      <c r="M10" s="250">
        <v>513</v>
      </c>
      <c r="N10" s="250">
        <v>569</v>
      </c>
      <c r="O10" s="250">
        <v>1122</v>
      </c>
      <c r="P10" s="250">
        <v>2205</v>
      </c>
      <c r="Q10" s="250">
        <v>1260</v>
      </c>
      <c r="R10" s="250">
        <v>1491</v>
      </c>
      <c r="S10" s="294">
        <v>12243</v>
      </c>
    </row>
    <row r="11" spans="2:20" ht="17.25" x14ac:dyDescent="0.25">
      <c r="B11" s="152" t="s">
        <v>881</v>
      </c>
      <c r="C11" s="250"/>
      <c r="D11" s="250"/>
      <c r="E11" s="250"/>
      <c r="F11" s="250"/>
      <c r="G11" s="250"/>
      <c r="H11" s="250"/>
      <c r="I11" s="250"/>
      <c r="J11" s="250"/>
      <c r="K11" s="250"/>
      <c r="L11" s="250"/>
      <c r="M11" s="250"/>
      <c r="N11" s="250"/>
      <c r="O11" s="250"/>
      <c r="P11" s="250"/>
      <c r="Q11" s="250">
        <v>1251</v>
      </c>
      <c r="R11" s="250">
        <v>825</v>
      </c>
      <c r="S11" s="294">
        <v>2076</v>
      </c>
    </row>
    <row r="12" spans="2:20" ht="17.25" x14ac:dyDescent="0.25">
      <c r="B12" s="152" t="s">
        <v>882</v>
      </c>
      <c r="C12" s="250"/>
      <c r="D12" s="250"/>
      <c r="E12" s="250"/>
      <c r="F12" s="250"/>
      <c r="G12" s="250"/>
      <c r="H12" s="250"/>
      <c r="I12" s="250"/>
      <c r="J12" s="250"/>
      <c r="K12" s="250"/>
      <c r="L12" s="250"/>
      <c r="M12" s="250"/>
      <c r="N12" s="250"/>
      <c r="O12" s="250"/>
      <c r="P12" s="250"/>
      <c r="Q12" s="250">
        <v>619</v>
      </c>
      <c r="R12" s="250">
        <v>2753</v>
      </c>
      <c r="S12" s="294">
        <v>3372</v>
      </c>
    </row>
    <row r="13" spans="2:20" ht="17.25" x14ac:dyDescent="0.25">
      <c r="B13" s="152" t="s">
        <v>898</v>
      </c>
      <c r="C13" s="250">
        <v>0</v>
      </c>
      <c r="D13" s="250">
        <v>264</v>
      </c>
      <c r="E13" s="250">
        <v>12</v>
      </c>
      <c r="F13" s="250">
        <v>0</v>
      </c>
      <c r="G13" s="250">
        <v>518</v>
      </c>
      <c r="H13" s="250">
        <v>171</v>
      </c>
      <c r="I13" s="250">
        <v>780</v>
      </c>
      <c r="J13" s="250">
        <v>761</v>
      </c>
      <c r="K13" s="250">
        <v>9696</v>
      </c>
      <c r="L13" s="250">
        <v>12811</v>
      </c>
      <c r="M13" s="250">
        <v>15457</v>
      </c>
      <c r="N13" s="250">
        <v>16560</v>
      </c>
      <c r="O13" s="250">
        <v>18510</v>
      </c>
      <c r="P13" s="250">
        <v>1687</v>
      </c>
      <c r="Q13" s="250">
        <v>580</v>
      </c>
      <c r="R13" s="250">
        <v>161</v>
      </c>
      <c r="S13" s="294">
        <v>77968</v>
      </c>
    </row>
    <row r="14" spans="2:20" x14ac:dyDescent="0.25">
      <c r="B14" s="152" t="s">
        <v>3</v>
      </c>
      <c r="C14" s="250">
        <v>0</v>
      </c>
      <c r="D14" s="250">
        <v>68</v>
      </c>
      <c r="E14" s="250">
        <v>5</v>
      </c>
      <c r="F14" s="250">
        <v>0</v>
      </c>
      <c r="G14" s="250">
        <v>56</v>
      </c>
      <c r="H14" s="250">
        <v>13</v>
      </c>
      <c r="I14" s="250">
        <v>81</v>
      </c>
      <c r="J14" s="250">
        <v>140</v>
      </c>
      <c r="K14" s="250">
        <v>735</v>
      </c>
      <c r="L14" s="250">
        <v>831</v>
      </c>
      <c r="M14" s="250">
        <v>1252</v>
      </c>
      <c r="N14" s="250">
        <v>1641</v>
      </c>
      <c r="O14" s="250">
        <v>1261</v>
      </c>
      <c r="P14" s="250">
        <v>276</v>
      </c>
      <c r="Q14" s="250">
        <v>431</v>
      </c>
      <c r="R14" s="250">
        <v>151</v>
      </c>
      <c r="S14" s="294">
        <v>6941</v>
      </c>
    </row>
    <row r="15" spans="2:20" x14ac:dyDescent="0.25">
      <c r="B15" s="309" t="s">
        <v>25</v>
      </c>
      <c r="C15" s="294">
        <v>0</v>
      </c>
      <c r="D15" s="294">
        <v>2631</v>
      </c>
      <c r="E15" s="294">
        <v>899</v>
      </c>
      <c r="F15" s="294">
        <v>1095</v>
      </c>
      <c r="G15" s="294">
        <v>1780</v>
      </c>
      <c r="H15" s="294">
        <v>906</v>
      </c>
      <c r="I15" s="294">
        <v>4847</v>
      </c>
      <c r="J15" s="294">
        <v>2573</v>
      </c>
      <c r="K15" s="294">
        <v>11971</v>
      </c>
      <c r="L15" s="294">
        <v>15222</v>
      </c>
      <c r="M15" s="294">
        <v>17809</v>
      </c>
      <c r="N15" s="294">
        <v>19551</v>
      </c>
      <c r="O15" s="294">
        <v>23422</v>
      </c>
      <c r="P15" s="294">
        <v>5031</v>
      </c>
      <c r="Q15" s="294">
        <v>4194</v>
      </c>
      <c r="R15" s="294">
        <v>5381</v>
      </c>
      <c r="S15" s="294">
        <v>117312</v>
      </c>
    </row>
    <row r="16" spans="2:20" x14ac:dyDescent="0.25">
      <c r="B16" s="428" t="s">
        <v>815</v>
      </c>
      <c r="C16" s="428"/>
      <c r="D16" s="428"/>
      <c r="E16" s="428"/>
      <c r="F16" s="428"/>
      <c r="G16" s="428"/>
      <c r="H16" s="428"/>
      <c r="I16" s="428"/>
      <c r="J16" s="428"/>
      <c r="K16" s="428"/>
      <c r="L16" s="428"/>
      <c r="M16" s="428"/>
      <c r="N16" s="428"/>
      <c r="O16" s="428"/>
      <c r="P16" s="428"/>
      <c r="Q16" s="428"/>
      <c r="R16" s="428"/>
      <c r="S16" s="428"/>
      <c r="T16" s="70"/>
    </row>
    <row r="17" spans="2:20" ht="52.5" customHeight="1" x14ac:dyDescent="0.25">
      <c r="B17" s="397" t="s">
        <v>897</v>
      </c>
      <c r="C17" s="397"/>
      <c r="D17" s="397"/>
      <c r="E17" s="397"/>
      <c r="F17" s="397"/>
      <c r="G17" s="397"/>
      <c r="H17" s="397"/>
      <c r="I17" s="397"/>
      <c r="J17" s="397"/>
      <c r="K17" s="397"/>
      <c r="L17" s="397"/>
      <c r="M17" s="397"/>
      <c r="N17" s="397"/>
      <c r="O17" s="397"/>
      <c r="P17" s="397"/>
      <c r="Q17" s="397"/>
      <c r="R17" s="397"/>
      <c r="S17" s="397"/>
      <c r="T17" s="70"/>
    </row>
    <row r="19" spans="2:20" ht="18.75" x14ac:dyDescent="0.3">
      <c r="B19" s="2" t="s">
        <v>846</v>
      </c>
      <c r="C19" s="2"/>
      <c r="D19" s="2"/>
      <c r="E19" s="2"/>
      <c r="F19" s="2"/>
    </row>
    <row r="20" spans="2:20" x14ac:dyDescent="0.25">
      <c r="B20" s="351" t="s">
        <v>78</v>
      </c>
    </row>
    <row r="22" spans="2:20" x14ac:dyDescent="0.25">
      <c r="B22" s="478" t="s">
        <v>522</v>
      </c>
      <c r="C22" s="523" t="s">
        <v>472</v>
      </c>
      <c r="D22" s="524"/>
      <c r="E22" s="524"/>
      <c r="F22" s="524"/>
      <c r="G22" s="524"/>
      <c r="H22" s="524"/>
      <c r="I22" s="524"/>
      <c r="J22" s="524"/>
      <c r="K22" s="524"/>
      <c r="L22" s="524"/>
      <c r="M22" s="524"/>
      <c r="N22" s="524"/>
      <c r="O22" s="524"/>
      <c r="P22" s="524"/>
      <c r="Q22" s="524"/>
      <c r="R22" s="525"/>
      <c r="S22" s="426" t="s">
        <v>947</v>
      </c>
    </row>
    <row r="23" spans="2:20" x14ac:dyDescent="0.25">
      <c r="B23" s="478"/>
      <c r="C23" s="363">
        <v>2008</v>
      </c>
      <c r="D23" s="363">
        <v>2009</v>
      </c>
      <c r="E23" s="363">
        <v>2010</v>
      </c>
      <c r="F23" s="363">
        <v>2011</v>
      </c>
      <c r="G23" s="363">
        <v>2012</v>
      </c>
      <c r="H23" s="363">
        <v>2013</v>
      </c>
      <c r="I23" s="363">
        <v>2014</v>
      </c>
      <c r="J23" s="363">
        <v>2015</v>
      </c>
      <c r="K23" s="363">
        <v>2016</v>
      </c>
      <c r="L23" s="363">
        <v>2017</v>
      </c>
      <c r="M23" s="363">
        <v>2018</v>
      </c>
      <c r="N23" s="363">
        <v>2019</v>
      </c>
      <c r="O23" s="363">
        <v>2020</v>
      </c>
      <c r="P23" s="363">
        <v>2021</v>
      </c>
      <c r="Q23" s="363">
        <v>2022</v>
      </c>
      <c r="R23" s="363">
        <v>2023</v>
      </c>
      <c r="S23" s="427"/>
    </row>
    <row r="24" spans="2:20" ht="17.25" x14ac:dyDescent="0.25">
      <c r="B24" s="152" t="s">
        <v>948</v>
      </c>
      <c r="C24" s="250">
        <v>6127</v>
      </c>
      <c r="D24" s="250">
        <v>17524</v>
      </c>
      <c r="E24" s="250">
        <v>34791</v>
      </c>
      <c r="F24" s="250">
        <v>26236</v>
      </c>
      <c r="G24" s="250">
        <v>23012</v>
      </c>
      <c r="H24" s="250">
        <v>22314</v>
      </c>
      <c r="I24" s="250">
        <v>20472</v>
      </c>
      <c r="J24" s="250">
        <v>17589</v>
      </c>
      <c r="K24" s="250">
        <v>18952</v>
      </c>
      <c r="L24" s="250">
        <v>18945</v>
      </c>
      <c r="M24" s="250">
        <v>19764</v>
      </c>
      <c r="N24" s="250">
        <v>17332</v>
      </c>
      <c r="O24" s="250">
        <v>16993</v>
      </c>
      <c r="P24" s="250">
        <v>20883</v>
      </c>
      <c r="Q24" s="250">
        <v>3828</v>
      </c>
      <c r="R24" s="250"/>
      <c r="S24" s="294">
        <v>284762</v>
      </c>
    </row>
    <row r="25" spans="2:20" x14ac:dyDescent="0.25">
      <c r="B25" s="152" t="s">
        <v>2</v>
      </c>
      <c r="C25" s="250">
        <v>3730</v>
      </c>
      <c r="D25" s="250">
        <v>11361</v>
      </c>
      <c r="E25" s="250">
        <v>11302</v>
      </c>
      <c r="F25" s="250">
        <v>10418</v>
      </c>
      <c r="G25" s="250">
        <v>11740</v>
      </c>
      <c r="H25" s="250">
        <v>12280</v>
      </c>
      <c r="I25" s="250">
        <v>10259</v>
      </c>
      <c r="J25" s="250">
        <v>9664</v>
      </c>
      <c r="K25" s="250">
        <v>9782</v>
      </c>
      <c r="L25" s="250">
        <v>11498</v>
      </c>
      <c r="M25" s="250">
        <v>10439</v>
      </c>
      <c r="N25" s="250">
        <v>10546</v>
      </c>
      <c r="O25" s="250">
        <v>11291</v>
      </c>
      <c r="P25" s="250">
        <v>13221</v>
      </c>
      <c r="Q25" s="250">
        <v>10252</v>
      </c>
      <c r="R25" s="250">
        <v>18659</v>
      </c>
      <c r="S25" s="294">
        <v>176442</v>
      </c>
    </row>
    <row r="26" spans="2:20" ht="17.25" x14ac:dyDescent="0.25">
      <c r="B26" s="152" t="s">
        <v>881</v>
      </c>
      <c r="C26" s="250"/>
      <c r="D26" s="250"/>
      <c r="E26" s="250"/>
      <c r="F26" s="250"/>
      <c r="G26" s="250"/>
      <c r="H26" s="250"/>
      <c r="I26" s="250"/>
      <c r="J26" s="250"/>
      <c r="K26" s="250"/>
      <c r="L26" s="250"/>
      <c r="M26" s="250"/>
      <c r="N26" s="250"/>
      <c r="O26" s="250"/>
      <c r="P26" s="250"/>
      <c r="Q26" s="250">
        <v>29767</v>
      </c>
      <c r="R26" s="250">
        <v>19988</v>
      </c>
      <c r="S26" s="294">
        <v>49755</v>
      </c>
    </row>
    <row r="27" spans="2:20" ht="17.25" x14ac:dyDescent="0.25">
      <c r="B27" s="152" t="s">
        <v>882</v>
      </c>
      <c r="C27" s="250"/>
      <c r="D27" s="250"/>
      <c r="E27" s="250"/>
      <c r="F27" s="250"/>
      <c r="G27" s="250"/>
      <c r="H27" s="250"/>
      <c r="I27" s="250"/>
      <c r="J27" s="250"/>
      <c r="K27" s="250"/>
      <c r="L27" s="250"/>
      <c r="M27" s="250"/>
      <c r="N27" s="250"/>
      <c r="O27" s="250"/>
      <c r="P27" s="250"/>
      <c r="Q27" s="250">
        <v>41180</v>
      </c>
      <c r="R27" s="250">
        <v>57884</v>
      </c>
      <c r="S27" s="294">
        <v>99064</v>
      </c>
    </row>
    <row r="28" spans="2:20" ht="17.25" x14ac:dyDescent="0.25">
      <c r="B28" s="152" t="s">
        <v>898</v>
      </c>
      <c r="C28" s="250">
        <v>3949</v>
      </c>
      <c r="D28" s="250">
        <v>17566</v>
      </c>
      <c r="E28" s="250">
        <v>26970</v>
      </c>
      <c r="F28" s="250">
        <v>29676</v>
      </c>
      <c r="G28" s="250">
        <v>25599</v>
      </c>
      <c r="H28" s="250">
        <v>36028</v>
      </c>
      <c r="I28" s="250">
        <v>34628</v>
      </c>
      <c r="J28" s="250">
        <v>30387</v>
      </c>
      <c r="K28" s="250">
        <v>29535</v>
      </c>
      <c r="L28" s="250">
        <v>35201</v>
      </c>
      <c r="M28" s="250">
        <v>41694</v>
      </c>
      <c r="N28" s="250">
        <v>37187</v>
      </c>
      <c r="O28" s="250">
        <v>45606</v>
      </c>
      <c r="P28" s="250">
        <v>52794</v>
      </c>
      <c r="Q28" s="250">
        <v>22477</v>
      </c>
      <c r="R28" s="250">
        <v>5127</v>
      </c>
      <c r="S28" s="294">
        <v>474424</v>
      </c>
    </row>
    <row r="29" spans="2:20" x14ac:dyDescent="0.25">
      <c r="B29" s="152" t="s">
        <v>3</v>
      </c>
      <c r="C29" s="250">
        <v>11</v>
      </c>
      <c r="D29" s="250">
        <v>332</v>
      </c>
      <c r="E29" s="250">
        <v>1240</v>
      </c>
      <c r="F29" s="250">
        <v>942</v>
      </c>
      <c r="G29" s="250">
        <v>1529</v>
      </c>
      <c r="H29" s="250">
        <v>2494</v>
      </c>
      <c r="I29" s="250">
        <v>3205</v>
      </c>
      <c r="J29" s="250">
        <v>3262</v>
      </c>
      <c r="K29" s="250">
        <v>3397</v>
      </c>
      <c r="L29" s="250">
        <v>4160</v>
      </c>
      <c r="M29" s="250">
        <v>4987</v>
      </c>
      <c r="N29" s="250">
        <v>4101</v>
      </c>
      <c r="O29" s="250">
        <v>5697</v>
      </c>
      <c r="P29" s="250">
        <v>4803</v>
      </c>
      <c r="Q29" s="250">
        <v>6508</v>
      </c>
      <c r="R29" s="250">
        <v>8893</v>
      </c>
      <c r="S29" s="294">
        <v>55561</v>
      </c>
    </row>
    <row r="30" spans="2:20" x14ac:dyDescent="0.25">
      <c r="B30" s="309" t="s">
        <v>25</v>
      </c>
      <c r="C30" s="294">
        <v>13817</v>
      </c>
      <c r="D30" s="294">
        <v>46783</v>
      </c>
      <c r="E30" s="294">
        <v>74303</v>
      </c>
      <c r="F30" s="294">
        <v>67272</v>
      </c>
      <c r="G30" s="294">
        <v>61880</v>
      </c>
      <c r="H30" s="294">
        <v>73116</v>
      </c>
      <c r="I30" s="294">
        <v>68564</v>
      </c>
      <c r="J30" s="294">
        <v>60902</v>
      </c>
      <c r="K30" s="294">
        <v>61666</v>
      </c>
      <c r="L30" s="294">
        <v>69804</v>
      </c>
      <c r="M30" s="294">
        <v>76884</v>
      </c>
      <c r="N30" s="294">
        <v>69166</v>
      </c>
      <c r="O30" s="294">
        <v>79587</v>
      </c>
      <c r="P30" s="294">
        <v>91701</v>
      </c>
      <c r="Q30" s="294">
        <v>114012</v>
      </c>
      <c r="R30" s="294">
        <v>110551</v>
      </c>
      <c r="S30" s="294">
        <v>1140008</v>
      </c>
    </row>
    <row r="31" spans="2:20" x14ac:dyDescent="0.25">
      <c r="B31" s="428" t="s">
        <v>815</v>
      </c>
      <c r="C31" s="428"/>
      <c r="D31" s="428"/>
      <c r="E31" s="428"/>
      <c r="F31" s="428"/>
      <c r="G31" s="428"/>
      <c r="H31" s="428"/>
      <c r="I31" s="428"/>
      <c r="J31" s="428"/>
      <c r="K31" s="428"/>
      <c r="L31" s="428"/>
      <c r="M31" s="428"/>
      <c r="N31" s="428"/>
      <c r="O31" s="428"/>
      <c r="P31" s="428"/>
      <c r="Q31" s="428"/>
      <c r="R31" s="428"/>
      <c r="S31" s="428"/>
    </row>
    <row r="32" spans="2:20" ht="57" customHeight="1" x14ac:dyDescent="0.25">
      <c r="B32" s="397" t="s">
        <v>897</v>
      </c>
      <c r="C32" s="397"/>
      <c r="D32" s="397"/>
      <c r="E32" s="397"/>
      <c r="F32" s="397"/>
      <c r="G32" s="397"/>
      <c r="H32" s="397"/>
      <c r="I32" s="397"/>
      <c r="J32" s="397"/>
      <c r="K32" s="397"/>
      <c r="L32" s="397"/>
      <c r="M32" s="397"/>
      <c r="N32" s="397"/>
      <c r="O32" s="397"/>
      <c r="P32" s="397"/>
      <c r="Q32" s="397"/>
      <c r="R32" s="397"/>
      <c r="S32" s="397"/>
    </row>
  </sheetData>
  <mergeCells count="10">
    <mergeCell ref="B32:S32"/>
    <mergeCell ref="B7:B8"/>
    <mergeCell ref="S7:S8"/>
    <mergeCell ref="B22:B23"/>
    <mergeCell ref="S22:S23"/>
    <mergeCell ref="C22:R22"/>
    <mergeCell ref="C7:R7"/>
    <mergeCell ref="B16:S16"/>
    <mergeCell ref="B31:S31"/>
    <mergeCell ref="B17:S1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7B861-38AA-4A81-BA18-1E600ACAF51A}">
  <sheetPr>
    <tabColor theme="8" tint="0.79998168889431442"/>
  </sheetPr>
  <dimension ref="B1:M72"/>
  <sheetViews>
    <sheetView showGridLines="0" workbookViewId="0"/>
  </sheetViews>
  <sheetFormatPr baseColWidth="10" defaultRowHeight="15" x14ac:dyDescent="0.25"/>
  <cols>
    <col min="1" max="1" width="14.42578125" customWidth="1"/>
  </cols>
  <sheetData>
    <row r="1" spans="2:13" x14ac:dyDescent="0.25">
      <c r="B1" s="387" t="s">
        <v>706</v>
      </c>
      <c r="C1" s="388"/>
      <c r="D1" s="388"/>
      <c r="E1" s="388"/>
      <c r="F1" s="388"/>
      <c r="G1" s="388"/>
      <c r="H1" s="388"/>
      <c r="I1" s="388"/>
      <c r="J1" s="388"/>
      <c r="K1" s="388"/>
      <c r="L1" s="388"/>
      <c r="M1" s="388"/>
    </row>
    <row r="2" spans="2:13" x14ac:dyDescent="0.25">
      <c r="B2" s="388"/>
      <c r="C2" s="388"/>
      <c r="D2" s="388"/>
      <c r="E2" s="388"/>
      <c r="F2" s="388"/>
      <c r="G2" s="388"/>
      <c r="H2" s="388"/>
      <c r="I2" s="388"/>
      <c r="J2" s="388"/>
      <c r="K2" s="388"/>
      <c r="L2" s="388"/>
      <c r="M2" s="388"/>
    </row>
    <row r="3" spans="2:13" x14ac:dyDescent="0.25">
      <c r="B3" s="388"/>
      <c r="C3" s="388"/>
      <c r="D3" s="388"/>
      <c r="E3" s="388"/>
      <c r="F3" s="388"/>
      <c r="G3" s="388"/>
      <c r="H3" s="388"/>
      <c r="I3" s="388"/>
      <c r="J3" s="388"/>
      <c r="K3" s="388"/>
      <c r="L3" s="388"/>
      <c r="M3" s="388"/>
    </row>
    <row r="4" spans="2:13" x14ac:dyDescent="0.25">
      <c r="B4" s="388"/>
      <c r="C4" s="388"/>
      <c r="D4" s="388"/>
      <c r="E4" s="388"/>
      <c r="F4" s="388"/>
      <c r="G4" s="388"/>
      <c r="H4" s="388"/>
      <c r="I4" s="388"/>
      <c r="J4" s="388"/>
      <c r="K4" s="388"/>
      <c r="L4" s="388"/>
      <c r="M4" s="388"/>
    </row>
    <row r="5" spans="2:13" x14ac:dyDescent="0.25">
      <c r="B5" s="388"/>
      <c r="C5" s="388"/>
      <c r="D5" s="388"/>
      <c r="E5" s="388"/>
      <c r="F5" s="388"/>
      <c r="G5" s="388"/>
      <c r="H5" s="388"/>
      <c r="I5" s="388"/>
      <c r="J5" s="388"/>
      <c r="K5" s="388"/>
      <c r="L5" s="388"/>
      <c r="M5" s="388"/>
    </row>
    <row r="6" spans="2:13" ht="15.75" x14ac:dyDescent="0.25">
      <c r="B6" s="232"/>
      <c r="C6" s="232"/>
      <c r="D6" s="232"/>
      <c r="E6" s="232"/>
      <c r="F6" s="232"/>
      <c r="G6" s="232"/>
      <c r="H6" s="232"/>
      <c r="I6" s="232"/>
      <c r="J6" s="232"/>
      <c r="K6" s="232"/>
      <c r="L6" s="232"/>
      <c r="M6" s="232"/>
    </row>
    <row r="8" spans="2:13" ht="15.75" thickBot="1" x14ac:dyDescent="0.3"/>
    <row r="9" spans="2:13" ht="21.75" thickBot="1" x14ac:dyDescent="0.4">
      <c r="B9" s="429" t="s">
        <v>705</v>
      </c>
      <c r="C9" s="430"/>
      <c r="D9" s="430"/>
      <c r="E9" s="430"/>
      <c r="F9" s="430"/>
      <c r="G9" s="430"/>
      <c r="H9" s="430"/>
      <c r="I9" s="430"/>
      <c r="J9" s="430"/>
      <c r="K9" s="430"/>
      <c r="L9" s="430"/>
      <c r="M9" s="431"/>
    </row>
    <row r="10" spans="2:13" ht="15.75" x14ac:dyDescent="0.25">
      <c r="B10" s="393" t="s">
        <v>831</v>
      </c>
      <c r="C10" s="393"/>
      <c r="D10" s="393"/>
      <c r="E10" s="393"/>
      <c r="F10" s="393"/>
      <c r="G10" s="393"/>
      <c r="H10" s="393"/>
      <c r="I10" s="393"/>
      <c r="J10" s="393"/>
      <c r="K10" s="393"/>
      <c r="L10" s="393"/>
      <c r="M10" s="393"/>
    </row>
    <row r="11" spans="2:13" x14ac:dyDescent="0.25">
      <c r="B11" s="389"/>
      <c r="C11" s="389"/>
      <c r="D11" s="389"/>
      <c r="E11" s="389"/>
      <c r="F11" s="389"/>
      <c r="G11" s="389"/>
      <c r="H11" s="389"/>
      <c r="I11" s="389"/>
      <c r="J11" s="389"/>
      <c r="K11" s="389"/>
      <c r="L11" s="389"/>
      <c r="M11" s="389"/>
    </row>
    <row r="12" spans="2:13" x14ac:dyDescent="0.25">
      <c r="B12" s="528" t="s">
        <v>955</v>
      </c>
      <c r="C12" s="528"/>
      <c r="D12" s="528"/>
      <c r="E12" s="528"/>
      <c r="F12" s="528"/>
      <c r="G12" s="528"/>
      <c r="H12" s="528"/>
      <c r="I12" s="528"/>
      <c r="J12" s="528"/>
      <c r="K12" s="528"/>
      <c r="L12" s="528"/>
      <c r="M12" s="528"/>
    </row>
    <row r="13" spans="2:13" x14ac:dyDescent="0.25">
      <c r="B13" s="527" t="s">
        <v>793</v>
      </c>
      <c r="C13" s="527"/>
      <c r="D13" s="527"/>
      <c r="E13" s="527"/>
      <c r="F13" s="527"/>
      <c r="G13" s="527"/>
      <c r="H13" s="527"/>
      <c r="I13" s="527"/>
      <c r="J13" s="527"/>
      <c r="K13" s="527"/>
      <c r="L13" s="527"/>
      <c r="M13" s="527"/>
    </row>
    <row r="14" spans="2:13" x14ac:dyDescent="0.25">
      <c r="B14" s="527" t="s">
        <v>855</v>
      </c>
      <c r="C14" s="527"/>
      <c r="D14" s="527"/>
      <c r="E14" s="527"/>
      <c r="F14" s="527"/>
      <c r="G14" s="527"/>
      <c r="H14" s="527"/>
      <c r="I14" s="527"/>
      <c r="J14" s="527"/>
      <c r="K14" s="527"/>
      <c r="L14" s="527"/>
      <c r="M14" s="527"/>
    </row>
    <row r="15" spans="2:13" x14ac:dyDescent="0.25">
      <c r="B15" s="527" t="s">
        <v>833</v>
      </c>
      <c r="C15" s="527"/>
      <c r="D15" s="527"/>
      <c r="E15" s="527"/>
      <c r="F15" s="527"/>
      <c r="G15" s="527"/>
      <c r="H15" s="527"/>
      <c r="I15" s="527"/>
      <c r="J15" s="527"/>
      <c r="K15" s="527"/>
      <c r="L15" s="527"/>
      <c r="M15" s="527"/>
    </row>
    <row r="17" spans="2:13" x14ac:dyDescent="0.25">
      <c r="B17" s="528" t="s">
        <v>956</v>
      </c>
      <c r="C17" s="528"/>
      <c r="D17" s="528"/>
      <c r="E17" s="528"/>
      <c r="F17" s="528"/>
      <c r="G17" s="528"/>
      <c r="H17" s="528"/>
      <c r="I17" s="528"/>
      <c r="J17" s="528"/>
      <c r="K17" s="528"/>
      <c r="L17" s="528"/>
      <c r="M17" s="528"/>
    </row>
    <row r="18" spans="2:13" x14ac:dyDescent="0.25">
      <c r="B18" s="527" t="s">
        <v>794</v>
      </c>
      <c r="C18" s="527"/>
      <c r="D18" s="527"/>
      <c r="E18" s="527"/>
      <c r="F18" s="527"/>
      <c r="G18" s="527"/>
      <c r="H18" s="527"/>
      <c r="I18" s="527"/>
      <c r="J18" s="527"/>
      <c r="K18" s="527"/>
      <c r="L18" s="527"/>
      <c r="M18" s="527"/>
    </row>
    <row r="19" spans="2:13" x14ac:dyDescent="0.25">
      <c r="B19" s="527" t="s">
        <v>857</v>
      </c>
      <c r="C19" s="527"/>
      <c r="D19" s="527"/>
      <c r="E19" s="527"/>
      <c r="F19" s="527"/>
      <c r="G19" s="527"/>
      <c r="H19" s="527"/>
      <c r="I19" s="527"/>
      <c r="J19" s="527"/>
      <c r="K19" s="527"/>
      <c r="L19" s="527"/>
      <c r="M19" s="527"/>
    </row>
    <row r="20" spans="2:13" x14ac:dyDescent="0.25">
      <c r="B20" s="527" t="s">
        <v>836</v>
      </c>
      <c r="C20" s="527"/>
      <c r="D20" s="527"/>
      <c r="E20" s="527"/>
      <c r="F20" s="527"/>
      <c r="G20" s="527"/>
      <c r="H20" s="527"/>
      <c r="I20" s="527"/>
      <c r="J20" s="527"/>
      <c r="K20" s="527"/>
      <c r="L20" s="527"/>
      <c r="M20" s="527"/>
    </row>
    <row r="21" spans="2:13" x14ac:dyDescent="0.25">
      <c r="B21" s="527" t="s">
        <v>816</v>
      </c>
      <c r="C21" s="527"/>
      <c r="D21" s="527"/>
      <c r="E21" s="527"/>
      <c r="F21" s="527"/>
      <c r="G21" s="527"/>
      <c r="H21" s="527"/>
      <c r="I21" s="527"/>
      <c r="J21" s="527"/>
      <c r="K21" s="527"/>
      <c r="L21" s="527"/>
      <c r="M21" s="527"/>
    </row>
    <row r="22" spans="2:13" x14ac:dyDescent="0.25">
      <c r="B22" s="527" t="s">
        <v>817</v>
      </c>
      <c r="C22" s="527"/>
      <c r="D22" s="527"/>
      <c r="E22" s="527"/>
      <c r="F22" s="527"/>
      <c r="G22" s="527"/>
      <c r="H22" s="527"/>
      <c r="I22" s="527"/>
      <c r="J22" s="527"/>
      <c r="K22" s="527"/>
      <c r="L22" s="527"/>
      <c r="M22" s="527"/>
    </row>
    <row r="23" spans="2:13" x14ac:dyDescent="0.25">
      <c r="B23" s="527" t="s">
        <v>818</v>
      </c>
      <c r="C23" s="527"/>
      <c r="D23" s="527"/>
      <c r="E23" s="527"/>
      <c r="F23" s="527"/>
      <c r="G23" s="527"/>
      <c r="H23" s="527"/>
      <c r="I23" s="527"/>
      <c r="J23" s="527"/>
      <c r="K23" s="527"/>
      <c r="L23" s="527"/>
      <c r="M23" s="527"/>
    </row>
    <row r="24" spans="2:13" x14ac:dyDescent="0.25">
      <c r="B24" s="527" t="s">
        <v>819</v>
      </c>
      <c r="C24" s="527"/>
      <c r="D24" s="527"/>
      <c r="E24" s="527"/>
      <c r="F24" s="527"/>
      <c r="G24" s="527"/>
      <c r="H24" s="527"/>
      <c r="I24" s="527"/>
      <c r="J24" s="527"/>
      <c r="K24" s="527"/>
      <c r="L24" s="527"/>
      <c r="M24" s="527"/>
    </row>
    <row r="25" spans="2:13" x14ac:dyDescent="0.25">
      <c r="B25" s="527" t="s">
        <v>820</v>
      </c>
      <c r="C25" s="527"/>
      <c r="D25" s="527"/>
      <c r="E25" s="527"/>
      <c r="F25" s="527"/>
      <c r="G25" s="527"/>
      <c r="H25" s="527"/>
      <c r="I25" s="527"/>
      <c r="J25" s="527"/>
      <c r="K25" s="527"/>
      <c r="L25" s="527"/>
      <c r="M25" s="527"/>
    </row>
    <row r="26" spans="2:13" x14ac:dyDescent="0.25">
      <c r="B26" s="527" t="s">
        <v>821</v>
      </c>
      <c r="C26" s="527"/>
      <c r="D26" s="527"/>
      <c r="E26" s="527"/>
      <c r="F26" s="527"/>
      <c r="G26" s="527"/>
      <c r="H26" s="527"/>
      <c r="I26" s="527"/>
      <c r="J26" s="527"/>
      <c r="K26" s="527"/>
      <c r="L26" s="527"/>
      <c r="M26" s="527"/>
    </row>
    <row r="27" spans="2:13" x14ac:dyDescent="0.25">
      <c r="B27" s="527" t="s">
        <v>822</v>
      </c>
      <c r="C27" s="527"/>
      <c r="D27" s="527"/>
      <c r="E27" s="527"/>
      <c r="F27" s="527"/>
      <c r="G27" s="527"/>
      <c r="H27" s="527"/>
      <c r="I27" s="527"/>
      <c r="J27" s="527"/>
      <c r="K27" s="527"/>
      <c r="L27" s="527"/>
      <c r="M27" s="527"/>
    </row>
    <row r="28" spans="2:13" x14ac:dyDescent="0.25">
      <c r="B28" s="527" t="s">
        <v>823</v>
      </c>
      <c r="C28" s="527"/>
      <c r="D28" s="527"/>
      <c r="E28" s="527"/>
      <c r="F28" s="527"/>
      <c r="G28" s="527"/>
      <c r="H28" s="527"/>
      <c r="I28" s="527"/>
      <c r="J28" s="527"/>
      <c r="K28" s="527"/>
      <c r="L28" s="527"/>
      <c r="M28" s="527"/>
    </row>
    <row r="29" spans="2:13" x14ac:dyDescent="0.25">
      <c r="B29" s="527" t="s">
        <v>824</v>
      </c>
      <c r="C29" s="527"/>
      <c r="D29" s="527"/>
      <c r="E29" s="527"/>
      <c r="F29" s="527"/>
      <c r="G29" s="527"/>
      <c r="H29" s="527"/>
      <c r="I29" s="527"/>
      <c r="J29" s="527"/>
      <c r="K29" s="527"/>
      <c r="L29" s="527"/>
      <c r="M29" s="527"/>
    </row>
    <row r="30" spans="2:13" x14ac:dyDescent="0.25">
      <c r="B30" s="527" t="s">
        <v>825</v>
      </c>
      <c r="C30" s="527"/>
      <c r="D30" s="527"/>
      <c r="E30" s="527"/>
      <c r="F30" s="527"/>
      <c r="G30" s="527"/>
      <c r="H30" s="527"/>
      <c r="I30" s="527"/>
      <c r="J30" s="527"/>
      <c r="K30" s="527"/>
      <c r="L30" s="527"/>
      <c r="M30" s="527"/>
    </row>
    <row r="31" spans="2:13" x14ac:dyDescent="0.25">
      <c r="B31" s="527" t="s">
        <v>826</v>
      </c>
      <c r="C31" s="527"/>
      <c r="D31" s="527"/>
      <c r="E31" s="527"/>
      <c r="F31" s="527"/>
      <c r="G31" s="527"/>
      <c r="H31" s="527"/>
      <c r="I31" s="527"/>
      <c r="J31" s="527"/>
      <c r="K31" s="527"/>
      <c r="L31" s="527"/>
      <c r="M31" s="527"/>
    </row>
    <row r="32" spans="2:13" x14ac:dyDescent="0.25">
      <c r="B32" s="527" t="s">
        <v>827</v>
      </c>
      <c r="C32" s="527"/>
      <c r="D32" s="527"/>
      <c r="E32" s="527"/>
      <c r="F32" s="527"/>
      <c r="G32" s="527"/>
      <c r="H32" s="527"/>
      <c r="I32" s="527"/>
      <c r="J32" s="527"/>
      <c r="K32" s="527"/>
      <c r="L32" s="527"/>
      <c r="M32" s="527"/>
    </row>
    <row r="33" spans="2:13" x14ac:dyDescent="0.25">
      <c r="B33" s="527" t="s">
        <v>828</v>
      </c>
      <c r="C33" s="527"/>
      <c r="D33" s="527"/>
      <c r="E33" s="527"/>
      <c r="F33" s="527"/>
      <c r="G33" s="527"/>
      <c r="H33" s="527"/>
      <c r="I33" s="527"/>
      <c r="J33" s="527"/>
      <c r="K33" s="527"/>
      <c r="L33" s="527"/>
      <c r="M33" s="527"/>
    </row>
    <row r="34" spans="2:13" x14ac:dyDescent="0.25">
      <c r="B34" s="527" t="s">
        <v>829</v>
      </c>
      <c r="C34" s="527"/>
      <c r="D34" s="527"/>
      <c r="E34" s="527"/>
      <c r="F34" s="527"/>
      <c r="G34" s="527"/>
      <c r="H34" s="527"/>
      <c r="I34" s="527"/>
      <c r="J34" s="527"/>
      <c r="K34" s="527"/>
      <c r="L34" s="527"/>
      <c r="M34" s="527"/>
    </row>
    <row r="35" spans="2:13" x14ac:dyDescent="0.25">
      <c r="B35" s="527" t="s">
        <v>969</v>
      </c>
      <c r="C35" s="527"/>
      <c r="D35" s="527"/>
      <c r="E35" s="527"/>
      <c r="F35" s="527"/>
      <c r="G35" s="527"/>
      <c r="H35" s="527"/>
      <c r="I35" s="527"/>
      <c r="J35" s="527"/>
      <c r="K35" s="527"/>
      <c r="L35" s="527"/>
      <c r="M35" s="527"/>
    </row>
    <row r="36" spans="2:13" x14ac:dyDescent="0.25">
      <c r="B36" s="527" t="s">
        <v>830</v>
      </c>
      <c r="C36" s="527"/>
      <c r="D36" s="527"/>
      <c r="E36" s="527"/>
      <c r="F36" s="527"/>
      <c r="G36" s="527"/>
      <c r="H36" s="527"/>
      <c r="I36" s="527"/>
      <c r="J36" s="527"/>
      <c r="K36" s="527"/>
      <c r="L36" s="527"/>
      <c r="M36" s="527"/>
    </row>
    <row r="38" spans="2:13" x14ac:dyDescent="0.25">
      <c r="B38" s="528" t="s">
        <v>957</v>
      </c>
      <c r="C38" s="528"/>
      <c r="D38" s="528"/>
      <c r="E38" s="528"/>
      <c r="F38" s="528"/>
      <c r="G38" s="528"/>
      <c r="H38" s="528"/>
      <c r="I38" s="528"/>
      <c r="J38" s="528"/>
      <c r="K38" s="528"/>
      <c r="L38" s="528"/>
      <c r="M38" s="528"/>
    </row>
    <row r="39" spans="2:13" x14ac:dyDescent="0.25">
      <c r="B39" s="527" t="s">
        <v>795</v>
      </c>
      <c r="C39" s="527"/>
      <c r="D39" s="527"/>
      <c r="E39" s="527"/>
      <c r="F39" s="527"/>
      <c r="G39" s="527"/>
      <c r="H39" s="527"/>
      <c r="I39" s="527"/>
      <c r="J39" s="527"/>
      <c r="K39" s="527"/>
      <c r="L39" s="527"/>
      <c r="M39" s="527"/>
    </row>
    <row r="40" spans="2:13" x14ac:dyDescent="0.25">
      <c r="B40" s="527" t="s">
        <v>838</v>
      </c>
      <c r="C40" s="527"/>
      <c r="D40" s="527"/>
      <c r="E40" s="527"/>
      <c r="F40" s="527"/>
      <c r="G40" s="527"/>
      <c r="H40" s="527"/>
      <c r="I40" s="527"/>
      <c r="J40" s="527"/>
      <c r="K40" s="527"/>
      <c r="L40" s="527"/>
      <c r="M40" s="527"/>
    </row>
    <row r="41" spans="2:13" x14ac:dyDescent="0.25">
      <c r="B41" s="527" t="s">
        <v>837</v>
      </c>
      <c r="C41" s="527"/>
      <c r="D41" s="527"/>
      <c r="E41" s="527"/>
      <c r="F41" s="527"/>
      <c r="G41" s="527"/>
      <c r="H41" s="527"/>
      <c r="I41" s="527"/>
      <c r="J41" s="527"/>
      <c r="K41" s="527"/>
      <c r="L41" s="527"/>
      <c r="M41" s="527"/>
    </row>
    <row r="43" spans="2:13" x14ac:dyDescent="0.25">
      <c r="B43" s="528" t="s">
        <v>958</v>
      </c>
      <c r="C43" s="528"/>
      <c r="D43" s="528"/>
      <c r="E43" s="528"/>
      <c r="F43" s="528"/>
      <c r="G43" s="528"/>
      <c r="H43" s="528"/>
      <c r="I43" s="528"/>
      <c r="J43" s="528"/>
      <c r="K43" s="528"/>
      <c r="L43" s="528"/>
      <c r="M43" s="528"/>
    </row>
    <row r="44" spans="2:13" x14ac:dyDescent="0.25">
      <c r="B44" s="527" t="s">
        <v>796</v>
      </c>
      <c r="C44" s="527"/>
      <c r="D44" s="527"/>
      <c r="E44" s="527"/>
      <c r="F44" s="527"/>
      <c r="G44" s="527"/>
      <c r="H44" s="527"/>
      <c r="I44" s="527"/>
      <c r="J44" s="527"/>
      <c r="K44" s="527"/>
      <c r="L44" s="527"/>
      <c r="M44" s="527"/>
    </row>
    <row r="45" spans="2:13" x14ac:dyDescent="0.25">
      <c r="B45" s="527" t="s">
        <v>840</v>
      </c>
      <c r="C45" s="527"/>
      <c r="D45" s="527"/>
      <c r="E45" s="527"/>
      <c r="F45" s="527"/>
      <c r="G45" s="527"/>
      <c r="H45" s="527"/>
      <c r="I45" s="527"/>
      <c r="J45" s="527"/>
      <c r="K45" s="527"/>
      <c r="L45" s="527"/>
      <c r="M45" s="527"/>
    </row>
    <row r="46" spans="2:13" x14ac:dyDescent="0.25">
      <c r="B46" s="527" t="s">
        <v>839</v>
      </c>
      <c r="C46" s="527"/>
      <c r="D46" s="527"/>
      <c r="E46" s="527"/>
      <c r="F46" s="527"/>
      <c r="G46" s="527"/>
      <c r="H46" s="527"/>
      <c r="I46" s="527"/>
      <c r="J46" s="527"/>
      <c r="K46" s="527"/>
      <c r="L46" s="527"/>
      <c r="M46" s="527"/>
    </row>
    <row r="47" spans="2:13" x14ac:dyDescent="0.25">
      <c r="B47" s="527" t="s">
        <v>816</v>
      </c>
      <c r="C47" s="527"/>
      <c r="D47" s="527"/>
      <c r="E47" s="527"/>
      <c r="F47" s="527"/>
      <c r="G47" s="527"/>
      <c r="H47" s="527"/>
      <c r="I47" s="527"/>
      <c r="J47" s="527"/>
      <c r="K47" s="527"/>
      <c r="L47" s="527"/>
      <c r="M47" s="527"/>
    </row>
    <row r="48" spans="2:13" x14ac:dyDescent="0.25">
      <c r="B48" s="531" t="s">
        <v>817</v>
      </c>
      <c r="C48" s="531"/>
      <c r="D48" s="531"/>
      <c r="E48" s="531"/>
      <c r="F48" s="531"/>
      <c r="G48" s="531"/>
      <c r="H48" s="531"/>
      <c r="I48" s="531"/>
      <c r="J48" s="531"/>
      <c r="K48" s="531"/>
      <c r="L48" s="531"/>
      <c r="M48" s="531"/>
    </row>
    <row r="49" spans="2:13" x14ac:dyDescent="0.25">
      <c r="B49" s="531" t="s">
        <v>818</v>
      </c>
      <c r="C49" s="531"/>
      <c r="D49" s="531"/>
      <c r="E49" s="531"/>
      <c r="F49" s="531"/>
      <c r="G49" s="531"/>
      <c r="H49" s="531"/>
      <c r="I49" s="531"/>
      <c r="J49" s="531"/>
      <c r="K49" s="531"/>
      <c r="L49" s="531"/>
      <c r="M49" s="531"/>
    </row>
    <row r="50" spans="2:13" x14ac:dyDescent="0.25">
      <c r="B50" s="531" t="s">
        <v>819</v>
      </c>
      <c r="C50" s="531"/>
      <c r="D50" s="531"/>
      <c r="E50" s="531"/>
      <c r="F50" s="531"/>
      <c r="G50" s="531"/>
      <c r="H50" s="531"/>
      <c r="I50" s="531"/>
      <c r="J50" s="531"/>
      <c r="K50" s="531"/>
      <c r="L50" s="531"/>
      <c r="M50" s="531"/>
    </row>
    <row r="51" spans="2:13" x14ac:dyDescent="0.25">
      <c r="B51" s="531" t="s">
        <v>820</v>
      </c>
      <c r="C51" s="531"/>
      <c r="D51" s="531"/>
      <c r="E51" s="531"/>
      <c r="F51" s="531"/>
      <c r="G51" s="531"/>
      <c r="H51" s="531"/>
      <c r="I51" s="531"/>
      <c r="J51" s="531"/>
      <c r="K51" s="531"/>
      <c r="L51" s="531"/>
      <c r="M51" s="531"/>
    </row>
    <row r="52" spans="2:13" x14ac:dyDescent="0.25">
      <c r="B52" s="531" t="s">
        <v>821</v>
      </c>
      <c r="C52" s="531"/>
      <c r="D52" s="531"/>
      <c r="E52" s="531"/>
      <c r="F52" s="531"/>
      <c r="G52" s="531"/>
      <c r="H52" s="531"/>
      <c r="I52" s="531"/>
      <c r="J52" s="531"/>
      <c r="K52" s="531"/>
      <c r="L52" s="531"/>
      <c r="M52" s="531"/>
    </row>
    <row r="53" spans="2:13" x14ac:dyDescent="0.25">
      <c r="B53" s="531" t="s">
        <v>822</v>
      </c>
      <c r="C53" s="531"/>
      <c r="D53" s="531"/>
      <c r="E53" s="531"/>
      <c r="F53" s="531"/>
      <c r="G53" s="531"/>
      <c r="H53" s="531"/>
      <c r="I53" s="531"/>
      <c r="J53" s="531"/>
      <c r="K53" s="531"/>
      <c r="L53" s="531"/>
      <c r="M53" s="531"/>
    </row>
    <row r="54" spans="2:13" x14ac:dyDescent="0.25">
      <c r="B54" s="531" t="s">
        <v>823</v>
      </c>
      <c r="C54" s="531"/>
      <c r="D54" s="531"/>
      <c r="E54" s="531"/>
      <c r="F54" s="531"/>
      <c r="G54" s="531"/>
      <c r="H54" s="531"/>
      <c r="I54" s="531"/>
      <c r="J54" s="531"/>
      <c r="K54" s="531"/>
      <c r="L54" s="531"/>
      <c r="M54" s="531"/>
    </row>
    <row r="55" spans="2:13" x14ac:dyDescent="0.25">
      <c r="B55" s="531" t="s">
        <v>824</v>
      </c>
      <c r="C55" s="531"/>
      <c r="D55" s="531"/>
      <c r="E55" s="531"/>
      <c r="F55" s="531"/>
      <c r="G55" s="531"/>
      <c r="H55" s="531"/>
      <c r="I55" s="531"/>
      <c r="J55" s="531"/>
      <c r="K55" s="531"/>
      <c r="L55" s="531"/>
      <c r="M55" s="531"/>
    </row>
    <row r="56" spans="2:13" x14ac:dyDescent="0.25">
      <c r="B56" s="531" t="s">
        <v>825</v>
      </c>
      <c r="C56" s="531"/>
      <c r="D56" s="531"/>
      <c r="E56" s="531"/>
      <c r="F56" s="531"/>
      <c r="G56" s="531"/>
      <c r="H56" s="531"/>
      <c r="I56" s="531"/>
      <c r="J56" s="531"/>
      <c r="K56" s="531"/>
      <c r="L56" s="531"/>
      <c r="M56" s="531"/>
    </row>
    <row r="57" spans="2:13" x14ac:dyDescent="0.25">
      <c r="B57" s="531" t="s">
        <v>826</v>
      </c>
      <c r="C57" s="531"/>
      <c r="D57" s="531"/>
      <c r="E57" s="531"/>
      <c r="F57" s="531"/>
      <c r="G57" s="531"/>
      <c r="H57" s="531"/>
      <c r="I57" s="531"/>
      <c r="J57" s="531"/>
      <c r="K57" s="531"/>
      <c r="L57" s="531"/>
      <c r="M57" s="531"/>
    </row>
    <row r="58" spans="2:13" x14ac:dyDescent="0.25">
      <c r="B58" s="531" t="s">
        <v>827</v>
      </c>
      <c r="C58" s="531"/>
      <c r="D58" s="531"/>
      <c r="E58" s="531"/>
      <c r="F58" s="531"/>
      <c r="G58" s="531"/>
      <c r="H58" s="531"/>
      <c r="I58" s="531"/>
      <c r="J58" s="531"/>
      <c r="K58" s="531"/>
      <c r="L58" s="531"/>
      <c r="M58" s="531"/>
    </row>
    <row r="59" spans="2:13" x14ac:dyDescent="0.25">
      <c r="B59" s="531" t="s">
        <v>828</v>
      </c>
      <c r="C59" s="531"/>
      <c r="D59" s="531"/>
      <c r="E59" s="531"/>
      <c r="F59" s="531"/>
      <c r="G59" s="531"/>
      <c r="H59" s="531"/>
      <c r="I59" s="531"/>
      <c r="J59" s="531"/>
      <c r="K59" s="531"/>
      <c r="L59" s="531"/>
      <c r="M59" s="531"/>
    </row>
    <row r="60" spans="2:13" x14ac:dyDescent="0.25">
      <c r="B60" s="531" t="s">
        <v>829</v>
      </c>
      <c r="C60" s="531"/>
      <c r="D60" s="531"/>
      <c r="E60" s="531"/>
      <c r="F60" s="531"/>
      <c r="G60" s="531"/>
      <c r="H60" s="531"/>
      <c r="I60" s="531"/>
      <c r="J60" s="531"/>
      <c r="K60" s="531"/>
      <c r="L60" s="531"/>
      <c r="M60" s="531"/>
    </row>
    <row r="61" spans="2:13" x14ac:dyDescent="0.25">
      <c r="B61" s="531" t="s">
        <v>969</v>
      </c>
      <c r="C61" s="531"/>
      <c r="D61" s="531"/>
      <c r="E61" s="531"/>
      <c r="F61" s="531"/>
      <c r="G61" s="531"/>
      <c r="H61" s="531"/>
      <c r="I61" s="531"/>
      <c r="J61" s="531"/>
      <c r="K61" s="531"/>
      <c r="L61" s="531"/>
      <c r="M61" s="531"/>
    </row>
    <row r="62" spans="2:13" x14ac:dyDescent="0.25">
      <c r="B62" s="531" t="s">
        <v>830</v>
      </c>
      <c r="C62" s="531"/>
      <c r="D62" s="531"/>
      <c r="E62" s="531"/>
      <c r="F62" s="531"/>
      <c r="G62" s="531"/>
      <c r="H62" s="531"/>
      <c r="I62" s="531"/>
      <c r="J62" s="531"/>
      <c r="K62" s="531"/>
      <c r="L62" s="531"/>
      <c r="M62" s="531"/>
    </row>
    <row r="64" spans="2:13" x14ac:dyDescent="0.25">
      <c r="B64" s="528" t="s">
        <v>959</v>
      </c>
      <c r="C64" s="528"/>
      <c r="D64" s="528"/>
      <c r="E64" s="528"/>
      <c r="F64" s="528"/>
      <c r="G64" s="528"/>
      <c r="H64" s="528"/>
      <c r="I64" s="528"/>
      <c r="J64" s="528"/>
      <c r="K64" s="528"/>
      <c r="L64" s="528"/>
      <c r="M64" s="528"/>
    </row>
    <row r="65" spans="2:13" x14ac:dyDescent="0.25">
      <c r="B65" s="527" t="s">
        <v>797</v>
      </c>
      <c r="C65" s="527"/>
      <c r="D65" s="527"/>
      <c r="E65" s="527"/>
      <c r="F65" s="527"/>
      <c r="G65" s="527"/>
      <c r="H65" s="527"/>
      <c r="I65" s="527"/>
      <c r="J65" s="527"/>
      <c r="K65" s="527"/>
      <c r="L65" s="527"/>
      <c r="M65" s="527"/>
    </row>
    <row r="66" spans="2:13" x14ac:dyDescent="0.25">
      <c r="B66" s="527" t="s">
        <v>863</v>
      </c>
      <c r="C66" s="527"/>
      <c r="D66" s="527"/>
      <c r="E66" s="527"/>
      <c r="F66" s="527"/>
      <c r="G66" s="527"/>
      <c r="H66" s="527"/>
      <c r="I66" s="527"/>
      <c r="J66" s="527"/>
      <c r="K66" s="527"/>
      <c r="L66" s="527"/>
      <c r="M66" s="527"/>
    </row>
    <row r="67" spans="2:13" x14ac:dyDescent="0.25">
      <c r="B67" s="527" t="s">
        <v>841</v>
      </c>
      <c r="C67" s="527"/>
      <c r="D67" s="527"/>
      <c r="E67" s="527"/>
      <c r="F67" s="527"/>
      <c r="G67" s="527"/>
      <c r="H67" s="527"/>
      <c r="I67" s="527"/>
      <c r="J67" s="527"/>
      <c r="K67" s="527"/>
      <c r="L67" s="527"/>
      <c r="M67" s="527"/>
    </row>
    <row r="69" spans="2:13" x14ac:dyDescent="0.25">
      <c r="B69" s="528" t="s">
        <v>960</v>
      </c>
      <c r="C69" s="528"/>
      <c r="D69" s="528"/>
      <c r="E69" s="528"/>
      <c r="F69" s="528"/>
      <c r="G69" s="528"/>
      <c r="H69" s="528"/>
      <c r="I69" s="528"/>
      <c r="J69" s="528"/>
      <c r="K69" s="528"/>
      <c r="L69" s="528"/>
      <c r="M69" s="528"/>
    </row>
    <row r="70" spans="2:13" x14ac:dyDescent="0.25">
      <c r="B70" s="527" t="s">
        <v>798</v>
      </c>
      <c r="C70" s="527"/>
      <c r="D70" s="527"/>
      <c r="E70" s="527"/>
      <c r="F70" s="527"/>
      <c r="G70" s="527"/>
      <c r="H70" s="527"/>
      <c r="I70" s="527"/>
      <c r="J70" s="527"/>
      <c r="K70" s="527"/>
      <c r="L70" s="527"/>
      <c r="M70" s="527"/>
    </row>
    <row r="71" spans="2:13" x14ac:dyDescent="0.25">
      <c r="B71" s="527" t="s">
        <v>842</v>
      </c>
      <c r="C71" s="527"/>
      <c r="D71" s="527"/>
      <c r="E71" s="527"/>
      <c r="F71" s="527"/>
      <c r="G71" s="527"/>
      <c r="H71" s="527"/>
      <c r="I71" s="527"/>
      <c r="J71" s="527"/>
      <c r="K71" s="527"/>
      <c r="L71" s="527"/>
      <c r="M71" s="527"/>
    </row>
    <row r="72" spans="2:13" ht="15" customHeight="1" x14ac:dyDescent="0.25">
      <c r="B72" s="527" t="s">
        <v>799</v>
      </c>
      <c r="C72" s="527"/>
      <c r="D72" s="527"/>
      <c r="E72" s="527"/>
      <c r="F72" s="527"/>
      <c r="G72" s="527"/>
      <c r="H72" s="527"/>
      <c r="I72" s="527"/>
      <c r="J72" s="527"/>
      <c r="K72" s="527"/>
      <c r="L72" s="527"/>
      <c r="M72" s="527"/>
    </row>
  </sheetData>
  <mergeCells count="60">
    <mergeCell ref="B71:M71"/>
    <mergeCell ref="B14:M14"/>
    <mergeCell ref="B19:M19"/>
    <mergeCell ref="B40:M40"/>
    <mergeCell ref="B45:M45"/>
    <mergeCell ref="B66:M66"/>
    <mergeCell ref="B15:M15"/>
    <mergeCell ref="B21:M21"/>
    <mergeCell ref="B47:M47"/>
    <mergeCell ref="B22:M22"/>
    <mergeCell ref="B23:M23"/>
    <mergeCell ref="B24:M24"/>
    <mergeCell ref="B25:M25"/>
    <mergeCell ref="B26:M26"/>
    <mergeCell ref="B27:M27"/>
    <mergeCell ref="B28:M28"/>
    <mergeCell ref="B1:M5"/>
    <mergeCell ref="B9:M9"/>
    <mergeCell ref="B10:M10"/>
    <mergeCell ref="B11:M11"/>
    <mergeCell ref="B13:M13"/>
    <mergeCell ref="B72:M72"/>
    <mergeCell ref="B12:M12"/>
    <mergeCell ref="B17:M17"/>
    <mergeCell ref="B38:M38"/>
    <mergeCell ref="B43:M43"/>
    <mergeCell ref="B64:M64"/>
    <mergeCell ref="B18:M18"/>
    <mergeCell ref="B20:M20"/>
    <mergeCell ref="B39:M39"/>
    <mergeCell ref="B41:M41"/>
    <mergeCell ref="B44:M44"/>
    <mergeCell ref="B46:M46"/>
    <mergeCell ref="B70:M70"/>
    <mergeCell ref="B65:M65"/>
    <mergeCell ref="B67:M67"/>
    <mergeCell ref="B69:M69"/>
    <mergeCell ref="B29:M29"/>
    <mergeCell ref="B30:M30"/>
    <mergeCell ref="B31:M31"/>
    <mergeCell ref="B32:M32"/>
    <mergeCell ref="B33:M33"/>
    <mergeCell ref="B34:M34"/>
    <mergeCell ref="B35:M35"/>
    <mergeCell ref="B36:M36"/>
    <mergeCell ref="B48:M48"/>
    <mergeCell ref="B49:M49"/>
    <mergeCell ref="B50:M50"/>
    <mergeCell ref="B51:M51"/>
    <mergeCell ref="B52:M52"/>
    <mergeCell ref="B53:M53"/>
    <mergeCell ref="B54:M54"/>
    <mergeCell ref="B55:M55"/>
    <mergeCell ref="B61:M61"/>
    <mergeCell ref="B62:M62"/>
    <mergeCell ref="B56:M56"/>
    <mergeCell ref="B57:M57"/>
    <mergeCell ref="B58:M58"/>
    <mergeCell ref="B59:M59"/>
    <mergeCell ref="B60:M60"/>
  </mergeCells>
  <hyperlinks>
    <hyperlink ref="B12:M12" location="'2.1'!A1" display="1. Solicitudes del Pilar No Contributivo a nivel nacional" xr:uid="{A907914A-A066-4C4E-B8F9-E2688D4F0000}"/>
    <hyperlink ref="B17:M17" location="'2.2'!A1" display="2. Solicitudes del Pilar No Contributivo a nivel regional y comunal" xr:uid="{74482F93-8DA2-4E40-951A-E68AC25331E5}"/>
    <hyperlink ref="B38:M38" location="'2.3'!A1" display="3. Solicitudes concedidas del Pilar No Contributivo a nivel nacional" xr:uid="{489CE6B3-B61D-4844-A51B-26EAAD87B61B}"/>
    <hyperlink ref="B43:M43" location="'2.4'!A1" display="4. Solicitudes concedidas del Pilar No Contributivo a nivel regional y comunal" xr:uid="{55BEDB3E-895E-4A87-B1D3-199FEE639F4B}"/>
    <hyperlink ref="B64:M64" location="'2.5'!A1" display="5. Solicitudes Rechazadas del Pilar No Contributivo" xr:uid="{0F2CEF81-315F-449C-B72F-931794A1FACB}"/>
    <hyperlink ref="B69:M69" location="'2.6'!A1" display="6. Tasas de concesión de solicitudes" xr:uid="{99DBE037-EDF3-4A70-8BDF-88687721F038}"/>
    <hyperlink ref="B13:M13" location="'2.1'!B4" display="i. Resumen trimestral de número y estado de solicitudes, según tipo de beneficio y sexo" xr:uid="{B2D25279-C0E8-40F8-9D79-9F8F4E747221}"/>
    <hyperlink ref="B14:M14" location="'2.1'!B27" display="ii. Resumen anual de número y estado de solicitudes, según tipo de beneficio y sexo" xr:uid="{5392FE13-39A3-4760-964F-0E16B7D93CE0}"/>
    <hyperlink ref="B15:M15" location="'2.1'!B50" display="iii. Serie resumen de solicitudes de beneficios, por tipo de beneficio y sexo" xr:uid="{EBE3CBF6-5628-42C6-BF3B-4B6B3D32153D}"/>
    <hyperlink ref="B18:M18" location="'2.2'!B4" display="i. Resumen trimestral de solicitudes por región, según tipo de beneficio y sexo" xr:uid="{EF97E6D3-07D8-48BA-B214-232DD26326D9}"/>
    <hyperlink ref="B19:M19" location="'2.2'!B29" display="ii. Resumen anual de solicitudes por región, según tipo de beneficio y sexo" xr:uid="{99617C65-4F1F-4AAC-9E4D-398FBF94ACE1}"/>
    <hyperlink ref="B20:M20" location="'2.2'!B54" display="iii. Número de solicitudes trimestrales por comuna, según tipo de beneficio y sexo" xr:uid="{65E6F247-5422-47EC-B65A-796706CCE2DD}"/>
    <hyperlink ref="B21:M21" location="'2.2'!B57" display="   Región de Arica y Parinacota" xr:uid="{71BDD3D0-BE3D-4B7D-B528-2DD9098A62FE}"/>
    <hyperlink ref="B22:M22" location="'2.2'!B69" display="   Región de Tarapacá" xr:uid="{CCDDD9D8-599D-4E8F-8AF7-7138CBE5C6CB}"/>
    <hyperlink ref="B23:M23" location="'2.2'!B84" display="   Región de Antofagasta" xr:uid="{3B942EA4-AEF7-4FF0-A094-563BD1131220}"/>
    <hyperlink ref="B24:M24" location="'2.2'!B100" display="   Región de Atacama" xr:uid="{13F998F8-AC03-4D7D-BA7E-A9B14DD93B13}"/>
    <hyperlink ref="B25:M25" location="'2.2'!B117" display="   Región de Coquimbo" xr:uid="{FDCB5C1E-C476-4A43-939D-CF8E720ED662}"/>
    <hyperlink ref="B26:M26" location="'2.2'!B140" display="   Región de Valparaíso" xr:uid="{ABADA833-7B3A-48B3-B598-2838303BF8C6}"/>
    <hyperlink ref="B27:M27" location="'2.2'!B186" display="   Región Metropolitana de Santiago" xr:uid="{84792D7B-41FB-4B4A-BF20-31F18370B141}"/>
    <hyperlink ref="B28:M28" location="'2.2'!B246" display="   Región del Libertador General Bernardo O’Higgins" xr:uid="{02A76780-684F-4E8E-8341-D04DFB89620C}"/>
    <hyperlink ref="B29:M29" location="'2.2'!B287" display="   Región del Maule" xr:uid="{25926D90-6108-43B6-AC45-7AD41E304182}"/>
    <hyperlink ref="B30:M30" location="'2.2'!B325" display="   Región del Ñuble" xr:uid="{C9B3DC7B-524E-4C8A-9D6A-1DFAD8766678}"/>
    <hyperlink ref="B31:M31" location="'2.2'!B354" display="   Región del Bio-bío" xr:uid="{8EC06600-8AD4-441F-ACB3-48AD5086B2C8}"/>
    <hyperlink ref="B32:M32" location="'2.2'!B395" display="   Región de La Araucanía" xr:uid="{4625F87F-5390-4246-9639-2A1712F2BF7F}"/>
    <hyperlink ref="B33:M33" location="'2.2'!B435" display="   Región de Los Ríos" xr:uid="{372FDA29-4B03-48DE-B998-2CD1DEC370E5}"/>
    <hyperlink ref="B34:M34" location="'2.2'!B455" display="   Región de Los Lagos" xr:uid="{1034DE9D-21CF-4F40-8539-CB396DDDC99B}"/>
    <hyperlink ref="B35:M35" location="'2.2'!B493" display="   Región Aysén del General Carlos Ibáñez del Campo" xr:uid="{A62BAC3B-97EC-4452-9925-B4040D5DF3AE}"/>
    <hyperlink ref="B36:M36" location="'2.2'!B510" display="   Región de Magallanes y Antártica Chilena" xr:uid="{916DFFEE-3E4E-4A86-84A6-A849D09FA6B8}"/>
    <hyperlink ref="B39:M39" location="'2.3'!B4" display="i. Resumen trimestral de concesiones de beneficios del Pilar No Contributivo" xr:uid="{BE80B3C5-43C1-444F-BE2F-934AF47AAC37}"/>
    <hyperlink ref="B40:M40" location="'2.3'!B16" display="ii. Resumen anual de concesiones de beneficios del Pilar no Contributivo" xr:uid="{2DFC7C61-4F74-4240-906F-B6B20EA1F305}"/>
    <hyperlink ref="B41:M41" location="'2.3'!B28" display="iii. Serie resumen de solicitudes concedidas de beneficios, por tipo de beneficio y sexo" xr:uid="{5004D56C-E957-478F-923C-1F829B5024AD}"/>
    <hyperlink ref="B44:M44" location="'2.4'!B4" display="i. Resumen trimestral de solicitudes concedidas por región, según tipo de beneficio y sexo" xr:uid="{E7F22C92-F018-429C-8C75-4E965B5D7B0E}"/>
    <hyperlink ref="B45:M45" location="'2.4'!B29" display="ii. Resumen anual de solicitudes concedidas por región, según tipo de beneficio y sexo" xr:uid="{50A29159-697D-42F9-B980-A25A5FCFE96C}"/>
    <hyperlink ref="B46:M46" location="'2.4'!B54" display="iii. Número de solicitudes concedidas trimestrales por comuna, según tipo de beneficio y sexo" xr:uid="{71ED5D2D-AF6A-44F1-9A1F-90477153DF30}"/>
    <hyperlink ref="B47:M47" location="'2.4'!B57" display="   Región de Arica y Parinacota" xr:uid="{68A93156-9C6C-41E7-89CB-0BC34FB6B46D}"/>
    <hyperlink ref="B48:M48" location="'2.4'!B68" display="   Región de Tarapacá" xr:uid="{1A17EB34-E13F-4D75-848E-99639631C404}"/>
    <hyperlink ref="B49:M49" location="'2.4'!B83" display="   Región de Antofagasta" xr:uid="{C36126F6-42C8-41F2-9337-1188BB93DA15}"/>
    <hyperlink ref="B50:M50" location="'2.4'!B99" display="   Región de Atacama" xr:uid="{5F8BD030-CD49-4835-A24C-518C698E4D7E}"/>
    <hyperlink ref="B51:M51" location="'2.4'!B116" display="   Región de Coquimbo" xr:uid="{28832BC4-E048-4027-B927-B9499275CC8B}"/>
    <hyperlink ref="B52:M52" location="'2.4'!B139" display="   Región de Valparaíso" xr:uid="{54F7C60C-9DF6-471B-B549-3A4AF5296AAD}"/>
    <hyperlink ref="B53:M53" location="'2.4'!B185" display="   Región Metropolitana de Santiago" xr:uid="{8B77CEA5-6372-4EE2-81A8-2807C4D9C090}"/>
    <hyperlink ref="B54:M54" location="'2.4'!B245" display="   Región del Libertador General Bernardo O’Higgins" xr:uid="{449942AC-4667-40C6-9F71-198333914422}"/>
    <hyperlink ref="B55:M55" location="'2.4'!B286" display="   Región del Maule" xr:uid="{71C2428B-4267-482E-B126-7C77DED09137}"/>
    <hyperlink ref="B56:M56" location="'2.2'!B324" display="   Región del Ñuble" xr:uid="{D7B67369-55B6-49C1-AD07-8DEDAC9FA9B2}"/>
    <hyperlink ref="B57:M57" location="'2.4'!B353" display="   Región del Bio-bío" xr:uid="{A0E67616-D5EF-4237-B76E-4FAA3CE4DF1E}"/>
    <hyperlink ref="B58:M58" location="'2.4'!B394" display="   Región de La Araucanía" xr:uid="{DC9FB86C-ADCE-4991-AC64-5C922E21527B}"/>
    <hyperlink ref="B59:M59" location="'2.4'!B434" display="   Región de Los Ríos" xr:uid="{18C928F3-ED2D-4219-A308-4D0AC7A3E9F5}"/>
    <hyperlink ref="B60:M60" location="'2.4'!B454" display="   Región de Los Lagos" xr:uid="{F288E863-7B69-4255-829B-CB7797650F10}"/>
    <hyperlink ref="B61:M61" location="'2.4'!B492" display="   Región de Aysén del General Carlos Ibáñez del Campo" xr:uid="{3FABEC74-FC8E-452D-ABEF-FD47137B1E33}"/>
    <hyperlink ref="B62:M62" location="'2.4'!B508" display="   Región de Magallanes y Antártica Chilena" xr:uid="{00F86D56-672A-4E0F-8DEB-07EE333A7965}"/>
    <hyperlink ref="B65:M65" location="'2.5'!B4" display="i. Resumen trimestral de solicitudes de beneficios rechazadas" xr:uid="{277F8B00-DC55-46CF-9B30-BDD8AE67180A}"/>
    <hyperlink ref="B66:M66" location="'2.5'!B29" display="ii. Resumen anual de solicitudes de beneficios rechazadas" xr:uid="{817572FF-251A-449C-B068-89656E9631AB}"/>
    <hyperlink ref="B67:M67" location="'2.5'!B57" display="iii. Serie resumen de solicitudes de beneficios rechazadas, por tipo de beneficio y sexo" xr:uid="{AACC00E3-457E-4E49-B12F-4AB3F9420BFF}"/>
    <hyperlink ref="B70:M70" location="'2.6'!B4" display="i. Resumen trimestral de tasas de concesiones de beneficios por región, según tipo de beneficio y sexo" xr:uid="{0907AA3A-85FD-4F96-9F3C-BF655FCDFEE6}"/>
    <hyperlink ref="B71:M71" location="'2.6'!B29" display="ii. Resumen anual de tasas de concesiones de beneficios por región, según tipo de beneficio y sexo" xr:uid="{34D9FCCE-A6EA-4C5E-BD26-614428CFA0CD}"/>
    <hyperlink ref="B72:M72" location="'2.6'!B54" display="ii. Serie resumen de tasas de concesión de solicitudes por tipo de beneficio y sexo" xr:uid="{57D06F3C-1EB1-4EAF-85D6-8B23B91F7811}"/>
  </hyperlinks>
  <pageMargins left="0.7" right="0.7" top="0.75" bottom="0.75" header="0.3" footer="0.3"/>
  <pageSetup paperSize="9" orientation="portrait" horizontalDpi="1200" verticalDpi="120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B9F9F-ED66-4AFE-B3C6-A2CF9AE6D3BB}">
  <sheetPr>
    <tabColor rgb="FF00B0F0"/>
  </sheetPr>
  <dimension ref="B2:AD306"/>
  <sheetViews>
    <sheetView showGridLines="0" zoomScaleNormal="100" workbookViewId="0"/>
  </sheetViews>
  <sheetFormatPr baseColWidth="10" defaultColWidth="11.42578125" defaultRowHeight="15" outlineLevelRow="1" x14ac:dyDescent="0.25"/>
  <cols>
    <col min="1" max="1" width="5.5703125" style="7" customWidth="1"/>
    <col min="2" max="2" width="23.85546875" style="7" customWidth="1"/>
    <col min="3" max="3" width="16.85546875" style="7" customWidth="1"/>
    <col min="4" max="4" width="12.140625" style="7" bestFit="1" customWidth="1"/>
    <col min="5" max="5" width="14.5703125" style="7" customWidth="1"/>
    <col min="6" max="6" width="14.42578125" style="7" customWidth="1"/>
    <col min="7" max="7" width="12.28515625" style="7" customWidth="1"/>
    <col min="8" max="8" width="13.42578125" style="7" customWidth="1"/>
    <col min="9" max="9" width="13.5703125" style="7" customWidth="1"/>
    <col min="10" max="10" width="12.85546875" style="7" customWidth="1"/>
    <col min="11" max="11" width="11.7109375" style="7" customWidth="1"/>
    <col min="12" max="12" width="12.140625" style="7" customWidth="1"/>
    <col min="13" max="13" width="13" style="7" customWidth="1"/>
    <col min="14" max="14" width="11.42578125" style="7" customWidth="1"/>
    <col min="15" max="15" width="11.7109375" style="7" customWidth="1"/>
    <col min="16" max="16" width="12.5703125" style="7" customWidth="1"/>
    <col min="17" max="17" width="9.7109375" style="7" bestFit="1" customWidth="1"/>
    <col min="18" max="18" width="8.7109375" style="7" bestFit="1" customWidth="1"/>
    <col min="19" max="19" width="9.7109375" style="7" bestFit="1" customWidth="1"/>
    <col min="20" max="20" width="8.7109375" style="7" bestFit="1" customWidth="1"/>
    <col min="21" max="21" width="11.7109375" style="7" customWidth="1"/>
    <col min="22" max="22" width="12.7109375" style="7" customWidth="1"/>
    <col min="23" max="23" width="9.7109375" style="7" bestFit="1" customWidth="1"/>
    <col min="24" max="24" width="10.5703125" style="7" customWidth="1"/>
    <col min="25" max="25" width="10.85546875" style="7" customWidth="1"/>
    <col min="26" max="26" width="10.5703125" style="7" customWidth="1"/>
    <col min="27" max="27" width="8.5703125" style="7" bestFit="1" customWidth="1"/>
    <col min="28" max="28" width="7.42578125" style="7" bestFit="1" customWidth="1"/>
    <col min="29" max="29" width="9.5703125" style="7" bestFit="1" customWidth="1"/>
    <col min="30" max="30" width="2.28515625" style="7" customWidth="1"/>
    <col min="31" max="31" width="11.140625" style="7" bestFit="1" customWidth="1"/>
    <col min="32" max="32" width="9.5703125" style="7" bestFit="1" customWidth="1"/>
    <col min="33" max="33" width="5.7109375" style="7" bestFit="1" customWidth="1"/>
    <col min="34" max="34" width="2.5703125" style="7" customWidth="1"/>
    <col min="35" max="36" width="9.5703125" style="7" bestFit="1" customWidth="1"/>
    <col min="37" max="37" width="5.7109375" style="7" bestFit="1" customWidth="1"/>
    <col min="38" max="16384" width="11.42578125" style="7"/>
  </cols>
  <sheetData>
    <row r="2" spans="2:20" ht="23.25" x14ac:dyDescent="0.25">
      <c r="B2" s="1" t="s">
        <v>712</v>
      </c>
    </row>
    <row r="4" spans="2:20" ht="18.75" x14ac:dyDescent="0.3">
      <c r="B4" s="2" t="s">
        <v>783</v>
      </c>
      <c r="C4" s="8"/>
      <c r="D4" s="8"/>
      <c r="E4" s="8"/>
      <c r="F4" s="8"/>
      <c r="G4" s="8"/>
      <c r="H4" s="8"/>
    </row>
    <row r="5" spans="2:20" x14ac:dyDescent="0.25">
      <c r="B5" s="15" t="s">
        <v>866</v>
      </c>
    </row>
    <row r="6" spans="2:20" x14ac:dyDescent="0.25">
      <c r="B6" s="15"/>
    </row>
    <row r="7" spans="2:20" x14ac:dyDescent="0.25">
      <c r="B7" s="439" t="s">
        <v>477</v>
      </c>
      <c r="C7" s="414" t="s">
        <v>589</v>
      </c>
      <c r="D7" s="434" t="s">
        <v>917</v>
      </c>
      <c r="E7" s="434"/>
      <c r="F7" s="434"/>
      <c r="G7" s="434"/>
      <c r="H7" s="434"/>
      <c r="I7" s="434"/>
      <c r="J7" s="434"/>
      <c r="K7" s="434"/>
      <c r="L7" s="434"/>
      <c r="M7" s="434"/>
      <c r="N7" s="434"/>
      <c r="O7" s="434"/>
      <c r="P7" s="13"/>
    </row>
    <row r="8" spans="2:20" x14ac:dyDescent="0.25">
      <c r="B8" s="440"/>
      <c r="C8" s="414"/>
      <c r="D8" s="414" t="s">
        <v>15</v>
      </c>
      <c r="E8" s="414"/>
      <c r="F8" s="414" t="s">
        <v>12</v>
      </c>
      <c r="G8" s="414"/>
      <c r="H8" s="414" t="s">
        <v>16</v>
      </c>
      <c r="I8" s="414"/>
      <c r="J8" s="414" t="s">
        <v>13</v>
      </c>
      <c r="K8" s="414"/>
      <c r="L8" s="414" t="s">
        <v>14</v>
      </c>
      <c r="M8" s="414"/>
      <c r="N8" s="433" t="s">
        <v>486</v>
      </c>
      <c r="O8" s="433"/>
      <c r="P8" s="13"/>
      <c r="Q8" s="13"/>
      <c r="R8" s="13"/>
      <c r="S8" s="13"/>
      <c r="T8" s="13"/>
    </row>
    <row r="9" spans="2:20" x14ac:dyDescent="0.25">
      <c r="B9" s="441"/>
      <c r="C9" s="414"/>
      <c r="D9" s="161" t="s">
        <v>1</v>
      </c>
      <c r="E9" s="161" t="s">
        <v>5</v>
      </c>
      <c r="F9" s="161" t="s">
        <v>1</v>
      </c>
      <c r="G9" s="161" t="s">
        <v>5</v>
      </c>
      <c r="H9" s="161" t="s">
        <v>1</v>
      </c>
      <c r="I9" s="161" t="s">
        <v>5</v>
      </c>
      <c r="J9" s="161" t="s">
        <v>1</v>
      </c>
      <c r="K9" s="161" t="s">
        <v>5</v>
      </c>
      <c r="L9" s="161" t="s">
        <v>1</v>
      </c>
      <c r="M9" s="161" t="s">
        <v>5</v>
      </c>
      <c r="N9" s="299" t="s">
        <v>1</v>
      </c>
      <c r="O9" s="299" t="s">
        <v>5</v>
      </c>
      <c r="P9" s="13"/>
      <c r="Q9" s="13"/>
      <c r="R9" s="13"/>
      <c r="S9" s="13"/>
      <c r="T9" s="13"/>
    </row>
    <row r="10" spans="2:20" x14ac:dyDescent="0.25">
      <c r="B10" s="408" t="s">
        <v>918</v>
      </c>
      <c r="C10" s="230" t="s">
        <v>73</v>
      </c>
      <c r="D10" s="250">
        <v>2</v>
      </c>
      <c r="E10" s="263">
        <v>9.6200096200096204E-4</v>
      </c>
      <c r="F10" s="250">
        <v>453</v>
      </c>
      <c r="G10" s="263">
        <v>0.21789321789321789</v>
      </c>
      <c r="H10" s="250">
        <v>14</v>
      </c>
      <c r="I10" s="263">
        <v>6.7340067340067337E-3</v>
      </c>
      <c r="J10" s="250">
        <v>486</v>
      </c>
      <c r="K10" s="263">
        <v>0.23376623376623376</v>
      </c>
      <c r="L10" s="250">
        <v>1124</v>
      </c>
      <c r="M10" s="263">
        <v>0.54064454064454059</v>
      </c>
      <c r="N10" s="294">
        <v>2079</v>
      </c>
      <c r="O10" s="302">
        <v>1</v>
      </c>
      <c r="P10" s="13"/>
      <c r="Q10" s="13"/>
      <c r="R10" s="13"/>
      <c r="S10" s="13"/>
      <c r="T10" s="13"/>
    </row>
    <row r="11" spans="2:20" x14ac:dyDescent="0.25">
      <c r="B11" s="409"/>
      <c r="C11" s="230" t="s">
        <v>74</v>
      </c>
      <c r="D11" s="250">
        <v>1</v>
      </c>
      <c r="E11" s="263">
        <v>3.7965072133637056E-4</v>
      </c>
      <c r="F11" s="250">
        <v>44</v>
      </c>
      <c r="G11" s="263">
        <v>1.6704631738800303E-2</v>
      </c>
      <c r="H11" s="250"/>
      <c r="I11" s="263">
        <v>0</v>
      </c>
      <c r="J11" s="250">
        <v>231</v>
      </c>
      <c r="K11" s="263">
        <v>8.769931662870159E-2</v>
      </c>
      <c r="L11" s="250">
        <v>2358</v>
      </c>
      <c r="M11" s="263">
        <v>0.89521640091116172</v>
      </c>
      <c r="N11" s="294">
        <v>2634</v>
      </c>
      <c r="O11" s="302">
        <v>1</v>
      </c>
      <c r="P11" s="13"/>
      <c r="Q11" s="13"/>
      <c r="R11" s="13"/>
      <c r="S11" s="13"/>
      <c r="T11" s="13"/>
    </row>
    <row r="12" spans="2:20" x14ac:dyDescent="0.25">
      <c r="B12" s="410"/>
      <c r="C12" s="230" t="s">
        <v>588</v>
      </c>
      <c r="D12" s="250">
        <v>3</v>
      </c>
      <c r="E12" s="263">
        <v>6.3653723742838951E-4</v>
      </c>
      <c r="F12" s="250">
        <v>497</v>
      </c>
      <c r="G12" s="263">
        <v>0.10545300233396987</v>
      </c>
      <c r="H12" s="250">
        <v>14</v>
      </c>
      <c r="I12" s="263">
        <v>2.9705071079991511E-3</v>
      </c>
      <c r="J12" s="250">
        <v>717</v>
      </c>
      <c r="K12" s="263">
        <v>0.15213239974538512</v>
      </c>
      <c r="L12" s="250">
        <v>3482</v>
      </c>
      <c r="M12" s="263">
        <v>0.73880755357521743</v>
      </c>
      <c r="N12" s="294">
        <v>4713</v>
      </c>
      <c r="O12" s="302">
        <v>1</v>
      </c>
      <c r="P12" s="13"/>
      <c r="Q12" s="13"/>
      <c r="R12" s="13"/>
      <c r="S12" s="13"/>
      <c r="T12" s="13"/>
    </row>
    <row r="13" spans="2:20" x14ac:dyDescent="0.25">
      <c r="B13" s="408" t="s">
        <v>919</v>
      </c>
      <c r="C13" s="230" t="s">
        <v>73</v>
      </c>
      <c r="D13" s="179">
        <v>16</v>
      </c>
      <c r="E13" s="263">
        <v>5.7616132517104791E-4</v>
      </c>
      <c r="F13" s="250">
        <v>20905</v>
      </c>
      <c r="G13" s="263">
        <v>0.75279078141879729</v>
      </c>
      <c r="H13" s="250">
        <v>12</v>
      </c>
      <c r="I13" s="263">
        <v>4.3212099387828591E-4</v>
      </c>
      <c r="J13" s="250">
        <v>1364</v>
      </c>
      <c r="K13" s="263">
        <v>4.9117752970831832E-2</v>
      </c>
      <c r="L13" s="250">
        <v>5473</v>
      </c>
      <c r="M13" s="263">
        <v>0.19708318329132157</v>
      </c>
      <c r="N13" s="294">
        <v>27770</v>
      </c>
      <c r="O13" s="302">
        <v>1</v>
      </c>
      <c r="P13" s="13"/>
      <c r="Q13" s="13"/>
      <c r="R13" s="13"/>
      <c r="S13" s="13"/>
      <c r="T13" s="13"/>
    </row>
    <row r="14" spans="2:20" x14ac:dyDescent="0.25">
      <c r="B14" s="409"/>
      <c r="C14" s="230" t="s">
        <v>74</v>
      </c>
      <c r="D14" s="179">
        <v>12</v>
      </c>
      <c r="E14" s="263">
        <v>4.8109690093412979E-4</v>
      </c>
      <c r="F14" s="250">
        <v>17703</v>
      </c>
      <c r="G14" s="263">
        <v>0.709738203103075</v>
      </c>
      <c r="H14" s="250"/>
      <c r="I14" s="263">
        <v>0</v>
      </c>
      <c r="J14" s="250">
        <v>2129</v>
      </c>
      <c r="K14" s="263">
        <v>8.5354608507396859E-2</v>
      </c>
      <c r="L14" s="250">
        <v>5099</v>
      </c>
      <c r="M14" s="263">
        <v>0.204426091488594</v>
      </c>
      <c r="N14" s="294">
        <v>24943</v>
      </c>
      <c r="O14" s="302">
        <v>1</v>
      </c>
      <c r="P14" s="13"/>
      <c r="Q14" s="13"/>
      <c r="R14" s="13"/>
      <c r="S14" s="13"/>
      <c r="T14" s="13"/>
    </row>
    <row r="15" spans="2:20" x14ac:dyDescent="0.25">
      <c r="B15" s="410"/>
      <c r="C15" s="230" t="s">
        <v>588</v>
      </c>
      <c r="D15" s="179">
        <v>28</v>
      </c>
      <c r="E15" s="263">
        <v>5.3117826722060967E-4</v>
      </c>
      <c r="F15" s="250">
        <v>38608</v>
      </c>
      <c r="G15" s="263">
        <v>0.73241894788761785</v>
      </c>
      <c r="H15" s="250">
        <v>12</v>
      </c>
      <c r="I15" s="263">
        <v>2.2764782880883275E-4</v>
      </c>
      <c r="J15" s="250">
        <v>3493</v>
      </c>
      <c r="K15" s="263">
        <v>6.626448883577106E-2</v>
      </c>
      <c r="L15" s="250">
        <v>10572</v>
      </c>
      <c r="M15" s="263">
        <v>0.20055773718058165</v>
      </c>
      <c r="N15" s="294">
        <v>52713</v>
      </c>
      <c r="O15" s="302">
        <v>1</v>
      </c>
      <c r="P15" s="13"/>
      <c r="Q15" s="13"/>
      <c r="R15" s="13"/>
      <c r="S15" s="13"/>
      <c r="T15" s="13"/>
    </row>
    <row r="16" spans="2:20" x14ac:dyDescent="0.25">
      <c r="B16" s="408" t="s">
        <v>2</v>
      </c>
      <c r="C16" s="230" t="s">
        <v>73</v>
      </c>
      <c r="D16" s="250">
        <v>7</v>
      </c>
      <c r="E16" s="263">
        <v>1.3469309216855877E-3</v>
      </c>
      <c r="F16" s="250">
        <v>286</v>
      </c>
      <c r="G16" s="263">
        <v>5.5031749086011161E-2</v>
      </c>
      <c r="H16" s="250">
        <v>7</v>
      </c>
      <c r="I16" s="263">
        <v>1.3469309216855877E-3</v>
      </c>
      <c r="J16" s="250">
        <v>40</v>
      </c>
      <c r="K16" s="263">
        <v>7.696748123917645E-3</v>
      </c>
      <c r="L16" s="250">
        <v>4857</v>
      </c>
      <c r="M16" s="263">
        <v>0.93457764094670004</v>
      </c>
      <c r="N16" s="294">
        <v>5197</v>
      </c>
      <c r="O16" s="302">
        <v>1</v>
      </c>
      <c r="P16" s="13"/>
      <c r="Q16" s="13"/>
      <c r="R16" s="13"/>
      <c r="S16" s="13"/>
      <c r="T16" s="13"/>
    </row>
    <row r="17" spans="2:30" x14ac:dyDescent="0.25">
      <c r="B17" s="409"/>
      <c r="C17" s="230" t="s">
        <v>74</v>
      </c>
      <c r="D17" s="250">
        <v>8</v>
      </c>
      <c r="E17" s="263">
        <v>3.5226772346983706E-3</v>
      </c>
      <c r="F17" s="250">
        <v>204</v>
      </c>
      <c r="G17" s="263">
        <v>8.982826948480846E-2</v>
      </c>
      <c r="H17" s="250"/>
      <c r="I17" s="263">
        <v>0</v>
      </c>
      <c r="J17" s="250">
        <v>15</v>
      </c>
      <c r="K17" s="263">
        <v>6.6050198150594455E-3</v>
      </c>
      <c r="L17" s="250">
        <v>2044</v>
      </c>
      <c r="M17" s="263">
        <v>0.90004403346543371</v>
      </c>
      <c r="N17" s="294">
        <v>2271</v>
      </c>
      <c r="O17" s="302">
        <v>1</v>
      </c>
      <c r="P17" s="13"/>
      <c r="Q17" s="13"/>
      <c r="R17" s="13"/>
      <c r="S17" s="13"/>
      <c r="T17" s="13"/>
    </row>
    <row r="18" spans="2:30" x14ac:dyDescent="0.25">
      <c r="B18" s="410"/>
      <c r="C18" s="230" t="s">
        <v>588</v>
      </c>
      <c r="D18" s="250">
        <v>15</v>
      </c>
      <c r="E18" s="263">
        <v>2.0085698982324584E-3</v>
      </c>
      <c r="F18" s="250">
        <v>490</v>
      </c>
      <c r="G18" s="263">
        <v>6.5613283342260312E-2</v>
      </c>
      <c r="H18" s="250">
        <v>7</v>
      </c>
      <c r="I18" s="263">
        <v>9.3733261917514727E-4</v>
      </c>
      <c r="J18" s="250">
        <v>55</v>
      </c>
      <c r="K18" s="263">
        <v>7.3647562935190147E-3</v>
      </c>
      <c r="L18" s="250">
        <v>6901</v>
      </c>
      <c r="M18" s="263">
        <v>0.92407605784681301</v>
      </c>
      <c r="N18" s="294">
        <v>7468</v>
      </c>
      <c r="O18" s="302">
        <v>1</v>
      </c>
      <c r="P18" s="13"/>
      <c r="Q18" s="13"/>
      <c r="R18" s="13"/>
      <c r="S18" s="13"/>
      <c r="T18" s="13"/>
    </row>
    <row r="19" spans="2:30" x14ac:dyDescent="0.25">
      <c r="B19" s="408" t="s">
        <v>3</v>
      </c>
      <c r="C19" s="230" t="s">
        <v>73</v>
      </c>
      <c r="D19" s="250">
        <v>3</v>
      </c>
      <c r="E19" s="263">
        <v>2.1352313167259788E-3</v>
      </c>
      <c r="F19" s="250">
        <v>596</v>
      </c>
      <c r="G19" s="263">
        <v>0.42419928825622777</v>
      </c>
      <c r="H19" s="92">
        <v>1</v>
      </c>
      <c r="I19" s="263">
        <v>7.1174377224199293E-4</v>
      </c>
      <c r="J19" s="250">
        <v>46</v>
      </c>
      <c r="K19" s="263">
        <v>3.2740213523131674E-2</v>
      </c>
      <c r="L19" s="250">
        <v>759</v>
      </c>
      <c r="M19" s="263">
        <v>0.54021352313167259</v>
      </c>
      <c r="N19" s="294">
        <v>1405</v>
      </c>
      <c r="O19" s="302">
        <v>1</v>
      </c>
      <c r="P19" s="13"/>
      <c r="Q19" s="13"/>
      <c r="R19" s="13"/>
      <c r="S19" s="13"/>
      <c r="T19" s="13"/>
      <c r="U19" s="13"/>
      <c r="V19" s="226"/>
      <c r="W19" s="226"/>
      <c r="X19" s="90"/>
      <c r="Y19" s="229"/>
      <c r="Z19" s="229"/>
      <c r="AA19" s="229"/>
      <c r="AB19" s="229"/>
      <c r="AC19" s="229"/>
      <c r="AD19" s="229"/>
    </row>
    <row r="20" spans="2:30" x14ac:dyDescent="0.25">
      <c r="B20" s="409"/>
      <c r="C20" s="230" t="s">
        <v>74</v>
      </c>
      <c r="D20" s="250">
        <v>5</v>
      </c>
      <c r="E20" s="263">
        <v>2.3946360153256703E-3</v>
      </c>
      <c r="F20" s="250">
        <v>1021</v>
      </c>
      <c r="G20" s="263">
        <v>0.48898467432950193</v>
      </c>
      <c r="H20" s="250">
        <v>1</v>
      </c>
      <c r="I20" s="263">
        <v>4.7892720306513407E-4</v>
      </c>
      <c r="J20" s="250">
        <v>78</v>
      </c>
      <c r="K20" s="263">
        <v>3.7356321839080463E-2</v>
      </c>
      <c r="L20" s="250">
        <v>983</v>
      </c>
      <c r="M20" s="263">
        <v>0.4707854406130268</v>
      </c>
      <c r="N20" s="294">
        <v>2088</v>
      </c>
      <c r="O20" s="302">
        <v>1</v>
      </c>
      <c r="P20" s="13"/>
      <c r="Q20" s="13"/>
      <c r="R20" s="13"/>
      <c r="S20" s="13"/>
      <c r="T20" s="13"/>
      <c r="U20" s="13"/>
      <c r="V20" s="226"/>
      <c r="W20" s="226"/>
      <c r="X20" s="90"/>
      <c r="Y20" s="229"/>
      <c r="Z20" s="229"/>
      <c r="AA20" s="229"/>
      <c r="AB20" s="229"/>
      <c r="AC20" s="229"/>
      <c r="AD20" s="229"/>
    </row>
    <row r="21" spans="2:30" x14ac:dyDescent="0.25">
      <c r="B21" s="410"/>
      <c r="C21" s="230" t="s">
        <v>588</v>
      </c>
      <c r="D21" s="250">
        <v>8</v>
      </c>
      <c r="E21" s="263">
        <v>2.290294875465216E-3</v>
      </c>
      <c r="F21" s="250">
        <v>1617</v>
      </c>
      <c r="G21" s="263">
        <v>0.46292585170340683</v>
      </c>
      <c r="H21" s="250">
        <v>2</v>
      </c>
      <c r="I21" s="263">
        <v>5.7257371886630399E-4</v>
      </c>
      <c r="J21" s="250">
        <v>124</v>
      </c>
      <c r="K21" s="263">
        <v>3.5499570569710849E-2</v>
      </c>
      <c r="L21" s="250">
        <v>1742</v>
      </c>
      <c r="M21" s="263">
        <v>0.49871170913255081</v>
      </c>
      <c r="N21" s="294">
        <v>3493</v>
      </c>
      <c r="O21" s="302">
        <v>1</v>
      </c>
      <c r="P21" s="13"/>
      <c r="Q21" s="13"/>
      <c r="R21" s="13"/>
      <c r="S21" s="13"/>
      <c r="T21" s="13"/>
      <c r="U21" s="13"/>
      <c r="V21" s="226"/>
      <c r="W21" s="226"/>
      <c r="X21" s="90"/>
      <c r="Y21" s="229"/>
      <c r="Z21" s="229"/>
      <c r="AA21" s="229"/>
      <c r="AB21" s="229"/>
      <c r="AC21" s="229"/>
      <c r="AD21" s="229"/>
    </row>
    <row r="22" spans="2:30" x14ac:dyDescent="0.25">
      <c r="B22" s="433" t="s">
        <v>689</v>
      </c>
      <c r="C22" s="303" t="s">
        <v>73</v>
      </c>
      <c r="D22" s="294">
        <v>28</v>
      </c>
      <c r="E22" s="304">
        <v>7.6815450879262571E-4</v>
      </c>
      <c r="F22" s="294">
        <v>22240</v>
      </c>
      <c r="G22" s="304">
        <v>0.61013415269814275</v>
      </c>
      <c r="H22" s="294">
        <v>34</v>
      </c>
      <c r="I22" s="304">
        <v>9.3275904639104554E-4</v>
      </c>
      <c r="J22" s="294">
        <v>1936</v>
      </c>
      <c r="K22" s="304">
        <v>5.3112397465090118E-2</v>
      </c>
      <c r="L22" s="294">
        <v>12213</v>
      </c>
      <c r="M22" s="304">
        <v>0.33505253628158349</v>
      </c>
      <c r="N22" s="294">
        <v>36451</v>
      </c>
      <c r="O22" s="302">
        <v>1</v>
      </c>
      <c r="P22" s="13"/>
      <c r="Q22" s="13"/>
      <c r="R22" s="13"/>
      <c r="S22" s="13"/>
      <c r="T22" s="13"/>
      <c r="U22" s="13"/>
      <c r="V22" s="226"/>
      <c r="W22" s="226"/>
      <c r="X22" s="90"/>
      <c r="Y22" s="229"/>
      <c r="Z22" s="229"/>
      <c r="AA22" s="229"/>
      <c r="AB22" s="229"/>
      <c r="AC22" s="229"/>
      <c r="AD22" s="229"/>
    </row>
    <row r="23" spans="2:30" x14ac:dyDescent="0.25">
      <c r="B23" s="433"/>
      <c r="C23" s="303" t="s">
        <v>74</v>
      </c>
      <c r="D23" s="294">
        <v>26</v>
      </c>
      <c r="E23" s="304">
        <v>8.14128256513026E-4</v>
      </c>
      <c r="F23" s="294">
        <v>18972</v>
      </c>
      <c r="G23" s="304">
        <v>0.59406312625250501</v>
      </c>
      <c r="H23" s="294">
        <v>1</v>
      </c>
      <c r="I23" s="304">
        <v>3.1312625250500999E-5</v>
      </c>
      <c r="J23" s="294">
        <v>2453</v>
      </c>
      <c r="K23" s="304">
        <v>7.6809869739478953E-2</v>
      </c>
      <c r="L23" s="294">
        <v>10484</v>
      </c>
      <c r="M23" s="304">
        <v>0.32828156312625251</v>
      </c>
      <c r="N23" s="294">
        <v>31936</v>
      </c>
      <c r="O23" s="302">
        <v>1</v>
      </c>
      <c r="P23" s="13"/>
      <c r="Q23" s="13"/>
      <c r="R23" s="13"/>
      <c r="S23" s="13"/>
      <c r="T23" s="13"/>
      <c r="U23" s="13"/>
      <c r="V23" s="226"/>
      <c r="W23" s="226"/>
      <c r="X23" s="90"/>
      <c r="Y23" s="229"/>
      <c r="Z23" s="229"/>
      <c r="AA23" s="229"/>
      <c r="AB23" s="229"/>
      <c r="AC23" s="229"/>
      <c r="AD23" s="229"/>
    </row>
    <row r="24" spans="2:30" x14ac:dyDescent="0.25">
      <c r="B24" s="433"/>
      <c r="C24" s="303" t="s">
        <v>588</v>
      </c>
      <c r="D24" s="294">
        <v>54</v>
      </c>
      <c r="E24" s="304">
        <v>7.8962375890154559E-4</v>
      </c>
      <c r="F24" s="294">
        <v>41212</v>
      </c>
      <c r="G24" s="304">
        <v>0.6026291546638981</v>
      </c>
      <c r="H24" s="294">
        <v>35</v>
      </c>
      <c r="I24" s="304">
        <v>5.1179317706581662E-4</v>
      </c>
      <c r="J24" s="294">
        <v>4389</v>
      </c>
      <c r="K24" s="304">
        <v>6.4178864404053404E-2</v>
      </c>
      <c r="L24" s="294">
        <v>22697</v>
      </c>
      <c r="M24" s="304">
        <v>0.33189056399608113</v>
      </c>
      <c r="N24" s="294">
        <v>68387</v>
      </c>
      <c r="O24" s="302">
        <v>1</v>
      </c>
      <c r="P24" s="13"/>
      <c r="Q24" s="13"/>
      <c r="R24" s="13"/>
      <c r="S24" s="13"/>
      <c r="T24" s="13"/>
      <c r="U24" s="13"/>
      <c r="V24" s="226"/>
      <c r="W24" s="226"/>
      <c r="X24" s="90"/>
      <c r="Y24" s="229"/>
      <c r="Z24" s="229"/>
      <c r="AA24" s="229"/>
      <c r="AB24" s="229"/>
      <c r="AC24" s="229"/>
      <c r="AD24" s="229"/>
    </row>
    <row r="25" spans="2:30" ht="93.75" customHeight="1" x14ac:dyDescent="0.25">
      <c r="B25" s="428" t="s">
        <v>920</v>
      </c>
      <c r="C25" s="428"/>
      <c r="D25" s="428"/>
      <c r="E25" s="428"/>
      <c r="F25" s="428"/>
      <c r="G25" s="428"/>
      <c r="H25" s="428"/>
      <c r="I25" s="428"/>
      <c r="J25" s="428"/>
      <c r="K25" s="428"/>
      <c r="L25" s="428"/>
      <c r="M25" s="428"/>
      <c r="N25" s="428"/>
      <c r="O25" s="428"/>
      <c r="P25" s="13"/>
      <c r="Q25" s="13"/>
      <c r="R25" s="226"/>
      <c r="S25" s="226"/>
      <c r="T25" s="90"/>
      <c r="U25" s="229"/>
      <c r="V25" s="229"/>
      <c r="W25" s="229"/>
      <c r="X25" s="229"/>
      <c r="Y25" s="229"/>
      <c r="Z25" s="229"/>
    </row>
    <row r="26" spans="2:30" x14ac:dyDescent="0.25">
      <c r="B26" s="13"/>
      <c r="C26" s="13"/>
      <c r="D26" s="13"/>
      <c r="E26" s="13"/>
      <c r="F26" s="13"/>
      <c r="G26" s="13"/>
      <c r="H26" s="13"/>
      <c r="I26" s="13"/>
      <c r="J26" s="13"/>
      <c r="K26" s="13"/>
      <c r="L26" s="13"/>
      <c r="M26" s="13"/>
      <c r="N26" s="13"/>
      <c r="O26" s="13"/>
      <c r="P26" s="13"/>
      <c r="Q26" s="13"/>
      <c r="R26" s="226"/>
      <c r="S26" s="226"/>
      <c r="T26" s="90"/>
      <c r="U26" s="229"/>
      <c r="V26" s="229"/>
      <c r="W26" s="229"/>
      <c r="X26" s="229"/>
      <c r="Y26" s="229"/>
      <c r="Z26" s="229"/>
    </row>
    <row r="27" spans="2:30" ht="18.75" x14ac:dyDescent="0.3">
      <c r="B27" s="2" t="s">
        <v>854</v>
      </c>
      <c r="C27" s="8"/>
      <c r="D27" s="8"/>
      <c r="E27" s="8"/>
      <c r="F27" s="8"/>
      <c r="G27" s="8"/>
      <c r="O27" s="13"/>
      <c r="P27" s="13"/>
      <c r="Q27" s="13"/>
      <c r="R27" s="13"/>
      <c r="S27" s="13"/>
      <c r="T27" s="13"/>
      <c r="U27" s="13"/>
      <c r="V27" s="13"/>
      <c r="W27" s="13"/>
      <c r="X27" s="13"/>
      <c r="Y27" s="13"/>
    </row>
    <row r="28" spans="2:30" x14ac:dyDescent="0.25">
      <c r="B28" s="15" t="s">
        <v>867</v>
      </c>
      <c r="O28" s="13"/>
      <c r="P28" s="13"/>
      <c r="Q28" s="13"/>
      <c r="R28" s="13"/>
      <c r="S28" s="13"/>
      <c r="T28" s="13"/>
      <c r="U28" s="13"/>
      <c r="V28" s="13"/>
      <c r="W28" s="13"/>
      <c r="X28" s="13"/>
      <c r="Y28" s="13"/>
    </row>
    <row r="29" spans="2:30" x14ac:dyDescent="0.25">
      <c r="B29" s="15"/>
      <c r="O29" s="13"/>
      <c r="P29" s="13"/>
      <c r="Q29" s="13"/>
      <c r="R29" s="13"/>
      <c r="S29" s="13"/>
      <c r="T29" s="13"/>
      <c r="U29" s="13"/>
      <c r="V29" s="13"/>
      <c r="W29" s="13"/>
      <c r="X29" s="13"/>
      <c r="Y29" s="13"/>
    </row>
    <row r="30" spans="2:30" ht="15" customHeight="1" x14ac:dyDescent="0.25">
      <c r="B30" s="439" t="s">
        <v>477</v>
      </c>
      <c r="C30" s="414" t="s">
        <v>589</v>
      </c>
      <c r="D30" s="434" t="s">
        <v>917</v>
      </c>
      <c r="E30" s="434"/>
      <c r="F30" s="434"/>
      <c r="G30" s="434"/>
      <c r="H30" s="434"/>
      <c r="I30" s="434"/>
      <c r="J30" s="434"/>
      <c r="K30" s="434"/>
      <c r="L30" s="434"/>
      <c r="M30" s="434"/>
      <c r="N30" s="434"/>
      <c r="O30" s="434"/>
      <c r="P30" s="13"/>
      <c r="Q30" s="13"/>
      <c r="R30" s="13"/>
      <c r="S30" s="13"/>
      <c r="T30" s="13"/>
      <c r="U30" s="13"/>
      <c r="V30" s="13"/>
      <c r="W30" s="13"/>
      <c r="X30" s="13"/>
      <c r="Y30" s="13"/>
    </row>
    <row r="31" spans="2:30" ht="15" customHeight="1" x14ac:dyDescent="0.25">
      <c r="B31" s="440"/>
      <c r="C31" s="414"/>
      <c r="D31" s="414" t="s">
        <v>15</v>
      </c>
      <c r="E31" s="414"/>
      <c r="F31" s="414" t="s">
        <v>12</v>
      </c>
      <c r="G31" s="414"/>
      <c r="H31" s="414" t="s">
        <v>16</v>
      </c>
      <c r="I31" s="414"/>
      <c r="J31" s="414" t="s">
        <v>13</v>
      </c>
      <c r="K31" s="414"/>
      <c r="L31" s="414" t="s">
        <v>14</v>
      </c>
      <c r="M31" s="414"/>
      <c r="N31" s="433" t="s">
        <v>486</v>
      </c>
      <c r="O31" s="433"/>
      <c r="P31" s="13"/>
      <c r="Q31" s="13"/>
      <c r="R31" s="13"/>
      <c r="S31" s="13"/>
      <c r="T31" s="13"/>
      <c r="U31" s="13"/>
      <c r="V31" s="13"/>
      <c r="W31" s="13"/>
      <c r="X31" s="13"/>
      <c r="Y31" s="13"/>
    </row>
    <row r="32" spans="2:30" x14ac:dyDescent="0.25">
      <c r="B32" s="441"/>
      <c r="C32" s="414"/>
      <c r="D32" s="161" t="s">
        <v>1</v>
      </c>
      <c r="E32" s="161" t="s">
        <v>5</v>
      </c>
      <c r="F32" s="161" t="s">
        <v>1</v>
      </c>
      <c r="G32" s="161" t="s">
        <v>5</v>
      </c>
      <c r="H32" s="161" t="s">
        <v>1</v>
      </c>
      <c r="I32" s="161" t="s">
        <v>5</v>
      </c>
      <c r="J32" s="161" t="s">
        <v>1</v>
      </c>
      <c r="K32" s="161" t="s">
        <v>5</v>
      </c>
      <c r="L32" s="161" t="s">
        <v>1</v>
      </c>
      <c r="M32" s="161" t="s">
        <v>5</v>
      </c>
      <c r="N32" s="299" t="s">
        <v>1</v>
      </c>
      <c r="O32" s="299" t="s">
        <v>5</v>
      </c>
      <c r="P32" s="13"/>
      <c r="Q32" s="13"/>
      <c r="R32" s="13"/>
      <c r="S32" s="13"/>
      <c r="T32" s="13"/>
      <c r="U32" s="13"/>
      <c r="V32" s="13"/>
      <c r="W32" s="13"/>
      <c r="X32" s="13"/>
      <c r="Y32" s="13"/>
    </row>
    <row r="33" spans="2:25" x14ac:dyDescent="0.25">
      <c r="B33" s="408" t="s">
        <v>918</v>
      </c>
      <c r="C33" s="355" t="s">
        <v>73</v>
      </c>
      <c r="D33" s="250">
        <v>17</v>
      </c>
      <c r="E33" s="263">
        <v>1.4624913971094287E-3</v>
      </c>
      <c r="F33" s="250">
        <v>8118</v>
      </c>
      <c r="G33" s="263">
        <v>0.69838265657260845</v>
      </c>
      <c r="H33" s="250">
        <v>50</v>
      </c>
      <c r="I33" s="263">
        <v>4.3014452856159667E-3</v>
      </c>
      <c r="J33" s="250">
        <v>2295</v>
      </c>
      <c r="K33" s="263">
        <v>0.19743633860977289</v>
      </c>
      <c r="L33" s="250">
        <v>1144</v>
      </c>
      <c r="M33" s="263">
        <v>9.8417068134893329E-2</v>
      </c>
      <c r="N33" s="367">
        <v>11624</v>
      </c>
      <c r="O33" s="311">
        <v>1</v>
      </c>
    </row>
    <row r="34" spans="2:25" x14ac:dyDescent="0.25">
      <c r="B34" s="409"/>
      <c r="C34" s="355" t="s">
        <v>74</v>
      </c>
      <c r="D34" s="250">
        <v>18</v>
      </c>
      <c r="E34" s="263">
        <v>2.7476721111280721E-3</v>
      </c>
      <c r="F34" s="250">
        <v>2442</v>
      </c>
      <c r="G34" s="263">
        <v>0.37276751640970845</v>
      </c>
      <c r="H34" s="250">
        <v>2</v>
      </c>
      <c r="I34" s="263">
        <v>3.0529690123645248E-4</v>
      </c>
      <c r="J34" s="250">
        <v>1725</v>
      </c>
      <c r="K34" s="263">
        <v>0.26331857731644026</v>
      </c>
      <c r="L34" s="250">
        <v>2364</v>
      </c>
      <c r="M34" s="263">
        <v>0.36086093726148677</v>
      </c>
      <c r="N34" s="367">
        <v>6551</v>
      </c>
      <c r="O34" s="311">
        <v>1</v>
      </c>
    </row>
    <row r="35" spans="2:25" x14ac:dyDescent="0.25">
      <c r="B35" s="410"/>
      <c r="C35" s="355" t="s">
        <v>588</v>
      </c>
      <c r="D35" s="250">
        <v>35</v>
      </c>
      <c r="E35" s="263">
        <v>1.9257221458046766E-3</v>
      </c>
      <c r="F35" s="250">
        <v>10560</v>
      </c>
      <c r="G35" s="263">
        <v>0.58101788170563962</v>
      </c>
      <c r="H35" s="250">
        <v>52</v>
      </c>
      <c r="I35" s="263">
        <v>2.8610729023383769E-3</v>
      </c>
      <c r="J35" s="250">
        <v>4020</v>
      </c>
      <c r="K35" s="263">
        <v>0.22118294360385143</v>
      </c>
      <c r="L35" s="250">
        <v>3508</v>
      </c>
      <c r="M35" s="263">
        <v>0.19301237964236589</v>
      </c>
      <c r="N35" s="367">
        <v>18175</v>
      </c>
      <c r="O35" s="311">
        <v>1</v>
      </c>
    </row>
    <row r="36" spans="2:25" x14ac:dyDescent="0.25">
      <c r="B36" s="408" t="s">
        <v>919</v>
      </c>
      <c r="C36" s="355" t="s">
        <v>73</v>
      </c>
      <c r="D36" s="250">
        <v>174</v>
      </c>
      <c r="E36" s="263">
        <v>1.3383277056909695E-3</v>
      </c>
      <c r="F36" s="250">
        <v>111568</v>
      </c>
      <c r="G36" s="263">
        <v>0.85812957165821879</v>
      </c>
      <c r="H36" s="250">
        <v>54</v>
      </c>
      <c r="I36" s="263">
        <v>4.1534308107650774E-4</v>
      </c>
      <c r="J36" s="250">
        <v>12598</v>
      </c>
      <c r="K36" s="263">
        <v>9.6898002507441558E-2</v>
      </c>
      <c r="L36" s="250">
        <v>5619</v>
      </c>
      <c r="M36" s="263">
        <v>4.3218755047572166E-2</v>
      </c>
      <c r="N36" s="367">
        <v>130013</v>
      </c>
      <c r="O36" s="311">
        <v>1</v>
      </c>
    </row>
    <row r="37" spans="2:25" x14ac:dyDescent="0.25">
      <c r="B37" s="409"/>
      <c r="C37" s="355" t="s">
        <v>74</v>
      </c>
      <c r="D37" s="250">
        <v>162</v>
      </c>
      <c r="E37" s="263">
        <v>1.3404049346759446E-3</v>
      </c>
      <c r="F37" s="250">
        <v>99422</v>
      </c>
      <c r="G37" s="263">
        <v>0.82262802108241839</v>
      </c>
      <c r="H37" s="250">
        <v>7</v>
      </c>
      <c r="I37" s="263">
        <v>5.7918731745256866E-5</v>
      </c>
      <c r="J37" s="250">
        <v>16061</v>
      </c>
      <c r="K37" s="263">
        <v>0.13289039293722438</v>
      </c>
      <c r="L37" s="250">
        <v>5207</v>
      </c>
      <c r="M37" s="263">
        <v>4.3083262313936076E-2</v>
      </c>
      <c r="N37" s="367">
        <v>120859</v>
      </c>
      <c r="O37" s="311">
        <v>1</v>
      </c>
    </row>
    <row r="38" spans="2:25" x14ac:dyDescent="0.25">
      <c r="B38" s="410"/>
      <c r="C38" s="355" t="s">
        <v>588</v>
      </c>
      <c r="D38" s="250">
        <v>336</v>
      </c>
      <c r="E38" s="263">
        <v>1.339328422462451E-3</v>
      </c>
      <c r="F38" s="250">
        <v>210990</v>
      </c>
      <c r="G38" s="263">
        <v>0.8410264995695016</v>
      </c>
      <c r="H38" s="250">
        <v>61</v>
      </c>
      <c r="I38" s="263">
        <v>2.4315188622086163E-4</v>
      </c>
      <c r="J38" s="250">
        <v>28659</v>
      </c>
      <c r="K38" s="263">
        <v>0.11423753946235531</v>
      </c>
      <c r="L38" s="250">
        <v>10826</v>
      </c>
      <c r="M38" s="263">
        <v>4.3153480659459807E-2</v>
      </c>
      <c r="N38" s="367">
        <v>250872</v>
      </c>
      <c r="O38" s="311">
        <v>1</v>
      </c>
    </row>
    <row r="39" spans="2:25" x14ac:dyDescent="0.25">
      <c r="B39" s="408" t="s">
        <v>2</v>
      </c>
      <c r="C39" s="355" t="s">
        <v>73</v>
      </c>
      <c r="D39" s="250">
        <v>80</v>
      </c>
      <c r="E39" s="263">
        <v>3.5696756057293296E-3</v>
      </c>
      <c r="F39" s="250">
        <v>5431</v>
      </c>
      <c r="G39" s="263">
        <v>0.24233635268394985</v>
      </c>
      <c r="H39" s="250">
        <v>89</v>
      </c>
      <c r="I39" s="263">
        <v>3.9712641113738793E-3</v>
      </c>
      <c r="J39" s="250">
        <v>4515</v>
      </c>
      <c r="K39" s="263">
        <v>0.20146356699834903</v>
      </c>
      <c r="L39" s="250">
        <v>12296</v>
      </c>
      <c r="M39" s="263">
        <v>0.54865914060059795</v>
      </c>
      <c r="N39" s="367">
        <v>22411</v>
      </c>
      <c r="O39" s="311">
        <v>1</v>
      </c>
    </row>
    <row r="40" spans="2:25" x14ac:dyDescent="0.25">
      <c r="B40" s="409"/>
      <c r="C40" s="355" t="s">
        <v>74</v>
      </c>
      <c r="D40" s="250">
        <v>36</v>
      </c>
      <c r="E40" s="263">
        <v>3.7472676173623399E-3</v>
      </c>
      <c r="F40" s="250">
        <v>3673</v>
      </c>
      <c r="G40" s="263">
        <v>0.38232538773810765</v>
      </c>
      <c r="H40" s="250">
        <v>19</v>
      </c>
      <c r="I40" s="263">
        <v>1.9777245758301237E-3</v>
      </c>
      <c r="J40" s="250">
        <v>1135</v>
      </c>
      <c r="K40" s="263">
        <v>0.11814302071406266</v>
      </c>
      <c r="L40" s="250">
        <v>4744</v>
      </c>
      <c r="M40" s="263">
        <v>0.49380659935463722</v>
      </c>
      <c r="N40" s="367">
        <v>9607</v>
      </c>
      <c r="O40" s="311">
        <v>1</v>
      </c>
    </row>
    <row r="41" spans="2:25" x14ac:dyDescent="0.25">
      <c r="B41" s="410"/>
      <c r="C41" s="355" t="s">
        <v>588</v>
      </c>
      <c r="D41" s="250">
        <v>116</v>
      </c>
      <c r="E41" s="263">
        <v>3.622962083827847E-3</v>
      </c>
      <c r="F41" s="250">
        <v>9104</v>
      </c>
      <c r="G41" s="263">
        <v>0.28434005871697171</v>
      </c>
      <c r="H41" s="250">
        <v>108</v>
      </c>
      <c r="I41" s="263">
        <v>3.373102629770754E-3</v>
      </c>
      <c r="J41" s="250">
        <v>5650</v>
      </c>
      <c r="K41" s="263">
        <v>0.17646323942782186</v>
      </c>
      <c r="L41" s="250">
        <v>17040</v>
      </c>
      <c r="M41" s="263">
        <v>0.53220063714160781</v>
      </c>
      <c r="N41" s="367">
        <v>32018</v>
      </c>
      <c r="O41" s="311">
        <v>1</v>
      </c>
      <c r="P41" s="13"/>
      <c r="Q41" s="13"/>
      <c r="R41" s="13"/>
      <c r="S41" s="13"/>
      <c r="T41" s="13"/>
      <c r="U41" s="13"/>
      <c r="V41" s="13"/>
      <c r="W41" s="13"/>
      <c r="X41" s="13"/>
      <c r="Y41" s="13"/>
    </row>
    <row r="42" spans="2:25" x14ac:dyDescent="0.25">
      <c r="B42" s="408" t="s">
        <v>3</v>
      </c>
      <c r="C42" s="355" t="s">
        <v>73</v>
      </c>
      <c r="D42" s="250">
        <v>14</v>
      </c>
      <c r="E42" s="263">
        <v>2.3391812865497076E-3</v>
      </c>
      <c r="F42" s="250">
        <v>4132</v>
      </c>
      <c r="G42" s="263">
        <v>0.69039264828738511</v>
      </c>
      <c r="H42" s="250">
        <v>6</v>
      </c>
      <c r="I42" s="263">
        <v>1.0025062656641604E-3</v>
      </c>
      <c r="J42" s="250">
        <v>768</v>
      </c>
      <c r="K42" s="263">
        <v>0.12832080200501253</v>
      </c>
      <c r="L42" s="250">
        <v>1065</v>
      </c>
      <c r="M42" s="263">
        <v>0.17794486215538846</v>
      </c>
      <c r="N42" s="367">
        <v>5985</v>
      </c>
      <c r="O42" s="311">
        <v>1</v>
      </c>
      <c r="P42" s="13"/>
      <c r="Q42" s="13"/>
      <c r="R42" s="13"/>
      <c r="S42" s="13"/>
      <c r="T42" s="13"/>
      <c r="U42" s="13"/>
      <c r="V42" s="13"/>
      <c r="W42" s="13"/>
      <c r="X42" s="13"/>
      <c r="Y42" s="13"/>
    </row>
    <row r="43" spans="2:25" x14ac:dyDescent="0.25">
      <c r="B43" s="409"/>
      <c r="C43" s="355" t="s">
        <v>74</v>
      </c>
      <c r="D43" s="250">
        <v>30</v>
      </c>
      <c r="E43" s="263">
        <v>3.4032898468519569E-3</v>
      </c>
      <c r="F43" s="250">
        <v>6891</v>
      </c>
      <c r="G43" s="263">
        <v>0.78173567782189446</v>
      </c>
      <c r="H43" s="250">
        <v>3</v>
      </c>
      <c r="I43" s="263">
        <v>3.4032898468519567E-4</v>
      </c>
      <c r="J43" s="250">
        <v>800</v>
      </c>
      <c r="K43" s="263">
        <v>9.075439591605218E-2</v>
      </c>
      <c r="L43" s="250">
        <v>1091</v>
      </c>
      <c r="M43" s="263">
        <v>0.12376630743051617</v>
      </c>
      <c r="N43" s="367">
        <v>8815</v>
      </c>
      <c r="O43" s="311">
        <v>1</v>
      </c>
      <c r="P43" s="13"/>
      <c r="Q43" s="13"/>
      <c r="R43" s="13"/>
      <c r="S43" s="13"/>
      <c r="T43" s="13"/>
      <c r="U43" s="13"/>
      <c r="V43" s="13"/>
      <c r="W43" s="13"/>
      <c r="X43" s="13"/>
      <c r="Y43" s="13"/>
    </row>
    <row r="44" spans="2:25" x14ac:dyDescent="0.25">
      <c r="B44" s="410"/>
      <c r="C44" s="355" t="s">
        <v>588</v>
      </c>
      <c r="D44" s="250">
        <v>44</v>
      </c>
      <c r="E44" s="263">
        <v>2.972972972972973E-3</v>
      </c>
      <c r="F44" s="250">
        <v>11023</v>
      </c>
      <c r="G44" s="263">
        <v>0.74479729729729727</v>
      </c>
      <c r="H44" s="250">
        <v>9</v>
      </c>
      <c r="I44" s="263">
        <v>6.0810810810810808E-4</v>
      </c>
      <c r="J44" s="250">
        <v>1568</v>
      </c>
      <c r="K44" s="263">
        <v>0.10594594594594595</v>
      </c>
      <c r="L44" s="250">
        <v>2156</v>
      </c>
      <c r="M44" s="263">
        <v>0.14567567567567569</v>
      </c>
      <c r="N44" s="367">
        <v>14800</v>
      </c>
      <c r="O44" s="311">
        <v>1</v>
      </c>
      <c r="P44" s="13"/>
      <c r="Q44" s="13"/>
      <c r="R44" s="13"/>
      <c r="S44" s="13"/>
      <c r="T44" s="13"/>
      <c r="U44" s="13"/>
      <c r="V44" s="13"/>
      <c r="W44" s="13"/>
      <c r="X44" s="13"/>
      <c r="Y44" s="13"/>
    </row>
    <row r="45" spans="2:25" x14ac:dyDescent="0.25">
      <c r="B45" s="433" t="s">
        <v>689</v>
      </c>
      <c r="C45" s="365" t="s">
        <v>73</v>
      </c>
      <c r="D45" s="294">
        <v>285</v>
      </c>
      <c r="E45" s="366">
        <v>1.6761452188692784E-3</v>
      </c>
      <c r="F45" s="294">
        <v>129249</v>
      </c>
      <c r="G45" s="366">
        <v>0.76014067857415912</v>
      </c>
      <c r="H45" s="294">
        <v>199</v>
      </c>
      <c r="I45" s="366">
        <v>1.1703610475613556E-3</v>
      </c>
      <c r="J45" s="294">
        <v>20176</v>
      </c>
      <c r="K45" s="366">
        <v>0.11865931907335635</v>
      </c>
      <c r="L45" s="294">
        <v>20124</v>
      </c>
      <c r="M45" s="366">
        <v>0.11835349608605389</v>
      </c>
      <c r="N45" s="367">
        <v>170033</v>
      </c>
      <c r="O45" s="311">
        <v>1</v>
      </c>
      <c r="P45" s="13"/>
      <c r="Q45" s="13"/>
      <c r="R45" s="13"/>
      <c r="S45" s="13"/>
      <c r="T45" s="13"/>
      <c r="U45" s="13"/>
      <c r="V45" s="13"/>
      <c r="W45" s="13"/>
      <c r="X45" s="13"/>
      <c r="Y45" s="13"/>
    </row>
    <row r="46" spans="2:25" x14ac:dyDescent="0.25">
      <c r="B46" s="433"/>
      <c r="C46" s="365" t="s">
        <v>74</v>
      </c>
      <c r="D46" s="294">
        <v>246</v>
      </c>
      <c r="E46" s="366">
        <v>1.6868725656920291E-3</v>
      </c>
      <c r="F46" s="294">
        <v>112428</v>
      </c>
      <c r="G46" s="366">
        <v>0.77094190575456689</v>
      </c>
      <c r="H46" s="294">
        <v>31</v>
      </c>
      <c r="I46" s="366">
        <v>2.1257337209940204E-4</v>
      </c>
      <c r="J46" s="294">
        <v>19721</v>
      </c>
      <c r="K46" s="366">
        <v>0.13523095068297766</v>
      </c>
      <c r="L46" s="294">
        <v>13406</v>
      </c>
      <c r="M46" s="366">
        <v>9.1927697624664004E-2</v>
      </c>
      <c r="N46" s="367">
        <v>145832</v>
      </c>
      <c r="O46" s="311">
        <v>1</v>
      </c>
      <c r="P46" s="13"/>
      <c r="Q46" s="13"/>
      <c r="R46" s="13"/>
      <c r="S46" s="13"/>
      <c r="T46" s="13"/>
      <c r="U46" s="13"/>
      <c r="V46" s="13"/>
      <c r="W46" s="13"/>
      <c r="X46" s="13"/>
      <c r="Y46" s="13"/>
    </row>
    <row r="47" spans="2:25" x14ac:dyDescent="0.25">
      <c r="B47" s="433"/>
      <c r="C47" s="365" t="s">
        <v>588</v>
      </c>
      <c r="D47" s="294">
        <v>531</v>
      </c>
      <c r="E47" s="366">
        <v>1.6810979374099694E-3</v>
      </c>
      <c r="F47" s="294">
        <v>241677</v>
      </c>
      <c r="G47" s="366">
        <v>0.76512750700457477</v>
      </c>
      <c r="H47" s="294">
        <v>230</v>
      </c>
      <c r="I47" s="366">
        <v>7.2815918192898862E-4</v>
      </c>
      <c r="J47" s="294">
        <v>39897</v>
      </c>
      <c r="K47" s="366">
        <v>0.12631029078878636</v>
      </c>
      <c r="L47" s="294">
        <v>33530</v>
      </c>
      <c r="M47" s="366">
        <v>0.10615294508729996</v>
      </c>
      <c r="N47" s="367">
        <v>315865</v>
      </c>
      <c r="O47" s="311">
        <v>1</v>
      </c>
      <c r="P47" s="13"/>
      <c r="Q47" s="13"/>
      <c r="R47" s="13"/>
      <c r="S47" s="13"/>
      <c r="T47" s="13"/>
      <c r="U47" s="13"/>
      <c r="V47" s="13"/>
      <c r="W47" s="13"/>
      <c r="X47" s="13"/>
      <c r="Y47" s="13"/>
    </row>
    <row r="48" spans="2:25" ht="93" customHeight="1" x14ac:dyDescent="0.25">
      <c r="B48" s="428" t="s">
        <v>920</v>
      </c>
      <c r="C48" s="428"/>
      <c r="D48" s="428"/>
      <c r="E48" s="428"/>
      <c r="F48" s="428"/>
      <c r="G48" s="428"/>
      <c r="H48" s="428"/>
      <c r="I48" s="428"/>
      <c r="J48" s="428"/>
      <c r="K48" s="428"/>
      <c r="L48" s="428"/>
      <c r="M48" s="428"/>
      <c r="N48" s="428"/>
      <c r="O48" s="428"/>
      <c r="P48" s="13"/>
      <c r="Q48" s="13"/>
      <c r="R48" s="13"/>
      <c r="S48" s="13"/>
      <c r="T48" s="13"/>
      <c r="U48" s="13"/>
      <c r="V48" s="13"/>
      <c r="W48" s="13"/>
      <c r="X48" s="13"/>
      <c r="Y48" s="13"/>
    </row>
    <row r="49" spans="2:26" x14ac:dyDescent="0.25">
      <c r="C49" s="13"/>
      <c r="D49" s="13"/>
      <c r="E49" s="13"/>
      <c r="F49" s="13"/>
      <c r="G49" s="13"/>
      <c r="H49" s="13"/>
      <c r="I49" s="13"/>
      <c r="J49" s="13"/>
      <c r="K49" s="13"/>
      <c r="L49" s="13"/>
      <c r="M49" s="13"/>
      <c r="N49" s="13"/>
      <c r="O49" s="13"/>
      <c r="P49" s="13"/>
      <c r="Q49" s="13"/>
      <c r="R49" s="226"/>
      <c r="S49" s="226"/>
      <c r="T49" s="90"/>
      <c r="U49" s="229"/>
      <c r="V49" s="229"/>
      <c r="W49" s="229"/>
      <c r="X49" s="229"/>
      <c r="Y49" s="229"/>
      <c r="Z49" s="229"/>
    </row>
    <row r="50" spans="2:26" ht="18.75" x14ac:dyDescent="0.3">
      <c r="B50" s="2" t="s">
        <v>780</v>
      </c>
      <c r="C50" s="2"/>
      <c r="D50" s="2"/>
      <c r="E50" s="2"/>
      <c r="F50" s="2"/>
      <c r="G50" s="2"/>
      <c r="H50" s="243"/>
      <c r="I50" s="13"/>
      <c r="J50" s="13"/>
      <c r="K50" s="13"/>
      <c r="L50" s="13"/>
      <c r="M50" s="13"/>
      <c r="N50" s="13"/>
      <c r="O50" s="13"/>
      <c r="P50" s="13"/>
      <c r="Q50" s="13"/>
      <c r="R50" s="13"/>
      <c r="S50" s="13"/>
      <c r="T50" s="13"/>
      <c r="U50" s="13"/>
      <c r="V50" s="13"/>
      <c r="W50" s="13"/>
      <c r="X50" s="13"/>
      <c r="Y50" s="13"/>
    </row>
    <row r="51" spans="2:26" ht="15" customHeight="1" x14ac:dyDescent="0.25">
      <c r="B51" s="351" t="s">
        <v>868</v>
      </c>
      <c r="C51" s="190"/>
      <c r="D51" s="190"/>
      <c r="E51" s="190"/>
      <c r="F51" s="190"/>
      <c r="G51" s="190"/>
      <c r="H51" s="190"/>
      <c r="I51" s="13"/>
      <c r="J51" s="13"/>
      <c r="K51" s="13"/>
      <c r="L51" s="13"/>
      <c r="M51" s="13"/>
      <c r="N51" s="13"/>
      <c r="O51" s="13"/>
      <c r="P51" s="13"/>
      <c r="Q51" s="13"/>
      <c r="R51" s="13"/>
      <c r="S51" s="13"/>
      <c r="T51" s="13"/>
      <c r="U51" s="13"/>
      <c r="V51" s="13"/>
      <c r="W51" s="13"/>
      <c r="X51" s="13"/>
      <c r="Y51" s="13"/>
    </row>
    <row r="52" spans="2:26" ht="15" customHeight="1" x14ac:dyDescent="0.25">
      <c r="B52" s="15"/>
      <c r="C52" s="190"/>
      <c r="D52" s="190"/>
      <c r="E52" s="190"/>
      <c r="F52" s="190"/>
      <c r="G52" s="190"/>
      <c r="H52" s="190"/>
      <c r="I52" s="13"/>
      <c r="J52" s="13"/>
      <c r="K52" s="13"/>
      <c r="L52" s="13"/>
      <c r="M52" s="13"/>
      <c r="N52" s="13"/>
      <c r="O52" s="13"/>
      <c r="P52" s="13"/>
      <c r="Q52" s="13"/>
      <c r="R52" s="13"/>
      <c r="S52" s="13"/>
      <c r="T52" s="13"/>
      <c r="U52" s="13"/>
      <c r="V52" s="13"/>
      <c r="W52" s="13"/>
      <c r="X52" s="13"/>
      <c r="Y52" s="13"/>
    </row>
    <row r="53" spans="2:26" ht="15" customHeight="1" x14ac:dyDescent="0.25">
      <c r="B53" s="435" t="s">
        <v>472</v>
      </c>
      <c r="C53" s="436" t="s">
        <v>477</v>
      </c>
      <c r="D53" s="437"/>
      <c r="E53" s="437"/>
      <c r="F53" s="437"/>
      <c r="G53" s="437"/>
      <c r="H53" s="437"/>
      <c r="I53" s="437"/>
      <c r="J53" s="437"/>
      <c r="K53" s="437"/>
      <c r="L53" s="437"/>
      <c r="M53" s="437"/>
      <c r="N53" s="437"/>
      <c r="O53" s="437"/>
      <c r="P53" s="437"/>
      <c r="Q53" s="437"/>
      <c r="R53" s="437"/>
      <c r="S53" s="437"/>
      <c r="T53" s="438"/>
      <c r="U53" s="432" t="s">
        <v>939</v>
      </c>
      <c r="V53" s="432"/>
      <c r="W53" s="432"/>
      <c r="X53" s="13"/>
      <c r="Y53" s="13"/>
    </row>
    <row r="54" spans="2:26" x14ac:dyDescent="0.25">
      <c r="B54" s="435"/>
      <c r="C54" s="434" t="s">
        <v>936</v>
      </c>
      <c r="D54" s="434"/>
      <c r="E54" s="434"/>
      <c r="F54" s="434" t="s">
        <v>937</v>
      </c>
      <c r="G54" s="434"/>
      <c r="H54" s="434"/>
      <c r="I54" s="434" t="s">
        <v>942</v>
      </c>
      <c r="J54" s="434"/>
      <c r="K54" s="434"/>
      <c r="L54" s="434" t="s">
        <v>2</v>
      </c>
      <c r="M54" s="434"/>
      <c r="N54" s="434"/>
      <c r="O54" s="434" t="s">
        <v>941</v>
      </c>
      <c r="P54" s="434"/>
      <c r="Q54" s="434"/>
      <c r="R54" s="434" t="s">
        <v>3</v>
      </c>
      <c r="S54" s="434"/>
      <c r="T54" s="434"/>
      <c r="U54" s="432"/>
      <c r="V54" s="432"/>
      <c r="W54" s="432"/>
      <c r="X54" s="13"/>
      <c r="Y54" s="13"/>
    </row>
    <row r="55" spans="2:26" x14ac:dyDescent="0.25">
      <c r="B55" s="435"/>
      <c r="C55" s="238" t="s">
        <v>73</v>
      </c>
      <c r="D55" s="238" t="s">
        <v>74</v>
      </c>
      <c r="E55" s="238" t="s">
        <v>25</v>
      </c>
      <c r="F55" s="238" t="s">
        <v>73</v>
      </c>
      <c r="G55" s="238" t="s">
        <v>74</v>
      </c>
      <c r="H55" s="238" t="s">
        <v>25</v>
      </c>
      <c r="I55" s="238" t="s">
        <v>73</v>
      </c>
      <c r="J55" s="238" t="s">
        <v>74</v>
      </c>
      <c r="K55" s="238" t="s">
        <v>25</v>
      </c>
      <c r="L55" s="238" t="s">
        <v>73</v>
      </c>
      <c r="M55" s="238" t="s">
        <v>74</v>
      </c>
      <c r="N55" s="238" t="s">
        <v>25</v>
      </c>
      <c r="O55" s="238" t="s">
        <v>73</v>
      </c>
      <c r="P55" s="238" t="s">
        <v>74</v>
      </c>
      <c r="Q55" s="238" t="s">
        <v>25</v>
      </c>
      <c r="R55" s="238" t="s">
        <v>73</v>
      </c>
      <c r="S55" s="238" t="s">
        <v>74</v>
      </c>
      <c r="T55" s="238" t="s">
        <v>25</v>
      </c>
      <c r="U55" s="300" t="s">
        <v>73</v>
      </c>
      <c r="V55" s="300" t="s">
        <v>74</v>
      </c>
      <c r="W55" s="300" t="s">
        <v>25</v>
      </c>
      <c r="X55" s="13"/>
      <c r="Y55" s="13"/>
    </row>
    <row r="56" spans="2:26" hidden="1" outlineLevel="1" x14ac:dyDescent="0.25">
      <c r="B56" s="328">
        <v>39630</v>
      </c>
      <c r="C56" s="331"/>
      <c r="D56" s="331"/>
      <c r="E56" s="331"/>
      <c r="F56" s="331"/>
      <c r="G56" s="331"/>
      <c r="H56" s="331"/>
      <c r="I56" s="331">
        <v>36832</v>
      </c>
      <c r="J56" s="331">
        <v>8014</v>
      </c>
      <c r="K56" s="331">
        <v>44846</v>
      </c>
      <c r="L56" s="331">
        <v>8683</v>
      </c>
      <c r="M56" s="331">
        <v>2261</v>
      </c>
      <c r="N56" s="331">
        <v>10944</v>
      </c>
      <c r="O56" s="331">
        <v>2722</v>
      </c>
      <c r="P56" s="331">
        <v>1208</v>
      </c>
      <c r="Q56" s="331">
        <v>3930</v>
      </c>
      <c r="R56" s="331">
        <v>1266</v>
      </c>
      <c r="S56" s="331">
        <v>648</v>
      </c>
      <c r="T56" s="331">
        <v>1914</v>
      </c>
      <c r="U56" s="329">
        <v>49503</v>
      </c>
      <c r="V56" s="329">
        <v>12131</v>
      </c>
      <c r="W56" s="329">
        <v>61634</v>
      </c>
      <c r="X56" s="13"/>
      <c r="Y56" s="13"/>
    </row>
    <row r="57" spans="2:26" hidden="1" outlineLevel="1" x14ac:dyDescent="0.25">
      <c r="B57" s="328">
        <v>39661</v>
      </c>
      <c r="C57" s="331"/>
      <c r="D57" s="331"/>
      <c r="E57" s="331"/>
      <c r="F57" s="331"/>
      <c r="G57" s="331"/>
      <c r="H57" s="331"/>
      <c r="I57" s="331">
        <v>9028</v>
      </c>
      <c r="J57" s="331">
        <v>2788</v>
      </c>
      <c r="K57" s="331">
        <v>11816</v>
      </c>
      <c r="L57" s="331">
        <v>6886</v>
      </c>
      <c r="M57" s="331">
        <v>1963</v>
      </c>
      <c r="N57" s="331">
        <v>8849</v>
      </c>
      <c r="O57" s="331">
        <v>1619</v>
      </c>
      <c r="P57" s="331">
        <v>781</v>
      </c>
      <c r="Q57" s="331">
        <v>2400</v>
      </c>
      <c r="R57" s="331">
        <v>970</v>
      </c>
      <c r="S57" s="331">
        <v>596</v>
      </c>
      <c r="T57" s="331">
        <v>1566</v>
      </c>
      <c r="U57" s="329">
        <v>18503</v>
      </c>
      <c r="V57" s="329">
        <v>6128</v>
      </c>
      <c r="W57" s="329">
        <v>24631</v>
      </c>
      <c r="X57" s="13"/>
      <c r="Y57" s="13"/>
    </row>
    <row r="58" spans="2:26" hidden="1" outlineLevel="1" x14ac:dyDescent="0.25">
      <c r="B58" s="328">
        <v>39692</v>
      </c>
      <c r="C58" s="331"/>
      <c r="D58" s="331"/>
      <c r="E58" s="331"/>
      <c r="F58" s="331"/>
      <c r="G58" s="331"/>
      <c r="H58" s="331"/>
      <c r="I58" s="331">
        <v>6970</v>
      </c>
      <c r="J58" s="331">
        <v>2080</v>
      </c>
      <c r="K58" s="331">
        <v>9050</v>
      </c>
      <c r="L58" s="331">
        <v>4167</v>
      </c>
      <c r="M58" s="331">
        <v>1125</v>
      </c>
      <c r="N58" s="331">
        <v>5292</v>
      </c>
      <c r="O58" s="331">
        <v>1159</v>
      </c>
      <c r="P58" s="331">
        <v>653</v>
      </c>
      <c r="Q58" s="331">
        <v>1812</v>
      </c>
      <c r="R58" s="331">
        <v>529</v>
      </c>
      <c r="S58" s="331">
        <v>307</v>
      </c>
      <c r="T58" s="331">
        <v>836</v>
      </c>
      <c r="U58" s="329">
        <v>12825</v>
      </c>
      <c r="V58" s="329">
        <v>4165</v>
      </c>
      <c r="W58" s="329">
        <v>16990</v>
      </c>
      <c r="X58" s="13"/>
      <c r="Y58" s="13"/>
    </row>
    <row r="59" spans="2:26" hidden="1" outlineLevel="1" x14ac:dyDescent="0.25">
      <c r="B59" s="328">
        <v>39722</v>
      </c>
      <c r="C59" s="331"/>
      <c r="D59" s="331"/>
      <c r="E59" s="331"/>
      <c r="F59" s="331"/>
      <c r="G59" s="331"/>
      <c r="H59" s="331"/>
      <c r="I59" s="331">
        <v>6056</v>
      </c>
      <c r="J59" s="331">
        <v>1773</v>
      </c>
      <c r="K59" s="331">
        <v>7829</v>
      </c>
      <c r="L59" s="331">
        <v>4254</v>
      </c>
      <c r="M59" s="331">
        <v>1177</v>
      </c>
      <c r="N59" s="331">
        <v>5431</v>
      </c>
      <c r="O59" s="331">
        <v>1046</v>
      </c>
      <c r="P59" s="331">
        <v>668</v>
      </c>
      <c r="Q59" s="331">
        <v>1714</v>
      </c>
      <c r="R59" s="331">
        <v>337</v>
      </c>
      <c r="S59" s="331">
        <v>184</v>
      </c>
      <c r="T59" s="331">
        <v>521</v>
      </c>
      <c r="U59" s="329">
        <v>11693</v>
      </c>
      <c r="V59" s="329">
        <v>3802</v>
      </c>
      <c r="W59" s="329">
        <v>15495</v>
      </c>
      <c r="X59" s="13"/>
      <c r="Y59" s="13"/>
    </row>
    <row r="60" spans="2:26" hidden="1" outlineLevel="1" x14ac:dyDescent="0.25">
      <c r="B60" s="328">
        <v>39753</v>
      </c>
      <c r="C60" s="331"/>
      <c r="D60" s="331"/>
      <c r="E60" s="331"/>
      <c r="F60" s="331"/>
      <c r="G60" s="331"/>
      <c r="H60" s="331"/>
      <c r="I60" s="331">
        <v>4414</v>
      </c>
      <c r="J60" s="331">
        <v>1292</v>
      </c>
      <c r="K60" s="331">
        <v>5706</v>
      </c>
      <c r="L60" s="331">
        <v>2550</v>
      </c>
      <c r="M60" s="331">
        <v>824</v>
      </c>
      <c r="N60" s="331">
        <v>3374</v>
      </c>
      <c r="O60" s="331">
        <v>844</v>
      </c>
      <c r="P60" s="331">
        <v>543</v>
      </c>
      <c r="Q60" s="331">
        <v>1387</v>
      </c>
      <c r="R60" s="331">
        <v>381</v>
      </c>
      <c r="S60" s="331">
        <v>207</v>
      </c>
      <c r="T60" s="331">
        <v>588</v>
      </c>
      <c r="U60" s="329">
        <v>8189</v>
      </c>
      <c r="V60" s="329">
        <v>2866</v>
      </c>
      <c r="W60" s="329">
        <v>11055</v>
      </c>
      <c r="X60" s="13"/>
      <c r="Y60" s="13"/>
    </row>
    <row r="61" spans="2:26" hidden="1" outlineLevel="1" x14ac:dyDescent="0.25">
      <c r="B61" s="328">
        <v>39783</v>
      </c>
      <c r="C61" s="331"/>
      <c r="D61" s="331"/>
      <c r="E61" s="331"/>
      <c r="F61" s="331"/>
      <c r="G61" s="331"/>
      <c r="H61" s="331"/>
      <c r="I61" s="331">
        <v>4103</v>
      </c>
      <c r="J61" s="331">
        <v>1230</v>
      </c>
      <c r="K61" s="331">
        <v>5333</v>
      </c>
      <c r="L61" s="331">
        <v>2523</v>
      </c>
      <c r="M61" s="331">
        <v>845</v>
      </c>
      <c r="N61" s="331">
        <v>3368</v>
      </c>
      <c r="O61" s="331">
        <v>900</v>
      </c>
      <c r="P61" s="331">
        <v>653</v>
      </c>
      <c r="Q61" s="331">
        <v>1553</v>
      </c>
      <c r="R61" s="331">
        <v>394</v>
      </c>
      <c r="S61" s="331">
        <v>233</v>
      </c>
      <c r="T61" s="331">
        <v>627</v>
      </c>
      <c r="U61" s="329">
        <v>7920</v>
      </c>
      <c r="V61" s="329">
        <v>2961</v>
      </c>
      <c r="W61" s="329">
        <v>10881</v>
      </c>
      <c r="X61" s="13"/>
      <c r="Y61" s="13"/>
    </row>
    <row r="62" spans="2:26" collapsed="1" x14ac:dyDescent="0.25">
      <c r="B62" s="330" t="s">
        <v>690</v>
      </c>
      <c r="C62" s="329" t="s">
        <v>781</v>
      </c>
      <c r="D62" s="329" t="s">
        <v>781</v>
      </c>
      <c r="E62" s="329" t="s">
        <v>781</v>
      </c>
      <c r="F62" s="329" t="s">
        <v>781</v>
      </c>
      <c r="G62" s="329" t="s">
        <v>781</v>
      </c>
      <c r="H62" s="329" t="s">
        <v>781</v>
      </c>
      <c r="I62" s="329">
        <v>11234</v>
      </c>
      <c r="J62" s="329">
        <v>2863</v>
      </c>
      <c r="K62" s="329">
        <v>14097</v>
      </c>
      <c r="L62" s="329">
        <v>4844</v>
      </c>
      <c r="M62" s="329">
        <v>1366</v>
      </c>
      <c r="N62" s="329">
        <v>6210</v>
      </c>
      <c r="O62" s="329">
        <v>1382</v>
      </c>
      <c r="P62" s="329">
        <v>751</v>
      </c>
      <c r="Q62" s="329">
        <v>2133</v>
      </c>
      <c r="R62" s="329">
        <v>646</v>
      </c>
      <c r="S62" s="329">
        <v>363</v>
      </c>
      <c r="T62" s="329">
        <v>1009</v>
      </c>
      <c r="U62" s="329">
        <v>18106</v>
      </c>
      <c r="V62" s="329">
        <v>5342</v>
      </c>
      <c r="W62" s="329">
        <v>23448</v>
      </c>
      <c r="X62" s="13"/>
      <c r="Y62" s="13"/>
    </row>
    <row r="63" spans="2:26" hidden="1" outlineLevel="1" x14ac:dyDescent="0.25">
      <c r="B63" s="328">
        <v>39814</v>
      </c>
      <c r="C63" s="331"/>
      <c r="D63" s="331"/>
      <c r="E63" s="331"/>
      <c r="F63" s="331"/>
      <c r="G63" s="331"/>
      <c r="H63" s="331"/>
      <c r="I63" s="331">
        <v>3293</v>
      </c>
      <c r="J63" s="331">
        <v>1195</v>
      </c>
      <c r="K63" s="331">
        <v>4488</v>
      </c>
      <c r="L63" s="331">
        <v>2290</v>
      </c>
      <c r="M63" s="331">
        <v>701</v>
      </c>
      <c r="N63" s="331">
        <v>2991</v>
      </c>
      <c r="O63" s="331">
        <v>794</v>
      </c>
      <c r="P63" s="331">
        <v>666</v>
      </c>
      <c r="Q63" s="331">
        <v>1460</v>
      </c>
      <c r="R63" s="331">
        <v>418</v>
      </c>
      <c r="S63" s="331">
        <v>234</v>
      </c>
      <c r="T63" s="331">
        <v>652</v>
      </c>
      <c r="U63" s="329">
        <v>6795</v>
      </c>
      <c r="V63" s="329">
        <v>2796</v>
      </c>
      <c r="W63" s="329">
        <v>9591</v>
      </c>
      <c r="X63" s="13"/>
      <c r="Y63" s="13"/>
    </row>
    <row r="64" spans="2:26" hidden="1" outlineLevel="1" x14ac:dyDescent="0.25">
      <c r="B64" s="328">
        <v>39845</v>
      </c>
      <c r="C64" s="331"/>
      <c r="D64" s="331"/>
      <c r="E64" s="331"/>
      <c r="F64" s="331"/>
      <c r="G64" s="331"/>
      <c r="H64" s="331"/>
      <c r="I64" s="331">
        <v>2479</v>
      </c>
      <c r="J64" s="331">
        <v>877</v>
      </c>
      <c r="K64" s="331">
        <v>3356</v>
      </c>
      <c r="L64" s="331">
        <v>1724</v>
      </c>
      <c r="M64" s="331">
        <v>633</v>
      </c>
      <c r="N64" s="331">
        <v>2357</v>
      </c>
      <c r="O64" s="331">
        <v>639</v>
      </c>
      <c r="P64" s="331">
        <v>529</v>
      </c>
      <c r="Q64" s="331">
        <v>1168</v>
      </c>
      <c r="R64" s="331">
        <v>370</v>
      </c>
      <c r="S64" s="331">
        <v>228</v>
      </c>
      <c r="T64" s="331">
        <v>598</v>
      </c>
      <c r="U64" s="329">
        <v>5212</v>
      </c>
      <c r="V64" s="329">
        <v>2267</v>
      </c>
      <c r="W64" s="329">
        <v>7479</v>
      </c>
      <c r="X64" s="13"/>
      <c r="Y64" s="13"/>
    </row>
    <row r="65" spans="2:25" hidden="1" outlineLevel="1" x14ac:dyDescent="0.25">
      <c r="B65" s="328">
        <v>39873</v>
      </c>
      <c r="C65" s="331"/>
      <c r="D65" s="331"/>
      <c r="E65" s="331"/>
      <c r="F65" s="331"/>
      <c r="G65" s="331"/>
      <c r="H65" s="331"/>
      <c r="I65" s="331">
        <v>3204</v>
      </c>
      <c r="J65" s="331">
        <v>1065</v>
      </c>
      <c r="K65" s="331">
        <v>4269</v>
      </c>
      <c r="L65" s="331">
        <v>2455</v>
      </c>
      <c r="M65" s="331">
        <v>760</v>
      </c>
      <c r="N65" s="331">
        <v>3215</v>
      </c>
      <c r="O65" s="331">
        <v>758</v>
      </c>
      <c r="P65" s="331">
        <v>671</v>
      </c>
      <c r="Q65" s="331">
        <v>1429</v>
      </c>
      <c r="R65" s="331">
        <v>448</v>
      </c>
      <c r="S65" s="331">
        <v>307</v>
      </c>
      <c r="T65" s="331">
        <v>755</v>
      </c>
      <c r="U65" s="329">
        <v>6865</v>
      </c>
      <c r="V65" s="329">
        <v>2803</v>
      </c>
      <c r="W65" s="329">
        <v>9668</v>
      </c>
      <c r="X65" s="13"/>
      <c r="Y65" s="13"/>
    </row>
    <row r="66" spans="2:25" hidden="1" outlineLevel="1" x14ac:dyDescent="0.25">
      <c r="B66" s="328">
        <v>39904</v>
      </c>
      <c r="C66" s="331"/>
      <c r="D66" s="331"/>
      <c r="E66" s="331"/>
      <c r="F66" s="331"/>
      <c r="G66" s="331"/>
      <c r="H66" s="331"/>
      <c r="I66" s="331">
        <v>2876</v>
      </c>
      <c r="J66" s="331">
        <v>943</v>
      </c>
      <c r="K66" s="331">
        <v>3819</v>
      </c>
      <c r="L66" s="331">
        <v>2147</v>
      </c>
      <c r="M66" s="331">
        <v>675</v>
      </c>
      <c r="N66" s="331">
        <v>2822</v>
      </c>
      <c r="O66" s="331">
        <v>706</v>
      </c>
      <c r="P66" s="331">
        <v>597</v>
      </c>
      <c r="Q66" s="331">
        <v>1303</v>
      </c>
      <c r="R66" s="331">
        <v>416</v>
      </c>
      <c r="S66" s="331">
        <v>285</v>
      </c>
      <c r="T66" s="331">
        <v>701</v>
      </c>
      <c r="U66" s="329">
        <v>6145</v>
      </c>
      <c r="V66" s="329">
        <v>2500</v>
      </c>
      <c r="W66" s="329">
        <v>8645</v>
      </c>
      <c r="X66" s="13"/>
      <c r="Y66" s="13"/>
    </row>
    <row r="67" spans="2:25" hidden="1" outlineLevel="1" x14ac:dyDescent="0.25">
      <c r="B67" s="328">
        <v>39934</v>
      </c>
      <c r="C67" s="331"/>
      <c r="D67" s="331"/>
      <c r="E67" s="331"/>
      <c r="F67" s="331"/>
      <c r="G67" s="331"/>
      <c r="H67" s="331"/>
      <c r="I67" s="331">
        <v>2667</v>
      </c>
      <c r="J67" s="331">
        <v>885</v>
      </c>
      <c r="K67" s="331">
        <v>3552</v>
      </c>
      <c r="L67" s="331">
        <v>1868</v>
      </c>
      <c r="M67" s="331">
        <v>602</v>
      </c>
      <c r="N67" s="331">
        <v>2470</v>
      </c>
      <c r="O67" s="331">
        <v>582</v>
      </c>
      <c r="P67" s="331">
        <v>576</v>
      </c>
      <c r="Q67" s="331">
        <v>1158</v>
      </c>
      <c r="R67" s="331">
        <v>442</v>
      </c>
      <c r="S67" s="331">
        <v>302</v>
      </c>
      <c r="T67" s="331">
        <v>744</v>
      </c>
      <c r="U67" s="329">
        <v>5559</v>
      </c>
      <c r="V67" s="329">
        <v>2365</v>
      </c>
      <c r="W67" s="329">
        <v>7924</v>
      </c>
      <c r="X67" s="13"/>
      <c r="Y67" s="13"/>
    </row>
    <row r="68" spans="2:25" hidden="1" outlineLevel="1" x14ac:dyDescent="0.25">
      <c r="B68" s="328">
        <v>39965</v>
      </c>
      <c r="C68" s="331"/>
      <c r="D68" s="331"/>
      <c r="E68" s="331"/>
      <c r="F68" s="331"/>
      <c r="G68" s="331"/>
      <c r="H68" s="331"/>
      <c r="I68" s="331">
        <v>1967</v>
      </c>
      <c r="J68" s="331">
        <v>1031</v>
      </c>
      <c r="K68" s="331">
        <v>2998</v>
      </c>
      <c r="L68" s="331">
        <v>2045</v>
      </c>
      <c r="M68" s="331">
        <v>735</v>
      </c>
      <c r="N68" s="331">
        <v>2780</v>
      </c>
      <c r="O68" s="331">
        <v>35936</v>
      </c>
      <c r="P68" s="331">
        <v>18546</v>
      </c>
      <c r="Q68" s="331">
        <v>54482</v>
      </c>
      <c r="R68" s="331">
        <v>410</v>
      </c>
      <c r="S68" s="331">
        <v>351</v>
      </c>
      <c r="T68" s="331">
        <v>761</v>
      </c>
      <c r="U68" s="329">
        <v>40358</v>
      </c>
      <c r="V68" s="329">
        <v>20663</v>
      </c>
      <c r="W68" s="329">
        <v>61021</v>
      </c>
      <c r="X68" s="13"/>
      <c r="Y68" s="13"/>
    </row>
    <row r="69" spans="2:25" hidden="1" outlineLevel="1" x14ac:dyDescent="0.25">
      <c r="B69" s="328">
        <v>39995</v>
      </c>
      <c r="C69" s="331"/>
      <c r="D69" s="331"/>
      <c r="E69" s="331"/>
      <c r="F69" s="331"/>
      <c r="G69" s="331"/>
      <c r="H69" s="331"/>
      <c r="I69" s="331">
        <v>8111</v>
      </c>
      <c r="J69" s="331">
        <v>1138</v>
      </c>
      <c r="K69" s="331">
        <v>9249</v>
      </c>
      <c r="L69" s="331">
        <v>2698</v>
      </c>
      <c r="M69" s="331">
        <v>734</v>
      </c>
      <c r="N69" s="331">
        <v>3432</v>
      </c>
      <c r="O69" s="331">
        <v>19474</v>
      </c>
      <c r="P69" s="331">
        <v>16617</v>
      </c>
      <c r="Q69" s="331">
        <v>36091</v>
      </c>
      <c r="R69" s="331">
        <v>400</v>
      </c>
      <c r="S69" s="331">
        <v>330</v>
      </c>
      <c r="T69" s="331">
        <v>730</v>
      </c>
      <c r="U69" s="329">
        <v>30683</v>
      </c>
      <c r="V69" s="329">
        <v>18819</v>
      </c>
      <c r="W69" s="329">
        <v>49502</v>
      </c>
      <c r="X69" s="13"/>
      <c r="Y69" s="13"/>
    </row>
    <row r="70" spans="2:25" hidden="1" outlineLevel="1" x14ac:dyDescent="0.25">
      <c r="B70" s="328">
        <v>40026</v>
      </c>
      <c r="C70" s="331"/>
      <c r="D70" s="331"/>
      <c r="E70" s="331"/>
      <c r="F70" s="331"/>
      <c r="G70" s="331"/>
      <c r="H70" s="331"/>
      <c r="I70" s="331">
        <v>5425</v>
      </c>
      <c r="J70" s="331">
        <v>1441</v>
      </c>
      <c r="K70" s="331">
        <v>6866</v>
      </c>
      <c r="L70" s="331">
        <v>2833</v>
      </c>
      <c r="M70" s="331">
        <v>859</v>
      </c>
      <c r="N70" s="331">
        <v>3692</v>
      </c>
      <c r="O70" s="331">
        <v>32515</v>
      </c>
      <c r="P70" s="331">
        <v>22745</v>
      </c>
      <c r="Q70" s="331">
        <v>55260</v>
      </c>
      <c r="R70" s="331">
        <v>889</v>
      </c>
      <c r="S70" s="331">
        <v>575</v>
      </c>
      <c r="T70" s="331">
        <v>1464</v>
      </c>
      <c r="U70" s="329">
        <v>41662</v>
      </c>
      <c r="V70" s="329">
        <v>25620</v>
      </c>
      <c r="W70" s="329">
        <v>67282</v>
      </c>
      <c r="X70" s="13"/>
      <c r="Y70" s="13"/>
    </row>
    <row r="71" spans="2:25" hidden="1" outlineLevel="1" x14ac:dyDescent="0.25">
      <c r="B71" s="328">
        <v>40057</v>
      </c>
      <c r="C71" s="331"/>
      <c r="D71" s="331"/>
      <c r="E71" s="331"/>
      <c r="F71" s="331"/>
      <c r="G71" s="331"/>
      <c r="H71" s="331"/>
      <c r="I71" s="331">
        <v>5009</v>
      </c>
      <c r="J71" s="331">
        <v>1485</v>
      </c>
      <c r="K71" s="331">
        <v>6494</v>
      </c>
      <c r="L71" s="331">
        <v>2540</v>
      </c>
      <c r="M71" s="331">
        <v>873</v>
      </c>
      <c r="N71" s="331">
        <v>3413</v>
      </c>
      <c r="O71" s="331">
        <v>42718</v>
      </c>
      <c r="P71" s="331">
        <v>30864</v>
      </c>
      <c r="Q71" s="331">
        <v>73582</v>
      </c>
      <c r="R71" s="331">
        <v>970</v>
      </c>
      <c r="S71" s="331">
        <v>777</v>
      </c>
      <c r="T71" s="331">
        <v>1747</v>
      </c>
      <c r="U71" s="329">
        <v>51237</v>
      </c>
      <c r="V71" s="329">
        <v>33999</v>
      </c>
      <c r="W71" s="329">
        <v>85236</v>
      </c>
      <c r="X71" s="13"/>
      <c r="Y71" s="13"/>
    </row>
    <row r="72" spans="2:25" hidden="1" outlineLevel="1" x14ac:dyDescent="0.25">
      <c r="B72" s="328">
        <v>40087</v>
      </c>
      <c r="C72" s="331"/>
      <c r="D72" s="331"/>
      <c r="E72" s="331"/>
      <c r="F72" s="331"/>
      <c r="G72" s="331"/>
      <c r="H72" s="331"/>
      <c r="I72" s="331">
        <v>4144</v>
      </c>
      <c r="J72" s="331">
        <v>1395</v>
      </c>
      <c r="K72" s="331">
        <v>5539</v>
      </c>
      <c r="L72" s="331">
        <v>2447</v>
      </c>
      <c r="M72" s="331">
        <v>804</v>
      </c>
      <c r="N72" s="331">
        <v>3251</v>
      </c>
      <c r="O72" s="331">
        <v>19572</v>
      </c>
      <c r="P72" s="331">
        <v>15144</v>
      </c>
      <c r="Q72" s="331">
        <v>34716</v>
      </c>
      <c r="R72" s="331">
        <v>673</v>
      </c>
      <c r="S72" s="331">
        <v>534</v>
      </c>
      <c r="T72" s="331">
        <v>1207</v>
      </c>
      <c r="U72" s="329">
        <v>26836</v>
      </c>
      <c r="V72" s="329">
        <v>17877</v>
      </c>
      <c r="W72" s="329">
        <v>44713</v>
      </c>
      <c r="X72" s="13"/>
      <c r="Y72" s="13"/>
    </row>
    <row r="73" spans="2:25" hidden="1" outlineLevel="1" x14ac:dyDescent="0.25">
      <c r="B73" s="328">
        <v>40118</v>
      </c>
      <c r="C73" s="331"/>
      <c r="D73" s="331"/>
      <c r="E73" s="331"/>
      <c r="F73" s="331"/>
      <c r="G73" s="331"/>
      <c r="H73" s="331"/>
      <c r="I73" s="331">
        <v>3427</v>
      </c>
      <c r="J73" s="331">
        <v>1141</v>
      </c>
      <c r="K73" s="331">
        <v>4568</v>
      </c>
      <c r="L73" s="331">
        <v>1993</v>
      </c>
      <c r="M73" s="331">
        <v>614</v>
      </c>
      <c r="N73" s="331">
        <v>2607</v>
      </c>
      <c r="O73" s="331">
        <v>12729</v>
      </c>
      <c r="P73" s="331">
        <v>8289</v>
      </c>
      <c r="Q73" s="331">
        <v>21018</v>
      </c>
      <c r="R73" s="331">
        <v>657</v>
      </c>
      <c r="S73" s="331">
        <v>465</v>
      </c>
      <c r="T73" s="331">
        <v>1122</v>
      </c>
      <c r="U73" s="329">
        <v>18806</v>
      </c>
      <c r="V73" s="329">
        <v>10509</v>
      </c>
      <c r="W73" s="329">
        <v>29315</v>
      </c>
      <c r="X73" s="13"/>
      <c r="Y73" s="13"/>
    </row>
    <row r="74" spans="2:25" hidden="1" outlineLevel="1" x14ac:dyDescent="0.25">
      <c r="B74" s="328">
        <v>40148</v>
      </c>
      <c r="C74" s="331"/>
      <c r="D74" s="331"/>
      <c r="E74" s="331"/>
      <c r="F74" s="331"/>
      <c r="G74" s="331"/>
      <c r="H74" s="331"/>
      <c r="I74" s="331">
        <v>3160</v>
      </c>
      <c r="J74" s="331">
        <v>961</v>
      </c>
      <c r="K74" s="331">
        <v>4121</v>
      </c>
      <c r="L74" s="331">
        <v>1868</v>
      </c>
      <c r="M74" s="331">
        <v>635</v>
      </c>
      <c r="N74" s="331">
        <v>2503</v>
      </c>
      <c r="O74" s="331">
        <v>10450</v>
      </c>
      <c r="P74" s="331">
        <v>6068</v>
      </c>
      <c r="Q74" s="331">
        <v>16518</v>
      </c>
      <c r="R74" s="331">
        <v>679</v>
      </c>
      <c r="S74" s="331">
        <v>565</v>
      </c>
      <c r="T74" s="331">
        <v>1244</v>
      </c>
      <c r="U74" s="329">
        <v>16157</v>
      </c>
      <c r="V74" s="329">
        <v>8229</v>
      </c>
      <c r="W74" s="329">
        <v>24386</v>
      </c>
      <c r="X74" s="13"/>
      <c r="Y74" s="13"/>
    </row>
    <row r="75" spans="2:25" collapsed="1" x14ac:dyDescent="0.25">
      <c r="B75" s="330" t="s">
        <v>691</v>
      </c>
      <c r="C75" s="329" t="s">
        <v>781</v>
      </c>
      <c r="D75" s="329" t="s">
        <v>781</v>
      </c>
      <c r="E75" s="329" t="s">
        <v>781</v>
      </c>
      <c r="F75" s="329" t="s">
        <v>781</v>
      </c>
      <c r="G75" s="329" t="s">
        <v>781</v>
      </c>
      <c r="H75" s="329" t="s">
        <v>781</v>
      </c>
      <c r="I75" s="329">
        <v>3814</v>
      </c>
      <c r="J75" s="329">
        <v>1130</v>
      </c>
      <c r="K75" s="329">
        <v>4943</v>
      </c>
      <c r="L75" s="329">
        <v>2242</v>
      </c>
      <c r="M75" s="329">
        <v>719</v>
      </c>
      <c r="N75" s="329">
        <v>2961</v>
      </c>
      <c r="O75" s="329">
        <v>14739</v>
      </c>
      <c r="P75" s="329">
        <v>10109</v>
      </c>
      <c r="Q75" s="329">
        <v>24849</v>
      </c>
      <c r="R75" s="329">
        <v>564</v>
      </c>
      <c r="S75" s="329">
        <v>413</v>
      </c>
      <c r="T75" s="329">
        <v>977</v>
      </c>
      <c r="U75" s="329">
        <v>21360</v>
      </c>
      <c r="V75" s="329">
        <v>12371</v>
      </c>
      <c r="W75" s="329">
        <v>33730</v>
      </c>
      <c r="X75" s="13"/>
      <c r="Y75" s="13"/>
    </row>
    <row r="76" spans="2:25" hidden="1" outlineLevel="1" x14ac:dyDescent="0.25">
      <c r="B76" s="328">
        <v>40179</v>
      </c>
      <c r="C76" s="331"/>
      <c r="D76" s="331"/>
      <c r="E76" s="331"/>
      <c r="F76" s="331"/>
      <c r="G76" s="331"/>
      <c r="H76" s="331"/>
      <c r="I76" s="331">
        <v>2810</v>
      </c>
      <c r="J76" s="331">
        <v>907</v>
      </c>
      <c r="K76" s="331">
        <v>3717</v>
      </c>
      <c r="L76" s="331">
        <v>1730</v>
      </c>
      <c r="M76" s="331">
        <v>624</v>
      </c>
      <c r="N76" s="331">
        <v>2354</v>
      </c>
      <c r="O76" s="331">
        <v>8375</v>
      </c>
      <c r="P76" s="331">
        <v>5011</v>
      </c>
      <c r="Q76" s="331">
        <v>13386</v>
      </c>
      <c r="R76" s="331">
        <v>600</v>
      </c>
      <c r="S76" s="331">
        <v>362</v>
      </c>
      <c r="T76" s="331">
        <v>962</v>
      </c>
      <c r="U76" s="329">
        <v>13515</v>
      </c>
      <c r="V76" s="329">
        <v>6904</v>
      </c>
      <c r="W76" s="329">
        <v>20419</v>
      </c>
      <c r="X76" s="13"/>
      <c r="Y76" s="13"/>
    </row>
    <row r="77" spans="2:25" hidden="1" outlineLevel="1" x14ac:dyDescent="0.25">
      <c r="B77" s="328">
        <v>40210</v>
      </c>
      <c r="C77" s="331"/>
      <c r="D77" s="331"/>
      <c r="E77" s="331"/>
      <c r="F77" s="331"/>
      <c r="G77" s="331"/>
      <c r="H77" s="331"/>
      <c r="I77" s="331">
        <v>2172</v>
      </c>
      <c r="J77" s="331">
        <v>811</v>
      </c>
      <c r="K77" s="331">
        <v>2983</v>
      </c>
      <c r="L77" s="331">
        <v>1517</v>
      </c>
      <c r="M77" s="331">
        <v>497</v>
      </c>
      <c r="N77" s="331">
        <v>2014</v>
      </c>
      <c r="O77" s="331">
        <v>6196</v>
      </c>
      <c r="P77" s="331">
        <v>3752</v>
      </c>
      <c r="Q77" s="331">
        <v>9948</v>
      </c>
      <c r="R77" s="331">
        <v>559</v>
      </c>
      <c r="S77" s="331">
        <v>370</v>
      </c>
      <c r="T77" s="331">
        <v>929</v>
      </c>
      <c r="U77" s="329">
        <v>10444</v>
      </c>
      <c r="V77" s="329">
        <v>5430</v>
      </c>
      <c r="W77" s="329">
        <v>15874</v>
      </c>
      <c r="X77" s="13"/>
      <c r="Y77" s="13"/>
    </row>
    <row r="78" spans="2:25" hidden="1" outlineLevel="1" x14ac:dyDescent="0.25">
      <c r="B78" s="328">
        <v>40238</v>
      </c>
      <c r="C78" s="331"/>
      <c r="D78" s="331"/>
      <c r="E78" s="331"/>
      <c r="F78" s="331"/>
      <c r="G78" s="331"/>
      <c r="H78" s="331"/>
      <c r="I78" s="331">
        <v>2354</v>
      </c>
      <c r="J78" s="331">
        <v>857</v>
      </c>
      <c r="K78" s="331">
        <v>3211</v>
      </c>
      <c r="L78" s="331">
        <v>1380</v>
      </c>
      <c r="M78" s="331">
        <v>507</v>
      </c>
      <c r="N78" s="331">
        <v>1887</v>
      </c>
      <c r="O78" s="331">
        <v>4953</v>
      </c>
      <c r="P78" s="331">
        <v>3424</v>
      </c>
      <c r="Q78" s="331">
        <v>8377</v>
      </c>
      <c r="R78" s="331">
        <v>645</v>
      </c>
      <c r="S78" s="331">
        <v>438</v>
      </c>
      <c r="T78" s="331">
        <v>1083</v>
      </c>
      <c r="U78" s="329">
        <v>9332</v>
      </c>
      <c r="V78" s="329">
        <v>5226</v>
      </c>
      <c r="W78" s="329">
        <v>14558</v>
      </c>
      <c r="X78" s="13"/>
      <c r="Y78" s="13"/>
    </row>
    <row r="79" spans="2:25" hidden="1" outlineLevel="1" x14ac:dyDescent="0.25">
      <c r="B79" s="328">
        <v>40269</v>
      </c>
      <c r="C79" s="331"/>
      <c r="D79" s="331"/>
      <c r="E79" s="331"/>
      <c r="F79" s="331"/>
      <c r="G79" s="331"/>
      <c r="H79" s="331"/>
      <c r="I79" s="331">
        <v>2385</v>
      </c>
      <c r="J79" s="331">
        <v>789</v>
      </c>
      <c r="K79" s="331">
        <v>3174</v>
      </c>
      <c r="L79" s="331">
        <v>1636</v>
      </c>
      <c r="M79" s="331">
        <v>594</v>
      </c>
      <c r="N79" s="331">
        <v>2230</v>
      </c>
      <c r="O79" s="331">
        <v>5795</v>
      </c>
      <c r="P79" s="331">
        <v>5114</v>
      </c>
      <c r="Q79" s="331">
        <v>10909</v>
      </c>
      <c r="R79" s="331">
        <v>634</v>
      </c>
      <c r="S79" s="331">
        <v>497</v>
      </c>
      <c r="T79" s="331">
        <v>1131</v>
      </c>
      <c r="U79" s="329">
        <v>10450</v>
      </c>
      <c r="V79" s="329">
        <v>6994</v>
      </c>
      <c r="W79" s="329">
        <v>17444</v>
      </c>
      <c r="X79" s="13"/>
      <c r="Y79" s="13"/>
    </row>
    <row r="80" spans="2:25" hidden="1" outlineLevel="1" x14ac:dyDescent="0.25">
      <c r="B80" s="328">
        <v>40299</v>
      </c>
      <c r="C80" s="331"/>
      <c r="D80" s="331"/>
      <c r="E80" s="331"/>
      <c r="F80" s="331"/>
      <c r="G80" s="331"/>
      <c r="H80" s="331"/>
      <c r="I80" s="331">
        <v>2165</v>
      </c>
      <c r="J80" s="331">
        <v>799</v>
      </c>
      <c r="K80" s="331">
        <v>2964</v>
      </c>
      <c r="L80" s="331">
        <v>1601</v>
      </c>
      <c r="M80" s="331">
        <v>533</v>
      </c>
      <c r="N80" s="331">
        <v>2134</v>
      </c>
      <c r="O80" s="331">
        <v>4804</v>
      </c>
      <c r="P80" s="331">
        <v>4788</v>
      </c>
      <c r="Q80" s="331">
        <v>9592</v>
      </c>
      <c r="R80" s="331">
        <v>586</v>
      </c>
      <c r="S80" s="331">
        <v>427</v>
      </c>
      <c r="T80" s="331">
        <v>1013</v>
      </c>
      <c r="U80" s="329">
        <v>9156</v>
      </c>
      <c r="V80" s="329">
        <v>6547</v>
      </c>
      <c r="W80" s="329">
        <v>15703</v>
      </c>
      <c r="X80" s="13"/>
      <c r="Y80" s="13"/>
    </row>
    <row r="81" spans="2:25" hidden="1" outlineLevel="1" x14ac:dyDescent="0.25">
      <c r="B81" s="328">
        <v>40330</v>
      </c>
      <c r="C81" s="331"/>
      <c r="D81" s="331"/>
      <c r="E81" s="331"/>
      <c r="F81" s="331"/>
      <c r="G81" s="331"/>
      <c r="H81" s="331"/>
      <c r="I81" s="331">
        <v>2223</v>
      </c>
      <c r="J81" s="331">
        <v>842</v>
      </c>
      <c r="K81" s="331">
        <v>3065</v>
      </c>
      <c r="L81" s="331">
        <v>1637</v>
      </c>
      <c r="M81" s="331">
        <v>536</v>
      </c>
      <c r="N81" s="331">
        <v>2173</v>
      </c>
      <c r="O81" s="331">
        <v>9030</v>
      </c>
      <c r="P81" s="331">
        <v>7038</v>
      </c>
      <c r="Q81" s="331">
        <v>16068</v>
      </c>
      <c r="R81" s="331">
        <v>547</v>
      </c>
      <c r="S81" s="331">
        <v>392</v>
      </c>
      <c r="T81" s="331">
        <v>939</v>
      </c>
      <c r="U81" s="329">
        <v>13437</v>
      </c>
      <c r="V81" s="329">
        <v>8808</v>
      </c>
      <c r="W81" s="329">
        <v>22245</v>
      </c>
      <c r="X81" s="13"/>
      <c r="Y81" s="13"/>
    </row>
    <row r="82" spans="2:25" hidden="1" outlineLevel="1" x14ac:dyDescent="0.25">
      <c r="B82" s="328">
        <v>40360</v>
      </c>
      <c r="C82" s="331"/>
      <c r="D82" s="331"/>
      <c r="E82" s="331"/>
      <c r="F82" s="331"/>
      <c r="G82" s="331"/>
      <c r="H82" s="331"/>
      <c r="I82" s="331">
        <v>2977</v>
      </c>
      <c r="J82" s="331">
        <v>946</v>
      </c>
      <c r="K82" s="331">
        <v>3923</v>
      </c>
      <c r="L82" s="331">
        <v>1649</v>
      </c>
      <c r="M82" s="331">
        <v>540</v>
      </c>
      <c r="N82" s="331">
        <v>2189</v>
      </c>
      <c r="O82" s="331">
        <v>15794</v>
      </c>
      <c r="P82" s="331">
        <v>12661</v>
      </c>
      <c r="Q82" s="331">
        <v>28455</v>
      </c>
      <c r="R82" s="331">
        <v>626</v>
      </c>
      <c r="S82" s="331">
        <v>441</v>
      </c>
      <c r="T82" s="331">
        <v>1067</v>
      </c>
      <c r="U82" s="329">
        <v>21046</v>
      </c>
      <c r="V82" s="329">
        <v>14588</v>
      </c>
      <c r="W82" s="329">
        <v>35634</v>
      </c>
      <c r="X82" s="13"/>
      <c r="Y82" s="13"/>
    </row>
    <row r="83" spans="2:25" hidden="1" outlineLevel="1" x14ac:dyDescent="0.25">
      <c r="B83" s="328">
        <v>40391</v>
      </c>
      <c r="C83" s="331"/>
      <c r="D83" s="331"/>
      <c r="E83" s="331"/>
      <c r="F83" s="331"/>
      <c r="G83" s="331"/>
      <c r="H83" s="331"/>
      <c r="I83" s="331">
        <v>3187</v>
      </c>
      <c r="J83" s="331">
        <v>1037</v>
      </c>
      <c r="K83" s="331">
        <v>4224</v>
      </c>
      <c r="L83" s="331">
        <v>1848</v>
      </c>
      <c r="M83" s="331">
        <v>635</v>
      </c>
      <c r="N83" s="331">
        <v>2483</v>
      </c>
      <c r="O83" s="331">
        <v>14051</v>
      </c>
      <c r="P83" s="331">
        <v>10734</v>
      </c>
      <c r="Q83" s="331">
        <v>24785</v>
      </c>
      <c r="R83" s="331">
        <v>613</v>
      </c>
      <c r="S83" s="331">
        <v>451</v>
      </c>
      <c r="T83" s="331">
        <v>1064</v>
      </c>
      <c r="U83" s="329">
        <v>19699</v>
      </c>
      <c r="V83" s="329">
        <v>12857</v>
      </c>
      <c r="W83" s="329">
        <v>32556</v>
      </c>
      <c r="X83" s="13"/>
      <c r="Y83" s="13"/>
    </row>
    <row r="84" spans="2:25" hidden="1" outlineLevel="1" x14ac:dyDescent="0.25">
      <c r="B84" s="328">
        <v>40422</v>
      </c>
      <c r="C84" s="331"/>
      <c r="D84" s="331"/>
      <c r="E84" s="331"/>
      <c r="F84" s="331"/>
      <c r="G84" s="331"/>
      <c r="H84" s="331"/>
      <c r="I84" s="331">
        <v>2772</v>
      </c>
      <c r="J84" s="331">
        <v>851</v>
      </c>
      <c r="K84" s="331">
        <v>3623</v>
      </c>
      <c r="L84" s="331">
        <v>1450</v>
      </c>
      <c r="M84" s="331">
        <v>487</v>
      </c>
      <c r="N84" s="331">
        <v>1937</v>
      </c>
      <c r="O84" s="331">
        <v>8638</v>
      </c>
      <c r="P84" s="331">
        <v>6017</v>
      </c>
      <c r="Q84" s="331">
        <v>14655</v>
      </c>
      <c r="R84" s="331">
        <v>520</v>
      </c>
      <c r="S84" s="331">
        <v>376</v>
      </c>
      <c r="T84" s="331">
        <v>896</v>
      </c>
      <c r="U84" s="329">
        <v>13380</v>
      </c>
      <c r="V84" s="329">
        <v>7731</v>
      </c>
      <c r="W84" s="329">
        <v>21111</v>
      </c>
      <c r="X84" s="13"/>
      <c r="Y84" s="13"/>
    </row>
    <row r="85" spans="2:25" hidden="1" outlineLevel="1" x14ac:dyDescent="0.25">
      <c r="B85" s="328">
        <v>40452</v>
      </c>
      <c r="C85" s="331"/>
      <c r="D85" s="331"/>
      <c r="E85" s="331"/>
      <c r="F85" s="331"/>
      <c r="G85" s="331"/>
      <c r="H85" s="331"/>
      <c r="I85" s="331">
        <v>2859</v>
      </c>
      <c r="J85" s="331">
        <v>872</v>
      </c>
      <c r="K85" s="331">
        <v>3731</v>
      </c>
      <c r="L85" s="331">
        <v>1578</v>
      </c>
      <c r="M85" s="331">
        <v>519</v>
      </c>
      <c r="N85" s="331">
        <v>2097</v>
      </c>
      <c r="O85" s="331">
        <v>7950</v>
      </c>
      <c r="P85" s="331">
        <v>5451</v>
      </c>
      <c r="Q85" s="331">
        <v>13401</v>
      </c>
      <c r="R85" s="331">
        <v>610</v>
      </c>
      <c r="S85" s="331">
        <v>487</v>
      </c>
      <c r="T85" s="331">
        <v>1097</v>
      </c>
      <c r="U85" s="329">
        <v>12997</v>
      </c>
      <c r="V85" s="329">
        <v>7329</v>
      </c>
      <c r="W85" s="329">
        <v>20326</v>
      </c>
      <c r="X85" s="13"/>
      <c r="Y85" s="13"/>
    </row>
    <row r="86" spans="2:25" hidden="1" outlineLevel="1" x14ac:dyDescent="0.25">
      <c r="B86" s="328">
        <v>40483</v>
      </c>
      <c r="C86" s="331"/>
      <c r="D86" s="331"/>
      <c r="E86" s="331"/>
      <c r="F86" s="331"/>
      <c r="G86" s="331"/>
      <c r="H86" s="331"/>
      <c r="I86" s="331">
        <v>2590</v>
      </c>
      <c r="J86" s="331">
        <v>812</v>
      </c>
      <c r="K86" s="331">
        <v>3402</v>
      </c>
      <c r="L86" s="331">
        <v>1560</v>
      </c>
      <c r="M86" s="331">
        <v>501</v>
      </c>
      <c r="N86" s="331">
        <v>2061</v>
      </c>
      <c r="O86" s="331">
        <v>6605</v>
      </c>
      <c r="P86" s="331">
        <v>4262</v>
      </c>
      <c r="Q86" s="331">
        <v>10867</v>
      </c>
      <c r="R86" s="331">
        <v>502</v>
      </c>
      <c r="S86" s="331">
        <v>348</v>
      </c>
      <c r="T86" s="331">
        <v>850</v>
      </c>
      <c r="U86" s="329">
        <v>11257</v>
      </c>
      <c r="V86" s="329">
        <v>5923</v>
      </c>
      <c r="W86" s="329">
        <v>17180</v>
      </c>
      <c r="X86" s="13"/>
      <c r="Y86" s="13"/>
    </row>
    <row r="87" spans="2:25" hidden="1" outlineLevel="1" x14ac:dyDescent="0.25">
      <c r="B87" s="328">
        <v>40513</v>
      </c>
      <c r="C87" s="331"/>
      <c r="D87" s="331"/>
      <c r="E87" s="331"/>
      <c r="F87" s="331"/>
      <c r="G87" s="331"/>
      <c r="H87" s="331"/>
      <c r="I87" s="331">
        <v>2048</v>
      </c>
      <c r="J87" s="331">
        <v>673</v>
      </c>
      <c r="K87" s="331">
        <v>2721</v>
      </c>
      <c r="L87" s="331">
        <v>1029</v>
      </c>
      <c r="M87" s="331">
        <v>379</v>
      </c>
      <c r="N87" s="331">
        <v>1408</v>
      </c>
      <c r="O87" s="331">
        <v>4531</v>
      </c>
      <c r="P87" s="331">
        <v>3103</v>
      </c>
      <c r="Q87" s="331">
        <v>7634</v>
      </c>
      <c r="R87" s="331">
        <v>488</v>
      </c>
      <c r="S87" s="331">
        <v>412</v>
      </c>
      <c r="T87" s="331">
        <v>900</v>
      </c>
      <c r="U87" s="329">
        <v>8096</v>
      </c>
      <c r="V87" s="329">
        <v>4567</v>
      </c>
      <c r="W87" s="329">
        <v>12663</v>
      </c>
      <c r="X87" s="13"/>
      <c r="Y87" s="13"/>
    </row>
    <row r="88" spans="2:25" collapsed="1" x14ac:dyDescent="0.25">
      <c r="B88" s="330" t="s">
        <v>692</v>
      </c>
      <c r="C88" s="329" t="s">
        <v>781</v>
      </c>
      <c r="D88" s="329" t="s">
        <v>781</v>
      </c>
      <c r="E88" s="329" t="s">
        <v>781</v>
      </c>
      <c r="F88" s="329" t="s">
        <v>781</v>
      </c>
      <c r="G88" s="329" t="s">
        <v>781</v>
      </c>
      <c r="H88" s="329" t="s">
        <v>781</v>
      </c>
      <c r="I88" s="329">
        <v>2545</v>
      </c>
      <c r="J88" s="329">
        <v>850</v>
      </c>
      <c r="K88" s="329">
        <v>3395</v>
      </c>
      <c r="L88" s="329">
        <v>1551</v>
      </c>
      <c r="M88" s="329">
        <v>529</v>
      </c>
      <c r="N88" s="329">
        <v>2081</v>
      </c>
      <c r="O88" s="329">
        <v>8060</v>
      </c>
      <c r="P88" s="329">
        <v>5946</v>
      </c>
      <c r="Q88" s="329">
        <v>14006</v>
      </c>
      <c r="R88" s="329">
        <v>578</v>
      </c>
      <c r="S88" s="329">
        <v>417</v>
      </c>
      <c r="T88" s="329">
        <v>994</v>
      </c>
      <c r="U88" s="329">
        <v>12734</v>
      </c>
      <c r="V88" s="329">
        <v>7742</v>
      </c>
      <c r="W88" s="329">
        <v>20476</v>
      </c>
      <c r="X88" s="13"/>
      <c r="Y88" s="13"/>
    </row>
    <row r="89" spans="2:25" hidden="1" outlineLevel="1" x14ac:dyDescent="0.25">
      <c r="B89" s="328">
        <v>40544</v>
      </c>
      <c r="C89" s="331"/>
      <c r="D89" s="331"/>
      <c r="E89" s="331"/>
      <c r="F89" s="331"/>
      <c r="G89" s="331"/>
      <c r="H89" s="331"/>
      <c r="I89" s="331">
        <v>2490</v>
      </c>
      <c r="J89" s="331">
        <v>896</v>
      </c>
      <c r="K89" s="331">
        <v>3386</v>
      </c>
      <c r="L89" s="331">
        <v>1397</v>
      </c>
      <c r="M89" s="331">
        <v>474</v>
      </c>
      <c r="N89" s="331">
        <v>1871</v>
      </c>
      <c r="O89" s="331">
        <v>6366</v>
      </c>
      <c r="P89" s="331">
        <v>4630</v>
      </c>
      <c r="Q89" s="331">
        <v>10996</v>
      </c>
      <c r="R89" s="331">
        <v>565</v>
      </c>
      <c r="S89" s="331">
        <v>429</v>
      </c>
      <c r="T89" s="331">
        <v>994</v>
      </c>
      <c r="U89" s="329">
        <v>10818</v>
      </c>
      <c r="V89" s="329">
        <v>6429</v>
      </c>
      <c r="W89" s="329">
        <v>17247</v>
      </c>
      <c r="X89" s="13"/>
      <c r="Y89" s="13"/>
    </row>
    <row r="90" spans="2:25" hidden="1" outlineLevel="1" x14ac:dyDescent="0.25">
      <c r="B90" s="328">
        <v>40575</v>
      </c>
      <c r="C90" s="331"/>
      <c r="D90" s="331"/>
      <c r="E90" s="331"/>
      <c r="F90" s="331"/>
      <c r="G90" s="331"/>
      <c r="H90" s="331"/>
      <c r="I90" s="331">
        <v>2187</v>
      </c>
      <c r="J90" s="331">
        <v>743</v>
      </c>
      <c r="K90" s="331">
        <v>2930</v>
      </c>
      <c r="L90" s="331">
        <v>1166</v>
      </c>
      <c r="M90" s="331">
        <v>433</v>
      </c>
      <c r="N90" s="331">
        <v>1599</v>
      </c>
      <c r="O90" s="331">
        <v>5128</v>
      </c>
      <c r="P90" s="331">
        <v>3702</v>
      </c>
      <c r="Q90" s="331">
        <v>8830</v>
      </c>
      <c r="R90" s="331">
        <v>468</v>
      </c>
      <c r="S90" s="331">
        <v>361</v>
      </c>
      <c r="T90" s="331">
        <v>829</v>
      </c>
      <c r="U90" s="329">
        <v>8949</v>
      </c>
      <c r="V90" s="329">
        <v>5239</v>
      </c>
      <c r="W90" s="329">
        <v>14188</v>
      </c>
      <c r="X90" s="13"/>
      <c r="Y90" s="13"/>
    </row>
    <row r="91" spans="2:25" hidden="1" outlineLevel="1" x14ac:dyDescent="0.25">
      <c r="B91" s="328">
        <v>40603</v>
      </c>
      <c r="C91" s="331"/>
      <c r="D91" s="331"/>
      <c r="E91" s="331"/>
      <c r="F91" s="331"/>
      <c r="G91" s="331"/>
      <c r="H91" s="331"/>
      <c r="I91" s="331">
        <v>2526</v>
      </c>
      <c r="J91" s="331">
        <v>779</v>
      </c>
      <c r="K91" s="331">
        <v>3305</v>
      </c>
      <c r="L91" s="331">
        <v>1632</v>
      </c>
      <c r="M91" s="331">
        <v>540</v>
      </c>
      <c r="N91" s="331">
        <v>2172</v>
      </c>
      <c r="O91" s="331">
        <v>5896</v>
      </c>
      <c r="P91" s="331">
        <v>3858</v>
      </c>
      <c r="Q91" s="331">
        <v>9754</v>
      </c>
      <c r="R91" s="331">
        <v>640</v>
      </c>
      <c r="S91" s="331">
        <v>445</v>
      </c>
      <c r="T91" s="331">
        <v>1085</v>
      </c>
      <c r="U91" s="329">
        <v>10694</v>
      </c>
      <c r="V91" s="329">
        <v>5622</v>
      </c>
      <c r="W91" s="329">
        <v>16316</v>
      </c>
      <c r="X91" s="13"/>
      <c r="Y91" s="13"/>
    </row>
    <row r="92" spans="2:25" hidden="1" outlineLevel="1" x14ac:dyDescent="0.25">
      <c r="B92" s="328">
        <v>40634</v>
      </c>
      <c r="C92" s="331"/>
      <c r="D92" s="331"/>
      <c r="E92" s="331"/>
      <c r="F92" s="331"/>
      <c r="G92" s="331"/>
      <c r="H92" s="331"/>
      <c r="I92" s="331">
        <v>1823</v>
      </c>
      <c r="J92" s="331">
        <v>635</v>
      </c>
      <c r="K92" s="331">
        <v>2458</v>
      </c>
      <c r="L92" s="331">
        <v>1310</v>
      </c>
      <c r="M92" s="331">
        <v>433</v>
      </c>
      <c r="N92" s="331">
        <v>1743</v>
      </c>
      <c r="O92" s="331">
        <v>4398</v>
      </c>
      <c r="P92" s="331">
        <v>2714</v>
      </c>
      <c r="Q92" s="331">
        <v>7112</v>
      </c>
      <c r="R92" s="331">
        <v>400</v>
      </c>
      <c r="S92" s="331">
        <v>325</v>
      </c>
      <c r="T92" s="331">
        <v>725</v>
      </c>
      <c r="U92" s="329">
        <v>7931</v>
      </c>
      <c r="V92" s="329">
        <v>4107</v>
      </c>
      <c r="W92" s="329">
        <v>12038</v>
      </c>
      <c r="X92" s="13"/>
      <c r="Y92" s="13"/>
    </row>
    <row r="93" spans="2:25" hidden="1" outlineLevel="1" x14ac:dyDescent="0.25">
      <c r="B93" s="328">
        <v>40664</v>
      </c>
      <c r="C93" s="331"/>
      <c r="D93" s="331"/>
      <c r="E93" s="331"/>
      <c r="F93" s="331"/>
      <c r="G93" s="331"/>
      <c r="H93" s="331"/>
      <c r="I93" s="331">
        <v>2291</v>
      </c>
      <c r="J93" s="331">
        <v>752</v>
      </c>
      <c r="K93" s="331">
        <v>3043</v>
      </c>
      <c r="L93" s="331">
        <v>1434</v>
      </c>
      <c r="M93" s="331">
        <v>500</v>
      </c>
      <c r="N93" s="331">
        <v>1934</v>
      </c>
      <c r="O93" s="331">
        <v>5470</v>
      </c>
      <c r="P93" s="331">
        <v>3499</v>
      </c>
      <c r="Q93" s="331">
        <v>8969</v>
      </c>
      <c r="R93" s="331">
        <v>491</v>
      </c>
      <c r="S93" s="331">
        <v>340</v>
      </c>
      <c r="T93" s="331">
        <v>831</v>
      </c>
      <c r="U93" s="329">
        <v>9686</v>
      </c>
      <c r="V93" s="329">
        <v>5091</v>
      </c>
      <c r="W93" s="329">
        <v>14777</v>
      </c>
      <c r="X93" s="13"/>
      <c r="Y93" s="13"/>
    </row>
    <row r="94" spans="2:25" hidden="1" outlineLevel="1" x14ac:dyDescent="0.25">
      <c r="B94" s="328">
        <v>40695</v>
      </c>
      <c r="C94" s="331"/>
      <c r="D94" s="331"/>
      <c r="E94" s="331"/>
      <c r="F94" s="331"/>
      <c r="G94" s="331"/>
      <c r="H94" s="331"/>
      <c r="I94" s="331">
        <v>2128</v>
      </c>
      <c r="J94" s="331">
        <v>705</v>
      </c>
      <c r="K94" s="331">
        <v>2833</v>
      </c>
      <c r="L94" s="331">
        <v>1221</v>
      </c>
      <c r="M94" s="331">
        <v>454</v>
      </c>
      <c r="N94" s="331">
        <v>1675</v>
      </c>
      <c r="O94" s="331">
        <v>4859</v>
      </c>
      <c r="P94" s="331">
        <v>3255</v>
      </c>
      <c r="Q94" s="331">
        <v>8114</v>
      </c>
      <c r="R94" s="331">
        <v>449</v>
      </c>
      <c r="S94" s="331">
        <v>316</v>
      </c>
      <c r="T94" s="331">
        <v>765</v>
      </c>
      <c r="U94" s="329">
        <v>8657</v>
      </c>
      <c r="V94" s="329">
        <v>4730</v>
      </c>
      <c r="W94" s="329">
        <v>13387</v>
      </c>
      <c r="X94" s="13"/>
      <c r="Y94" s="13"/>
    </row>
    <row r="95" spans="2:25" hidden="1" outlineLevel="1" x14ac:dyDescent="0.25">
      <c r="B95" s="328">
        <v>40725</v>
      </c>
      <c r="C95" s="331"/>
      <c r="D95" s="331"/>
      <c r="E95" s="331"/>
      <c r="F95" s="331"/>
      <c r="G95" s="331"/>
      <c r="H95" s="331"/>
      <c r="I95" s="331">
        <v>2603</v>
      </c>
      <c r="J95" s="331">
        <v>756</v>
      </c>
      <c r="K95" s="331">
        <v>3359</v>
      </c>
      <c r="L95" s="331">
        <v>1305</v>
      </c>
      <c r="M95" s="331">
        <v>478</v>
      </c>
      <c r="N95" s="331">
        <v>1783</v>
      </c>
      <c r="O95" s="331">
        <v>8280</v>
      </c>
      <c r="P95" s="331">
        <v>6886</v>
      </c>
      <c r="Q95" s="331">
        <v>15166</v>
      </c>
      <c r="R95" s="331">
        <v>558</v>
      </c>
      <c r="S95" s="331">
        <v>401</v>
      </c>
      <c r="T95" s="331">
        <v>959</v>
      </c>
      <c r="U95" s="329">
        <v>12746</v>
      </c>
      <c r="V95" s="329">
        <v>8521</v>
      </c>
      <c r="W95" s="329">
        <v>21267</v>
      </c>
      <c r="X95" s="13"/>
      <c r="Y95" s="13"/>
    </row>
    <row r="96" spans="2:25" hidden="1" outlineLevel="1" x14ac:dyDescent="0.25">
      <c r="B96" s="328">
        <v>40756</v>
      </c>
      <c r="C96" s="331"/>
      <c r="D96" s="331"/>
      <c r="E96" s="331"/>
      <c r="F96" s="331"/>
      <c r="G96" s="331"/>
      <c r="H96" s="331"/>
      <c r="I96" s="331">
        <v>2613</v>
      </c>
      <c r="J96" s="331">
        <v>782</v>
      </c>
      <c r="K96" s="331">
        <v>3395</v>
      </c>
      <c r="L96" s="331">
        <v>1321</v>
      </c>
      <c r="M96" s="331">
        <v>474</v>
      </c>
      <c r="N96" s="331">
        <v>1795</v>
      </c>
      <c r="O96" s="331">
        <v>7512</v>
      </c>
      <c r="P96" s="331">
        <v>5762</v>
      </c>
      <c r="Q96" s="331">
        <v>13274</v>
      </c>
      <c r="R96" s="331">
        <v>556</v>
      </c>
      <c r="S96" s="331">
        <v>354</v>
      </c>
      <c r="T96" s="331">
        <v>910</v>
      </c>
      <c r="U96" s="329">
        <v>12002</v>
      </c>
      <c r="V96" s="329">
        <v>7372</v>
      </c>
      <c r="W96" s="329">
        <v>19374</v>
      </c>
      <c r="X96" s="13"/>
      <c r="Y96" s="13"/>
    </row>
    <row r="97" spans="2:25" hidden="1" outlineLevel="1" x14ac:dyDescent="0.25">
      <c r="B97" s="328">
        <v>40787</v>
      </c>
      <c r="C97" s="331"/>
      <c r="D97" s="331"/>
      <c r="E97" s="331"/>
      <c r="F97" s="331"/>
      <c r="G97" s="331"/>
      <c r="H97" s="331"/>
      <c r="I97" s="331">
        <v>2703</v>
      </c>
      <c r="J97" s="331">
        <v>862</v>
      </c>
      <c r="K97" s="331">
        <v>3565</v>
      </c>
      <c r="L97" s="331">
        <v>1141</v>
      </c>
      <c r="M97" s="331">
        <v>440</v>
      </c>
      <c r="N97" s="331">
        <v>1581</v>
      </c>
      <c r="O97" s="331">
        <v>5716</v>
      </c>
      <c r="P97" s="331">
        <v>3987</v>
      </c>
      <c r="Q97" s="331">
        <v>9703</v>
      </c>
      <c r="R97" s="331">
        <v>418</v>
      </c>
      <c r="S97" s="331">
        <v>288</v>
      </c>
      <c r="T97" s="331">
        <v>706</v>
      </c>
      <c r="U97" s="329">
        <v>9978</v>
      </c>
      <c r="V97" s="329">
        <v>5577</v>
      </c>
      <c r="W97" s="329">
        <v>15555</v>
      </c>
      <c r="X97" s="13"/>
      <c r="Y97" s="13"/>
    </row>
    <row r="98" spans="2:25" hidden="1" outlineLevel="1" x14ac:dyDescent="0.25">
      <c r="B98" s="328">
        <v>40817</v>
      </c>
      <c r="C98" s="331"/>
      <c r="D98" s="331"/>
      <c r="E98" s="331"/>
      <c r="F98" s="331"/>
      <c r="G98" s="331"/>
      <c r="H98" s="331"/>
      <c r="I98" s="331">
        <v>2106</v>
      </c>
      <c r="J98" s="331">
        <v>675</v>
      </c>
      <c r="K98" s="331">
        <v>2781</v>
      </c>
      <c r="L98" s="331">
        <v>1164</v>
      </c>
      <c r="M98" s="331">
        <v>423</v>
      </c>
      <c r="N98" s="331">
        <v>1587</v>
      </c>
      <c r="O98" s="331">
        <v>5685</v>
      </c>
      <c r="P98" s="331">
        <v>3548</v>
      </c>
      <c r="Q98" s="331">
        <v>9233</v>
      </c>
      <c r="R98" s="331">
        <v>493</v>
      </c>
      <c r="S98" s="331">
        <v>322</v>
      </c>
      <c r="T98" s="331">
        <v>815</v>
      </c>
      <c r="U98" s="329">
        <v>9448</v>
      </c>
      <c r="V98" s="329">
        <v>4968</v>
      </c>
      <c r="W98" s="329">
        <v>14416</v>
      </c>
      <c r="X98" s="13"/>
      <c r="Y98" s="13"/>
    </row>
    <row r="99" spans="2:25" hidden="1" outlineLevel="1" x14ac:dyDescent="0.25">
      <c r="B99" s="328">
        <v>40848</v>
      </c>
      <c r="C99" s="331"/>
      <c r="D99" s="331"/>
      <c r="E99" s="331"/>
      <c r="F99" s="331"/>
      <c r="G99" s="331"/>
      <c r="H99" s="331"/>
      <c r="I99" s="331">
        <v>2732</v>
      </c>
      <c r="J99" s="331">
        <v>879</v>
      </c>
      <c r="K99" s="331">
        <v>3611</v>
      </c>
      <c r="L99" s="331">
        <v>1364</v>
      </c>
      <c r="M99" s="331">
        <v>424</v>
      </c>
      <c r="N99" s="331">
        <v>1788</v>
      </c>
      <c r="O99" s="331">
        <v>7880</v>
      </c>
      <c r="P99" s="331">
        <v>5861</v>
      </c>
      <c r="Q99" s="331">
        <v>13741</v>
      </c>
      <c r="R99" s="331">
        <v>567</v>
      </c>
      <c r="S99" s="331">
        <v>435</v>
      </c>
      <c r="T99" s="331">
        <v>1002</v>
      </c>
      <c r="U99" s="329">
        <v>12543</v>
      </c>
      <c r="V99" s="329">
        <v>7599</v>
      </c>
      <c r="W99" s="329">
        <v>20142</v>
      </c>
      <c r="X99" s="13"/>
      <c r="Y99" s="13"/>
    </row>
    <row r="100" spans="2:25" hidden="1" outlineLevel="1" x14ac:dyDescent="0.25">
      <c r="B100" s="328">
        <v>40878</v>
      </c>
      <c r="C100" s="331"/>
      <c r="D100" s="331"/>
      <c r="E100" s="331"/>
      <c r="F100" s="331"/>
      <c r="G100" s="331"/>
      <c r="H100" s="331"/>
      <c r="I100" s="331">
        <v>2088</v>
      </c>
      <c r="J100" s="331">
        <v>669</v>
      </c>
      <c r="K100" s="331">
        <v>2757</v>
      </c>
      <c r="L100" s="331">
        <v>1028</v>
      </c>
      <c r="M100" s="331">
        <v>382</v>
      </c>
      <c r="N100" s="331">
        <v>1410</v>
      </c>
      <c r="O100" s="331">
        <v>6398</v>
      </c>
      <c r="P100" s="331">
        <v>4787</v>
      </c>
      <c r="Q100" s="331">
        <v>11185</v>
      </c>
      <c r="R100" s="331">
        <v>418</v>
      </c>
      <c r="S100" s="331">
        <v>329</v>
      </c>
      <c r="T100" s="331">
        <v>747</v>
      </c>
      <c r="U100" s="329">
        <v>9932</v>
      </c>
      <c r="V100" s="329">
        <v>6167</v>
      </c>
      <c r="W100" s="329">
        <v>16099</v>
      </c>
      <c r="X100" s="13"/>
      <c r="Y100" s="13"/>
    </row>
    <row r="101" spans="2:25" collapsed="1" x14ac:dyDescent="0.25">
      <c r="B101" s="330" t="s">
        <v>693</v>
      </c>
      <c r="C101" s="329" t="s">
        <v>781</v>
      </c>
      <c r="D101" s="329" t="s">
        <v>781</v>
      </c>
      <c r="E101" s="329" t="s">
        <v>781</v>
      </c>
      <c r="F101" s="329" t="s">
        <v>781</v>
      </c>
      <c r="G101" s="329" t="s">
        <v>781</v>
      </c>
      <c r="H101" s="329" t="s">
        <v>781</v>
      </c>
      <c r="I101" s="329">
        <v>2358</v>
      </c>
      <c r="J101" s="329">
        <v>761</v>
      </c>
      <c r="K101" s="329">
        <v>3119</v>
      </c>
      <c r="L101" s="329">
        <v>1290</v>
      </c>
      <c r="M101" s="329">
        <v>455</v>
      </c>
      <c r="N101" s="329">
        <v>1745</v>
      </c>
      <c r="O101" s="329">
        <v>6132</v>
      </c>
      <c r="P101" s="329">
        <v>4374</v>
      </c>
      <c r="Q101" s="329">
        <v>10506</v>
      </c>
      <c r="R101" s="329">
        <v>502</v>
      </c>
      <c r="S101" s="329">
        <v>362</v>
      </c>
      <c r="T101" s="329">
        <v>864</v>
      </c>
      <c r="U101" s="329">
        <v>10282</v>
      </c>
      <c r="V101" s="329">
        <v>5952</v>
      </c>
      <c r="W101" s="329">
        <v>16234</v>
      </c>
      <c r="X101" s="13"/>
      <c r="Y101" s="13"/>
    </row>
    <row r="102" spans="2:25" hidden="1" outlineLevel="1" x14ac:dyDescent="0.25">
      <c r="B102" s="328">
        <v>40909</v>
      </c>
      <c r="C102" s="331"/>
      <c r="D102" s="331"/>
      <c r="E102" s="331"/>
      <c r="F102" s="331"/>
      <c r="G102" s="331"/>
      <c r="H102" s="331"/>
      <c r="I102" s="331">
        <v>2283</v>
      </c>
      <c r="J102" s="331">
        <v>761</v>
      </c>
      <c r="K102" s="331">
        <v>3044</v>
      </c>
      <c r="L102" s="331">
        <v>1110</v>
      </c>
      <c r="M102" s="331">
        <v>415</v>
      </c>
      <c r="N102" s="331">
        <v>1525</v>
      </c>
      <c r="O102" s="331">
        <v>6735</v>
      </c>
      <c r="P102" s="331">
        <v>4846</v>
      </c>
      <c r="Q102" s="331">
        <v>11581</v>
      </c>
      <c r="R102" s="331">
        <v>466</v>
      </c>
      <c r="S102" s="331">
        <v>324</v>
      </c>
      <c r="T102" s="331">
        <v>790</v>
      </c>
      <c r="U102" s="329">
        <v>10594</v>
      </c>
      <c r="V102" s="329">
        <v>6346</v>
      </c>
      <c r="W102" s="329">
        <v>16940</v>
      </c>
      <c r="X102" s="13"/>
      <c r="Y102" s="13"/>
    </row>
    <row r="103" spans="2:25" hidden="1" outlineLevel="1" x14ac:dyDescent="0.25">
      <c r="B103" s="328">
        <v>40940</v>
      </c>
      <c r="C103" s="331"/>
      <c r="D103" s="331"/>
      <c r="E103" s="331"/>
      <c r="F103" s="331"/>
      <c r="G103" s="331"/>
      <c r="H103" s="331"/>
      <c r="I103" s="331">
        <v>1868</v>
      </c>
      <c r="J103" s="331">
        <v>622</v>
      </c>
      <c r="K103" s="331">
        <v>2490</v>
      </c>
      <c r="L103" s="331">
        <v>955</v>
      </c>
      <c r="M103" s="331">
        <v>373</v>
      </c>
      <c r="N103" s="331">
        <v>1328</v>
      </c>
      <c r="O103" s="331">
        <v>5593</v>
      </c>
      <c r="P103" s="331">
        <v>3634</v>
      </c>
      <c r="Q103" s="331">
        <v>9227</v>
      </c>
      <c r="R103" s="331">
        <v>451</v>
      </c>
      <c r="S103" s="331">
        <v>334</v>
      </c>
      <c r="T103" s="331">
        <v>785</v>
      </c>
      <c r="U103" s="329">
        <v>8867</v>
      </c>
      <c r="V103" s="329">
        <v>4963</v>
      </c>
      <c r="W103" s="329">
        <v>13830</v>
      </c>
      <c r="X103" s="13"/>
      <c r="Y103" s="13"/>
    </row>
    <row r="104" spans="2:25" hidden="1" outlineLevel="1" x14ac:dyDescent="0.25">
      <c r="B104" s="328">
        <v>40969</v>
      </c>
      <c r="C104" s="331"/>
      <c r="D104" s="331"/>
      <c r="E104" s="331"/>
      <c r="F104" s="331"/>
      <c r="G104" s="331"/>
      <c r="H104" s="331"/>
      <c r="I104" s="331">
        <v>2136</v>
      </c>
      <c r="J104" s="331">
        <v>679</v>
      </c>
      <c r="K104" s="331">
        <v>2815</v>
      </c>
      <c r="L104" s="331">
        <v>1190</v>
      </c>
      <c r="M104" s="331">
        <v>405</v>
      </c>
      <c r="N104" s="331">
        <v>1595</v>
      </c>
      <c r="O104" s="331">
        <v>5916</v>
      </c>
      <c r="P104" s="331">
        <v>3962</v>
      </c>
      <c r="Q104" s="331">
        <v>9878</v>
      </c>
      <c r="R104" s="331">
        <v>451</v>
      </c>
      <c r="S104" s="331">
        <v>341</v>
      </c>
      <c r="T104" s="331">
        <v>792</v>
      </c>
      <c r="U104" s="329">
        <v>9693</v>
      </c>
      <c r="V104" s="329">
        <v>5387</v>
      </c>
      <c r="W104" s="329">
        <v>15080</v>
      </c>
      <c r="X104" s="13"/>
      <c r="Y104" s="13"/>
    </row>
    <row r="105" spans="2:25" hidden="1" outlineLevel="1" x14ac:dyDescent="0.25">
      <c r="B105" s="328">
        <v>41000</v>
      </c>
      <c r="C105" s="331"/>
      <c r="D105" s="331"/>
      <c r="E105" s="331"/>
      <c r="F105" s="331"/>
      <c r="G105" s="331"/>
      <c r="H105" s="331"/>
      <c r="I105" s="331">
        <v>1753</v>
      </c>
      <c r="J105" s="331">
        <v>620</v>
      </c>
      <c r="K105" s="331">
        <v>2373</v>
      </c>
      <c r="L105" s="331">
        <v>1136</v>
      </c>
      <c r="M105" s="331">
        <v>406</v>
      </c>
      <c r="N105" s="331">
        <v>1542</v>
      </c>
      <c r="O105" s="331">
        <v>4830</v>
      </c>
      <c r="P105" s="331">
        <v>3291</v>
      </c>
      <c r="Q105" s="331">
        <v>8121</v>
      </c>
      <c r="R105" s="331">
        <v>374</v>
      </c>
      <c r="S105" s="331">
        <v>284</v>
      </c>
      <c r="T105" s="331">
        <v>658</v>
      </c>
      <c r="U105" s="329">
        <v>8093</v>
      </c>
      <c r="V105" s="329">
        <v>4601</v>
      </c>
      <c r="W105" s="329">
        <v>12694</v>
      </c>
      <c r="X105" s="13"/>
      <c r="Y105" s="13"/>
    </row>
    <row r="106" spans="2:25" hidden="1" outlineLevel="1" x14ac:dyDescent="0.25">
      <c r="B106" s="328">
        <v>41030</v>
      </c>
      <c r="C106" s="331"/>
      <c r="D106" s="331"/>
      <c r="E106" s="331"/>
      <c r="F106" s="331"/>
      <c r="G106" s="331"/>
      <c r="H106" s="331"/>
      <c r="I106" s="331">
        <v>2164</v>
      </c>
      <c r="J106" s="331">
        <v>693</v>
      </c>
      <c r="K106" s="331">
        <v>2857</v>
      </c>
      <c r="L106" s="331">
        <v>1386</v>
      </c>
      <c r="M106" s="331">
        <v>541</v>
      </c>
      <c r="N106" s="331">
        <v>1927</v>
      </c>
      <c r="O106" s="331">
        <v>5552</v>
      </c>
      <c r="P106" s="331">
        <v>3913</v>
      </c>
      <c r="Q106" s="331">
        <v>9465</v>
      </c>
      <c r="R106" s="331">
        <v>377</v>
      </c>
      <c r="S106" s="331">
        <v>292</v>
      </c>
      <c r="T106" s="331">
        <v>669</v>
      </c>
      <c r="U106" s="329">
        <v>9479</v>
      </c>
      <c r="V106" s="329">
        <v>5439</v>
      </c>
      <c r="W106" s="329">
        <v>14918</v>
      </c>
      <c r="X106" s="13"/>
      <c r="Y106" s="13"/>
    </row>
    <row r="107" spans="2:25" hidden="1" outlineLevel="1" x14ac:dyDescent="0.25">
      <c r="B107" s="328">
        <v>41061</v>
      </c>
      <c r="C107" s="331"/>
      <c r="D107" s="331"/>
      <c r="E107" s="331"/>
      <c r="F107" s="331"/>
      <c r="G107" s="331"/>
      <c r="H107" s="331"/>
      <c r="I107" s="331">
        <v>1957</v>
      </c>
      <c r="J107" s="331">
        <v>663</v>
      </c>
      <c r="K107" s="331">
        <v>2620</v>
      </c>
      <c r="L107" s="331">
        <v>1251</v>
      </c>
      <c r="M107" s="331">
        <v>527</v>
      </c>
      <c r="N107" s="331">
        <v>1778</v>
      </c>
      <c r="O107" s="331">
        <v>4998</v>
      </c>
      <c r="P107" s="331">
        <v>3812</v>
      </c>
      <c r="Q107" s="331">
        <v>8810</v>
      </c>
      <c r="R107" s="331">
        <v>336</v>
      </c>
      <c r="S107" s="331">
        <v>257</v>
      </c>
      <c r="T107" s="331">
        <v>593</v>
      </c>
      <c r="U107" s="329">
        <v>8542</v>
      </c>
      <c r="V107" s="329">
        <v>5259</v>
      </c>
      <c r="W107" s="329">
        <v>13801</v>
      </c>
      <c r="X107" s="13"/>
      <c r="Y107" s="13"/>
    </row>
    <row r="108" spans="2:25" hidden="1" outlineLevel="1" x14ac:dyDescent="0.25">
      <c r="B108" s="328">
        <v>41091</v>
      </c>
      <c r="C108" s="331"/>
      <c r="D108" s="331"/>
      <c r="E108" s="331"/>
      <c r="F108" s="331"/>
      <c r="G108" s="331"/>
      <c r="H108" s="331"/>
      <c r="I108" s="331">
        <v>2242</v>
      </c>
      <c r="J108" s="331">
        <v>691</v>
      </c>
      <c r="K108" s="331">
        <v>2933</v>
      </c>
      <c r="L108" s="331">
        <v>1199</v>
      </c>
      <c r="M108" s="331">
        <v>500</v>
      </c>
      <c r="N108" s="331">
        <v>1699</v>
      </c>
      <c r="O108" s="331">
        <v>5366</v>
      </c>
      <c r="P108" s="331">
        <v>4078</v>
      </c>
      <c r="Q108" s="331">
        <v>9444</v>
      </c>
      <c r="R108" s="331">
        <v>445</v>
      </c>
      <c r="S108" s="331">
        <v>280</v>
      </c>
      <c r="T108" s="331">
        <v>725</v>
      </c>
      <c r="U108" s="329">
        <v>9252</v>
      </c>
      <c r="V108" s="329">
        <v>5549</v>
      </c>
      <c r="W108" s="329">
        <v>14801</v>
      </c>
      <c r="X108" s="13"/>
      <c r="Y108" s="13"/>
    </row>
    <row r="109" spans="2:25" hidden="1" outlineLevel="1" x14ac:dyDescent="0.25">
      <c r="B109" s="328">
        <v>41122</v>
      </c>
      <c r="C109" s="331"/>
      <c r="D109" s="331"/>
      <c r="E109" s="331"/>
      <c r="F109" s="331"/>
      <c r="G109" s="331"/>
      <c r="H109" s="331"/>
      <c r="I109" s="331">
        <v>2454</v>
      </c>
      <c r="J109" s="331">
        <v>767</v>
      </c>
      <c r="K109" s="331">
        <v>3221</v>
      </c>
      <c r="L109" s="331">
        <v>1428</v>
      </c>
      <c r="M109" s="331">
        <v>539</v>
      </c>
      <c r="N109" s="331">
        <v>1967</v>
      </c>
      <c r="O109" s="331">
        <v>9471</v>
      </c>
      <c r="P109" s="331">
        <v>7751</v>
      </c>
      <c r="Q109" s="331">
        <v>17222</v>
      </c>
      <c r="R109" s="331">
        <v>438</v>
      </c>
      <c r="S109" s="331">
        <v>317</v>
      </c>
      <c r="T109" s="331">
        <v>755</v>
      </c>
      <c r="U109" s="329">
        <v>13791</v>
      </c>
      <c r="V109" s="329">
        <v>9374</v>
      </c>
      <c r="W109" s="329">
        <v>23165</v>
      </c>
      <c r="X109" s="13"/>
      <c r="Y109" s="13"/>
    </row>
    <row r="110" spans="2:25" hidden="1" outlineLevel="1" x14ac:dyDescent="0.25">
      <c r="B110" s="328">
        <v>41153</v>
      </c>
      <c r="C110" s="331"/>
      <c r="D110" s="331"/>
      <c r="E110" s="331"/>
      <c r="F110" s="331"/>
      <c r="G110" s="331"/>
      <c r="H110" s="331"/>
      <c r="I110" s="331">
        <v>2036</v>
      </c>
      <c r="J110" s="331">
        <v>651</v>
      </c>
      <c r="K110" s="331">
        <v>2687</v>
      </c>
      <c r="L110" s="331">
        <v>962</v>
      </c>
      <c r="M110" s="331">
        <v>351</v>
      </c>
      <c r="N110" s="331">
        <v>1313</v>
      </c>
      <c r="O110" s="331">
        <v>11016</v>
      </c>
      <c r="P110" s="331">
        <v>8091</v>
      </c>
      <c r="Q110" s="331">
        <v>19107</v>
      </c>
      <c r="R110" s="331">
        <v>306</v>
      </c>
      <c r="S110" s="331">
        <v>235</v>
      </c>
      <c r="T110" s="331">
        <v>541</v>
      </c>
      <c r="U110" s="329">
        <v>14320</v>
      </c>
      <c r="V110" s="329">
        <v>9328</v>
      </c>
      <c r="W110" s="329">
        <v>23648</v>
      </c>
      <c r="X110" s="13"/>
      <c r="Y110" s="13"/>
    </row>
    <row r="111" spans="2:25" hidden="1" outlineLevel="1" x14ac:dyDescent="0.25">
      <c r="B111" s="328">
        <v>41183</v>
      </c>
      <c r="C111" s="331"/>
      <c r="D111" s="331"/>
      <c r="E111" s="331"/>
      <c r="F111" s="331"/>
      <c r="G111" s="331"/>
      <c r="H111" s="331"/>
      <c r="I111" s="331">
        <v>2850</v>
      </c>
      <c r="J111" s="331">
        <v>834</v>
      </c>
      <c r="K111" s="331">
        <v>3684</v>
      </c>
      <c r="L111" s="331">
        <v>1413</v>
      </c>
      <c r="M111" s="331">
        <v>510</v>
      </c>
      <c r="N111" s="331">
        <v>1923</v>
      </c>
      <c r="O111" s="331">
        <v>6678</v>
      </c>
      <c r="P111" s="331">
        <v>5025</v>
      </c>
      <c r="Q111" s="331">
        <v>11703</v>
      </c>
      <c r="R111" s="331">
        <v>426</v>
      </c>
      <c r="S111" s="331">
        <v>322</v>
      </c>
      <c r="T111" s="331">
        <v>748</v>
      </c>
      <c r="U111" s="329">
        <v>11367</v>
      </c>
      <c r="V111" s="329">
        <v>6691</v>
      </c>
      <c r="W111" s="329">
        <v>18058</v>
      </c>
      <c r="X111" s="13"/>
      <c r="Y111" s="13"/>
    </row>
    <row r="112" spans="2:25" hidden="1" outlineLevel="1" x14ac:dyDescent="0.25">
      <c r="B112" s="328">
        <v>41214</v>
      </c>
      <c r="C112" s="331"/>
      <c r="D112" s="331"/>
      <c r="E112" s="331"/>
      <c r="F112" s="331"/>
      <c r="G112" s="331"/>
      <c r="H112" s="331"/>
      <c r="I112" s="331">
        <v>2231</v>
      </c>
      <c r="J112" s="331">
        <v>702</v>
      </c>
      <c r="K112" s="331">
        <v>2933</v>
      </c>
      <c r="L112" s="331">
        <v>1160</v>
      </c>
      <c r="M112" s="331">
        <v>413</v>
      </c>
      <c r="N112" s="331">
        <v>1573</v>
      </c>
      <c r="O112" s="331">
        <v>4229</v>
      </c>
      <c r="P112" s="331">
        <v>4228</v>
      </c>
      <c r="Q112" s="331">
        <v>8457</v>
      </c>
      <c r="R112" s="331">
        <v>355</v>
      </c>
      <c r="S112" s="331">
        <v>262</v>
      </c>
      <c r="T112" s="331">
        <v>617</v>
      </c>
      <c r="U112" s="329">
        <v>7975</v>
      </c>
      <c r="V112" s="329">
        <v>5605</v>
      </c>
      <c r="W112" s="329">
        <v>13580</v>
      </c>
      <c r="X112" s="13"/>
      <c r="Y112" s="13"/>
    </row>
    <row r="113" spans="2:25" hidden="1" outlineLevel="1" x14ac:dyDescent="0.25">
      <c r="B113" s="328">
        <v>41244</v>
      </c>
      <c r="C113" s="331"/>
      <c r="D113" s="331"/>
      <c r="E113" s="331"/>
      <c r="F113" s="331"/>
      <c r="G113" s="331"/>
      <c r="H113" s="331"/>
      <c r="I113" s="331">
        <v>1947</v>
      </c>
      <c r="J113" s="331">
        <v>590</v>
      </c>
      <c r="K113" s="331">
        <v>2537</v>
      </c>
      <c r="L113" s="331">
        <v>997</v>
      </c>
      <c r="M113" s="331">
        <v>427</v>
      </c>
      <c r="N113" s="331">
        <v>1424</v>
      </c>
      <c r="O113" s="331">
        <v>3607</v>
      </c>
      <c r="P113" s="331">
        <v>3725</v>
      </c>
      <c r="Q113" s="331">
        <v>7332</v>
      </c>
      <c r="R113" s="331">
        <v>313</v>
      </c>
      <c r="S113" s="331">
        <v>240</v>
      </c>
      <c r="T113" s="331">
        <v>553</v>
      </c>
      <c r="U113" s="329">
        <v>6864</v>
      </c>
      <c r="V113" s="329">
        <v>4982</v>
      </c>
      <c r="W113" s="329">
        <v>11846</v>
      </c>
      <c r="X113" s="13"/>
      <c r="Y113" s="13"/>
    </row>
    <row r="114" spans="2:25" collapsed="1" x14ac:dyDescent="0.25">
      <c r="B114" s="330" t="s">
        <v>694</v>
      </c>
      <c r="C114" s="329" t="s">
        <v>781</v>
      </c>
      <c r="D114" s="329" t="s">
        <v>781</v>
      </c>
      <c r="E114" s="329" t="s">
        <v>781</v>
      </c>
      <c r="F114" s="329" t="s">
        <v>781</v>
      </c>
      <c r="G114" s="329" t="s">
        <v>781</v>
      </c>
      <c r="H114" s="329" t="s">
        <v>781</v>
      </c>
      <c r="I114" s="329">
        <v>2160</v>
      </c>
      <c r="J114" s="329">
        <v>689</v>
      </c>
      <c r="K114" s="329">
        <v>2850</v>
      </c>
      <c r="L114" s="329">
        <v>1182</v>
      </c>
      <c r="M114" s="329">
        <v>451</v>
      </c>
      <c r="N114" s="329">
        <v>1633</v>
      </c>
      <c r="O114" s="329">
        <v>6166</v>
      </c>
      <c r="P114" s="329">
        <v>4696</v>
      </c>
      <c r="Q114" s="329">
        <v>10862</v>
      </c>
      <c r="R114" s="329">
        <v>395</v>
      </c>
      <c r="S114" s="329">
        <v>291</v>
      </c>
      <c r="T114" s="329">
        <v>686</v>
      </c>
      <c r="U114" s="329">
        <v>9903</v>
      </c>
      <c r="V114" s="329">
        <v>6127</v>
      </c>
      <c r="W114" s="329">
        <v>16030</v>
      </c>
      <c r="X114" s="13"/>
      <c r="Y114" s="13"/>
    </row>
    <row r="115" spans="2:25" hidden="1" outlineLevel="1" x14ac:dyDescent="0.25">
      <c r="B115" s="328">
        <v>41275</v>
      </c>
      <c r="C115" s="331"/>
      <c r="D115" s="331"/>
      <c r="E115" s="331"/>
      <c r="F115" s="331"/>
      <c r="G115" s="331"/>
      <c r="H115" s="331"/>
      <c r="I115" s="331">
        <v>2273</v>
      </c>
      <c r="J115" s="331">
        <v>740</v>
      </c>
      <c r="K115" s="331">
        <v>3013</v>
      </c>
      <c r="L115" s="331">
        <v>1083</v>
      </c>
      <c r="M115" s="331">
        <v>451</v>
      </c>
      <c r="N115" s="331">
        <v>1534</v>
      </c>
      <c r="O115" s="331">
        <v>4166</v>
      </c>
      <c r="P115" s="331">
        <v>3406</v>
      </c>
      <c r="Q115" s="331">
        <v>7572</v>
      </c>
      <c r="R115" s="331">
        <v>342</v>
      </c>
      <c r="S115" s="331">
        <v>268</v>
      </c>
      <c r="T115" s="331">
        <v>610</v>
      </c>
      <c r="U115" s="329">
        <v>7864</v>
      </c>
      <c r="V115" s="329">
        <v>4865</v>
      </c>
      <c r="W115" s="329">
        <v>12729</v>
      </c>
      <c r="X115" s="13"/>
      <c r="Y115" s="13"/>
    </row>
    <row r="116" spans="2:25" hidden="1" outlineLevel="1" x14ac:dyDescent="0.25">
      <c r="B116" s="328">
        <v>41306</v>
      </c>
      <c r="C116" s="331"/>
      <c r="D116" s="331"/>
      <c r="E116" s="331"/>
      <c r="F116" s="331"/>
      <c r="G116" s="331"/>
      <c r="H116" s="331"/>
      <c r="I116" s="331">
        <v>1668</v>
      </c>
      <c r="J116" s="331">
        <v>586</v>
      </c>
      <c r="K116" s="331">
        <v>2254</v>
      </c>
      <c r="L116" s="331">
        <v>961</v>
      </c>
      <c r="M116" s="331">
        <v>364</v>
      </c>
      <c r="N116" s="331">
        <v>1325</v>
      </c>
      <c r="O116" s="331">
        <v>2969</v>
      </c>
      <c r="P116" s="331">
        <v>2589</v>
      </c>
      <c r="Q116" s="331">
        <v>5558</v>
      </c>
      <c r="R116" s="331">
        <v>258</v>
      </c>
      <c r="S116" s="331">
        <v>226</v>
      </c>
      <c r="T116" s="331">
        <v>484</v>
      </c>
      <c r="U116" s="329">
        <v>5856</v>
      </c>
      <c r="V116" s="329">
        <v>3765</v>
      </c>
      <c r="W116" s="329">
        <v>9621</v>
      </c>
      <c r="X116" s="13"/>
      <c r="Y116" s="13"/>
    </row>
    <row r="117" spans="2:25" hidden="1" outlineLevel="1" x14ac:dyDescent="0.25">
      <c r="B117" s="328">
        <v>41334</v>
      </c>
      <c r="C117" s="331"/>
      <c r="D117" s="331"/>
      <c r="E117" s="331"/>
      <c r="F117" s="331"/>
      <c r="G117" s="331"/>
      <c r="H117" s="331"/>
      <c r="I117" s="331">
        <v>1858</v>
      </c>
      <c r="J117" s="331">
        <v>555</v>
      </c>
      <c r="K117" s="331">
        <v>2413</v>
      </c>
      <c r="L117" s="331">
        <v>1153</v>
      </c>
      <c r="M117" s="331">
        <v>430</v>
      </c>
      <c r="N117" s="331">
        <v>1583</v>
      </c>
      <c r="O117" s="331">
        <v>3053</v>
      </c>
      <c r="P117" s="331">
        <v>2504</v>
      </c>
      <c r="Q117" s="331">
        <v>5557</v>
      </c>
      <c r="R117" s="331">
        <v>345</v>
      </c>
      <c r="S117" s="331">
        <v>261</v>
      </c>
      <c r="T117" s="331">
        <v>606</v>
      </c>
      <c r="U117" s="329">
        <v>6409</v>
      </c>
      <c r="V117" s="329">
        <v>3750</v>
      </c>
      <c r="W117" s="329">
        <v>10159</v>
      </c>
      <c r="X117" s="13"/>
      <c r="Y117" s="13"/>
    </row>
    <row r="118" spans="2:25" hidden="1" outlineLevel="1" x14ac:dyDescent="0.25">
      <c r="B118" s="328">
        <v>41365</v>
      </c>
      <c r="C118" s="331"/>
      <c r="D118" s="331"/>
      <c r="E118" s="331"/>
      <c r="F118" s="331"/>
      <c r="G118" s="331"/>
      <c r="H118" s="331"/>
      <c r="I118" s="331">
        <v>1841</v>
      </c>
      <c r="J118" s="331">
        <v>607</v>
      </c>
      <c r="K118" s="331">
        <v>2448</v>
      </c>
      <c r="L118" s="331">
        <v>1262</v>
      </c>
      <c r="M118" s="331">
        <v>410</v>
      </c>
      <c r="N118" s="331">
        <v>1672</v>
      </c>
      <c r="O118" s="331">
        <v>2990</v>
      </c>
      <c r="P118" s="331">
        <v>2901</v>
      </c>
      <c r="Q118" s="331">
        <v>5891</v>
      </c>
      <c r="R118" s="331">
        <v>370</v>
      </c>
      <c r="S118" s="331">
        <v>254</v>
      </c>
      <c r="T118" s="331">
        <v>624</v>
      </c>
      <c r="U118" s="329">
        <v>6463</v>
      </c>
      <c r="V118" s="329">
        <v>4172</v>
      </c>
      <c r="W118" s="329">
        <v>10635</v>
      </c>
      <c r="X118" s="13"/>
      <c r="Y118" s="13"/>
    </row>
    <row r="119" spans="2:25" hidden="1" outlineLevel="1" x14ac:dyDescent="0.25">
      <c r="B119" s="328">
        <v>41395</v>
      </c>
      <c r="C119" s="331"/>
      <c r="D119" s="331"/>
      <c r="E119" s="331"/>
      <c r="F119" s="331"/>
      <c r="G119" s="331"/>
      <c r="H119" s="331"/>
      <c r="I119" s="331">
        <v>1696</v>
      </c>
      <c r="J119" s="331">
        <v>590</v>
      </c>
      <c r="K119" s="331">
        <v>2286</v>
      </c>
      <c r="L119" s="331">
        <v>1041</v>
      </c>
      <c r="M119" s="331">
        <v>376</v>
      </c>
      <c r="N119" s="331">
        <v>1417</v>
      </c>
      <c r="O119" s="331">
        <v>2793</v>
      </c>
      <c r="P119" s="331">
        <v>3316</v>
      </c>
      <c r="Q119" s="331">
        <v>6109</v>
      </c>
      <c r="R119" s="331">
        <v>338</v>
      </c>
      <c r="S119" s="331">
        <v>264</v>
      </c>
      <c r="T119" s="331">
        <v>602</v>
      </c>
      <c r="U119" s="329">
        <v>5868</v>
      </c>
      <c r="V119" s="329">
        <v>4546</v>
      </c>
      <c r="W119" s="329">
        <v>10414</v>
      </c>
      <c r="X119" s="13"/>
      <c r="Y119" s="13"/>
    </row>
    <row r="120" spans="2:25" hidden="1" outlineLevel="1" x14ac:dyDescent="0.25">
      <c r="B120" s="328">
        <v>41426</v>
      </c>
      <c r="C120" s="331"/>
      <c r="D120" s="331"/>
      <c r="E120" s="331"/>
      <c r="F120" s="331"/>
      <c r="G120" s="331"/>
      <c r="H120" s="331"/>
      <c r="I120" s="331">
        <v>1831</v>
      </c>
      <c r="J120" s="331">
        <v>574</v>
      </c>
      <c r="K120" s="331">
        <v>2405</v>
      </c>
      <c r="L120" s="331">
        <v>1073</v>
      </c>
      <c r="M120" s="331">
        <v>386</v>
      </c>
      <c r="N120" s="331">
        <v>1459</v>
      </c>
      <c r="O120" s="331">
        <v>3093</v>
      </c>
      <c r="P120" s="331">
        <v>3102</v>
      </c>
      <c r="Q120" s="331">
        <v>6195</v>
      </c>
      <c r="R120" s="331">
        <v>354</v>
      </c>
      <c r="S120" s="331">
        <v>265</v>
      </c>
      <c r="T120" s="331">
        <v>619</v>
      </c>
      <c r="U120" s="329">
        <v>6351</v>
      </c>
      <c r="V120" s="329">
        <v>4327</v>
      </c>
      <c r="W120" s="329">
        <v>10678</v>
      </c>
      <c r="X120" s="13"/>
      <c r="Y120" s="13"/>
    </row>
    <row r="121" spans="2:25" hidden="1" outlineLevel="1" x14ac:dyDescent="0.25">
      <c r="B121" s="328">
        <v>41456</v>
      </c>
      <c r="C121" s="331"/>
      <c r="D121" s="331"/>
      <c r="E121" s="331"/>
      <c r="F121" s="331"/>
      <c r="G121" s="331"/>
      <c r="H121" s="331"/>
      <c r="I121" s="331">
        <v>2063</v>
      </c>
      <c r="J121" s="331">
        <v>631</v>
      </c>
      <c r="K121" s="331">
        <v>2694</v>
      </c>
      <c r="L121" s="331">
        <v>1047</v>
      </c>
      <c r="M121" s="331">
        <v>383</v>
      </c>
      <c r="N121" s="331">
        <v>1430</v>
      </c>
      <c r="O121" s="331">
        <v>2950</v>
      </c>
      <c r="P121" s="331">
        <v>2813</v>
      </c>
      <c r="Q121" s="331">
        <v>5763</v>
      </c>
      <c r="R121" s="331">
        <v>344</v>
      </c>
      <c r="S121" s="331">
        <v>269</v>
      </c>
      <c r="T121" s="331">
        <v>613</v>
      </c>
      <c r="U121" s="329">
        <v>6404</v>
      </c>
      <c r="V121" s="329">
        <v>4096</v>
      </c>
      <c r="W121" s="329">
        <v>10500</v>
      </c>
      <c r="X121" s="13"/>
      <c r="Y121" s="13"/>
    </row>
    <row r="122" spans="2:25" hidden="1" outlineLevel="1" x14ac:dyDescent="0.25">
      <c r="B122" s="328">
        <v>41487</v>
      </c>
      <c r="C122" s="331"/>
      <c r="D122" s="331"/>
      <c r="E122" s="331"/>
      <c r="F122" s="331"/>
      <c r="G122" s="331"/>
      <c r="H122" s="331"/>
      <c r="I122" s="331">
        <v>2226</v>
      </c>
      <c r="J122" s="331">
        <v>739</v>
      </c>
      <c r="K122" s="331">
        <v>2965</v>
      </c>
      <c r="L122" s="331">
        <v>1122</v>
      </c>
      <c r="M122" s="331">
        <v>361</v>
      </c>
      <c r="N122" s="331">
        <v>1483</v>
      </c>
      <c r="O122" s="331">
        <v>3812</v>
      </c>
      <c r="P122" s="331">
        <v>3238</v>
      </c>
      <c r="Q122" s="331">
        <v>7050</v>
      </c>
      <c r="R122" s="331">
        <v>427</v>
      </c>
      <c r="S122" s="331">
        <v>317</v>
      </c>
      <c r="T122" s="331">
        <v>744</v>
      </c>
      <c r="U122" s="329">
        <v>7587</v>
      </c>
      <c r="V122" s="329">
        <v>4655</v>
      </c>
      <c r="W122" s="329">
        <v>12242</v>
      </c>
      <c r="X122" s="13"/>
      <c r="Y122" s="13"/>
    </row>
    <row r="123" spans="2:25" hidden="1" outlineLevel="1" x14ac:dyDescent="0.25">
      <c r="B123" s="328">
        <v>41518</v>
      </c>
      <c r="C123" s="331"/>
      <c r="D123" s="331"/>
      <c r="E123" s="331"/>
      <c r="F123" s="331"/>
      <c r="G123" s="331"/>
      <c r="H123" s="331"/>
      <c r="I123" s="331">
        <v>2253</v>
      </c>
      <c r="J123" s="331">
        <v>684</v>
      </c>
      <c r="K123" s="331">
        <v>2937</v>
      </c>
      <c r="L123" s="331">
        <v>889</v>
      </c>
      <c r="M123" s="331">
        <v>304</v>
      </c>
      <c r="N123" s="331">
        <v>1193</v>
      </c>
      <c r="O123" s="331">
        <v>3370</v>
      </c>
      <c r="P123" s="331">
        <v>2971</v>
      </c>
      <c r="Q123" s="331">
        <v>6341</v>
      </c>
      <c r="R123" s="331">
        <v>308</v>
      </c>
      <c r="S123" s="331">
        <v>252</v>
      </c>
      <c r="T123" s="331">
        <v>560</v>
      </c>
      <c r="U123" s="329">
        <v>6820</v>
      </c>
      <c r="V123" s="329">
        <v>4211</v>
      </c>
      <c r="W123" s="329">
        <v>11031</v>
      </c>
      <c r="X123" s="13"/>
      <c r="Y123" s="13"/>
    </row>
    <row r="124" spans="2:25" hidden="1" outlineLevel="1" x14ac:dyDescent="0.25">
      <c r="B124" s="328">
        <v>41548</v>
      </c>
      <c r="C124" s="331"/>
      <c r="D124" s="331"/>
      <c r="E124" s="331"/>
      <c r="F124" s="331"/>
      <c r="G124" s="331"/>
      <c r="H124" s="331"/>
      <c r="I124" s="331">
        <v>2620</v>
      </c>
      <c r="J124" s="331">
        <v>724</v>
      </c>
      <c r="K124" s="331">
        <v>3344</v>
      </c>
      <c r="L124" s="331">
        <v>1042</v>
      </c>
      <c r="M124" s="331">
        <v>399</v>
      </c>
      <c r="N124" s="331">
        <v>1441</v>
      </c>
      <c r="O124" s="331">
        <v>4408</v>
      </c>
      <c r="P124" s="331">
        <v>3709</v>
      </c>
      <c r="Q124" s="331">
        <v>8117</v>
      </c>
      <c r="R124" s="331">
        <v>415</v>
      </c>
      <c r="S124" s="331">
        <v>294</v>
      </c>
      <c r="T124" s="331">
        <v>709</v>
      </c>
      <c r="U124" s="329">
        <v>8485</v>
      </c>
      <c r="V124" s="329">
        <v>5126</v>
      </c>
      <c r="W124" s="329">
        <v>13611</v>
      </c>
      <c r="X124" s="13"/>
      <c r="Y124" s="13"/>
    </row>
    <row r="125" spans="2:25" hidden="1" outlineLevel="1" x14ac:dyDescent="0.25">
      <c r="B125" s="328">
        <v>41579</v>
      </c>
      <c r="C125" s="331"/>
      <c r="D125" s="331"/>
      <c r="E125" s="331"/>
      <c r="F125" s="331"/>
      <c r="G125" s="331"/>
      <c r="H125" s="331"/>
      <c r="I125" s="331">
        <v>1729</v>
      </c>
      <c r="J125" s="331">
        <v>462</v>
      </c>
      <c r="K125" s="331">
        <v>2191</v>
      </c>
      <c r="L125" s="331">
        <v>613</v>
      </c>
      <c r="M125" s="331">
        <v>258</v>
      </c>
      <c r="N125" s="331">
        <v>871</v>
      </c>
      <c r="O125" s="331">
        <v>2742</v>
      </c>
      <c r="P125" s="331">
        <v>2398</v>
      </c>
      <c r="Q125" s="331">
        <v>5140</v>
      </c>
      <c r="R125" s="331">
        <v>280</v>
      </c>
      <c r="S125" s="331">
        <v>206</v>
      </c>
      <c r="T125" s="331">
        <v>486</v>
      </c>
      <c r="U125" s="329">
        <v>5364</v>
      </c>
      <c r="V125" s="329">
        <v>3324</v>
      </c>
      <c r="W125" s="329">
        <v>8688</v>
      </c>
      <c r="X125" s="13"/>
      <c r="Y125" s="13"/>
    </row>
    <row r="126" spans="2:25" hidden="1" outlineLevel="1" x14ac:dyDescent="0.25">
      <c r="B126" s="328">
        <v>41609</v>
      </c>
      <c r="C126" s="331"/>
      <c r="D126" s="331"/>
      <c r="E126" s="331"/>
      <c r="F126" s="331"/>
      <c r="G126" s="331"/>
      <c r="H126" s="331"/>
      <c r="I126" s="331">
        <v>2976</v>
      </c>
      <c r="J126" s="331">
        <v>847</v>
      </c>
      <c r="K126" s="331">
        <v>3823</v>
      </c>
      <c r="L126" s="331">
        <v>1141</v>
      </c>
      <c r="M126" s="331">
        <v>483</v>
      </c>
      <c r="N126" s="331">
        <v>1624</v>
      </c>
      <c r="O126" s="331">
        <v>4145</v>
      </c>
      <c r="P126" s="331">
        <v>3556</v>
      </c>
      <c r="Q126" s="331">
        <v>7701</v>
      </c>
      <c r="R126" s="331">
        <v>359</v>
      </c>
      <c r="S126" s="331">
        <v>279</v>
      </c>
      <c r="T126" s="331">
        <v>638</v>
      </c>
      <c r="U126" s="329">
        <v>8621</v>
      </c>
      <c r="V126" s="329">
        <v>5165</v>
      </c>
      <c r="W126" s="329">
        <v>13786</v>
      </c>
      <c r="X126" s="13"/>
      <c r="Y126" s="13"/>
    </row>
    <row r="127" spans="2:25" collapsed="1" x14ac:dyDescent="0.25">
      <c r="B127" s="330" t="s">
        <v>695</v>
      </c>
      <c r="C127" s="329" t="s">
        <v>781</v>
      </c>
      <c r="D127" s="329" t="s">
        <v>781</v>
      </c>
      <c r="E127" s="329" t="s">
        <v>781</v>
      </c>
      <c r="F127" s="329" t="s">
        <v>781</v>
      </c>
      <c r="G127" s="329" t="s">
        <v>781</v>
      </c>
      <c r="H127" s="329" t="s">
        <v>781</v>
      </c>
      <c r="I127" s="329">
        <v>2086</v>
      </c>
      <c r="J127" s="329">
        <v>645</v>
      </c>
      <c r="K127" s="329">
        <v>2731</v>
      </c>
      <c r="L127" s="329">
        <v>1036</v>
      </c>
      <c r="M127" s="329">
        <v>384</v>
      </c>
      <c r="N127" s="329">
        <v>1419</v>
      </c>
      <c r="O127" s="329">
        <v>3374</v>
      </c>
      <c r="P127" s="329">
        <v>3042</v>
      </c>
      <c r="Q127" s="329">
        <v>6416</v>
      </c>
      <c r="R127" s="329">
        <v>345</v>
      </c>
      <c r="S127" s="329">
        <v>263</v>
      </c>
      <c r="T127" s="329">
        <v>608</v>
      </c>
      <c r="U127" s="329">
        <v>6841</v>
      </c>
      <c r="V127" s="329">
        <v>4334</v>
      </c>
      <c r="W127" s="329">
        <v>11175</v>
      </c>
      <c r="X127" s="13"/>
      <c r="Y127" s="13"/>
    </row>
    <row r="128" spans="2:25" hidden="1" outlineLevel="1" x14ac:dyDescent="0.25">
      <c r="B128" s="328">
        <v>41640</v>
      </c>
      <c r="C128" s="331"/>
      <c r="D128" s="331"/>
      <c r="E128" s="331"/>
      <c r="F128" s="331"/>
      <c r="G128" s="331"/>
      <c r="H128" s="331"/>
      <c r="I128" s="331">
        <v>2580</v>
      </c>
      <c r="J128" s="331">
        <v>788</v>
      </c>
      <c r="K128" s="331">
        <v>3368</v>
      </c>
      <c r="L128" s="331">
        <v>1017</v>
      </c>
      <c r="M128" s="331">
        <v>364</v>
      </c>
      <c r="N128" s="331">
        <v>1381</v>
      </c>
      <c r="O128" s="331">
        <v>3802</v>
      </c>
      <c r="P128" s="331">
        <v>3343</v>
      </c>
      <c r="Q128" s="331">
        <v>7145</v>
      </c>
      <c r="R128" s="331">
        <v>376</v>
      </c>
      <c r="S128" s="331">
        <v>275</v>
      </c>
      <c r="T128" s="331">
        <v>651</v>
      </c>
      <c r="U128" s="329">
        <v>7775</v>
      </c>
      <c r="V128" s="329">
        <v>4770</v>
      </c>
      <c r="W128" s="329">
        <v>12545</v>
      </c>
      <c r="X128" s="13"/>
      <c r="Y128" s="13"/>
    </row>
    <row r="129" spans="2:25" hidden="1" outlineLevel="1" x14ac:dyDescent="0.25">
      <c r="B129" s="328">
        <v>41671</v>
      </c>
      <c r="C129" s="331"/>
      <c r="D129" s="331"/>
      <c r="E129" s="331"/>
      <c r="F129" s="331"/>
      <c r="G129" s="331"/>
      <c r="H129" s="331"/>
      <c r="I129" s="331">
        <v>2317</v>
      </c>
      <c r="J129" s="331">
        <v>679</v>
      </c>
      <c r="K129" s="331">
        <v>2996</v>
      </c>
      <c r="L129" s="331">
        <v>857</v>
      </c>
      <c r="M129" s="331">
        <v>332</v>
      </c>
      <c r="N129" s="331">
        <v>1189</v>
      </c>
      <c r="O129" s="331">
        <v>3154</v>
      </c>
      <c r="P129" s="331">
        <v>2831</v>
      </c>
      <c r="Q129" s="331">
        <v>5985</v>
      </c>
      <c r="R129" s="331">
        <v>270</v>
      </c>
      <c r="S129" s="331">
        <v>212</v>
      </c>
      <c r="T129" s="331">
        <v>482</v>
      </c>
      <c r="U129" s="329">
        <v>6598</v>
      </c>
      <c r="V129" s="329">
        <v>4054</v>
      </c>
      <c r="W129" s="329">
        <v>10652</v>
      </c>
      <c r="X129" s="13"/>
      <c r="Y129" s="13"/>
    </row>
    <row r="130" spans="2:25" hidden="1" outlineLevel="1" x14ac:dyDescent="0.25">
      <c r="B130" s="328">
        <v>41699</v>
      </c>
      <c r="C130" s="331"/>
      <c r="D130" s="331"/>
      <c r="E130" s="331"/>
      <c r="F130" s="331"/>
      <c r="G130" s="331"/>
      <c r="H130" s="331"/>
      <c r="I130" s="331">
        <v>2931</v>
      </c>
      <c r="J130" s="331">
        <v>812</v>
      </c>
      <c r="K130" s="331">
        <v>3743</v>
      </c>
      <c r="L130" s="331">
        <v>1146</v>
      </c>
      <c r="M130" s="331">
        <v>448</v>
      </c>
      <c r="N130" s="331">
        <v>1594</v>
      </c>
      <c r="O130" s="331">
        <v>3611</v>
      </c>
      <c r="P130" s="331">
        <v>3272</v>
      </c>
      <c r="Q130" s="331">
        <v>6883</v>
      </c>
      <c r="R130" s="331">
        <v>401</v>
      </c>
      <c r="S130" s="331">
        <v>251</v>
      </c>
      <c r="T130" s="331">
        <v>652</v>
      </c>
      <c r="U130" s="329">
        <v>8089</v>
      </c>
      <c r="V130" s="329">
        <v>4783</v>
      </c>
      <c r="W130" s="329">
        <v>12872</v>
      </c>
      <c r="X130" s="13"/>
      <c r="Y130" s="13"/>
    </row>
    <row r="131" spans="2:25" hidden="1" outlineLevel="1" x14ac:dyDescent="0.25">
      <c r="B131" s="328">
        <v>41730</v>
      </c>
      <c r="C131" s="331"/>
      <c r="D131" s="331"/>
      <c r="E131" s="331"/>
      <c r="F131" s="331"/>
      <c r="G131" s="331"/>
      <c r="H131" s="331"/>
      <c r="I131" s="331">
        <v>2505</v>
      </c>
      <c r="J131" s="331">
        <v>725</v>
      </c>
      <c r="K131" s="331">
        <v>3230</v>
      </c>
      <c r="L131" s="331">
        <v>1060</v>
      </c>
      <c r="M131" s="331">
        <v>385</v>
      </c>
      <c r="N131" s="331">
        <v>1445</v>
      </c>
      <c r="O131" s="331">
        <v>3350</v>
      </c>
      <c r="P131" s="331">
        <v>3131</v>
      </c>
      <c r="Q131" s="331">
        <v>6481</v>
      </c>
      <c r="R131" s="331">
        <v>374</v>
      </c>
      <c r="S131" s="331">
        <v>281</v>
      </c>
      <c r="T131" s="331">
        <v>655</v>
      </c>
      <c r="U131" s="329">
        <v>7289</v>
      </c>
      <c r="V131" s="329">
        <v>4522</v>
      </c>
      <c r="W131" s="329">
        <v>11811</v>
      </c>
      <c r="X131" s="13"/>
      <c r="Y131" s="13"/>
    </row>
    <row r="132" spans="2:25" hidden="1" outlineLevel="1" x14ac:dyDescent="0.25">
      <c r="B132" s="328">
        <v>41760</v>
      </c>
      <c r="C132" s="331"/>
      <c r="D132" s="331"/>
      <c r="E132" s="331"/>
      <c r="F132" s="331"/>
      <c r="G132" s="331"/>
      <c r="H132" s="331"/>
      <c r="I132" s="331">
        <v>2926</v>
      </c>
      <c r="J132" s="331">
        <v>810</v>
      </c>
      <c r="K132" s="331">
        <v>3736</v>
      </c>
      <c r="L132" s="331">
        <v>1085</v>
      </c>
      <c r="M132" s="331">
        <v>388</v>
      </c>
      <c r="N132" s="331">
        <v>1473</v>
      </c>
      <c r="O132" s="331">
        <v>4099</v>
      </c>
      <c r="P132" s="331">
        <v>4962</v>
      </c>
      <c r="Q132" s="331">
        <v>9061</v>
      </c>
      <c r="R132" s="331">
        <v>317</v>
      </c>
      <c r="S132" s="331">
        <v>244</v>
      </c>
      <c r="T132" s="331">
        <v>561</v>
      </c>
      <c r="U132" s="329">
        <v>8427</v>
      </c>
      <c r="V132" s="329">
        <v>6404</v>
      </c>
      <c r="W132" s="329">
        <v>14831</v>
      </c>
      <c r="X132" s="13"/>
      <c r="Y132" s="13"/>
    </row>
    <row r="133" spans="2:25" hidden="1" outlineLevel="1" x14ac:dyDescent="0.25">
      <c r="B133" s="328">
        <v>41791</v>
      </c>
      <c r="C133" s="331"/>
      <c r="D133" s="331"/>
      <c r="E133" s="331"/>
      <c r="F133" s="331"/>
      <c r="G133" s="331"/>
      <c r="H133" s="331"/>
      <c r="I133" s="331">
        <v>2407</v>
      </c>
      <c r="J133" s="331">
        <v>732</v>
      </c>
      <c r="K133" s="331">
        <v>3139</v>
      </c>
      <c r="L133" s="331">
        <v>992</v>
      </c>
      <c r="M133" s="331">
        <v>417</v>
      </c>
      <c r="N133" s="331">
        <v>1409</v>
      </c>
      <c r="O133" s="331">
        <v>3674</v>
      </c>
      <c r="P133" s="331">
        <v>3815</v>
      </c>
      <c r="Q133" s="331">
        <v>7489</v>
      </c>
      <c r="R133" s="331">
        <v>278</v>
      </c>
      <c r="S133" s="331">
        <v>220</v>
      </c>
      <c r="T133" s="331">
        <v>498</v>
      </c>
      <c r="U133" s="329">
        <v>7351</v>
      </c>
      <c r="V133" s="329">
        <v>5184</v>
      </c>
      <c r="W133" s="329">
        <v>12535</v>
      </c>
      <c r="X133" s="13"/>
      <c r="Y133" s="13"/>
    </row>
    <row r="134" spans="2:25" hidden="1" outlineLevel="1" x14ac:dyDescent="0.25">
      <c r="B134" s="328">
        <v>41821</v>
      </c>
      <c r="C134" s="331"/>
      <c r="D134" s="331"/>
      <c r="E134" s="331"/>
      <c r="F134" s="331"/>
      <c r="G134" s="331"/>
      <c r="H134" s="331"/>
      <c r="I134" s="331">
        <v>2472</v>
      </c>
      <c r="J134" s="331">
        <v>702</v>
      </c>
      <c r="K134" s="331">
        <v>3174</v>
      </c>
      <c r="L134" s="331">
        <v>1127</v>
      </c>
      <c r="M134" s="331">
        <v>430</v>
      </c>
      <c r="N134" s="331">
        <v>1557</v>
      </c>
      <c r="O134" s="331">
        <v>4002</v>
      </c>
      <c r="P134" s="331">
        <v>3469</v>
      </c>
      <c r="Q134" s="331">
        <v>7471</v>
      </c>
      <c r="R134" s="331">
        <v>262</v>
      </c>
      <c r="S134" s="331">
        <v>210</v>
      </c>
      <c r="T134" s="331">
        <v>472</v>
      </c>
      <c r="U134" s="329">
        <v>7863</v>
      </c>
      <c r="V134" s="329">
        <v>4811</v>
      </c>
      <c r="W134" s="329">
        <v>12674</v>
      </c>
      <c r="X134" s="13"/>
      <c r="Y134" s="13"/>
    </row>
    <row r="135" spans="2:25" hidden="1" outlineLevel="1" x14ac:dyDescent="0.25">
      <c r="B135" s="328">
        <v>41852</v>
      </c>
      <c r="C135" s="331"/>
      <c r="D135" s="331"/>
      <c r="E135" s="331"/>
      <c r="F135" s="331"/>
      <c r="G135" s="331"/>
      <c r="H135" s="331"/>
      <c r="I135" s="331">
        <v>2753</v>
      </c>
      <c r="J135" s="331">
        <v>852</v>
      </c>
      <c r="K135" s="331">
        <v>3605</v>
      </c>
      <c r="L135" s="331">
        <v>1159</v>
      </c>
      <c r="M135" s="331">
        <v>472</v>
      </c>
      <c r="N135" s="331">
        <v>1631</v>
      </c>
      <c r="O135" s="331">
        <v>4299</v>
      </c>
      <c r="P135" s="331">
        <v>3703</v>
      </c>
      <c r="Q135" s="331">
        <v>8002</v>
      </c>
      <c r="R135" s="331">
        <v>265</v>
      </c>
      <c r="S135" s="331">
        <v>231</v>
      </c>
      <c r="T135" s="331">
        <v>496</v>
      </c>
      <c r="U135" s="329">
        <v>8476</v>
      </c>
      <c r="V135" s="329">
        <v>5258</v>
      </c>
      <c r="W135" s="329">
        <v>13734</v>
      </c>
      <c r="X135" s="13"/>
      <c r="Y135" s="13"/>
    </row>
    <row r="136" spans="2:25" hidden="1" outlineLevel="1" x14ac:dyDescent="0.25">
      <c r="B136" s="328">
        <v>41883</v>
      </c>
      <c r="C136" s="331"/>
      <c r="D136" s="331"/>
      <c r="E136" s="331"/>
      <c r="F136" s="331"/>
      <c r="G136" s="331"/>
      <c r="H136" s="331"/>
      <c r="I136" s="331">
        <v>2419</v>
      </c>
      <c r="J136" s="331">
        <v>747</v>
      </c>
      <c r="K136" s="331">
        <v>3166</v>
      </c>
      <c r="L136" s="331">
        <v>946</v>
      </c>
      <c r="M136" s="331">
        <v>452</v>
      </c>
      <c r="N136" s="331">
        <v>1398</v>
      </c>
      <c r="O136" s="331">
        <v>4095</v>
      </c>
      <c r="P136" s="331">
        <v>3449</v>
      </c>
      <c r="Q136" s="331">
        <v>7544</v>
      </c>
      <c r="R136" s="331">
        <v>206</v>
      </c>
      <c r="S136" s="331">
        <v>187</v>
      </c>
      <c r="T136" s="331">
        <v>393</v>
      </c>
      <c r="U136" s="329">
        <v>7666</v>
      </c>
      <c r="V136" s="329">
        <v>4835</v>
      </c>
      <c r="W136" s="329">
        <v>12501</v>
      </c>
      <c r="X136" s="13"/>
      <c r="Y136" s="13"/>
    </row>
    <row r="137" spans="2:25" hidden="1" outlineLevel="1" x14ac:dyDescent="0.25">
      <c r="B137" s="328">
        <v>41913</v>
      </c>
      <c r="C137" s="331"/>
      <c r="D137" s="331"/>
      <c r="E137" s="331"/>
      <c r="F137" s="331"/>
      <c r="G137" s="331"/>
      <c r="H137" s="331"/>
      <c r="I137" s="331">
        <v>2676</v>
      </c>
      <c r="J137" s="331">
        <v>799</v>
      </c>
      <c r="K137" s="331">
        <v>3475</v>
      </c>
      <c r="L137" s="331">
        <v>1213</v>
      </c>
      <c r="M137" s="331">
        <v>468</v>
      </c>
      <c r="N137" s="331">
        <v>1681</v>
      </c>
      <c r="O137" s="331">
        <v>4844</v>
      </c>
      <c r="P137" s="331">
        <v>4049</v>
      </c>
      <c r="Q137" s="331">
        <v>8893</v>
      </c>
      <c r="R137" s="331">
        <v>243</v>
      </c>
      <c r="S137" s="331">
        <v>185</v>
      </c>
      <c r="T137" s="331">
        <v>428</v>
      </c>
      <c r="U137" s="329">
        <v>8976</v>
      </c>
      <c r="V137" s="329">
        <v>5501</v>
      </c>
      <c r="W137" s="329">
        <v>14477</v>
      </c>
      <c r="X137" s="13"/>
      <c r="Y137" s="13"/>
    </row>
    <row r="138" spans="2:25" hidden="1" outlineLevel="1" x14ac:dyDescent="0.25">
      <c r="B138" s="328">
        <v>41944</v>
      </c>
      <c r="C138" s="331"/>
      <c r="D138" s="331"/>
      <c r="E138" s="331"/>
      <c r="F138" s="331"/>
      <c r="G138" s="331"/>
      <c r="H138" s="331"/>
      <c r="I138" s="331">
        <v>2302</v>
      </c>
      <c r="J138" s="331">
        <v>716</v>
      </c>
      <c r="K138" s="331">
        <v>3018</v>
      </c>
      <c r="L138" s="331">
        <v>1053</v>
      </c>
      <c r="M138" s="331">
        <v>444</v>
      </c>
      <c r="N138" s="331">
        <v>1497</v>
      </c>
      <c r="O138" s="331">
        <v>4210</v>
      </c>
      <c r="P138" s="331">
        <v>3303</v>
      </c>
      <c r="Q138" s="331">
        <v>7513</v>
      </c>
      <c r="R138" s="331">
        <v>232</v>
      </c>
      <c r="S138" s="331">
        <v>172</v>
      </c>
      <c r="T138" s="331">
        <v>404</v>
      </c>
      <c r="U138" s="329">
        <v>7797</v>
      </c>
      <c r="V138" s="329">
        <v>4635</v>
      </c>
      <c r="W138" s="329">
        <v>12432</v>
      </c>
      <c r="X138" s="13"/>
      <c r="Y138" s="13"/>
    </row>
    <row r="139" spans="2:25" hidden="1" outlineLevel="1" x14ac:dyDescent="0.25">
      <c r="B139" s="328">
        <v>41974</v>
      </c>
      <c r="C139" s="331"/>
      <c r="D139" s="331"/>
      <c r="E139" s="331"/>
      <c r="F139" s="331"/>
      <c r="G139" s="331"/>
      <c r="H139" s="331"/>
      <c r="I139" s="331">
        <v>2127</v>
      </c>
      <c r="J139" s="331">
        <v>616</v>
      </c>
      <c r="K139" s="331">
        <v>2743</v>
      </c>
      <c r="L139" s="331">
        <v>920</v>
      </c>
      <c r="M139" s="331">
        <v>398</v>
      </c>
      <c r="N139" s="331">
        <v>1318</v>
      </c>
      <c r="O139" s="331">
        <v>3312</v>
      </c>
      <c r="P139" s="331">
        <v>2766</v>
      </c>
      <c r="Q139" s="331">
        <v>6078</v>
      </c>
      <c r="R139" s="331">
        <v>192</v>
      </c>
      <c r="S139" s="331">
        <v>170</v>
      </c>
      <c r="T139" s="331">
        <v>362</v>
      </c>
      <c r="U139" s="329">
        <v>6551</v>
      </c>
      <c r="V139" s="329">
        <v>3950</v>
      </c>
      <c r="W139" s="329">
        <v>10501</v>
      </c>
      <c r="X139" s="13"/>
      <c r="Y139" s="13"/>
    </row>
    <row r="140" spans="2:25" collapsed="1" x14ac:dyDescent="0.25">
      <c r="B140" s="330" t="s">
        <v>696</v>
      </c>
      <c r="C140" s="329" t="s">
        <v>781</v>
      </c>
      <c r="D140" s="329" t="s">
        <v>781</v>
      </c>
      <c r="E140" s="329" t="s">
        <v>781</v>
      </c>
      <c r="F140" s="329" t="s">
        <v>781</v>
      </c>
      <c r="G140" s="329" t="s">
        <v>781</v>
      </c>
      <c r="H140" s="329" t="s">
        <v>781</v>
      </c>
      <c r="I140" s="329">
        <v>2535</v>
      </c>
      <c r="J140" s="329">
        <v>748</v>
      </c>
      <c r="K140" s="329">
        <v>3283</v>
      </c>
      <c r="L140" s="329">
        <v>1048</v>
      </c>
      <c r="M140" s="329">
        <v>417</v>
      </c>
      <c r="N140" s="329">
        <v>1464</v>
      </c>
      <c r="O140" s="329">
        <v>3871</v>
      </c>
      <c r="P140" s="329">
        <v>3508</v>
      </c>
      <c r="Q140" s="329">
        <v>7379</v>
      </c>
      <c r="R140" s="329">
        <v>285</v>
      </c>
      <c r="S140" s="329">
        <v>220</v>
      </c>
      <c r="T140" s="329">
        <v>505</v>
      </c>
      <c r="U140" s="329">
        <v>7738</v>
      </c>
      <c r="V140" s="329">
        <v>4892</v>
      </c>
      <c r="W140" s="329">
        <v>12630</v>
      </c>
      <c r="X140" s="13"/>
      <c r="Y140" s="13"/>
    </row>
    <row r="141" spans="2:25" hidden="1" outlineLevel="1" x14ac:dyDescent="0.25">
      <c r="B141" s="328">
        <v>42005</v>
      </c>
      <c r="C141" s="331"/>
      <c r="D141" s="331"/>
      <c r="E141" s="331"/>
      <c r="F141" s="331"/>
      <c r="G141" s="331"/>
      <c r="H141" s="331"/>
      <c r="I141" s="331">
        <v>2248</v>
      </c>
      <c r="J141" s="331">
        <v>658</v>
      </c>
      <c r="K141" s="331">
        <v>2906</v>
      </c>
      <c r="L141" s="331">
        <v>1048</v>
      </c>
      <c r="M141" s="331">
        <v>488</v>
      </c>
      <c r="N141" s="331">
        <v>1536</v>
      </c>
      <c r="O141" s="331">
        <v>3748</v>
      </c>
      <c r="P141" s="331">
        <v>2903</v>
      </c>
      <c r="Q141" s="331">
        <v>6651</v>
      </c>
      <c r="R141" s="331">
        <v>118</v>
      </c>
      <c r="S141" s="331">
        <v>99</v>
      </c>
      <c r="T141" s="331">
        <v>217</v>
      </c>
      <c r="U141" s="329">
        <v>7162</v>
      </c>
      <c r="V141" s="329">
        <v>4148</v>
      </c>
      <c r="W141" s="329">
        <v>11310</v>
      </c>
      <c r="X141" s="13"/>
      <c r="Y141" s="13"/>
    </row>
    <row r="142" spans="2:25" hidden="1" outlineLevel="1" x14ac:dyDescent="0.25">
      <c r="B142" s="328">
        <v>42036</v>
      </c>
      <c r="C142" s="331"/>
      <c r="D142" s="331"/>
      <c r="E142" s="331"/>
      <c r="F142" s="331"/>
      <c r="G142" s="331"/>
      <c r="H142" s="331"/>
      <c r="I142" s="331">
        <v>1952</v>
      </c>
      <c r="J142" s="331">
        <v>577</v>
      </c>
      <c r="K142" s="331">
        <v>2529</v>
      </c>
      <c r="L142" s="331">
        <v>973</v>
      </c>
      <c r="M142" s="331">
        <v>435</v>
      </c>
      <c r="N142" s="331">
        <v>1408</v>
      </c>
      <c r="O142" s="331">
        <v>3446</v>
      </c>
      <c r="P142" s="331">
        <v>2835</v>
      </c>
      <c r="Q142" s="331">
        <v>6281</v>
      </c>
      <c r="R142" s="331">
        <v>91</v>
      </c>
      <c r="S142" s="331">
        <v>85</v>
      </c>
      <c r="T142" s="331">
        <v>176</v>
      </c>
      <c r="U142" s="329">
        <v>6462</v>
      </c>
      <c r="V142" s="329">
        <v>3932</v>
      </c>
      <c r="W142" s="329">
        <v>10394</v>
      </c>
      <c r="X142" s="13"/>
      <c r="Y142" s="13"/>
    </row>
    <row r="143" spans="2:25" hidden="1" outlineLevel="1" x14ac:dyDescent="0.25">
      <c r="B143" s="328">
        <v>42064</v>
      </c>
      <c r="C143" s="331"/>
      <c r="D143" s="331"/>
      <c r="E143" s="331"/>
      <c r="F143" s="331"/>
      <c r="G143" s="331"/>
      <c r="H143" s="331"/>
      <c r="I143" s="331">
        <v>2210</v>
      </c>
      <c r="J143" s="331">
        <v>661</v>
      </c>
      <c r="K143" s="331">
        <v>2871</v>
      </c>
      <c r="L143" s="331">
        <v>1244</v>
      </c>
      <c r="M143" s="331">
        <v>539</v>
      </c>
      <c r="N143" s="331">
        <v>1783</v>
      </c>
      <c r="O143" s="331">
        <v>4189</v>
      </c>
      <c r="P143" s="331">
        <v>3504</v>
      </c>
      <c r="Q143" s="331">
        <v>7693</v>
      </c>
      <c r="R143" s="331">
        <v>115</v>
      </c>
      <c r="S143" s="331">
        <v>118</v>
      </c>
      <c r="T143" s="331">
        <v>233</v>
      </c>
      <c r="U143" s="329">
        <v>7758</v>
      </c>
      <c r="V143" s="329">
        <v>4822</v>
      </c>
      <c r="W143" s="329">
        <v>12580</v>
      </c>
      <c r="X143" s="13"/>
      <c r="Y143" s="13"/>
    </row>
    <row r="144" spans="2:25" hidden="1" outlineLevel="1" x14ac:dyDescent="0.25">
      <c r="B144" s="328">
        <v>42095</v>
      </c>
      <c r="C144" s="331"/>
      <c r="D144" s="331"/>
      <c r="E144" s="331"/>
      <c r="F144" s="331"/>
      <c r="G144" s="331"/>
      <c r="H144" s="331"/>
      <c r="I144" s="331">
        <v>1869</v>
      </c>
      <c r="J144" s="331">
        <v>569</v>
      </c>
      <c r="K144" s="331">
        <v>2438</v>
      </c>
      <c r="L144" s="331">
        <v>1039</v>
      </c>
      <c r="M144" s="331">
        <v>479</v>
      </c>
      <c r="N144" s="331">
        <v>1518</v>
      </c>
      <c r="O144" s="331">
        <v>3650</v>
      </c>
      <c r="P144" s="331">
        <v>2908</v>
      </c>
      <c r="Q144" s="331">
        <v>6558</v>
      </c>
      <c r="R144" s="331">
        <v>97</v>
      </c>
      <c r="S144" s="331">
        <v>93</v>
      </c>
      <c r="T144" s="331">
        <v>190</v>
      </c>
      <c r="U144" s="329">
        <v>6655</v>
      </c>
      <c r="V144" s="329">
        <v>4049</v>
      </c>
      <c r="W144" s="329">
        <v>10704</v>
      </c>
      <c r="X144" s="13"/>
      <c r="Y144" s="13"/>
    </row>
    <row r="145" spans="2:25" hidden="1" outlineLevel="1" x14ac:dyDescent="0.25">
      <c r="B145" s="328">
        <v>42125</v>
      </c>
      <c r="C145" s="331"/>
      <c r="D145" s="331"/>
      <c r="E145" s="331"/>
      <c r="F145" s="331"/>
      <c r="G145" s="331"/>
      <c r="H145" s="331"/>
      <c r="I145" s="331">
        <v>1688</v>
      </c>
      <c r="J145" s="331">
        <v>623</v>
      </c>
      <c r="K145" s="331">
        <v>2311</v>
      </c>
      <c r="L145" s="331">
        <v>957</v>
      </c>
      <c r="M145" s="331">
        <v>392</v>
      </c>
      <c r="N145" s="331">
        <v>1349</v>
      </c>
      <c r="O145" s="331">
        <v>4110</v>
      </c>
      <c r="P145" s="331">
        <v>4563</v>
      </c>
      <c r="Q145" s="331">
        <v>8673</v>
      </c>
      <c r="R145" s="331">
        <v>124</v>
      </c>
      <c r="S145" s="331">
        <v>112</v>
      </c>
      <c r="T145" s="331">
        <v>236</v>
      </c>
      <c r="U145" s="329">
        <v>6879</v>
      </c>
      <c r="V145" s="329">
        <v>5690</v>
      </c>
      <c r="W145" s="329">
        <v>12569</v>
      </c>
      <c r="X145" s="13"/>
      <c r="Y145" s="13"/>
    </row>
    <row r="146" spans="2:25" hidden="1" outlineLevel="1" x14ac:dyDescent="0.25">
      <c r="B146" s="328">
        <v>42156</v>
      </c>
      <c r="C146" s="331"/>
      <c r="D146" s="331"/>
      <c r="E146" s="331"/>
      <c r="F146" s="331"/>
      <c r="G146" s="331"/>
      <c r="H146" s="331"/>
      <c r="I146" s="331">
        <v>1828</v>
      </c>
      <c r="J146" s="331">
        <v>607</v>
      </c>
      <c r="K146" s="331">
        <v>2435</v>
      </c>
      <c r="L146" s="331">
        <v>1016</v>
      </c>
      <c r="M146" s="331">
        <v>450</v>
      </c>
      <c r="N146" s="331">
        <v>1466</v>
      </c>
      <c r="O146" s="331">
        <v>4111</v>
      </c>
      <c r="P146" s="331">
        <v>3707</v>
      </c>
      <c r="Q146" s="331">
        <v>7818</v>
      </c>
      <c r="R146" s="331">
        <v>111</v>
      </c>
      <c r="S146" s="331">
        <v>121</v>
      </c>
      <c r="T146" s="331">
        <v>232</v>
      </c>
      <c r="U146" s="329">
        <v>7066</v>
      </c>
      <c r="V146" s="329">
        <v>4885</v>
      </c>
      <c r="W146" s="329">
        <v>11951</v>
      </c>
      <c r="X146" s="13"/>
      <c r="Y146" s="13"/>
    </row>
    <row r="147" spans="2:25" hidden="1" outlineLevel="1" x14ac:dyDescent="0.25">
      <c r="B147" s="328">
        <v>42186</v>
      </c>
      <c r="C147" s="331"/>
      <c r="D147" s="331"/>
      <c r="E147" s="331"/>
      <c r="F147" s="331"/>
      <c r="G147" s="331"/>
      <c r="H147" s="331"/>
      <c r="I147" s="331">
        <v>2013</v>
      </c>
      <c r="J147" s="331">
        <v>701</v>
      </c>
      <c r="K147" s="331">
        <v>2714</v>
      </c>
      <c r="L147" s="331">
        <v>1101</v>
      </c>
      <c r="M147" s="331">
        <v>501</v>
      </c>
      <c r="N147" s="331">
        <v>1602</v>
      </c>
      <c r="O147" s="331">
        <v>4636</v>
      </c>
      <c r="P147" s="331">
        <v>3432</v>
      </c>
      <c r="Q147" s="331">
        <v>8068</v>
      </c>
      <c r="R147" s="331">
        <v>113</v>
      </c>
      <c r="S147" s="331">
        <v>100</v>
      </c>
      <c r="T147" s="331">
        <v>213</v>
      </c>
      <c r="U147" s="329">
        <v>7863</v>
      </c>
      <c r="V147" s="329">
        <v>4734</v>
      </c>
      <c r="W147" s="329">
        <v>12597</v>
      </c>
      <c r="X147" s="13"/>
      <c r="Y147" s="13"/>
    </row>
    <row r="148" spans="2:25" hidden="1" outlineLevel="1" x14ac:dyDescent="0.25">
      <c r="B148" s="328">
        <v>42217</v>
      </c>
      <c r="C148" s="331"/>
      <c r="D148" s="331"/>
      <c r="E148" s="331"/>
      <c r="F148" s="331"/>
      <c r="G148" s="331"/>
      <c r="H148" s="331"/>
      <c r="I148" s="331">
        <v>2029</v>
      </c>
      <c r="J148" s="331">
        <v>655</v>
      </c>
      <c r="K148" s="331">
        <v>2684</v>
      </c>
      <c r="L148" s="331">
        <v>1110</v>
      </c>
      <c r="M148" s="331">
        <v>484</v>
      </c>
      <c r="N148" s="331">
        <v>1594</v>
      </c>
      <c r="O148" s="331">
        <v>4311</v>
      </c>
      <c r="P148" s="331">
        <v>3346</v>
      </c>
      <c r="Q148" s="331">
        <v>7657</v>
      </c>
      <c r="R148" s="331">
        <v>108</v>
      </c>
      <c r="S148" s="331">
        <v>98</v>
      </c>
      <c r="T148" s="331">
        <v>206</v>
      </c>
      <c r="U148" s="329">
        <v>7558</v>
      </c>
      <c r="V148" s="329">
        <v>4583</v>
      </c>
      <c r="W148" s="329">
        <v>12141</v>
      </c>
      <c r="X148" s="13"/>
      <c r="Y148" s="13"/>
    </row>
    <row r="149" spans="2:25" hidden="1" outlineLevel="1" x14ac:dyDescent="0.25">
      <c r="B149" s="328">
        <v>42248</v>
      </c>
      <c r="C149" s="331"/>
      <c r="D149" s="331"/>
      <c r="E149" s="331"/>
      <c r="F149" s="331"/>
      <c r="G149" s="331"/>
      <c r="H149" s="331"/>
      <c r="I149" s="331">
        <v>1974</v>
      </c>
      <c r="J149" s="331">
        <v>627</v>
      </c>
      <c r="K149" s="331">
        <v>2601</v>
      </c>
      <c r="L149" s="331">
        <v>1090</v>
      </c>
      <c r="M149" s="331">
        <v>544</v>
      </c>
      <c r="N149" s="331">
        <v>1634</v>
      </c>
      <c r="O149" s="331">
        <v>4207</v>
      </c>
      <c r="P149" s="331">
        <v>3314</v>
      </c>
      <c r="Q149" s="331">
        <v>7521</v>
      </c>
      <c r="R149" s="331">
        <v>80</v>
      </c>
      <c r="S149" s="331">
        <v>84</v>
      </c>
      <c r="T149" s="331">
        <v>164</v>
      </c>
      <c r="U149" s="329">
        <v>7351</v>
      </c>
      <c r="V149" s="329">
        <v>4569</v>
      </c>
      <c r="W149" s="329">
        <v>11920</v>
      </c>
      <c r="X149" s="13"/>
      <c r="Y149" s="13"/>
    </row>
    <row r="150" spans="2:25" hidden="1" outlineLevel="1" x14ac:dyDescent="0.25">
      <c r="B150" s="328">
        <v>42278</v>
      </c>
      <c r="C150" s="331"/>
      <c r="D150" s="331"/>
      <c r="E150" s="331"/>
      <c r="F150" s="331"/>
      <c r="G150" s="331"/>
      <c r="H150" s="331"/>
      <c r="I150" s="331">
        <v>2054</v>
      </c>
      <c r="J150" s="331">
        <v>695</v>
      </c>
      <c r="K150" s="331">
        <v>2749</v>
      </c>
      <c r="L150" s="331">
        <v>1117</v>
      </c>
      <c r="M150" s="331">
        <v>461</v>
      </c>
      <c r="N150" s="331">
        <v>1578</v>
      </c>
      <c r="O150" s="331">
        <v>4266</v>
      </c>
      <c r="P150" s="331">
        <v>3236</v>
      </c>
      <c r="Q150" s="331">
        <v>7502</v>
      </c>
      <c r="R150" s="331">
        <v>114</v>
      </c>
      <c r="S150" s="331">
        <v>104</v>
      </c>
      <c r="T150" s="331">
        <v>218</v>
      </c>
      <c r="U150" s="329">
        <v>7551</v>
      </c>
      <c r="V150" s="329">
        <v>4496</v>
      </c>
      <c r="W150" s="329">
        <v>12047</v>
      </c>
      <c r="X150" s="13"/>
      <c r="Y150" s="13"/>
    </row>
    <row r="151" spans="2:25" hidden="1" outlineLevel="1" x14ac:dyDescent="0.25">
      <c r="B151" s="328">
        <v>42309</v>
      </c>
      <c r="C151" s="331"/>
      <c r="D151" s="331"/>
      <c r="E151" s="331"/>
      <c r="F151" s="331"/>
      <c r="G151" s="331"/>
      <c r="H151" s="331"/>
      <c r="I151" s="331">
        <v>1891</v>
      </c>
      <c r="J151" s="331">
        <v>691</v>
      </c>
      <c r="K151" s="331">
        <v>2582</v>
      </c>
      <c r="L151" s="331">
        <v>1141</v>
      </c>
      <c r="M151" s="331">
        <v>491</v>
      </c>
      <c r="N151" s="331">
        <v>1632</v>
      </c>
      <c r="O151" s="331">
        <v>4440</v>
      </c>
      <c r="P151" s="331">
        <v>3591</v>
      </c>
      <c r="Q151" s="331">
        <v>8031</v>
      </c>
      <c r="R151" s="331">
        <v>107</v>
      </c>
      <c r="S151" s="331">
        <v>112</v>
      </c>
      <c r="T151" s="331">
        <v>219</v>
      </c>
      <c r="U151" s="329">
        <v>7579</v>
      </c>
      <c r="V151" s="329">
        <v>4885</v>
      </c>
      <c r="W151" s="329">
        <v>12464</v>
      </c>
      <c r="X151" s="13"/>
      <c r="Y151" s="13"/>
    </row>
    <row r="152" spans="2:25" hidden="1" outlineLevel="1" x14ac:dyDescent="0.25">
      <c r="B152" s="328">
        <v>42339</v>
      </c>
      <c r="C152" s="331"/>
      <c r="D152" s="331"/>
      <c r="E152" s="331"/>
      <c r="F152" s="331"/>
      <c r="G152" s="331"/>
      <c r="H152" s="331"/>
      <c r="I152" s="331">
        <v>1686</v>
      </c>
      <c r="J152" s="331">
        <v>537</v>
      </c>
      <c r="K152" s="331">
        <v>2223</v>
      </c>
      <c r="L152" s="331">
        <v>991</v>
      </c>
      <c r="M152" s="331">
        <v>466</v>
      </c>
      <c r="N152" s="331">
        <v>1457</v>
      </c>
      <c r="O152" s="331">
        <v>3568</v>
      </c>
      <c r="P152" s="331">
        <v>2857</v>
      </c>
      <c r="Q152" s="331">
        <v>6425</v>
      </c>
      <c r="R152" s="331">
        <v>109</v>
      </c>
      <c r="S152" s="331">
        <v>88</v>
      </c>
      <c r="T152" s="331">
        <v>197</v>
      </c>
      <c r="U152" s="329">
        <v>6354</v>
      </c>
      <c r="V152" s="329">
        <v>3948</v>
      </c>
      <c r="W152" s="329">
        <v>10302</v>
      </c>
      <c r="X152" s="13"/>
      <c r="Y152" s="13"/>
    </row>
    <row r="153" spans="2:25" collapsed="1" x14ac:dyDescent="0.25">
      <c r="B153" s="330" t="s">
        <v>697</v>
      </c>
      <c r="C153" s="329" t="s">
        <v>781</v>
      </c>
      <c r="D153" s="329" t="s">
        <v>781</v>
      </c>
      <c r="E153" s="329" t="s">
        <v>781</v>
      </c>
      <c r="F153" s="329" t="s">
        <v>781</v>
      </c>
      <c r="G153" s="329" t="s">
        <v>781</v>
      </c>
      <c r="H153" s="329" t="s">
        <v>781</v>
      </c>
      <c r="I153" s="329">
        <v>1954</v>
      </c>
      <c r="J153" s="329">
        <v>633</v>
      </c>
      <c r="K153" s="329">
        <v>2587</v>
      </c>
      <c r="L153" s="329">
        <v>1069</v>
      </c>
      <c r="M153" s="329">
        <v>478</v>
      </c>
      <c r="N153" s="329">
        <v>1546</v>
      </c>
      <c r="O153" s="329">
        <v>4057</v>
      </c>
      <c r="P153" s="329">
        <v>3350</v>
      </c>
      <c r="Q153" s="329">
        <v>7407</v>
      </c>
      <c r="R153" s="329">
        <v>107</v>
      </c>
      <c r="S153" s="329">
        <v>101</v>
      </c>
      <c r="T153" s="329">
        <v>208</v>
      </c>
      <c r="U153" s="329">
        <v>7187</v>
      </c>
      <c r="V153" s="329">
        <v>4562</v>
      </c>
      <c r="W153" s="329">
        <v>11748</v>
      </c>
      <c r="X153" s="13"/>
      <c r="Y153" s="13"/>
    </row>
    <row r="154" spans="2:25" hidden="1" outlineLevel="1" x14ac:dyDescent="0.25">
      <c r="B154" s="328">
        <v>42370</v>
      </c>
      <c r="C154" s="331"/>
      <c r="D154" s="331"/>
      <c r="E154" s="331"/>
      <c r="F154" s="331"/>
      <c r="G154" s="331"/>
      <c r="H154" s="331"/>
      <c r="I154" s="331">
        <v>1678</v>
      </c>
      <c r="J154" s="331">
        <v>495</v>
      </c>
      <c r="K154" s="331">
        <v>2173</v>
      </c>
      <c r="L154" s="331">
        <v>1018</v>
      </c>
      <c r="M154" s="331">
        <v>482</v>
      </c>
      <c r="N154" s="331">
        <v>1500</v>
      </c>
      <c r="O154" s="331">
        <v>3558</v>
      </c>
      <c r="P154" s="331">
        <v>2664</v>
      </c>
      <c r="Q154" s="331">
        <v>6222</v>
      </c>
      <c r="R154" s="331">
        <v>116</v>
      </c>
      <c r="S154" s="331">
        <v>108</v>
      </c>
      <c r="T154" s="331">
        <v>224</v>
      </c>
      <c r="U154" s="329">
        <v>6370</v>
      </c>
      <c r="V154" s="329">
        <v>3749</v>
      </c>
      <c r="W154" s="329">
        <v>10119</v>
      </c>
      <c r="X154" s="13"/>
      <c r="Y154" s="13"/>
    </row>
    <row r="155" spans="2:25" hidden="1" outlineLevel="1" x14ac:dyDescent="0.25">
      <c r="B155" s="328">
        <v>42401</v>
      </c>
      <c r="C155" s="331"/>
      <c r="D155" s="331"/>
      <c r="E155" s="331"/>
      <c r="F155" s="331"/>
      <c r="G155" s="331"/>
      <c r="H155" s="331"/>
      <c r="I155" s="331">
        <v>1711</v>
      </c>
      <c r="J155" s="331">
        <v>513</v>
      </c>
      <c r="K155" s="331">
        <v>2224</v>
      </c>
      <c r="L155" s="331">
        <v>971</v>
      </c>
      <c r="M155" s="331">
        <v>432</v>
      </c>
      <c r="N155" s="331">
        <v>1403</v>
      </c>
      <c r="O155" s="331">
        <v>3950</v>
      </c>
      <c r="P155" s="331">
        <v>2852</v>
      </c>
      <c r="Q155" s="331">
        <v>6802</v>
      </c>
      <c r="R155" s="331">
        <v>123</v>
      </c>
      <c r="S155" s="331">
        <v>93</v>
      </c>
      <c r="T155" s="331">
        <v>216</v>
      </c>
      <c r="U155" s="329">
        <v>6755</v>
      </c>
      <c r="V155" s="329">
        <v>3890</v>
      </c>
      <c r="W155" s="329">
        <v>10645</v>
      </c>
      <c r="X155" s="13"/>
      <c r="Y155" s="13"/>
    </row>
    <row r="156" spans="2:25" hidden="1" outlineLevel="1" x14ac:dyDescent="0.25">
      <c r="B156" s="328">
        <v>42430</v>
      </c>
      <c r="C156" s="331"/>
      <c r="D156" s="331"/>
      <c r="E156" s="331"/>
      <c r="F156" s="331"/>
      <c r="G156" s="331"/>
      <c r="H156" s="331"/>
      <c r="I156" s="331">
        <v>1817</v>
      </c>
      <c r="J156" s="331">
        <v>533</v>
      </c>
      <c r="K156" s="331">
        <v>2350</v>
      </c>
      <c r="L156" s="331">
        <v>1127</v>
      </c>
      <c r="M156" s="331">
        <v>474</v>
      </c>
      <c r="N156" s="331">
        <v>1601</v>
      </c>
      <c r="O156" s="331">
        <v>3961</v>
      </c>
      <c r="P156" s="331">
        <v>2964</v>
      </c>
      <c r="Q156" s="331">
        <v>6925</v>
      </c>
      <c r="R156" s="331">
        <v>111</v>
      </c>
      <c r="S156" s="331">
        <v>96</v>
      </c>
      <c r="T156" s="331">
        <v>207</v>
      </c>
      <c r="U156" s="329">
        <v>7016</v>
      </c>
      <c r="V156" s="329">
        <v>4067</v>
      </c>
      <c r="W156" s="329">
        <v>11083</v>
      </c>
      <c r="X156" s="13"/>
      <c r="Y156" s="13"/>
    </row>
    <row r="157" spans="2:25" hidden="1" outlineLevel="1" x14ac:dyDescent="0.25">
      <c r="B157" s="328">
        <v>42461</v>
      </c>
      <c r="C157" s="331"/>
      <c r="D157" s="331"/>
      <c r="E157" s="331"/>
      <c r="F157" s="331"/>
      <c r="G157" s="331"/>
      <c r="H157" s="331"/>
      <c r="I157" s="331">
        <v>2437</v>
      </c>
      <c r="J157" s="331">
        <v>854</v>
      </c>
      <c r="K157" s="331">
        <v>3291</v>
      </c>
      <c r="L157" s="331">
        <v>1057</v>
      </c>
      <c r="M157" s="331">
        <v>474</v>
      </c>
      <c r="N157" s="331">
        <v>1531</v>
      </c>
      <c r="O157" s="331">
        <v>4247</v>
      </c>
      <c r="P157" s="331">
        <v>3258</v>
      </c>
      <c r="Q157" s="331">
        <v>7505</v>
      </c>
      <c r="R157" s="331">
        <v>101</v>
      </c>
      <c r="S157" s="331">
        <v>104</v>
      </c>
      <c r="T157" s="331">
        <v>205</v>
      </c>
      <c r="U157" s="329">
        <v>7842</v>
      </c>
      <c r="V157" s="329">
        <v>4690</v>
      </c>
      <c r="W157" s="329">
        <v>12532</v>
      </c>
      <c r="X157" s="13"/>
      <c r="Y157" s="13"/>
    </row>
    <row r="158" spans="2:25" hidden="1" outlineLevel="1" x14ac:dyDescent="0.25">
      <c r="B158" s="328">
        <v>42491</v>
      </c>
      <c r="C158" s="331"/>
      <c r="D158" s="331"/>
      <c r="E158" s="331"/>
      <c r="F158" s="331"/>
      <c r="G158" s="331"/>
      <c r="H158" s="331"/>
      <c r="I158" s="331">
        <v>2081</v>
      </c>
      <c r="J158" s="331">
        <v>683</v>
      </c>
      <c r="K158" s="331">
        <v>2764</v>
      </c>
      <c r="L158" s="331">
        <v>1097</v>
      </c>
      <c r="M158" s="331">
        <v>482</v>
      </c>
      <c r="N158" s="331">
        <v>1579</v>
      </c>
      <c r="O158" s="331">
        <v>4674</v>
      </c>
      <c r="P158" s="331">
        <v>4590</v>
      </c>
      <c r="Q158" s="331">
        <v>9264</v>
      </c>
      <c r="R158" s="331">
        <v>124</v>
      </c>
      <c r="S158" s="331">
        <v>100</v>
      </c>
      <c r="T158" s="331">
        <v>224</v>
      </c>
      <c r="U158" s="329">
        <v>7976</v>
      </c>
      <c r="V158" s="329">
        <v>5855</v>
      </c>
      <c r="W158" s="329">
        <v>13831</v>
      </c>
      <c r="X158" s="13"/>
      <c r="Y158" s="13"/>
    </row>
    <row r="159" spans="2:25" hidden="1" outlineLevel="1" x14ac:dyDescent="0.25">
      <c r="B159" s="328">
        <v>42522</v>
      </c>
      <c r="C159" s="331"/>
      <c r="D159" s="331"/>
      <c r="E159" s="331"/>
      <c r="F159" s="331"/>
      <c r="G159" s="331"/>
      <c r="H159" s="331"/>
      <c r="I159" s="331">
        <v>1853</v>
      </c>
      <c r="J159" s="331">
        <v>625</v>
      </c>
      <c r="K159" s="331">
        <v>2478</v>
      </c>
      <c r="L159" s="331">
        <v>971</v>
      </c>
      <c r="M159" s="331">
        <v>474</v>
      </c>
      <c r="N159" s="331">
        <v>1445</v>
      </c>
      <c r="O159" s="331">
        <v>3907</v>
      </c>
      <c r="P159" s="331">
        <v>3013</v>
      </c>
      <c r="Q159" s="331">
        <v>6920</v>
      </c>
      <c r="R159" s="331">
        <v>84</v>
      </c>
      <c r="S159" s="331">
        <v>90</v>
      </c>
      <c r="T159" s="331">
        <v>174</v>
      </c>
      <c r="U159" s="329">
        <v>6815</v>
      </c>
      <c r="V159" s="329">
        <v>4202</v>
      </c>
      <c r="W159" s="329">
        <v>11017</v>
      </c>
      <c r="X159" s="13"/>
      <c r="Y159" s="13"/>
    </row>
    <row r="160" spans="2:25" hidden="1" outlineLevel="1" x14ac:dyDescent="0.25">
      <c r="B160" s="328">
        <v>42552</v>
      </c>
      <c r="C160" s="331"/>
      <c r="D160" s="331"/>
      <c r="E160" s="331"/>
      <c r="F160" s="331"/>
      <c r="G160" s="331"/>
      <c r="H160" s="331"/>
      <c r="I160" s="331">
        <v>2036</v>
      </c>
      <c r="J160" s="331">
        <v>627</v>
      </c>
      <c r="K160" s="331">
        <v>2663</v>
      </c>
      <c r="L160" s="331">
        <v>1013</v>
      </c>
      <c r="M160" s="331">
        <v>501</v>
      </c>
      <c r="N160" s="331">
        <v>1514</v>
      </c>
      <c r="O160" s="331">
        <v>3956</v>
      </c>
      <c r="P160" s="331">
        <v>3040</v>
      </c>
      <c r="Q160" s="331">
        <v>6996</v>
      </c>
      <c r="R160" s="331">
        <v>95</v>
      </c>
      <c r="S160" s="331">
        <v>103</v>
      </c>
      <c r="T160" s="331">
        <v>198</v>
      </c>
      <c r="U160" s="329">
        <v>7100</v>
      </c>
      <c r="V160" s="329">
        <v>4271</v>
      </c>
      <c r="W160" s="329">
        <v>11371</v>
      </c>
      <c r="X160" s="13"/>
      <c r="Y160" s="13"/>
    </row>
    <row r="161" spans="2:25" hidden="1" outlineLevel="1" x14ac:dyDescent="0.25">
      <c r="B161" s="328">
        <v>42583</v>
      </c>
      <c r="C161" s="331"/>
      <c r="D161" s="331"/>
      <c r="E161" s="331"/>
      <c r="F161" s="331"/>
      <c r="G161" s="331"/>
      <c r="H161" s="331"/>
      <c r="I161" s="331">
        <v>2227</v>
      </c>
      <c r="J161" s="331">
        <v>722</v>
      </c>
      <c r="K161" s="331">
        <v>2949</v>
      </c>
      <c r="L161" s="331">
        <v>1257</v>
      </c>
      <c r="M161" s="331">
        <v>593</v>
      </c>
      <c r="N161" s="331">
        <v>1850</v>
      </c>
      <c r="O161" s="331">
        <v>5089</v>
      </c>
      <c r="P161" s="331">
        <v>3894</v>
      </c>
      <c r="Q161" s="331">
        <v>8983</v>
      </c>
      <c r="R161" s="331">
        <v>131</v>
      </c>
      <c r="S161" s="331">
        <v>114</v>
      </c>
      <c r="T161" s="331">
        <v>245</v>
      </c>
      <c r="U161" s="329">
        <v>8704</v>
      </c>
      <c r="V161" s="329">
        <v>5323</v>
      </c>
      <c r="W161" s="329">
        <v>14027</v>
      </c>
      <c r="X161" s="13"/>
      <c r="Y161" s="13"/>
    </row>
    <row r="162" spans="2:25" hidden="1" outlineLevel="1" x14ac:dyDescent="0.25">
      <c r="B162" s="328">
        <v>42614</v>
      </c>
      <c r="C162" s="331"/>
      <c r="D162" s="331"/>
      <c r="E162" s="331"/>
      <c r="F162" s="331"/>
      <c r="G162" s="331"/>
      <c r="H162" s="331"/>
      <c r="I162" s="331">
        <v>2052</v>
      </c>
      <c r="J162" s="331">
        <v>664</v>
      </c>
      <c r="K162" s="331">
        <v>2716</v>
      </c>
      <c r="L162" s="331">
        <v>1093</v>
      </c>
      <c r="M162" s="331">
        <v>521</v>
      </c>
      <c r="N162" s="331">
        <v>1614</v>
      </c>
      <c r="O162" s="331">
        <v>4556</v>
      </c>
      <c r="P162" s="331">
        <v>3304</v>
      </c>
      <c r="Q162" s="331">
        <v>7860</v>
      </c>
      <c r="R162" s="331">
        <v>110</v>
      </c>
      <c r="S162" s="331">
        <v>103</v>
      </c>
      <c r="T162" s="331">
        <v>213</v>
      </c>
      <c r="U162" s="329">
        <v>7811</v>
      </c>
      <c r="V162" s="329">
        <v>4592</v>
      </c>
      <c r="W162" s="329">
        <v>12403</v>
      </c>
      <c r="X162" s="13"/>
      <c r="Y162" s="13"/>
    </row>
    <row r="163" spans="2:25" hidden="1" outlineLevel="1" x14ac:dyDescent="0.25">
      <c r="B163" s="328">
        <v>42644</v>
      </c>
      <c r="C163" s="331"/>
      <c r="D163" s="331"/>
      <c r="E163" s="331"/>
      <c r="F163" s="331"/>
      <c r="G163" s="331"/>
      <c r="H163" s="331"/>
      <c r="I163" s="331">
        <v>1705</v>
      </c>
      <c r="J163" s="331">
        <v>569</v>
      </c>
      <c r="K163" s="331">
        <v>2274</v>
      </c>
      <c r="L163" s="331">
        <v>898</v>
      </c>
      <c r="M163" s="331">
        <v>433</v>
      </c>
      <c r="N163" s="331">
        <v>1331</v>
      </c>
      <c r="O163" s="331">
        <v>3870</v>
      </c>
      <c r="P163" s="331">
        <v>2806</v>
      </c>
      <c r="Q163" s="331">
        <v>6676</v>
      </c>
      <c r="R163" s="331">
        <v>105</v>
      </c>
      <c r="S163" s="331">
        <v>110</v>
      </c>
      <c r="T163" s="331">
        <v>215</v>
      </c>
      <c r="U163" s="329">
        <v>6578</v>
      </c>
      <c r="V163" s="329">
        <v>3918</v>
      </c>
      <c r="W163" s="329">
        <v>10496</v>
      </c>
      <c r="X163" s="13"/>
      <c r="Y163" s="13"/>
    </row>
    <row r="164" spans="2:25" hidden="1" outlineLevel="1" x14ac:dyDescent="0.25">
      <c r="B164" s="328">
        <v>42675</v>
      </c>
      <c r="C164" s="331"/>
      <c r="D164" s="331"/>
      <c r="E164" s="331"/>
      <c r="F164" s="331"/>
      <c r="G164" s="331"/>
      <c r="H164" s="331"/>
      <c r="I164" s="331">
        <v>1871</v>
      </c>
      <c r="J164" s="331">
        <v>554</v>
      </c>
      <c r="K164" s="331">
        <v>2425</v>
      </c>
      <c r="L164" s="331">
        <v>830</v>
      </c>
      <c r="M164" s="331">
        <v>429</v>
      </c>
      <c r="N164" s="331">
        <v>1259</v>
      </c>
      <c r="O164" s="331">
        <v>3912</v>
      </c>
      <c r="P164" s="331">
        <v>2822</v>
      </c>
      <c r="Q164" s="331">
        <v>6734</v>
      </c>
      <c r="R164" s="331">
        <v>111</v>
      </c>
      <c r="S164" s="331">
        <v>97</v>
      </c>
      <c r="T164" s="331">
        <v>208</v>
      </c>
      <c r="U164" s="329">
        <v>6724</v>
      </c>
      <c r="V164" s="329">
        <v>3902</v>
      </c>
      <c r="W164" s="329">
        <v>10626</v>
      </c>
      <c r="X164" s="13"/>
      <c r="Y164" s="13"/>
    </row>
    <row r="165" spans="2:25" hidden="1" outlineLevel="1" x14ac:dyDescent="0.25">
      <c r="B165" s="328">
        <v>42705</v>
      </c>
      <c r="C165" s="331"/>
      <c r="D165" s="331"/>
      <c r="E165" s="331"/>
      <c r="F165" s="331"/>
      <c r="G165" s="331"/>
      <c r="H165" s="331"/>
      <c r="I165" s="331">
        <v>1848</v>
      </c>
      <c r="J165" s="331">
        <v>588</v>
      </c>
      <c r="K165" s="331">
        <v>2436</v>
      </c>
      <c r="L165" s="331">
        <v>999</v>
      </c>
      <c r="M165" s="331">
        <v>468</v>
      </c>
      <c r="N165" s="331">
        <v>1467</v>
      </c>
      <c r="O165" s="331">
        <v>3814</v>
      </c>
      <c r="P165" s="331">
        <v>2788</v>
      </c>
      <c r="Q165" s="331">
        <v>6602</v>
      </c>
      <c r="R165" s="331">
        <v>117</v>
      </c>
      <c r="S165" s="331">
        <v>131</v>
      </c>
      <c r="T165" s="331">
        <v>248</v>
      </c>
      <c r="U165" s="329">
        <v>6778</v>
      </c>
      <c r="V165" s="329">
        <v>3975</v>
      </c>
      <c r="W165" s="329">
        <v>10753</v>
      </c>
      <c r="X165" s="13"/>
      <c r="Y165" s="13"/>
    </row>
    <row r="166" spans="2:25" collapsed="1" x14ac:dyDescent="0.25">
      <c r="B166" s="330" t="s">
        <v>698</v>
      </c>
      <c r="C166" s="329" t="s">
        <v>781</v>
      </c>
      <c r="D166" s="329" t="s">
        <v>781</v>
      </c>
      <c r="E166" s="329" t="s">
        <v>781</v>
      </c>
      <c r="F166" s="329" t="s">
        <v>781</v>
      </c>
      <c r="G166" s="329" t="s">
        <v>781</v>
      </c>
      <c r="H166" s="329" t="s">
        <v>781</v>
      </c>
      <c r="I166" s="329">
        <v>1943</v>
      </c>
      <c r="J166" s="329">
        <v>619</v>
      </c>
      <c r="K166" s="329">
        <v>2562</v>
      </c>
      <c r="L166" s="329">
        <v>1028</v>
      </c>
      <c r="M166" s="329">
        <v>480</v>
      </c>
      <c r="N166" s="329">
        <v>1508</v>
      </c>
      <c r="O166" s="329">
        <v>4125</v>
      </c>
      <c r="P166" s="329">
        <v>3166</v>
      </c>
      <c r="Q166" s="329">
        <v>7291</v>
      </c>
      <c r="R166" s="329">
        <v>111</v>
      </c>
      <c r="S166" s="329">
        <v>104</v>
      </c>
      <c r="T166" s="329">
        <v>215</v>
      </c>
      <c r="U166" s="329">
        <v>7206</v>
      </c>
      <c r="V166" s="329">
        <v>4370</v>
      </c>
      <c r="W166" s="329">
        <v>11575</v>
      </c>
      <c r="X166" s="13"/>
      <c r="Y166" s="13"/>
    </row>
    <row r="167" spans="2:25" hidden="1" outlineLevel="1" x14ac:dyDescent="0.25">
      <c r="B167" s="328">
        <v>42736</v>
      </c>
      <c r="C167" s="331"/>
      <c r="D167" s="331"/>
      <c r="E167" s="331"/>
      <c r="F167" s="331"/>
      <c r="G167" s="331"/>
      <c r="H167" s="331"/>
      <c r="I167" s="331">
        <v>2361</v>
      </c>
      <c r="J167" s="331">
        <v>761</v>
      </c>
      <c r="K167" s="331">
        <v>3122</v>
      </c>
      <c r="L167" s="331">
        <v>1006</v>
      </c>
      <c r="M167" s="331">
        <v>502</v>
      </c>
      <c r="N167" s="331">
        <v>1508</v>
      </c>
      <c r="O167" s="331">
        <v>4532</v>
      </c>
      <c r="P167" s="331">
        <v>3448</v>
      </c>
      <c r="Q167" s="331">
        <v>7980</v>
      </c>
      <c r="R167" s="331">
        <v>145</v>
      </c>
      <c r="S167" s="331">
        <v>124</v>
      </c>
      <c r="T167" s="331">
        <v>269</v>
      </c>
      <c r="U167" s="329">
        <v>8044</v>
      </c>
      <c r="V167" s="329">
        <v>4835</v>
      </c>
      <c r="W167" s="329">
        <v>12879</v>
      </c>
      <c r="X167" s="13"/>
      <c r="Y167" s="13"/>
    </row>
    <row r="168" spans="2:25" hidden="1" outlineLevel="1" x14ac:dyDescent="0.25">
      <c r="B168" s="328">
        <v>42767</v>
      </c>
      <c r="C168" s="331"/>
      <c r="D168" s="331"/>
      <c r="E168" s="331"/>
      <c r="F168" s="331"/>
      <c r="G168" s="331"/>
      <c r="H168" s="331"/>
      <c r="I168" s="331">
        <v>1789</v>
      </c>
      <c r="J168" s="331">
        <v>588</v>
      </c>
      <c r="K168" s="331">
        <v>2377</v>
      </c>
      <c r="L168" s="331">
        <v>940</v>
      </c>
      <c r="M168" s="331">
        <v>435</v>
      </c>
      <c r="N168" s="331">
        <v>1375</v>
      </c>
      <c r="O168" s="331">
        <v>4079</v>
      </c>
      <c r="P168" s="331">
        <v>3203</v>
      </c>
      <c r="Q168" s="331">
        <v>7282</v>
      </c>
      <c r="R168" s="331">
        <v>101</v>
      </c>
      <c r="S168" s="331">
        <v>112</v>
      </c>
      <c r="T168" s="331">
        <v>213</v>
      </c>
      <c r="U168" s="329">
        <v>6909</v>
      </c>
      <c r="V168" s="329">
        <v>4338</v>
      </c>
      <c r="W168" s="329">
        <v>11247</v>
      </c>
      <c r="X168" s="13"/>
      <c r="Y168" s="13"/>
    </row>
    <row r="169" spans="2:25" hidden="1" outlineLevel="1" x14ac:dyDescent="0.25">
      <c r="B169" s="328">
        <v>42795</v>
      </c>
      <c r="C169" s="331"/>
      <c r="D169" s="331"/>
      <c r="E169" s="331"/>
      <c r="F169" s="331"/>
      <c r="G169" s="331"/>
      <c r="H169" s="331"/>
      <c r="I169" s="331">
        <v>1724</v>
      </c>
      <c r="J169" s="331">
        <v>567</v>
      </c>
      <c r="K169" s="331">
        <v>2291</v>
      </c>
      <c r="L169" s="331">
        <v>1221</v>
      </c>
      <c r="M169" s="331">
        <v>541</v>
      </c>
      <c r="N169" s="331">
        <v>1762</v>
      </c>
      <c r="O169" s="331">
        <v>4970</v>
      </c>
      <c r="P169" s="331">
        <v>3941</v>
      </c>
      <c r="Q169" s="331">
        <v>8911</v>
      </c>
      <c r="R169" s="331">
        <v>117</v>
      </c>
      <c r="S169" s="331">
        <v>107</v>
      </c>
      <c r="T169" s="331">
        <v>224</v>
      </c>
      <c r="U169" s="329">
        <v>8032</v>
      </c>
      <c r="V169" s="329">
        <v>5156</v>
      </c>
      <c r="W169" s="329">
        <v>13188</v>
      </c>
      <c r="X169" s="13"/>
      <c r="Y169" s="13"/>
    </row>
    <row r="170" spans="2:25" hidden="1" outlineLevel="1" x14ac:dyDescent="0.25">
      <c r="B170" s="328">
        <v>42826</v>
      </c>
      <c r="C170" s="331"/>
      <c r="D170" s="331"/>
      <c r="E170" s="331"/>
      <c r="F170" s="331"/>
      <c r="G170" s="331"/>
      <c r="H170" s="331"/>
      <c r="I170" s="331">
        <v>1749</v>
      </c>
      <c r="J170" s="331">
        <v>571</v>
      </c>
      <c r="K170" s="331">
        <v>2320</v>
      </c>
      <c r="L170" s="331">
        <v>979</v>
      </c>
      <c r="M170" s="331">
        <v>442</v>
      </c>
      <c r="N170" s="331">
        <v>1421</v>
      </c>
      <c r="O170" s="331">
        <v>3906</v>
      </c>
      <c r="P170" s="331">
        <v>3116</v>
      </c>
      <c r="Q170" s="331">
        <v>7022</v>
      </c>
      <c r="R170" s="331">
        <v>107</v>
      </c>
      <c r="S170" s="331">
        <v>105</v>
      </c>
      <c r="T170" s="331">
        <v>212</v>
      </c>
      <c r="U170" s="329">
        <v>6741</v>
      </c>
      <c r="V170" s="329">
        <v>4234</v>
      </c>
      <c r="W170" s="329">
        <v>10975</v>
      </c>
      <c r="X170" s="13"/>
      <c r="Y170" s="13"/>
    </row>
    <row r="171" spans="2:25" hidden="1" outlineLevel="1" x14ac:dyDescent="0.25">
      <c r="B171" s="328">
        <v>42856</v>
      </c>
      <c r="C171" s="331"/>
      <c r="D171" s="331"/>
      <c r="E171" s="331"/>
      <c r="F171" s="331"/>
      <c r="G171" s="331"/>
      <c r="H171" s="331"/>
      <c r="I171" s="331">
        <v>2060</v>
      </c>
      <c r="J171" s="331">
        <v>666</v>
      </c>
      <c r="K171" s="331">
        <v>2726</v>
      </c>
      <c r="L171" s="331">
        <v>1125</v>
      </c>
      <c r="M171" s="331">
        <v>457</v>
      </c>
      <c r="N171" s="331">
        <v>1582</v>
      </c>
      <c r="O171" s="331">
        <v>4943</v>
      </c>
      <c r="P171" s="331">
        <v>4994</v>
      </c>
      <c r="Q171" s="331">
        <v>9937</v>
      </c>
      <c r="R171" s="331">
        <v>122</v>
      </c>
      <c r="S171" s="331">
        <v>148</v>
      </c>
      <c r="T171" s="331">
        <v>270</v>
      </c>
      <c r="U171" s="329">
        <v>8250</v>
      </c>
      <c r="V171" s="329">
        <v>6265</v>
      </c>
      <c r="W171" s="329">
        <v>14515</v>
      </c>
      <c r="X171" s="13"/>
      <c r="Y171" s="13"/>
    </row>
    <row r="172" spans="2:25" hidden="1" outlineLevel="1" x14ac:dyDescent="0.25">
      <c r="B172" s="328">
        <v>42887</v>
      </c>
      <c r="C172" s="331"/>
      <c r="D172" s="331"/>
      <c r="E172" s="331"/>
      <c r="F172" s="331"/>
      <c r="G172" s="331"/>
      <c r="H172" s="331"/>
      <c r="I172" s="331">
        <v>1857</v>
      </c>
      <c r="J172" s="331">
        <v>610</v>
      </c>
      <c r="K172" s="331">
        <v>2467</v>
      </c>
      <c r="L172" s="331">
        <v>990</v>
      </c>
      <c r="M172" s="331">
        <v>484</v>
      </c>
      <c r="N172" s="331">
        <v>1474</v>
      </c>
      <c r="O172" s="331">
        <v>4274</v>
      </c>
      <c r="P172" s="331">
        <v>3699</v>
      </c>
      <c r="Q172" s="331">
        <v>7973</v>
      </c>
      <c r="R172" s="331">
        <v>105</v>
      </c>
      <c r="S172" s="331">
        <v>113</v>
      </c>
      <c r="T172" s="331">
        <v>218</v>
      </c>
      <c r="U172" s="329">
        <v>7226</v>
      </c>
      <c r="V172" s="329">
        <v>4906</v>
      </c>
      <c r="W172" s="329">
        <v>12132</v>
      </c>
      <c r="X172" s="13"/>
      <c r="Y172" s="13"/>
    </row>
    <row r="173" spans="2:25" hidden="1" outlineLevel="1" x14ac:dyDescent="0.25">
      <c r="B173" s="328">
        <v>42917</v>
      </c>
      <c r="C173" s="331"/>
      <c r="D173" s="331"/>
      <c r="E173" s="331"/>
      <c r="F173" s="331"/>
      <c r="G173" s="331"/>
      <c r="H173" s="331"/>
      <c r="I173" s="331">
        <v>2074</v>
      </c>
      <c r="J173" s="331">
        <v>735</v>
      </c>
      <c r="K173" s="331">
        <v>2809</v>
      </c>
      <c r="L173" s="331">
        <v>1126</v>
      </c>
      <c r="M173" s="331">
        <v>500</v>
      </c>
      <c r="N173" s="331">
        <v>1626</v>
      </c>
      <c r="O173" s="331">
        <v>5358</v>
      </c>
      <c r="P173" s="331">
        <v>4174</v>
      </c>
      <c r="Q173" s="331">
        <v>9532</v>
      </c>
      <c r="R173" s="331">
        <v>168</v>
      </c>
      <c r="S173" s="331">
        <v>126</v>
      </c>
      <c r="T173" s="331">
        <v>294</v>
      </c>
      <c r="U173" s="329">
        <v>8726</v>
      </c>
      <c r="V173" s="329">
        <v>5535</v>
      </c>
      <c r="W173" s="329">
        <v>14261</v>
      </c>
      <c r="X173" s="13"/>
      <c r="Y173" s="13"/>
    </row>
    <row r="174" spans="2:25" hidden="1" outlineLevel="1" x14ac:dyDescent="0.25">
      <c r="B174" s="328">
        <v>42948</v>
      </c>
      <c r="C174" s="331"/>
      <c r="D174" s="331"/>
      <c r="E174" s="331"/>
      <c r="F174" s="331"/>
      <c r="G174" s="331"/>
      <c r="H174" s="331"/>
      <c r="I174" s="331">
        <v>2285</v>
      </c>
      <c r="J174" s="331">
        <v>711</v>
      </c>
      <c r="K174" s="331">
        <v>2996</v>
      </c>
      <c r="L174" s="331">
        <v>1155</v>
      </c>
      <c r="M174" s="331">
        <v>518</v>
      </c>
      <c r="N174" s="331">
        <v>1673</v>
      </c>
      <c r="O174" s="331">
        <v>5558</v>
      </c>
      <c r="P174" s="331">
        <v>4389</v>
      </c>
      <c r="Q174" s="331">
        <v>9947</v>
      </c>
      <c r="R174" s="331">
        <v>143</v>
      </c>
      <c r="S174" s="331">
        <v>162</v>
      </c>
      <c r="T174" s="331">
        <v>305</v>
      </c>
      <c r="U174" s="329">
        <v>9141</v>
      </c>
      <c r="V174" s="329">
        <v>5780</v>
      </c>
      <c r="W174" s="329">
        <v>14921</v>
      </c>
      <c r="X174" s="13"/>
      <c r="Y174" s="13"/>
    </row>
    <row r="175" spans="2:25" hidden="1" outlineLevel="1" x14ac:dyDescent="0.25">
      <c r="B175" s="328">
        <v>42979</v>
      </c>
      <c r="C175" s="331"/>
      <c r="D175" s="331"/>
      <c r="E175" s="331"/>
      <c r="F175" s="331"/>
      <c r="G175" s="331"/>
      <c r="H175" s="331"/>
      <c r="I175" s="331">
        <v>2012</v>
      </c>
      <c r="J175" s="331">
        <v>670</v>
      </c>
      <c r="K175" s="331">
        <v>2682</v>
      </c>
      <c r="L175" s="331">
        <v>921</v>
      </c>
      <c r="M175" s="331">
        <v>450</v>
      </c>
      <c r="N175" s="331">
        <v>1371</v>
      </c>
      <c r="O175" s="331">
        <v>4575</v>
      </c>
      <c r="P175" s="331">
        <v>3682</v>
      </c>
      <c r="Q175" s="331">
        <v>8257</v>
      </c>
      <c r="R175" s="331">
        <v>136</v>
      </c>
      <c r="S175" s="331">
        <v>123</v>
      </c>
      <c r="T175" s="331">
        <v>259</v>
      </c>
      <c r="U175" s="329">
        <v>7644</v>
      </c>
      <c r="V175" s="329">
        <v>4925</v>
      </c>
      <c r="W175" s="329">
        <v>12569</v>
      </c>
      <c r="X175" s="13"/>
      <c r="Y175" s="13"/>
    </row>
    <row r="176" spans="2:25" hidden="1" outlineLevel="1" x14ac:dyDescent="0.25">
      <c r="B176" s="328">
        <v>43009</v>
      </c>
      <c r="C176" s="331"/>
      <c r="D176" s="331"/>
      <c r="E176" s="331"/>
      <c r="F176" s="331"/>
      <c r="G176" s="331"/>
      <c r="H176" s="331"/>
      <c r="I176" s="331">
        <v>2346</v>
      </c>
      <c r="J176" s="331">
        <v>688</v>
      </c>
      <c r="K176" s="331">
        <v>3034</v>
      </c>
      <c r="L176" s="331">
        <v>1071</v>
      </c>
      <c r="M176" s="331">
        <v>514</v>
      </c>
      <c r="N176" s="331">
        <v>1585</v>
      </c>
      <c r="O176" s="331">
        <v>5388</v>
      </c>
      <c r="P176" s="331">
        <v>4297</v>
      </c>
      <c r="Q176" s="331">
        <v>9685</v>
      </c>
      <c r="R176" s="331">
        <v>165</v>
      </c>
      <c r="S176" s="331">
        <v>147</v>
      </c>
      <c r="T176" s="331">
        <v>312</v>
      </c>
      <c r="U176" s="329">
        <v>8970</v>
      </c>
      <c r="V176" s="329">
        <v>5646</v>
      </c>
      <c r="W176" s="329">
        <v>14616</v>
      </c>
      <c r="X176" s="13"/>
      <c r="Y176" s="13"/>
    </row>
    <row r="177" spans="2:25" hidden="1" outlineLevel="1" x14ac:dyDescent="0.25">
      <c r="B177" s="328">
        <v>43040</v>
      </c>
      <c r="C177" s="331"/>
      <c r="D177" s="331"/>
      <c r="E177" s="331"/>
      <c r="F177" s="331"/>
      <c r="G177" s="331"/>
      <c r="H177" s="331"/>
      <c r="I177" s="331">
        <v>2115</v>
      </c>
      <c r="J177" s="331">
        <v>641</v>
      </c>
      <c r="K177" s="331">
        <v>2756</v>
      </c>
      <c r="L177" s="331">
        <v>1146</v>
      </c>
      <c r="M177" s="331">
        <v>518</v>
      </c>
      <c r="N177" s="331">
        <v>1664</v>
      </c>
      <c r="O177" s="331">
        <v>5113</v>
      </c>
      <c r="P177" s="331">
        <v>3942</v>
      </c>
      <c r="Q177" s="331">
        <v>9055</v>
      </c>
      <c r="R177" s="331">
        <v>150</v>
      </c>
      <c r="S177" s="331">
        <v>166</v>
      </c>
      <c r="T177" s="331">
        <v>316</v>
      </c>
      <c r="U177" s="329">
        <v>8524</v>
      </c>
      <c r="V177" s="329">
        <v>5267</v>
      </c>
      <c r="W177" s="329">
        <v>13791</v>
      </c>
      <c r="X177" s="13"/>
      <c r="Y177" s="13"/>
    </row>
    <row r="178" spans="2:25" hidden="1" outlineLevel="1" x14ac:dyDescent="0.25">
      <c r="B178" s="328">
        <v>43070</v>
      </c>
      <c r="C178" s="331"/>
      <c r="D178" s="331"/>
      <c r="E178" s="331"/>
      <c r="F178" s="331"/>
      <c r="G178" s="331"/>
      <c r="H178" s="331"/>
      <c r="I178" s="331">
        <v>1793</v>
      </c>
      <c r="J178" s="331">
        <v>608</v>
      </c>
      <c r="K178" s="331">
        <v>2401</v>
      </c>
      <c r="L178" s="331">
        <v>900</v>
      </c>
      <c r="M178" s="331">
        <v>394</v>
      </c>
      <c r="N178" s="331">
        <v>1294</v>
      </c>
      <c r="O178" s="331">
        <v>4249</v>
      </c>
      <c r="P178" s="331">
        <v>3652</v>
      </c>
      <c r="Q178" s="331">
        <v>7901</v>
      </c>
      <c r="R178" s="331">
        <v>135</v>
      </c>
      <c r="S178" s="331">
        <v>140</v>
      </c>
      <c r="T178" s="331">
        <v>275</v>
      </c>
      <c r="U178" s="329">
        <v>7077</v>
      </c>
      <c r="V178" s="329">
        <v>4794</v>
      </c>
      <c r="W178" s="329">
        <v>11871</v>
      </c>
      <c r="X178" s="13"/>
      <c r="Y178" s="13"/>
    </row>
    <row r="179" spans="2:25" collapsed="1" x14ac:dyDescent="0.25">
      <c r="B179" s="330" t="s">
        <v>699</v>
      </c>
      <c r="C179" s="329" t="s">
        <v>781</v>
      </c>
      <c r="D179" s="329" t="s">
        <v>781</v>
      </c>
      <c r="E179" s="329" t="s">
        <v>781</v>
      </c>
      <c r="F179" s="329" t="s">
        <v>781</v>
      </c>
      <c r="G179" s="329" t="s">
        <v>781</v>
      </c>
      <c r="H179" s="329" t="s">
        <v>781</v>
      </c>
      <c r="I179" s="329">
        <v>2014</v>
      </c>
      <c r="J179" s="329">
        <v>651</v>
      </c>
      <c r="K179" s="329">
        <v>2665</v>
      </c>
      <c r="L179" s="329">
        <v>1048</v>
      </c>
      <c r="M179" s="329">
        <v>480</v>
      </c>
      <c r="N179" s="329">
        <v>1528</v>
      </c>
      <c r="O179" s="329">
        <v>4745</v>
      </c>
      <c r="P179" s="329">
        <v>3878</v>
      </c>
      <c r="Q179" s="329">
        <v>8624</v>
      </c>
      <c r="R179" s="329">
        <v>133</v>
      </c>
      <c r="S179" s="329">
        <v>131</v>
      </c>
      <c r="T179" s="329">
        <v>264</v>
      </c>
      <c r="U179" s="329">
        <v>7940</v>
      </c>
      <c r="V179" s="329">
        <v>5140</v>
      </c>
      <c r="W179" s="329">
        <v>13080</v>
      </c>
      <c r="X179" s="13"/>
      <c r="Y179" s="13"/>
    </row>
    <row r="180" spans="2:25" hidden="1" outlineLevel="1" x14ac:dyDescent="0.25">
      <c r="B180" s="328">
        <v>43101</v>
      </c>
      <c r="C180" s="331"/>
      <c r="D180" s="331"/>
      <c r="E180" s="331"/>
      <c r="F180" s="331"/>
      <c r="G180" s="331"/>
      <c r="H180" s="331"/>
      <c r="I180" s="331">
        <v>2086</v>
      </c>
      <c r="J180" s="331">
        <v>635</v>
      </c>
      <c r="K180" s="331">
        <v>2721</v>
      </c>
      <c r="L180" s="331">
        <v>988</v>
      </c>
      <c r="M180" s="331">
        <v>465</v>
      </c>
      <c r="N180" s="331">
        <v>1453</v>
      </c>
      <c r="O180" s="331">
        <v>6381</v>
      </c>
      <c r="P180" s="331">
        <v>4778</v>
      </c>
      <c r="Q180" s="331">
        <v>11159</v>
      </c>
      <c r="R180" s="331">
        <v>206</v>
      </c>
      <c r="S180" s="331">
        <v>195</v>
      </c>
      <c r="T180" s="331">
        <v>401</v>
      </c>
      <c r="U180" s="329">
        <v>9661</v>
      </c>
      <c r="V180" s="329">
        <v>6073</v>
      </c>
      <c r="W180" s="329">
        <v>15734</v>
      </c>
      <c r="X180" s="13"/>
      <c r="Y180" s="13"/>
    </row>
    <row r="181" spans="2:25" hidden="1" outlineLevel="1" x14ac:dyDescent="0.25">
      <c r="B181" s="328">
        <v>43132</v>
      </c>
      <c r="C181" s="331"/>
      <c r="D181" s="331"/>
      <c r="E181" s="331"/>
      <c r="F181" s="331"/>
      <c r="G181" s="331"/>
      <c r="H181" s="331"/>
      <c r="I181" s="331">
        <v>1731</v>
      </c>
      <c r="J181" s="331">
        <v>570</v>
      </c>
      <c r="K181" s="331">
        <v>2301</v>
      </c>
      <c r="L181" s="331">
        <v>807</v>
      </c>
      <c r="M181" s="331">
        <v>366</v>
      </c>
      <c r="N181" s="331">
        <v>1173</v>
      </c>
      <c r="O181" s="331">
        <v>6536</v>
      </c>
      <c r="P181" s="331">
        <v>4515</v>
      </c>
      <c r="Q181" s="331">
        <v>11051</v>
      </c>
      <c r="R181" s="331">
        <v>393</v>
      </c>
      <c r="S181" s="331">
        <v>339</v>
      </c>
      <c r="T181" s="331">
        <v>732</v>
      </c>
      <c r="U181" s="329">
        <v>9467</v>
      </c>
      <c r="V181" s="329">
        <v>5790</v>
      </c>
      <c r="W181" s="329">
        <v>15257</v>
      </c>
      <c r="X181" s="13"/>
      <c r="Y181" s="13"/>
    </row>
    <row r="182" spans="2:25" hidden="1" outlineLevel="1" x14ac:dyDescent="0.25">
      <c r="B182" s="328">
        <v>43160</v>
      </c>
      <c r="C182" s="331"/>
      <c r="D182" s="331"/>
      <c r="E182" s="331"/>
      <c r="F182" s="331"/>
      <c r="G182" s="331"/>
      <c r="H182" s="331"/>
      <c r="I182" s="331">
        <v>1975</v>
      </c>
      <c r="J182" s="331">
        <v>651</v>
      </c>
      <c r="K182" s="331">
        <v>2626</v>
      </c>
      <c r="L182" s="331">
        <v>1022</v>
      </c>
      <c r="M182" s="331">
        <v>436</v>
      </c>
      <c r="N182" s="331">
        <v>1458</v>
      </c>
      <c r="O182" s="331">
        <v>5801</v>
      </c>
      <c r="P182" s="331">
        <v>4589</v>
      </c>
      <c r="Q182" s="331">
        <v>10390</v>
      </c>
      <c r="R182" s="331">
        <v>464</v>
      </c>
      <c r="S182" s="331">
        <v>457</v>
      </c>
      <c r="T182" s="331">
        <v>921</v>
      </c>
      <c r="U182" s="329">
        <v>9262</v>
      </c>
      <c r="V182" s="329">
        <v>6133</v>
      </c>
      <c r="W182" s="329">
        <v>15395</v>
      </c>
      <c r="X182" s="13"/>
      <c r="Y182" s="13"/>
    </row>
    <row r="183" spans="2:25" hidden="1" outlineLevel="1" x14ac:dyDescent="0.25">
      <c r="B183" s="328">
        <v>43191</v>
      </c>
      <c r="C183" s="331"/>
      <c r="D183" s="331"/>
      <c r="E183" s="331"/>
      <c r="F183" s="331"/>
      <c r="G183" s="331"/>
      <c r="H183" s="331"/>
      <c r="I183" s="331">
        <v>1962</v>
      </c>
      <c r="J183" s="331">
        <v>605</v>
      </c>
      <c r="K183" s="331">
        <v>2567</v>
      </c>
      <c r="L183" s="331">
        <v>1037</v>
      </c>
      <c r="M183" s="331">
        <v>474</v>
      </c>
      <c r="N183" s="331">
        <v>1511</v>
      </c>
      <c r="O183" s="331">
        <v>5284</v>
      </c>
      <c r="P183" s="331">
        <v>4475</v>
      </c>
      <c r="Q183" s="331">
        <v>9759</v>
      </c>
      <c r="R183" s="331">
        <v>428</v>
      </c>
      <c r="S183" s="331">
        <v>409</v>
      </c>
      <c r="T183" s="331">
        <v>837</v>
      </c>
      <c r="U183" s="329">
        <v>8711</v>
      </c>
      <c r="V183" s="329">
        <v>5963</v>
      </c>
      <c r="W183" s="329">
        <v>14674</v>
      </c>
      <c r="X183" s="13"/>
      <c r="Y183" s="13"/>
    </row>
    <row r="184" spans="2:25" hidden="1" outlineLevel="1" x14ac:dyDescent="0.25">
      <c r="B184" s="328">
        <v>43221</v>
      </c>
      <c r="C184" s="331"/>
      <c r="D184" s="331"/>
      <c r="E184" s="331"/>
      <c r="F184" s="331"/>
      <c r="G184" s="331"/>
      <c r="H184" s="331"/>
      <c r="I184" s="331">
        <v>2114</v>
      </c>
      <c r="J184" s="331">
        <v>617</v>
      </c>
      <c r="K184" s="331">
        <v>2731</v>
      </c>
      <c r="L184" s="331">
        <v>968</v>
      </c>
      <c r="M184" s="331">
        <v>416</v>
      </c>
      <c r="N184" s="331">
        <v>1384</v>
      </c>
      <c r="O184" s="331">
        <v>5710</v>
      </c>
      <c r="P184" s="331">
        <v>5628</v>
      </c>
      <c r="Q184" s="331">
        <v>11338</v>
      </c>
      <c r="R184" s="331">
        <v>253</v>
      </c>
      <c r="S184" s="331">
        <v>304</v>
      </c>
      <c r="T184" s="331">
        <v>557</v>
      </c>
      <c r="U184" s="329">
        <v>9045</v>
      </c>
      <c r="V184" s="329">
        <v>6965</v>
      </c>
      <c r="W184" s="329">
        <v>16010</v>
      </c>
      <c r="X184" s="13"/>
      <c r="Y184" s="13"/>
    </row>
    <row r="185" spans="2:25" hidden="1" outlineLevel="1" x14ac:dyDescent="0.25">
      <c r="B185" s="328">
        <v>43252</v>
      </c>
      <c r="C185" s="331"/>
      <c r="D185" s="331"/>
      <c r="E185" s="331"/>
      <c r="F185" s="331"/>
      <c r="G185" s="331"/>
      <c r="H185" s="331"/>
      <c r="I185" s="331">
        <v>1925</v>
      </c>
      <c r="J185" s="331">
        <v>583</v>
      </c>
      <c r="K185" s="331">
        <v>2508</v>
      </c>
      <c r="L185" s="331">
        <v>982</v>
      </c>
      <c r="M185" s="331">
        <v>434</v>
      </c>
      <c r="N185" s="331">
        <v>1416</v>
      </c>
      <c r="O185" s="331">
        <v>5272</v>
      </c>
      <c r="P185" s="331">
        <v>4572</v>
      </c>
      <c r="Q185" s="331">
        <v>9844</v>
      </c>
      <c r="R185" s="331">
        <v>238</v>
      </c>
      <c r="S185" s="331">
        <v>286</v>
      </c>
      <c r="T185" s="331">
        <v>524</v>
      </c>
      <c r="U185" s="329">
        <v>8417</v>
      </c>
      <c r="V185" s="329">
        <v>5875</v>
      </c>
      <c r="W185" s="329">
        <v>14292</v>
      </c>
      <c r="X185" s="13"/>
      <c r="Y185" s="13"/>
    </row>
    <row r="186" spans="2:25" hidden="1" outlineLevel="1" x14ac:dyDescent="0.25">
      <c r="B186" s="328">
        <v>43282</v>
      </c>
      <c r="C186" s="331"/>
      <c r="D186" s="331"/>
      <c r="E186" s="331"/>
      <c r="F186" s="331"/>
      <c r="G186" s="331"/>
      <c r="H186" s="331"/>
      <c r="I186" s="331">
        <v>2119</v>
      </c>
      <c r="J186" s="331">
        <v>648</v>
      </c>
      <c r="K186" s="331">
        <v>2767</v>
      </c>
      <c r="L186" s="331">
        <v>969</v>
      </c>
      <c r="M186" s="331">
        <v>488</v>
      </c>
      <c r="N186" s="331">
        <v>1457</v>
      </c>
      <c r="O186" s="331">
        <v>5676</v>
      </c>
      <c r="P186" s="331">
        <v>4730</v>
      </c>
      <c r="Q186" s="331">
        <v>10406</v>
      </c>
      <c r="R186" s="331">
        <v>232</v>
      </c>
      <c r="S186" s="331">
        <v>248</v>
      </c>
      <c r="T186" s="331">
        <v>480</v>
      </c>
      <c r="U186" s="329">
        <v>8996</v>
      </c>
      <c r="V186" s="329">
        <v>6114</v>
      </c>
      <c r="W186" s="329">
        <v>15110</v>
      </c>
      <c r="X186" s="13"/>
      <c r="Y186" s="13"/>
    </row>
    <row r="187" spans="2:25" hidden="1" outlineLevel="1" x14ac:dyDescent="0.25">
      <c r="B187" s="328">
        <v>43313</v>
      </c>
      <c r="C187" s="331"/>
      <c r="D187" s="331"/>
      <c r="E187" s="331"/>
      <c r="F187" s="331"/>
      <c r="G187" s="331"/>
      <c r="H187" s="331"/>
      <c r="I187" s="331">
        <v>2344</v>
      </c>
      <c r="J187" s="331">
        <v>696</v>
      </c>
      <c r="K187" s="331">
        <v>3040</v>
      </c>
      <c r="L187" s="331">
        <v>1128</v>
      </c>
      <c r="M187" s="331">
        <v>513</v>
      </c>
      <c r="N187" s="331">
        <v>1641</v>
      </c>
      <c r="O187" s="331">
        <v>6147</v>
      </c>
      <c r="P187" s="331">
        <v>4876</v>
      </c>
      <c r="Q187" s="331">
        <v>11023</v>
      </c>
      <c r="R187" s="331">
        <v>211</v>
      </c>
      <c r="S187" s="331">
        <v>216</v>
      </c>
      <c r="T187" s="331">
        <v>427</v>
      </c>
      <c r="U187" s="329">
        <v>9830</v>
      </c>
      <c r="V187" s="329">
        <v>6301</v>
      </c>
      <c r="W187" s="329">
        <v>16131</v>
      </c>
      <c r="X187" s="13"/>
      <c r="Y187" s="13"/>
    </row>
    <row r="188" spans="2:25" hidden="1" outlineLevel="1" x14ac:dyDescent="0.25">
      <c r="B188" s="328">
        <v>43344</v>
      </c>
      <c r="C188" s="331"/>
      <c r="D188" s="331"/>
      <c r="E188" s="331"/>
      <c r="F188" s="331"/>
      <c r="G188" s="331"/>
      <c r="H188" s="331"/>
      <c r="I188" s="331">
        <v>1678</v>
      </c>
      <c r="J188" s="331">
        <v>448</v>
      </c>
      <c r="K188" s="331">
        <v>2126</v>
      </c>
      <c r="L188" s="331">
        <v>864</v>
      </c>
      <c r="M188" s="331">
        <v>387</v>
      </c>
      <c r="N188" s="331">
        <v>1251</v>
      </c>
      <c r="O188" s="331">
        <v>4884</v>
      </c>
      <c r="P188" s="331">
        <v>3688</v>
      </c>
      <c r="Q188" s="331">
        <v>8572</v>
      </c>
      <c r="R188" s="331">
        <v>159</v>
      </c>
      <c r="S188" s="331">
        <v>180</v>
      </c>
      <c r="T188" s="331">
        <v>339</v>
      </c>
      <c r="U188" s="329">
        <v>7585</v>
      </c>
      <c r="V188" s="329">
        <v>4703</v>
      </c>
      <c r="W188" s="329">
        <v>12288</v>
      </c>
      <c r="X188" s="13"/>
      <c r="Y188" s="13"/>
    </row>
    <row r="189" spans="2:25" hidden="1" outlineLevel="1" x14ac:dyDescent="0.25">
      <c r="B189" s="328">
        <v>43374</v>
      </c>
      <c r="C189" s="331"/>
      <c r="D189" s="331"/>
      <c r="E189" s="331"/>
      <c r="F189" s="331"/>
      <c r="G189" s="331"/>
      <c r="H189" s="331"/>
      <c r="I189" s="331">
        <v>2458</v>
      </c>
      <c r="J189" s="331">
        <v>723</v>
      </c>
      <c r="K189" s="331">
        <v>3181</v>
      </c>
      <c r="L189" s="331">
        <v>1050</v>
      </c>
      <c r="M189" s="331">
        <v>469</v>
      </c>
      <c r="N189" s="331">
        <v>1519</v>
      </c>
      <c r="O189" s="331">
        <v>6785</v>
      </c>
      <c r="P189" s="331">
        <v>5097</v>
      </c>
      <c r="Q189" s="331">
        <v>11882</v>
      </c>
      <c r="R189" s="331">
        <v>195</v>
      </c>
      <c r="S189" s="331">
        <v>224</v>
      </c>
      <c r="T189" s="331">
        <v>419</v>
      </c>
      <c r="U189" s="329">
        <v>10488</v>
      </c>
      <c r="V189" s="329">
        <v>6513</v>
      </c>
      <c r="W189" s="329">
        <v>17001</v>
      </c>
      <c r="X189" s="13"/>
      <c r="Y189" s="13"/>
    </row>
    <row r="190" spans="2:25" hidden="1" outlineLevel="1" x14ac:dyDescent="0.25">
      <c r="B190" s="328">
        <v>43405</v>
      </c>
      <c r="C190" s="331"/>
      <c r="D190" s="331"/>
      <c r="E190" s="331"/>
      <c r="F190" s="331"/>
      <c r="G190" s="331"/>
      <c r="H190" s="331"/>
      <c r="I190" s="331">
        <v>2005</v>
      </c>
      <c r="J190" s="331">
        <v>625</v>
      </c>
      <c r="K190" s="331">
        <v>2630</v>
      </c>
      <c r="L190" s="331">
        <v>932</v>
      </c>
      <c r="M190" s="331">
        <v>473</v>
      </c>
      <c r="N190" s="331">
        <v>1405</v>
      </c>
      <c r="O190" s="331">
        <v>5334</v>
      </c>
      <c r="P190" s="331">
        <v>4162</v>
      </c>
      <c r="Q190" s="331">
        <v>9496</v>
      </c>
      <c r="R190" s="331">
        <v>147</v>
      </c>
      <c r="S190" s="331">
        <v>161</v>
      </c>
      <c r="T190" s="331">
        <v>308</v>
      </c>
      <c r="U190" s="329">
        <v>8418</v>
      </c>
      <c r="V190" s="329">
        <v>5421</v>
      </c>
      <c r="W190" s="329">
        <v>13839</v>
      </c>
      <c r="X190" s="13"/>
      <c r="Y190" s="13"/>
    </row>
    <row r="191" spans="2:25" hidden="1" outlineLevel="1" x14ac:dyDescent="0.25">
      <c r="B191" s="328">
        <v>43435</v>
      </c>
      <c r="C191" s="331"/>
      <c r="D191" s="331"/>
      <c r="E191" s="331"/>
      <c r="F191" s="331"/>
      <c r="G191" s="331"/>
      <c r="H191" s="331"/>
      <c r="I191" s="331">
        <v>1836</v>
      </c>
      <c r="J191" s="331">
        <v>537</v>
      </c>
      <c r="K191" s="331">
        <v>2373</v>
      </c>
      <c r="L191" s="331">
        <v>855</v>
      </c>
      <c r="M191" s="331">
        <v>472</v>
      </c>
      <c r="N191" s="331">
        <v>1327</v>
      </c>
      <c r="O191" s="331">
        <v>4639</v>
      </c>
      <c r="P191" s="331">
        <v>4008</v>
      </c>
      <c r="Q191" s="331">
        <v>8647</v>
      </c>
      <c r="R191" s="331">
        <v>168</v>
      </c>
      <c r="S191" s="331">
        <v>159</v>
      </c>
      <c r="T191" s="331">
        <v>327</v>
      </c>
      <c r="U191" s="329">
        <v>7498</v>
      </c>
      <c r="V191" s="329">
        <v>5176</v>
      </c>
      <c r="W191" s="329">
        <v>12674</v>
      </c>
      <c r="X191" s="13"/>
      <c r="Y191" s="13"/>
    </row>
    <row r="192" spans="2:25" collapsed="1" x14ac:dyDescent="0.25">
      <c r="B192" s="330" t="s">
        <v>700</v>
      </c>
      <c r="C192" s="329" t="s">
        <v>781</v>
      </c>
      <c r="D192" s="329" t="s">
        <v>781</v>
      </c>
      <c r="E192" s="329" t="s">
        <v>781</v>
      </c>
      <c r="F192" s="329" t="s">
        <v>781</v>
      </c>
      <c r="G192" s="329" t="s">
        <v>781</v>
      </c>
      <c r="H192" s="329" t="s">
        <v>781</v>
      </c>
      <c r="I192" s="329">
        <v>2019</v>
      </c>
      <c r="J192" s="329">
        <v>612</v>
      </c>
      <c r="K192" s="329">
        <v>2631</v>
      </c>
      <c r="L192" s="329">
        <v>967</v>
      </c>
      <c r="M192" s="329">
        <v>449</v>
      </c>
      <c r="N192" s="329">
        <v>1416</v>
      </c>
      <c r="O192" s="329">
        <v>5704</v>
      </c>
      <c r="P192" s="329">
        <v>4593</v>
      </c>
      <c r="Q192" s="329">
        <v>10297</v>
      </c>
      <c r="R192" s="329">
        <v>258</v>
      </c>
      <c r="S192" s="329">
        <v>265</v>
      </c>
      <c r="T192" s="329">
        <v>523</v>
      </c>
      <c r="U192" s="329">
        <v>8948</v>
      </c>
      <c r="V192" s="329">
        <v>5919</v>
      </c>
      <c r="W192" s="329">
        <v>14867</v>
      </c>
      <c r="X192" s="13"/>
      <c r="Y192" s="13"/>
    </row>
    <row r="193" spans="2:25" hidden="1" outlineLevel="1" x14ac:dyDescent="0.25">
      <c r="B193" s="328">
        <v>43466</v>
      </c>
      <c r="C193" s="331"/>
      <c r="D193" s="331"/>
      <c r="E193" s="331"/>
      <c r="F193" s="331"/>
      <c r="G193" s="331"/>
      <c r="H193" s="331"/>
      <c r="I193" s="331">
        <v>2108</v>
      </c>
      <c r="J193" s="331">
        <v>642</v>
      </c>
      <c r="K193" s="331">
        <v>2750</v>
      </c>
      <c r="L193" s="331">
        <v>981</v>
      </c>
      <c r="M193" s="331">
        <v>481</v>
      </c>
      <c r="N193" s="331">
        <v>1462</v>
      </c>
      <c r="O193" s="331">
        <v>5643</v>
      </c>
      <c r="P193" s="331">
        <v>4557</v>
      </c>
      <c r="Q193" s="331">
        <v>10200</v>
      </c>
      <c r="R193" s="331">
        <v>271</v>
      </c>
      <c r="S193" s="331">
        <v>294</v>
      </c>
      <c r="T193" s="331">
        <v>565</v>
      </c>
      <c r="U193" s="329">
        <v>9003</v>
      </c>
      <c r="V193" s="329">
        <v>5974</v>
      </c>
      <c r="W193" s="329">
        <v>14977</v>
      </c>
      <c r="X193" s="13"/>
      <c r="Y193" s="13"/>
    </row>
    <row r="194" spans="2:25" hidden="1" outlineLevel="1" x14ac:dyDescent="0.25">
      <c r="B194" s="328">
        <v>43497</v>
      </c>
      <c r="C194" s="331"/>
      <c r="D194" s="331"/>
      <c r="E194" s="331"/>
      <c r="F194" s="331"/>
      <c r="G194" s="331"/>
      <c r="H194" s="331"/>
      <c r="I194" s="331">
        <v>1667</v>
      </c>
      <c r="J194" s="331">
        <v>521</v>
      </c>
      <c r="K194" s="331">
        <v>2188</v>
      </c>
      <c r="L194" s="331">
        <v>857</v>
      </c>
      <c r="M194" s="331">
        <v>436</v>
      </c>
      <c r="N194" s="331">
        <v>1293</v>
      </c>
      <c r="O194" s="331">
        <v>4680</v>
      </c>
      <c r="P194" s="331">
        <v>3911</v>
      </c>
      <c r="Q194" s="331">
        <v>8591</v>
      </c>
      <c r="R194" s="331">
        <v>377</v>
      </c>
      <c r="S194" s="331">
        <v>308</v>
      </c>
      <c r="T194" s="331">
        <v>685</v>
      </c>
      <c r="U194" s="329">
        <v>7581</v>
      </c>
      <c r="V194" s="329">
        <v>5176</v>
      </c>
      <c r="W194" s="329">
        <v>12757</v>
      </c>
      <c r="X194" s="13"/>
      <c r="Y194" s="13"/>
    </row>
    <row r="195" spans="2:25" hidden="1" outlineLevel="1" x14ac:dyDescent="0.25">
      <c r="B195" s="328">
        <v>43525</v>
      </c>
      <c r="C195" s="331"/>
      <c r="D195" s="331"/>
      <c r="E195" s="331"/>
      <c r="F195" s="331"/>
      <c r="G195" s="331"/>
      <c r="H195" s="331"/>
      <c r="I195" s="331">
        <v>1895</v>
      </c>
      <c r="J195" s="331">
        <v>602</v>
      </c>
      <c r="K195" s="331">
        <v>2497</v>
      </c>
      <c r="L195" s="331">
        <v>1031</v>
      </c>
      <c r="M195" s="331">
        <v>440</v>
      </c>
      <c r="N195" s="331">
        <v>1471</v>
      </c>
      <c r="O195" s="331">
        <v>5185</v>
      </c>
      <c r="P195" s="331">
        <v>4233</v>
      </c>
      <c r="Q195" s="331">
        <v>9418</v>
      </c>
      <c r="R195" s="331">
        <v>328</v>
      </c>
      <c r="S195" s="331">
        <v>310</v>
      </c>
      <c r="T195" s="331">
        <v>638</v>
      </c>
      <c r="U195" s="329">
        <v>8439</v>
      </c>
      <c r="V195" s="329">
        <v>5585</v>
      </c>
      <c r="W195" s="329">
        <v>14024</v>
      </c>
      <c r="X195" s="13"/>
      <c r="Y195" s="13"/>
    </row>
    <row r="196" spans="2:25" hidden="1" outlineLevel="1" x14ac:dyDescent="0.25">
      <c r="B196" s="328">
        <v>43556</v>
      </c>
      <c r="C196" s="331"/>
      <c r="D196" s="331"/>
      <c r="E196" s="331"/>
      <c r="F196" s="331"/>
      <c r="G196" s="331"/>
      <c r="H196" s="331"/>
      <c r="I196" s="331">
        <v>1810</v>
      </c>
      <c r="J196" s="331">
        <v>578</v>
      </c>
      <c r="K196" s="331">
        <v>2388</v>
      </c>
      <c r="L196" s="331">
        <v>1092</v>
      </c>
      <c r="M196" s="331">
        <v>452</v>
      </c>
      <c r="N196" s="331">
        <v>1544</v>
      </c>
      <c r="O196" s="331">
        <v>4987</v>
      </c>
      <c r="P196" s="331">
        <v>4199</v>
      </c>
      <c r="Q196" s="331">
        <v>9186</v>
      </c>
      <c r="R196" s="331">
        <v>277</v>
      </c>
      <c r="S196" s="331">
        <v>307</v>
      </c>
      <c r="T196" s="331">
        <v>584</v>
      </c>
      <c r="U196" s="329">
        <v>8166</v>
      </c>
      <c r="V196" s="329">
        <v>5536</v>
      </c>
      <c r="W196" s="329">
        <v>13702</v>
      </c>
      <c r="X196" s="13"/>
      <c r="Y196" s="13"/>
    </row>
    <row r="197" spans="2:25" hidden="1" outlineLevel="1" x14ac:dyDescent="0.25">
      <c r="B197" s="328">
        <v>43586</v>
      </c>
      <c r="C197" s="331"/>
      <c r="D197" s="331"/>
      <c r="E197" s="331"/>
      <c r="F197" s="331"/>
      <c r="G197" s="331"/>
      <c r="H197" s="331"/>
      <c r="I197" s="331">
        <v>1849</v>
      </c>
      <c r="J197" s="331">
        <v>579</v>
      </c>
      <c r="K197" s="331">
        <v>2428</v>
      </c>
      <c r="L197" s="331">
        <v>945</v>
      </c>
      <c r="M197" s="331">
        <v>428</v>
      </c>
      <c r="N197" s="331">
        <v>1373</v>
      </c>
      <c r="O197" s="331">
        <v>4895</v>
      </c>
      <c r="P197" s="331">
        <v>4562</v>
      </c>
      <c r="Q197" s="331">
        <v>9457</v>
      </c>
      <c r="R197" s="331">
        <v>232</v>
      </c>
      <c r="S197" s="331">
        <v>251</v>
      </c>
      <c r="T197" s="331">
        <v>483</v>
      </c>
      <c r="U197" s="329">
        <v>7921</v>
      </c>
      <c r="V197" s="329">
        <v>5820</v>
      </c>
      <c r="W197" s="329">
        <v>13741</v>
      </c>
      <c r="X197" s="13"/>
      <c r="Y197" s="13"/>
    </row>
    <row r="198" spans="2:25" hidden="1" outlineLevel="1" x14ac:dyDescent="0.25">
      <c r="B198" s="328">
        <v>43617</v>
      </c>
      <c r="C198" s="331"/>
      <c r="D198" s="331"/>
      <c r="E198" s="331"/>
      <c r="F198" s="331"/>
      <c r="G198" s="331"/>
      <c r="H198" s="331"/>
      <c r="I198" s="331">
        <v>1705</v>
      </c>
      <c r="J198" s="331">
        <v>516</v>
      </c>
      <c r="K198" s="331">
        <v>2221</v>
      </c>
      <c r="L198" s="331">
        <v>897</v>
      </c>
      <c r="M198" s="331">
        <v>469</v>
      </c>
      <c r="N198" s="331">
        <v>1366</v>
      </c>
      <c r="O198" s="331">
        <v>4261</v>
      </c>
      <c r="P198" s="331">
        <v>3789</v>
      </c>
      <c r="Q198" s="331">
        <v>8050</v>
      </c>
      <c r="R198" s="331">
        <v>202</v>
      </c>
      <c r="S198" s="331">
        <v>199</v>
      </c>
      <c r="T198" s="331">
        <v>401</v>
      </c>
      <c r="U198" s="329">
        <v>7065</v>
      </c>
      <c r="V198" s="329">
        <v>4973</v>
      </c>
      <c r="W198" s="329">
        <v>12038</v>
      </c>
      <c r="X198" s="13"/>
      <c r="Y198" s="13"/>
    </row>
    <row r="199" spans="2:25" hidden="1" outlineLevel="1" x14ac:dyDescent="0.25">
      <c r="B199" s="328">
        <v>43647</v>
      </c>
      <c r="C199" s="331"/>
      <c r="D199" s="331"/>
      <c r="E199" s="331"/>
      <c r="F199" s="331"/>
      <c r="G199" s="331"/>
      <c r="H199" s="331"/>
      <c r="I199" s="331">
        <v>2007</v>
      </c>
      <c r="J199" s="331">
        <v>605</v>
      </c>
      <c r="K199" s="331">
        <v>2612</v>
      </c>
      <c r="L199" s="331">
        <v>1061</v>
      </c>
      <c r="M199" s="331">
        <v>513</v>
      </c>
      <c r="N199" s="331">
        <v>1574</v>
      </c>
      <c r="O199" s="331">
        <v>5493</v>
      </c>
      <c r="P199" s="331">
        <v>4700</v>
      </c>
      <c r="Q199" s="331">
        <v>10193</v>
      </c>
      <c r="R199" s="331">
        <v>238</v>
      </c>
      <c r="S199" s="331">
        <v>232</v>
      </c>
      <c r="T199" s="331">
        <v>470</v>
      </c>
      <c r="U199" s="329">
        <v>8799</v>
      </c>
      <c r="V199" s="329">
        <v>6050</v>
      </c>
      <c r="W199" s="329">
        <v>14849</v>
      </c>
      <c r="X199" s="13"/>
      <c r="Y199" s="13"/>
    </row>
    <row r="200" spans="2:25" hidden="1" outlineLevel="1" x14ac:dyDescent="0.25">
      <c r="B200" s="328">
        <v>43678</v>
      </c>
      <c r="C200" s="331"/>
      <c r="D200" s="331"/>
      <c r="E200" s="331"/>
      <c r="F200" s="331"/>
      <c r="G200" s="331"/>
      <c r="H200" s="331"/>
      <c r="I200" s="331">
        <v>2017</v>
      </c>
      <c r="J200" s="331">
        <v>567</v>
      </c>
      <c r="K200" s="331">
        <v>2584</v>
      </c>
      <c r="L200" s="331">
        <v>1022</v>
      </c>
      <c r="M200" s="331">
        <v>466</v>
      </c>
      <c r="N200" s="331">
        <v>1488</v>
      </c>
      <c r="O200" s="331">
        <v>5353</v>
      </c>
      <c r="P200" s="331">
        <v>4359</v>
      </c>
      <c r="Q200" s="331">
        <v>9712</v>
      </c>
      <c r="R200" s="331">
        <v>210</v>
      </c>
      <c r="S200" s="331">
        <v>214</v>
      </c>
      <c r="T200" s="331">
        <v>424</v>
      </c>
      <c r="U200" s="329">
        <v>8602</v>
      </c>
      <c r="V200" s="329">
        <v>5606</v>
      </c>
      <c r="W200" s="329">
        <v>14208</v>
      </c>
      <c r="X200" s="13"/>
      <c r="Y200" s="13"/>
    </row>
    <row r="201" spans="2:25" hidden="1" outlineLevel="1" x14ac:dyDescent="0.25">
      <c r="B201" s="328">
        <v>43709</v>
      </c>
      <c r="C201" s="331"/>
      <c r="D201" s="331"/>
      <c r="E201" s="331"/>
      <c r="F201" s="331"/>
      <c r="G201" s="331"/>
      <c r="H201" s="331"/>
      <c r="I201" s="331">
        <v>1940</v>
      </c>
      <c r="J201" s="331">
        <v>529</v>
      </c>
      <c r="K201" s="331">
        <v>2469</v>
      </c>
      <c r="L201" s="331">
        <v>805</v>
      </c>
      <c r="M201" s="331">
        <v>416</v>
      </c>
      <c r="N201" s="331">
        <v>1221</v>
      </c>
      <c r="O201" s="331">
        <v>4857</v>
      </c>
      <c r="P201" s="331">
        <v>3938</v>
      </c>
      <c r="Q201" s="331">
        <v>8795</v>
      </c>
      <c r="R201" s="331">
        <v>218</v>
      </c>
      <c r="S201" s="331">
        <v>239</v>
      </c>
      <c r="T201" s="331">
        <v>457</v>
      </c>
      <c r="U201" s="329">
        <v>7820</v>
      </c>
      <c r="V201" s="329">
        <v>5122</v>
      </c>
      <c r="W201" s="329">
        <v>12942</v>
      </c>
      <c r="X201" s="13"/>
      <c r="Y201" s="13"/>
    </row>
    <row r="202" spans="2:25" hidden="1" outlineLevel="1" x14ac:dyDescent="0.25">
      <c r="B202" s="328">
        <v>43739</v>
      </c>
      <c r="C202" s="331"/>
      <c r="D202" s="331"/>
      <c r="E202" s="331"/>
      <c r="F202" s="331"/>
      <c r="G202" s="331"/>
      <c r="H202" s="331"/>
      <c r="I202" s="331">
        <v>1865</v>
      </c>
      <c r="J202" s="331">
        <v>519</v>
      </c>
      <c r="K202" s="331">
        <v>2384</v>
      </c>
      <c r="L202" s="331">
        <v>840</v>
      </c>
      <c r="M202" s="331">
        <v>340</v>
      </c>
      <c r="N202" s="331">
        <v>1180</v>
      </c>
      <c r="O202" s="331">
        <v>4442</v>
      </c>
      <c r="P202" s="331">
        <v>3407</v>
      </c>
      <c r="Q202" s="331">
        <v>7849</v>
      </c>
      <c r="R202" s="331">
        <v>184</v>
      </c>
      <c r="S202" s="331">
        <v>176</v>
      </c>
      <c r="T202" s="331">
        <v>360</v>
      </c>
      <c r="U202" s="329">
        <v>7331</v>
      </c>
      <c r="V202" s="329">
        <v>4442</v>
      </c>
      <c r="W202" s="329">
        <v>11773</v>
      </c>
      <c r="X202" s="13"/>
      <c r="Y202" s="13"/>
    </row>
    <row r="203" spans="2:25" hidden="1" outlineLevel="1" x14ac:dyDescent="0.25">
      <c r="B203" s="328">
        <v>43770</v>
      </c>
      <c r="C203" s="331"/>
      <c r="D203" s="331"/>
      <c r="E203" s="331"/>
      <c r="F203" s="331"/>
      <c r="G203" s="331"/>
      <c r="H203" s="331"/>
      <c r="I203" s="331">
        <v>1706</v>
      </c>
      <c r="J203" s="331">
        <v>562</v>
      </c>
      <c r="K203" s="331">
        <v>2268</v>
      </c>
      <c r="L203" s="331">
        <v>688</v>
      </c>
      <c r="M203" s="331">
        <v>316</v>
      </c>
      <c r="N203" s="331">
        <v>1004</v>
      </c>
      <c r="O203" s="331">
        <v>4407</v>
      </c>
      <c r="P203" s="331">
        <v>3473</v>
      </c>
      <c r="Q203" s="331">
        <v>7880</v>
      </c>
      <c r="R203" s="331">
        <v>197</v>
      </c>
      <c r="S203" s="331">
        <v>191</v>
      </c>
      <c r="T203" s="331">
        <v>388</v>
      </c>
      <c r="U203" s="329">
        <v>6998</v>
      </c>
      <c r="V203" s="329">
        <v>4542</v>
      </c>
      <c r="W203" s="329">
        <v>11540</v>
      </c>
      <c r="X203" s="13"/>
      <c r="Y203" s="13"/>
    </row>
    <row r="204" spans="2:25" hidden="1" outlineLevel="1" x14ac:dyDescent="0.25">
      <c r="B204" s="328">
        <v>43800</v>
      </c>
      <c r="C204" s="331"/>
      <c r="D204" s="331"/>
      <c r="E204" s="331"/>
      <c r="F204" s="331"/>
      <c r="G204" s="331"/>
      <c r="H204" s="331"/>
      <c r="I204" s="331">
        <v>2295</v>
      </c>
      <c r="J204" s="331">
        <v>650</v>
      </c>
      <c r="K204" s="331">
        <v>2945</v>
      </c>
      <c r="L204" s="331">
        <v>1152</v>
      </c>
      <c r="M204" s="331">
        <v>509</v>
      </c>
      <c r="N204" s="331">
        <v>1661</v>
      </c>
      <c r="O204" s="331">
        <v>7261</v>
      </c>
      <c r="P204" s="331">
        <v>6275</v>
      </c>
      <c r="Q204" s="331">
        <v>13536</v>
      </c>
      <c r="R204" s="331">
        <v>290</v>
      </c>
      <c r="S204" s="331">
        <v>330</v>
      </c>
      <c r="T204" s="331">
        <v>620</v>
      </c>
      <c r="U204" s="329">
        <v>10998</v>
      </c>
      <c r="V204" s="329">
        <v>7764</v>
      </c>
      <c r="W204" s="329">
        <v>18762</v>
      </c>
      <c r="X204" s="13"/>
      <c r="Y204" s="13"/>
    </row>
    <row r="205" spans="2:25" collapsed="1" x14ac:dyDescent="0.25">
      <c r="B205" s="330" t="s">
        <v>701</v>
      </c>
      <c r="C205" s="329" t="s">
        <v>781</v>
      </c>
      <c r="D205" s="329" t="s">
        <v>781</v>
      </c>
      <c r="E205" s="329" t="s">
        <v>781</v>
      </c>
      <c r="F205" s="329" t="s">
        <v>781</v>
      </c>
      <c r="G205" s="329" t="s">
        <v>781</v>
      </c>
      <c r="H205" s="329" t="s">
        <v>781</v>
      </c>
      <c r="I205" s="329">
        <v>1905</v>
      </c>
      <c r="J205" s="329">
        <v>573</v>
      </c>
      <c r="K205" s="329">
        <v>2478</v>
      </c>
      <c r="L205" s="329">
        <v>948</v>
      </c>
      <c r="M205" s="329">
        <v>439</v>
      </c>
      <c r="N205" s="329">
        <v>1386</v>
      </c>
      <c r="O205" s="329">
        <v>5122</v>
      </c>
      <c r="P205" s="329">
        <v>4284</v>
      </c>
      <c r="Q205" s="329">
        <v>9406</v>
      </c>
      <c r="R205" s="329">
        <v>252</v>
      </c>
      <c r="S205" s="329">
        <v>254</v>
      </c>
      <c r="T205" s="329">
        <v>506</v>
      </c>
      <c r="U205" s="329">
        <v>8227</v>
      </c>
      <c r="V205" s="329">
        <v>5549</v>
      </c>
      <c r="W205" s="329">
        <v>13776</v>
      </c>
      <c r="X205" s="13"/>
      <c r="Y205" s="13"/>
    </row>
    <row r="206" spans="2:25" hidden="1" outlineLevel="1" x14ac:dyDescent="0.25">
      <c r="B206" s="328">
        <v>43831</v>
      </c>
      <c r="C206" s="331"/>
      <c r="D206" s="331"/>
      <c r="E206" s="331"/>
      <c r="F206" s="331"/>
      <c r="G206" s="331"/>
      <c r="H206" s="331"/>
      <c r="I206" s="331">
        <v>2312</v>
      </c>
      <c r="J206" s="331">
        <v>698</v>
      </c>
      <c r="K206" s="331">
        <v>3010</v>
      </c>
      <c r="L206" s="331">
        <v>1196</v>
      </c>
      <c r="M206" s="331">
        <v>557</v>
      </c>
      <c r="N206" s="331">
        <v>1753</v>
      </c>
      <c r="O206" s="331">
        <v>10259</v>
      </c>
      <c r="P206" s="331">
        <v>9632</v>
      </c>
      <c r="Q206" s="331">
        <v>19891</v>
      </c>
      <c r="R206" s="331">
        <v>371</v>
      </c>
      <c r="S206" s="331">
        <v>370</v>
      </c>
      <c r="T206" s="331">
        <v>741</v>
      </c>
      <c r="U206" s="329">
        <v>14138</v>
      </c>
      <c r="V206" s="329">
        <v>11257</v>
      </c>
      <c r="W206" s="329">
        <v>25395</v>
      </c>
      <c r="X206" s="13"/>
      <c r="Y206" s="13"/>
    </row>
    <row r="207" spans="2:25" hidden="1" outlineLevel="1" x14ac:dyDescent="0.25">
      <c r="B207" s="328">
        <v>43862</v>
      </c>
      <c r="C207" s="331"/>
      <c r="D207" s="331"/>
      <c r="E207" s="331"/>
      <c r="F207" s="331"/>
      <c r="G207" s="331"/>
      <c r="H207" s="331"/>
      <c r="I207" s="331">
        <v>1941</v>
      </c>
      <c r="J207" s="331">
        <v>581</v>
      </c>
      <c r="K207" s="331">
        <v>2522</v>
      </c>
      <c r="L207" s="331">
        <v>1061</v>
      </c>
      <c r="M207" s="331">
        <v>498</v>
      </c>
      <c r="N207" s="331">
        <v>1559</v>
      </c>
      <c r="O207" s="331">
        <v>12901</v>
      </c>
      <c r="P207" s="331">
        <v>11258</v>
      </c>
      <c r="Q207" s="331">
        <v>24159</v>
      </c>
      <c r="R207" s="331">
        <v>396</v>
      </c>
      <c r="S207" s="331">
        <v>449</v>
      </c>
      <c r="T207" s="331">
        <v>845</v>
      </c>
      <c r="U207" s="329">
        <v>16299</v>
      </c>
      <c r="V207" s="329">
        <v>12786</v>
      </c>
      <c r="W207" s="329">
        <v>29085</v>
      </c>
      <c r="X207" s="13"/>
      <c r="Y207" s="13"/>
    </row>
    <row r="208" spans="2:25" hidden="1" outlineLevel="1" x14ac:dyDescent="0.25">
      <c r="B208" s="328">
        <v>43891</v>
      </c>
      <c r="C208" s="331"/>
      <c r="D208" s="331"/>
      <c r="E208" s="331"/>
      <c r="F208" s="331"/>
      <c r="G208" s="331"/>
      <c r="H208" s="331"/>
      <c r="I208" s="331">
        <v>1506</v>
      </c>
      <c r="J208" s="331">
        <v>494</v>
      </c>
      <c r="K208" s="331">
        <v>2000</v>
      </c>
      <c r="L208" s="331">
        <v>721</v>
      </c>
      <c r="M208" s="331">
        <v>398</v>
      </c>
      <c r="N208" s="331">
        <v>1119</v>
      </c>
      <c r="O208" s="331">
        <v>6539</v>
      </c>
      <c r="P208" s="331">
        <v>6109</v>
      </c>
      <c r="Q208" s="331">
        <v>12648</v>
      </c>
      <c r="R208" s="331">
        <v>263</v>
      </c>
      <c r="S208" s="331">
        <v>264</v>
      </c>
      <c r="T208" s="331">
        <v>527</v>
      </c>
      <c r="U208" s="329">
        <v>9029</v>
      </c>
      <c r="V208" s="329">
        <v>7265</v>
      </c>
      <c r="W208" s="329">
        <v>16294</v>
      </c>
      <c r="X208" s="13"/>
      <c r="Y208" s="13"/>
    </row>
    <row r="209" spans="2:25" hidden="1" outlineLevel="1" x14ac:dyDescent="0.25">
      <c r="B209" s="328">
        <v>43922</v>
      </c>
      <c r="C209" s="331"/>
      <c r="D209" s="331"/>
      <c r="E209" s="331"/>
      <c r="F209" s="331"/>
      <c r="G209" s="331"/>
      <c r="H209" s="331"/>
      <c r="I209" s="331">
        <v>1007</v>
      </c>
      <c r="J209" s="331">
        <v>361</v>
      </c>
      <c r="K209" s="331">
        <v>1368</v>
      </c>
      <c r="L209" s="331">
        <v>311</v>
      </c>
      <c r="M209" s="331">
        <v>151</v>
      </c>
      <c r="N209" s="331">
        <v>462</v>
      </c>
      <c r="O209" s="331">
        <v>3390</v>
      </c>
      <c r="P209" s="331">
        <v>3427</v>
      </c>
      <c r="Q209" s="331">
        <v>6817</v>
      </c>
      <c r="R209" s="331">
        <v>229</v>
      </c>
      <c r="S209" s="331">
        <v>221</v>
      </c>
      <c r="T209" s="331">
        <v>450</v>
      </c>
      <c r="U209" s="329">
        <v>4937</v>
      </c>
      <c r="V209" s="329">
        <v>4160</v>
      </c>
      <c r="W209" s="329">
        <v>9097</v>
      </c>
      <c r="X209" s="13"/>
      <c r="Y209" s="13"/>
    </row>
    <row r="210" spans="2:25" hidden="1" outlineLevel="1" x14ac:dyDescent="0.25">
      <c r="B210" s="328">
        <v>43952</v>
      </c>
      <c r="C210" s="331"/>
      <c r="D210" s="331"/>
      <c r="E210" s="331"/>
      <c r="F210" s="331"/>
      <c r="G210" s="331"/>
      <c r="H210" s="331"/>
      <c r="I210" s="331">
        <v>1582</v>
      </c>
      <c r="J210" s="331">
        <v>476</v>
      </c>
      <c r="K210" s="331">
        <v>2058</v>
      </c>
      <c r="L210" s="331">
        <v>574</v>
      </c>
      <c r="M210" s="331">
        <v>269</v>
      </c>
      <c r="N210" s="331">
        <v>843</v>
      </c>
      <c r="O210" s="331">
        <v>5247</v>
      </c>
      <c r="P210" s="331">
        <v>5642</v>
      </c>
      <c r="Q210" s="331">
        <v>10889</v>
      </c>
      <c r="R210" s="331">
        <v>380</v>
      </c>
      <c r="S210" s="331">
        <v>338</v>
      </c>
      <c r="T210" s="331">
        <v>718</v>
      </c>
      <c r="U210" s="329">
        <v>7783</v>
      </c>
      <c r="V210" s="329">
        <v>6725</v>
      </c>
      <c r="W210" s="329">
        <v>14508</v>
      </c>
      <c r="X210" s="13"/>
      <c r="Y210" s="13"/>
    </row>
    <row r="211" spans="2:25" hidden="1" outlineLevel="1" x14ac:dyDescent="0.25">
      <c r="B211" s="328">
        <v>43983</v>
      </c>
      <c r="C211" s="331"/>
      <c r="D211" s="331"/>
      <c r="E211" s="331"/>
      <c r="F211" s="331"/>
      <c r="G211" s="331"/>
      <c r="H211" s="331"/>
      <c r="I211" s="331">
        <v>1449</v>
      </c>
      <c r="J211" s="331">
        <v>470</v>
      </c>
      <c r="K211" s="331">
        <v>1919</v>
      </c>
      <c r="L211" s="331">
        <v>503</v>
      </c>
      <c r="M211" s="331">
        <v>270</v>
      </c>
      <c r="N211" s="331">
        <v>773</v>
      </c>
      <c r="O211" s="331">
        <v>4830</v>
      </c>
      <c r="P211" s="331">
        <v>4771</v>
      </c>
      <c r="Q211" s="331">
        <v>9601</v>
      </c>
      <c r="R211" s="331">
        <v>306</v>
      </c>
      <c r="S211" s="331">
        <v>331</v>
      </c>
      <c r="T211" s="331">
        <v>637</v>
      </c>
      <c r="U211" s="329">
        <v>7088</v>
      </c>
      <c r="V211" s="329">
        <v>5842</v>
      </c>
      <c r="W211" s="329">
        <v>12930</v>
      </c>
      <c r="X211" s="13"/>
      <c r="Y211" s="13"/>
    </row>
    <row r="212" spans="2:25" hidden="1" outlineLevel="1" x14ac:dyDescent="0.25">
      <c r="B212" s="328">
        <v>44013</v>
      </c>
      <c r="C212" s="331"/>
      <c r="D212" s="331"/>
      <c r="E212" s="331"/>
      <c r="F212" s="331"/>
      <c r="G212" s="331"/>
      <c r="H212" s="331"/>
      <c r="I212" s="331">
        <v>2138</v>
      </c>
      <c r="J212" s="331">
        <v>678</v>
      </c>
      <c r="K212" s="331">
        <v>2816</v>
      </c>
      <c r="L212" s="331">
        <v>617</v>
      </c>
      <c r="M212" s="331">
        <v>322</v>
      </c>
      <c r="N212" s="331">
        <v>939</v>
      </c>
      <c r="O212" s="331">
        <v>6230</v>
      </c>
      <c r="P212" s="331">
        <v>5184</v>
      </c>
      <c r="Q212" s="331">
        <v>11414</v>
      </c>
      <c r="R212" s="331">
        <v>249</v>
      </c>
      <c r="S212" s="331">
        <v>281</v>
      </c>
      <c r="T212" s="331">
        <v>530</v>
      </c>
      <c r="U212" s="329">
        <v>9234</v>
      </c>
      <c r="V212" s="329">
        <v>6465</v>
      </c>
      <c r="W212" s="329">
        <v>15699</v>
      </c>
      <c r="X212" s="13"/>
      <c r="Y212" s="13"/>
    </row>
    <row r="213" spans="2:25" hidden="1" outlineLevel="1" x14ac:dyDescent="0.25">
      <c r="B213" s="328">
        <v>44044</v>
      </c>
      <c r="C213" s="331"/>
      <c r="D213" s="331"/>
      <c r="E213" s="331"/>
      <c r="F213" s="331"/>
      <c r="G213" s="331"/>
      <c r="H213" s="331"/>
      <c r="I213" s="331">
        <v>2359</v>
      </c>
      <c r="J213" s="331">
        <v>707</v>
      </c>
      <c r="K213" s="331">
        <v>3066</v>
      </c>
      <c r="L213" s="331">
        <v>779</v>
      </c>
      <c r="M213" s="331">
        <v>402</v>
      </c>
      <c r="N213" s="331">
        <v>1181</v>
      </c>
      <c r="O213" s="331">
        <v>8006</v>
      </c>
      <c r="P213" s="331">
        <v>6797</v>
      </c>
      <c r="Q213" s="331">
        <v>14803</v>
      </c>
      <c r="R213" s="331">
        <v>300</v>
      </c>
      <c r="S213" s="331">
        <v>327</v>
      </c>
      <c r="T213" s="331">
        <v>627</v>
      </c>
      <c r="U213" s="329">
        <v>11444</v>
      </c>
      <c r="V213" s="329">
        <v>8233</v>
      </c>
      <c r="W213" s="329">
        <v>19677</v>
      </c>
      <c r="X213" s="13"/>
      <c r="Y213" s="13"/>
    </row>
    <row r="214" spans="2:25" hidden="1" outlineLevel="1" x14ac:dyDescent="0.25">
      <c r="B214" s="328">
        <v>44075</v>
      </c>
      <c r="C214" s="331"/>
      <c r="D214" s="331"/>
      <c r="E214" s="331"/>
      <c r="F214" s="331"/>
      <c r="G214" s="331"/>
      <c r="H214" s="331"/>
      <c r="I214" s="331">
        <v>2368</v>
      </c>
      <c r="J214" s="331">
        <v>642</v>
      </c>
      <c r="K214" s="331">
        <v>3010</v>
      </c>
      <c r="L214" s="331">
        <v>902</v>
      </c>
      <c r="M214" s="331">
        <v>520</v>
      </c>
      <c r="N214" s="331">
        <v>1422</v>
      </c>
      <c r="O214" s="331">
        <v>8207</v>
      </c>
      <c r="P214" s="331">
        <v>6206</v>
      </c>
      <c r="Q214" s="331">
        <v>14413</v>
      </c>
      <c r="R214" s="331">
        <v>334</v>
      </c>
      <c r="S214" s="331">
        <v>398</v>
      </c>
      <c r="T214" s="331">
        <v>732</v>
      </c>
      <c r="U214" s="329">
        <v>11811</v>
      </c>
      <c r="V214" s="329">
        <v>7766</v>
      </c>
      <c r="W214" s="329">
        <v>19577</v>
      </c>
      <c r="X214" s="13"/>
      <c r="Y214" s="13"/>
    </row>
    <row r="215" spans="2:25" hidden="1" outlineLevel="1" x14ac:dyDescent="0.25">
      <c r="B215" s="328">
        <v>44105</v>
      </c>
      <c r="C215" s="331"/>
      <c r="D215" s="331"/>
      <c r="E215" s="331"/>
      <c r="F215" s="331"/>
      <c r="G215" s="331"/>
      <c r="H215" s="331"/>
      <c r="I215" s="331">
        <v>2462</v>
      </c>
      <c r="J215" s="331">
        <v>773</v>
      </c>
      <c r="K215" s="331">
        <v>3235</v>
      </c>
      <c r="L215" s="331">
        <v>1230</v>
      </c>
      <c r="M215" s="331">
        <v>581</v>
      </c>
      <c r="N215" s="331">
        <v>1811</v>
      </c>
      <c r="O215" s="331">
        <v>8846</v>
      </c>
      <c r="P215" s="331">
        <v>6567</v>
      </c>
      <c r="Q215" s="331">
        <v>15413</v>
      </c>
      <c r="R215" s="331">
        <v>365</v>
      </c>
      <c r="S215" s="331">
        <v>470</v>
      </c>
      <c r="T215" s="331">
        <v>835</v>
      </c>
      <c r="U215" s="329">
        <v>12903</v>
      </c>
      <c r="V215" s="329">
        <v>8391</v>
      </c>
      <c r="W215" s="329">
        <v>21294</v>
      </c>
      <c r="X215" s="13"/>
      <c r="Y215" s="13"/>
    </row>
    <row r="216" spans="2:25" hidden="1" outlineLevel="1" x14ac:dyDescent="0.25">
      <c r="B216" s="328">
        <v>44136</v>
      </c>
      <c r="C216" s="331"/>
      <c r="D216" s="331"/>
      <c r="E216" s="331"/>
      <c r="F216" s="331"/>
      <c r="G216" s="331"/>
      <c r="H216" s="331"/>
      <c r="I216" s="331">
        <v>2171</v>
      </c>
      <c r="J216" s="331">
        <v>688</v>
      </c>
      <c r="K216" s="331">
        <v>2859</v>
      </c>
      <c r="L216" s="331">
        <v>1079</v>
      </c>
      <c r="M216" s="331">
        <v>523</v>
      </c>
      <c r="N216" s="331">
        <v>1602</v>
      </c>
      <c r="O216" s="331">
        <v>7924</v>
      </c>
      <c r="P216" s="331">
        <v>6059</v>
      </c>
      <c r="Q216" s="331">
        <v>13983</v>
      </c>
      <c r="R216" s="331">
        <v>287</v>
      </c>
      <c r="S216" s="331">
        <v>318</v>
      </c>
      <c r="T216" s="331">
        <v>605</v>
      </c>
      <c r="U216" s="329">
        <v>11461</v>
      </c>
      <c r="V216" s="329">
        <v>7588</v>
      </c>
      <c r="W216" s="329">
        <v>19049</v>
      </c>
      <c r="X216" s="13"/>
      <c r="Y216" s="13"/>
    </row>
    <row r="217" spans="2:25" hidden="1" outlineLevel="1" x14ac:dyDescent="0.25">
      <c r="B217" s="328">
        <v>44166</v>
      </c>
      <c r="C217" s="331"/>
      <c r="D217" s="331"/>
      <c r="E217" s="331"/>
      <c r="F217" s="331"/>
      <c r="G217" s="331"/>
      <c r="H217" s="331"/>
      <c r="I217" s="331">
        <v>2042</v>
      </c>
      <c r="J217" s="331">
        <v>584</v>
      </c>
      <c r="K217" s="331">
        <v>2626</v>
      </c>
      <c r="L217" s="331">
        <v>1029</v>
      </c>
      <c r="M217" s="331">
        <v>515</v>
      </c>
      <c r="N217" s="331">
        <v>1544</v>
      </c>
      <c r="O217" s="331">
        <v>6956</v>
      </c>
      <c r="P217" s="331">
        <v>5594</v>
      </c>
      <c r="Q217" s="331">
        <v>12550</v>
      </c>
      <c r="R217" s="331">
        <v>234</v>
      </c>
      <c r="S217" s="331">
        <v>257</v>
      </c>
      <c r="T217" s="331">
        <v>491</v>
      </c>
      <c r="U217" s="329">
        <v>10261</v>
      </c>
      <c r="V217" s="329">
        <v>6950</v>
      </c>
      <c r="W217" s="329">
        <v>17211</v>
      </c>
      <c r="X217" s="13"/>
      <c r="Y217" s="13"/>
    </row>
    <row r="218" spans="2:25" collapsed="1" x14ac:dyDescent="0.25">
      <c r="B218" s="330" t="s">
        <v>702</v>
      </c>
      <c r="C218" s="329" t="s">
        <v>781</v>
      </c>
      <c r="D218" s="329" t="s">
        <v>781</v>
      </c>
      <c r="E218" s="329" t="s">
        <v>781</v>
      </c>
      <c r="F218" s="329" t="s">
        <v>781</v>
      </c>
      <c r="G218" s="329" t="s">
        <v>781</v>
      </c>
      <c r="H218" s="329" t="s">
        <v>781</v>
      </c>
      <c r="I218" s="329">
        <v>1945</v>
      </c>
      <c r="J218" s="329">
        <v>596</v>
      </c>
      <c r="K218" s="329">
        <v>2541</v>
      </c>
      <c r="L218" s="329">
        <v>834</v>
      </c>
      <c r="M218" s="329">
        <v>417</v>
      </c>
      <c r="N218" s="329">
        <v>1251</v>
      </c>
      <c r="O218" s="329">
        <v>7445</v>
      </c>
      <c r="P218" s="329">
        <v>6437</v>
      </c>
      <c r="Q218" s="329">
        <v>13882</v>
      </c>
      <c r="R218" s="329">
        <v>310</v>
      </c>
      <c r="S218" s="329">
        <v>335</v>
      </c>
      <c r="T218" s="329">
        <v>645</v>
      </c>
      <c r="U218" s="329">
        <v>10532</v>
      </c>
      <c r="V218" s="329">
        <v>7786</v>
      </c>
      <c r="W218" s="329">
        <v>18318</v>
      </c>
      <c r="X218" s="13"/>
      <c r="Y218" s="13"/>
    </row>
    <row r="219" spans="2:25" hidden="1" outlineLevel="1" x14ac:dyDescent="0.25">
      <c r="B219" s="328">
        <v>44197</v>
      </c>
      <c r="C219" s="331"/>
      <c r="D219" s="331"/>
      <c r="E219" s="331"/>
      <c r="F219" s="331"/>
      <c r="G219" s="331"/>
      <c r="H219" s="331"/>
      <c r="I219" s="331">
        <v>2022</v>
      </c>
      <c r="J219" s="331">
        <v>604</v>
      </c>
      <c r="K219" s="331">
        <v>2626</v>
      </c>
      <c r="L219" s="331">
        <v>1166</v>
      </c>
      <c r="M219" s="331">
        <v>720</v>
      </c>
      <c r="N219" s="331">
        <v>1886</v>
      </c>
      <c r="O219" s="331">
        <v>7345</v>
      </c>
      <c r="P219" s="331">
        <v>5352</v>
      </c>
      <c r="Q219" s="331">
        <v>12697</v>
      </c>
      <c r="R219" s="331">
        <v>428</v>
      </c>
      <c r="S219" s="331">
        <v>517</v>
      </c>
      <c r="T219" s="331">
        <v>945</v>
      </c>
      <c r="U219" s="329">
        <v>10961</v>
      </c>
      <c r="V219" s="329">
        <v>7193</v>
      </c>
      <c r="W219" s="329">
        <v>18154</v>
      </c>
      <c r="X219" s="13"/>
      <c r="Y219" s="13"/>
    </row>
    <row r="220" spans="2:25" hidden="1" outlineLevel="1" x14ac:dyDescent="0.25">
      <c r="B220" s="328">
        <v>44228</v>
      </c>
      <c r="C220" s="331"/>
      <c r="D220" s="331"/>
      <c r="E220" s="331"/>
      <c r="F220" s="331"/>
      <c r="G220" s="331"/>
      <c r="H220" s="331"/>
      <c r="I220" s="331">
        <v>1834</v>
      </c>
      <c r="J220" s="331">
        <v>519</v>
      </c>
      <c r="K220" s="331">
        <v>2353</v>
      </c>
      <c r="L220" s="331">
        <v>1033</v>
      </c>
      <c r="M220" s="331">
        <v>574</v>
      </c>
      <c r="N220" s="331">
        <v>1607</v>
      </c>
      <c r="O220" s="331">
        <v>6860</v>
      </c>
      <c r="P220" s="331">
        <v>5345</v>
      </c>
      <c r="Q220" s="331">
        <v>12205</v>
      </c>
      <c r="R220" s="331">
        <v>402</v>
      </c>
      <c r="S220" s="331">
        <v>460</v>
      </c>
      <c r="T220" s="331">
        <v>862</v>
      </c>
      <c r="U220" s="329">
        <v>10129</v>
      </c>
      <c r="V220" s="329">
        <v>6898</v>
      </c>
      <c r="W220" s="329">
        <v>17027</v>
      </c>
      <c r="X220" s="13"/>
      <c r="Y220" s="13"/>
    </row>
    <row r="221" spans="2:25" hidden="1" outlineLevel="1" x14ac:dyDescent="0.25">
      <c r="B221" s="328">
        <v>44256</v>
      </c>
      <c r="C221" s="331"/>
      <c r="D221" s="331"/>
      <c r="E221" s="331"/>
      <c r="F221" s="331"/>
      <c r="G221" s="331"/>
      <c r="H221" s="331"/>
      <c r="I221" s="331">
        <v>1992</v>
      </c>
      <c r="J221" s="331">
        <v>686</v>
      </c>
      <c r="K221" s="331">
        <v>2678</v>
      </c>
      <c r="L221" s="331">
        <v>1277</v>
      </c>
      <c r="M221" s="331">
        <v>654</v>
      </c>
      <c r="N221" s="331">
        <v>1931</v>
      </c>
      <c r="O221" s="331">
        <v>7991</v>
      </c>
      <c r="P221" s="331">
        <v>6603</v>
      </c>
      <c r="Q221" s="331">
        <v>14594</v>
      </c>
      <c r="R221" s="331">
        <v>1205</v>
      </c>
      <c r="S221" s="331">
        <v>1595</v>
      </c>
      <c r="T221" s="331">
        <v>2800</v>
      </c>
      <c r="U221" s="329">
        <v>12465</v>
      </c>
      <c r="V221" s="329">
        <v>9538</v>
      </c>
      <c r="W221" s="329">
        <v>22003</v>
      </c>
      <c r="X221" s="13"/>
      <c r="Y221" s="13"/>
    </row>
    <row r="222" spans="2:25" hidden="1" outlineLevel="1" x14ac:dyDescent="0.25">
      <c r="B222" s="328">
        <v>44287</v>
      </c>
      <c r="C222" s="331"/>
      <c r="D222" s="331"/>
      <c r="E222" s="331"/>
      <c r="F222" s="331"/>
      <c r="G222" s="331"/>
      <c r="H222" s="331"/>
      <c r="I222" s="331">
        <v>2259</v>
      </c>
      <c r="J222" s="331">
        <v>694</v>
      </c>
      <c r="K222" s="331">
        <v>2953</v>
      </c>
      <c r="L222" s="331">
        <v>1437</v>
      </c>
      <c r="M222" s="331">
        <v>690</v>
      </c>
      <c r="N222" s="331">
        <v>2127</v>
      </c>
      <c r="O222" s="331">
        <v>7730</v>
      </c>
      <c r="P222" s="331">
        <v>6023</v>
      </c>
      <c r="Q222" s="331">
        <v>13753</v>
      </c>
      <c r="R222" s="331">
        <v>1351</v>
      </c>
      <c r="S222" s="331">
        <v>1712</v>
      </c>
      <c r="T222" s="331">
        <v>3063</v>
      </c>
      <c r="U222" s="329">
        <v>12777</v>
      </c>
      <c r="V222" s="329">
        <v>9119</v>
      </c>
      <c r="W222" s="329">
        <v>21896</v>
      </c>
      <c r="X222" s="13"/>
      <c r="Y222" s="13"/>
    </row>
    <row r="223" spans="2:25" hidden="1" outlineLevel="1" x14ac:dyDescent="0.25">
      <c r="B223" s="328">
        <v>44317</v>
      </c>
      <c r="C223" s="331"/>
      <c r="D223" s="331"/>
      <c r="E223" s="331"/>
      <c r="F223" s="331"/>
      <c r="G223" s="331"/>
      <c r="H223" s="331"/>
      <c r="I223" s="331">
        <v>2500</v>
      </c>
      <c r="J223" s="331">
        <v>847</v>
      </c>
      <c r="K223" s="331">
        <v>3347</v>
      </c>
      <c r="L223" s="331">
        <v>1460</v>
      </c>
      <c r="M223" s="331">
        <v>817</v>
      </c>
      <c r="N223" s="331">
        <v>2277</v>
      </c>
      <c r="O223" s="331">
        <v>7823</v>
      </c>
      <c r="P223" s="331">
        <v>5905</v>
      </c>
      <c r="Q223" s="331">
        <v>13728</v>
      </c>
      <c r="R223" s="331">
        <v>873</v>
      </c>
      <c r="S223" s="331">
        <v>1246</v>
      </c>
      <c r="T223" s="331">
        <v>2119</v>
      </c>
      <c r="U223" s="329">
        <v>12656</v>
      </c>
      <c r="V223" s="329">
        <v>8815</v>
      </c>
      <c r="W223" s="329">
        <v>21471</v>
      </c>
      <c r="X223" s="13"/>
      <c r="Y223" s="13"/>
    </row>
    <row r="224" spans="2:25" hidden="1" outlineLevel="1" x14ac:dyDescent="0.25">
      <c r="B224" s="328">
        <v>44348</v>
      </c>
      <c r="C224" s="331"/>
      <c r="D224" s="331"/>
      <c r="E224" s="331"/>
      <c r="F224" s="331"/>
      <c r="G224" s="331"/>
      <c r="H224" s="331"/>
      <c r="I224" s="331">
        <v>2691</v>
      </c>
      <c r="J224" s="331">
        <v>908</v>
      </c>
      <c r="K224" s="331">
        <v>3599</v>
      </c>
      <c r="L224" s="331">
        <v>1392</v>
      </c>
      <c r="M224" s="331">
        <v>733</v>
      </c>
      <c r="N224" s="331">
        <v>2125</v>
      </c>
      <c r="O224" s="331">
        <v>7728</v>
      </c>
      <c r="P224" s="331">
        <v>5769</v>
      </c>
      <c r="Q224" s="331">
        <v>13497</v>
      </c>
      <c r="R224" s="331">
        <v>707</v>
      </c>
      <c r="S224" s="331">
        <v>1031</v>
      </c>
      <c r="T224" s="331">
        <v>1738</v>
      </c>
      <c r="U224" s="329">
        <v>12518</v>
      </c>
      <c r="V224" s="329">
        <v>8441</v>
      </c>
      <c r="W224" s="329">
        <v>20959</v>
      </c>
      <c r="X224" s="13"/>
      <c r="Y224" s="13"/>
    </row>
    <row r="225" spans="2:25" hidden="1" outlineLevel="1" x14ac:dyDescent="0.25">
      <c r="B225" s="328">
        <v>44378</v>
      </c>
      <c r="C225" s="331"/>
      <c r="D225" s="331"/>
      <c r="E225" s="331"/>
      <c r="F225" s="331"/>
      <c r="G225" s="331"/>
      <c r="H225" s="331"/>
      <c r="I225" s="331">
        <v>3028</v>
      </c>
      <c r="J225" s="331">
        <v>1087</v>
      </c>
      <c r="K225" s="331">
        <v>4115</v>
      </c>
      <c r="L225" s="331">
        <v>1586</v>
      </c>
      <c r="M225" s="331">
        <v>823</v>
      </c>
      <c r="N225" s="331">
        <v>2409</v>
      </c>
      <c r="O225" s="331">
        <v>9141</v>
      </c>
      <c r="P225" s="331">
        <v>6684</v>
      </c>
      <c r="Q225" s="331">
        <v>15825</v>
      </c>
      <c r="R225" s="331">
        <v>632</v>
      </c>
      <c r="S225" s="331">
        <v>977</v>
      </c>
      <c r="T225" s="331">
        <v>1609</v>
      </c>
      <c r="U225" s="329">
        <v>14387</v>
      </c>
      <c r="V225" s="329">
        <v>9571</v>
      </c>
      <c r="W225" s="329">
        <v>23958</v>
      </c>
      <c r="X225" s="13"/>
      <c r="Y225" s="13"/>
    </row>
    <row r="226" spans="2:25" hidden="1" outlineLevel="1" x14ac:dyDescent="0.25">
      <c r="B226" s="328">
        <v>44409</v>
      </c>
      <c r="C226" s="331"/>
      <c r="D226" s="331"/>
      <c r="E226" s="331"/>
      <c r="F226" s="331"/>
      <c r="G226" s="331"/>
      <c r="H226" s="331"/>
      <c r="I226" s="331">
        <v>3101</v>
      </c>
      <c r="J226" s="331">
        <v>1197</v>
      </c>
      <c r="K226" s="331">
        <v>4298</v>
      </c>
      <c r="L226" s="331">
        <v>1720</v>
      </c>
      <c r="M226" s="331">
        <v>921</v>
      </c>
      <c r="N226" s="331">
        <v>2641</v>
      </c>
      <c r="O226" s="331">
        <v>10242</v>
      </c>
      <c r="P226" s="331">
        <v>7981</v>
      </c>
      <c r="Q226" s="331">
        <v>18223</v>
      </c>
      <c r="R226" s="331">
        <v>646</v>
      </c>
      <c r="S226" s="331">
        <v>907</v>
      </c>
      <c r="T226" s="331">
        <v>1553</v>
      </c>
      <c r="U226" s="329">
        <v>15709</v>
      </c>
      <c r="V226" s="329">
        <v>11006</v>
      </c>
      <c r="W226" s="329">
        <v>26715</v>
      </c>
      <c r="X226" s="13"/>
      <c r="Y226" s="13"/>
    </row>
    <row r="227" spans="2:25" hidden="1" outlineLevel="1" x14ac:dyDescent="0.25">
      <c r="B227" s="328">
        <v>44440</v>
      </c>
      <c r="C227" s="331"/>
      <c r="D227" s="331"/>
      <c r="E227" s="331"/>
      <c r="F227" s="331"/>
      <c r="G227" s="331"/>
      <c r="H227" s="331"/>
      <c r="I227" s="331">
        <v>3308</v>
      </c>
      <c r="J227" s="331">
        <v>1220</v>
      </c>
      <c r="K227" s="331">
        <v>4528</v>
      </c>
      <c r="L227" s="331">
        <v>1584</v>
      </c>
      <c r="M227" s="331">
        <v>746</v>
      </c>
      <c r="N227" s="331">
        <v>2330</v>
      </c>
      <c r="O227" s="331">
        <v>11151</v>
      </c>
      <c r="P227" s="331">
        <v>8667</v>
      </c>
      <c r="Q227" s="331">
        <v>19818</v>
      </c>
      <c r="R227" s="331">
        <v>603</v>
      </c>
      <c r="S227" s="331">
        <v>841</v>
      </c>
      <c r="T227" s="331">
        <v>1444</v>
      </c>
      <c r="U227" s="329">
        <v>16646</v>
      </c>
      <c r="V227" s="329">
        <v>11474</v>
      </c>
      <c r="W227" s="329">
        <v>28120</v>
      </c>
      <c r="X227" s="13"/>
      <c r="Y227" s="13"/>
    </row>
    <row r="228" spans="2:25" hidden="1" outlineLevel="1" x14ac:dyDescent="0.25">
      <c r="B228" s="328">
        <v>44470</v>
      </c>
      <c r="C228" s="331"/>
      <c r="D228" s="331"/>
      <c r="E228" s="331"/>
      <c r="F228" s="331"/>
      <c r="G228" s="331"/>
      <c r="H228" s="331"/>
      <c r="I228" s="331">
        <v>2512</v>
      </c>
      <c r="J228" s="331">
        <v>965</v>
      </c>
      <c r="K228" s="331">
        <v>3477</v>
      </c>
      <c r="L228" s="331">
        <v>1686</v>
      </c>
      <c r="M228" s="331">
        <v>775</v>
      </c>
      <c r="N228" s="331">
        <v>2461</v>
      </c>
      <c r="O228" s="331">
        <v>9980</v>
      </c>
      <c r="P228" s="331">
        <v>7721</v>
      </c>
      <c r="Q228" s="331">
        <v>17701</v>
      </c>
      <c r="R228" s="331">
        <v>562</v>
      </c>
      <c r="S228" s="331">
        <v>873</v>
      </c>
      <c r="T228" s="331">
        <v>1435</v>
      </c>
      <c r="U228" s="329">
        <v>14740</v>
      </c>
      <c r="V228" s="329">
        <v>10334</v>
      </c>
      <c r="W228" s="329">
        <v>25074</v>
      </c>
      <c r="X228" s="13"/>
      <c r="Y228" s="13"/>
    </row>
    <row r="229" spans="2:25" hidden="1" outlineLevel="1" x14ac:dyDescent="0.25">
      <c r="B229" s="328">
        <v>44501</v>
      </c>
      <c r="C229" s="331"/>
      <c r="D229" s="331"/>
      <c r="E229" s="331"/>
      <c r="F229" s="331"/>
      <c r="G229" s="331"/>
      <c r="H229" s="331"/>
      <c r="I229" s="331">
        <v>2874</v>
      </c>
      <c r="J229" s="331">
        <v>1008</v>
      </c>
      <c r="K229" s="331">
        <v>3882</v>
      </c>
      <c r="L229" s="331">
        <v>1847</v>
      </c>
      <c r="M229" s="331">
        <v>810</v>
      </c>
      <c r="N229" s="331">
        <v>2657</v>
      </c>
      <c r="O229" s="331">
        <v>11630</v>
      </c>
      <c r="P229" s="331">
        <v>8530</v>
      </c>
      <c r="Q229" s="331">
        <v>20160</v>
      </c>
      <c r="R229" s="331">
        <v>575</v>
      </c>
      <c r="S229" s="331">
        <v>923</v>
      </c>
      <c r="T229" s="331">
        <v>1498</v>
      </c>
      <c r="U229" s="329">
        <v>16926</v>
      </c>
      <c r="V229" s="329">
        <v>11271</v>
      </c>
      <c r="W229" s="329">
        <v>28197</v>
      </c>
      <c r="X229" s="13"/>
      <c r="Y229" s="13"/>
    </row>
    <row r="230" spans="2:25" hidden="1" outlineLevel="1" x14ac:dyDescent="0.25">
      <c r="B230" s="328">
        <v>44531</v>
      </c>
      <c r="C230" s="331"/>
      <c r="D230" s="331"/>
      <c r="E230" s="331"/>
      <c r="F230" s="331"/>
      <c r="G230" s="331"/>
      <c r="H230" s="331"/>
      <c r="I230" s="331">
        <v>2755</v>
      </c>
      <c r="J230" s="331">
        <v>1028</v>
      </c>
      <c r="K230" s="331">
        <v>3783</v>
      </c>
      <c r="L230" s="331">
        <v>1737</v>
      </c>
      <c r="M230" s="331">
        <v>773</v>
      </c>
      <c r="N230" s="331">
        <v>2510</v>
      </c>
      <c r="O230" s="331">
        <v>10348</v>
      </c>
      <c r="P230" s="331">
        <v>8555</v>
      </c>
      <c r="Q230" s="331">
        <v>18903</v>
      </c>
      <c r="R230" s="331">
        <v>606</v>
      </c>
      <c r="S230" s="331">
        <v>846</v>
      </c>
      <c r="T230" s="331">
        <v>1452</v>
      </c>
      <c r="U230" s="329">
        <v>15446</v>
      </c>
      <c r="V230" s="329">
        <v>11202</v>
      </c>
      <c r="W230" s="329">
        <v>26648</v>
      </c>
      <c r="X230" s="13"/>
      <c r="Y230" s="13"/>
    </row>
    <row r="231" spans="2:25" collapsed="1" x14ac:dyDescent="0.25">
      <c r="B231" s="330" t="s">
        <v>703</v>
      </c>
      <c r="C231" s="329" t="s">
        <v>781</v>
      </c>
      <c r="D231" s="329" t="s">
        <v>781</v>
      </c>
      <c r="E231" s="329" t="s">
        <v>781</v>
      </c>
      <c r="F231" s="329" t="s">
        <v>781</v>
      </c>
      <c r="G231" s="329" t="s">
        <v>781</v>
      </c>
      <c r="H231" s="329" t="s">
        <v>781</v>
      </c>
      <c r="I231" s="329">
        <v>2573</v>
      </c>
      <c r="J231" s="329">
        <v>897</v>
      </c>
      <c r="K231" s="329">
        <v>3470</v>
      </c>
      <c r="L231" s="329">
        <v>1494</v>
      </c>
      <c r="M231" s="329">
        <v>753</v>
      </c>
      <c r="N231" s="329">
        <v>2247</v>
      </c>
      <c r="O231" s="329">
        <v>8997</v>
      </c>
      <c r="P231" s="329">
        <v>6928</v>
      </c>
      <c r="Q231" s="329">
        <v>15925</v>
      </c>
      <c r="R231" s="329">
        <v>716</v>
      </c>
      <c r="S231" s="329">
        <v>994</v>
      </c>
      <c r="T231" s="329">
        <v>1710</v>
      </c>
      <c r="U231" s="329">
        <v>13780</v>
      </c>
      <c r="V231" s="329">
        <v>9572</v>
      </c>
      <c r="W231" s="329">
        <v>23352</v>
      </c>
      <c r="X231" s="13"/>
      <c r="Y231" s="13"/>
    </row>
    <row r="232" spans="2:25" hidden="1" outlineLevel="1" x14ac:dyDescent="0.25">
      <c r="B232" s="328">
        <v>44562</v>
      </c>
      <c r="C232" s="331"/>
      <c r="D232" s="331"/>
      <c r="E232" s="331"/>
      <c r="F232" s="331"/>
      <c r="G232" s="331"/>
      <c r="H232" s="331"/>
      <c r="I232" s="331">
        <v>3514</v>
      </c>
      <c r="J232" s="331">
        <v>1243</v>
      </c>
      <c r="K232" s="331">
        <v>4757</v>
      </c>
      <c r="L232" s="331">
        <v>2262</v>
      </c>
      <c r="M232" s="331">
        <v>938</v>
      </c>
      <c r="N232" s="331">
        <v>3200</v>
      </c>
      <c r="O232" s="331">
        <v>11788</v>
      </c>
      <c r="P232" s="331">
        <v>10306</v>
      </c>
      <c r="Q232" s="331">
        <v>22094</v>
      </c>
      <c r="R232" s="331">
        <v>684</v>
      </c>
      <c r="S232" s="331">
        <v>879</v>
      </c>
      <c r="T232" s="331">
        <v>1563</v>
      </c>
      <c r="U232" s="329">
        <v>18248</v>
      </c>
      <c r="V232" s="329">
        <v>13366</v>
      </c>
      <c r="W232" s="329">
        <v>31614</v>
      </c>
      <c r="X232" s="13"/>
      <c r="Y232" s="13"/>
    </row>
    <row r="233" spans="2:25" hidden="1" outlineLevel="1" x14ac:dyDescent="0.25">
      <c r="B233" s="328">
        <v>44593</v>
      </c>
      <c r="C233" s="331">
        <v>7438</v>
      </c>
      <c r="D233" s="331">
        <v>2420</v>
      </c>
      <c r="E233" s="331">
        <v>9858</v>
      </c>
      <c r="F233" s="331">
        <v>68542</v>
      </c>
      <c r="G233" s="331">
        <v>70810</v>
      </c>
      <c r="H233" s="331">
        <v>139352</v>
      </c>
      <c r="I233" s="331"/>
      <c r="J233" s="331"/>
      <c r="K233" s="331"/>
      <c r="L233" s="331">
        <v>1999</v>
      </c>
      <c r="M233" s="331">
        <v>988</v>
      </c>
      <c r="N233" s="331">
        <v>2987</v>
      </c>
      <c r="O233" s="331"/>
      <c r="P233" s="331"/>
      <c r="Q233" s="331"/>
      <c r="R233" s="331">
        <v>1326</v>
      </c>
      <c r="S233" s="331">
        <v>2031</v>
      </c>
      <c r="T233" s="331">
        <v>3357</v>
      </c>
      <c r="U233" s="329">
        <v>79305</v>
      </c>
      <c r="V233" s="329">
        <v>76249</v>
      </c>
      <c r="W233" s="329">
        <v>155554</v>
      </c>
      <c r="X233" s="13"/>
      <c r="Y233" s="13"/>
    </row>
    <row r="234" spans="2:25" hidden="1" outlineLevel="1" x14ac:dyDescent="0.25">
      <c r="B234" s="328">
        <v>44621</v>
      </c>
      <c r="C234" s="331">
        <v>1494</v>
      </c>
      <c r="D234" s="331">
        <v>474</v>
      </c>
      <c r="E234" s="331">
        <v>1968</v>
      </c>
      <c r="F234" s="331">
        <v>26665</v>
      </c>
      <c r="G234" s="331">
        <v>29260</v>
      </c>
      <c r="H234" s="331">
        <v>55925</v>
      </c>
      <c r="I234" s="331"/>
      <c r="J234" s="331"/>
      <c r="K234" s="331"/>
      <c r="L234" s="331">
        <v>2330</v>
      </c>
      <c r="M234" s="331">
        <v>1083</v>
      </c>
      <c r="N234" s="331">
        <v>3413</v>
      </c>
      <c r="O234" s="331"/>
      <c r="P234" s="331"/>
      <c r="Q234" s="331"/>
      <c r="R234" s="331">
        <v>770</v>
      </c>
      <c r="S234" s="331">
        <v>1171</v>
      </c>
      <c r="T234" s="331">
        <v>1941</v>
      </c>
      <c r="U234" s="329">
        <v>31259</v>
      </c>
      <c r="V234" s="329">
        <v>31988</v>
      </c>
      <c r="W234" s="329">
        <v>63247</v>
      </c>
      <c r="X234" s="13"/>
      <c r="Y234" s="13"/>
    </row>
    <row r="235" spans="2:25" hidden="1" outlineLevel="1" x14ac:dyDescent="0.25">
      <c r="B235" s="328">
        <v>44652</v>
      </c>
      <c r="C235" s="331">
        <v>1842</v>
      </c>
      <c r="D235" s="331">
        <v>782</v>
      </c>
      <c r="E235" s="331">
        <v>2624</v>
      </c>
      <c r="F235" s="331">
        <v>15676</v>
      </c>
      <c r="G235" s="331">
        <v>18387</v>
      </c>
      <c r="H235" s="331">
        <v>34063</v>
      </c>
      <c r="I235" s="331"/>
      <c r="J235" s="331"/>
      <c r="K235" s="331"/>
      <c r="L235" s="331">
        <v>2147</v>
      </c>
      <c r="M235" s="331">
        <v>954</v>
      </c>
      <c r="N235" s="331">
        <v>3101</v>
      </c>
      <c r="O235" s="331"/>
      <c r="P235" s="331"/>
      <c r="Q235" s="331"/>
      <c r="R235" s="331">
        <v>567</v>
      </c>
      <c r="S235" s="331">
        <v>792</v>
      </c>
      <c r="T235" s="331">
        <v>1359</v>
      </c>
      <c r="U235" s="329">
        <v>20232</v>
      </c>
      <c r="V235" s="329">
        <v>20915</v>
      </c>
      <c r="W235" s="329">
        <v>41147</v>
      </c>
      <c r="X235" s="13"/>
      <c r="Y235" s="13"/>
    </row>
    <row r="236" spans="2:25" hidden="1" outlineLevel="1" x14ac:dyDescent="0.25">
      <c r="B236" s="328">
        <v>44682</v>
      </c>
      <c r="C236" s="331">
        <v>2725</v>
      </c>
      <c r="D236" s="331">
        <v>1350</v>
      </c>
      <c r="E236" s="331">
        <v>4075</v>
      </c>
      <c r="F236" s="331">
        <v>13930</v>
      </c>
      <c r="G236" s="331">
        <v>17308</v>
      </c>
      <c r="H236" s="331">
        <v>31238</v>
      </c>
      <c r="I236" s="331"/>
      <c r="J236" s="331"/>
      <c r="K236" s="331"/>
      <c r="L236" s="331">
        <v>2159</v>
      </c>
      <c r="M236" s="331">
        <v>904</v>
      </c>
      <c r="N236" s="331">
        <v>3063</v>
      </c>
      <c r="O236" s="331"/>
      <c r="P236" s="331"/>
      <c r="Q236" s="331"/>
      <c r="R236" s="331">
        <v>553</v>
      </c>
      <c r="S236" s="331">
        <v>849</v>
      </c>
      <c r="T236" s="331">
        <v>1402</v>
      </c>
      <c r="U236" s="329">
        <v>19367</v>
      </c>
      <c r="V236" s="329">
        <v>20411</v>
      </c>
      <c r="W236" s="329">
        <v>39778</v>
      </c>
      <c r="X236" s="13"/>
      <c r="Y236" s="13"/>
    </row>
    <row r="237" spans="2:25" hidden="1" outlineLevel="1" x14ac:dyDescent="0.25">
      <c r="B237" s="328">
        <v>44713</v>
      </c>
      <c r="C237" s="331">
        <v>2660</v>
      </c>
      <c r="D237" s="331">
        <v>1372</v>
      </c>
      <c r="E237" s="331">
        <v>4032</v>
      </c>
      <c r="F237" s="331">
        <v>14126</v>
      </c>
      <c r="G237" s="331">
        <v>17821</v>
      </c>
      <c r="H237" s="331">
        <v>31947</v>
      </c>
      <c r="I237" s="331"/>
      <c r="J237" s="331"/>
      <c r="K237" s="331"/>
      <c r="L237" s="331">
        <v>1866</v>
      </c>
      <c r="M237" s="331">
        <v>819</v>
      </c>
      <c r="N237" s="331">
        <v>2685</v>
      </c>
      <c r="O237" s="331"/>
      <c r="P237" s="331"/>
      <c r="Q237" s="331"/>
      <c r="R237" s="331">
        <v>532</v>
      </c>
      <c r="S237" s="331">
        <v>830</v>
      </c>
      <c r="T237" s="331">
        <v>1362</v>
      </c>
      <c r="U237" s="329">
        <v>19184</v>
      </c>
      <c r="V237" s="329">
        <v>20842</v>
      </c>
      <c r="W237" s="329">
        <v>40026</v>
      </c>
      <c r="X237" s="13"/>
      <c r="Y237" s="13"/>
    </row>
    <row r="238" spans="2:25" hidden="1" outlineLevel="1" x14ac:dyDescent="0.25">
      <c r="B238" s="328">
        <v>44743</v>
      </c>
      <c r="C238" s="331">
        <v>2859</v>
      </c>
      <c r="D238" s="331">
        <v>1490</v>
      </c>
      <c r="E238" s="331">
        <v>4349</v>
      </c>
      <c r="F238" s="331">
        <v>15930</v>
      </c>
      <c r="G238" s="331">
        <v>19256</v>
      </c>
      <c r="H238" s="331">
        <v>35186</v>
      </c>
      <c r="I238" s="331"/>
      <c r="J238" s="331"/>
      <c r="K238" s="331"/>
      <c r="L238" s="331">
        <v>2174</v>
      </c>
      <c r="M238" s="331">
        <v>920</v>
      </c>
      <c r="N238" s="331">
        <v>3094</v>
      </c>
      <c r="O238" s="331"/>
      <c r="P238" s="331"/>
      <c r="Q238" s="331"/>
      <c r="R238" s="331">
        <v>604</v>
      </c>
      <c r="S238" s="331">
        <v>963</v>
      </c>
      <c r="T238" s="331">
        <v>1567</v>
      </c>
      <c r="U238" s="329">
        <v>21567</v>
      </c>
      <c r="V238" s="329">
        <v>22629</v>
      </c>
      <c r="W238" s="329">
        <v>44196</v>
      </c>
      <c r="X238" s="13"/>
      <c r="Y238" s="13"/>
    </row>
    <row r="239" spans="2:25" hidden="1" outlineLevel="1" x14ac:dyDescent="0.25">
      <c r="B239" s="328">
        <v>44774</v>
      </c>
      <c r="C239" s="331">
        <v>3787</v>
      </c>
      <c r="D239" s="331">
        <v>1756</v>
      </c>
      <c r="E239" s="331">
        <v>5543</v>
      </c>
      <c r="F239" s="331">
        <v>23067</v>
      </c>
      <c r="G239" s="331">
        <v>29042</v>
      </c>
      <c r="H239" s="331">
        <v>52109</v>
      </c>
      <c r="I239" s="331"/>
      <c r="J239" s="331"/>
      <c r="K239" s="331"/>
      <c r="L239" s="331">
        <v>2602</v>
      </c>
      <c r="M239" s="331">
        <v>1007</v>
      </c>
      <c r="N239" s="331">
        <v>3609</v>
      </c>
      <c r="O239" s="331"/>
      <c r="P239" s="331"/>
      <c r="Q239" s="331"/>
      <c r="R239" s="331">
        <v>793</v>
      </c>
      <c r="S239" s="331">
        <v>1216</v>
      </c>
      <c r="T239" s="331">
        <v>2009</v>
      </c>
      <c r="U239" s="329">
        <v>30249</v>
      </c>
      <c r="V239" s="329">
        <v>33021</v>
      </c>
      <c r="W239" s="329">
        <v>63270</v>
      </c>
      <c r="X239" s="13"/>
      <c r="Y239" s="13"/>
    </row>
    <row r="240" spans="2:25" hidden="1" outlineLevel="1" x14ac:dyDescent="0.25">
      <c r="B240" s="328">
        <v>44805</v>
      </c>
      <c r="C240" s="331">
        <v>2957</v>
      </c>
      <c r="D240" s="331">
        <v>1424</v>
      </c>
      <c r="E240" s="331">
        <v>4381</v>
      </c>
      <c r="F240" s="331">
        <v>14494</v>
      </c>
      <c r="G240" s="331">
        <v>15438</v>
      </c>
      <c r="H240" s="331">
        <v>29932</v>
      </c>
      <c r="I240" s="331"/>
      <c r="J240" s="331"/>
      <c r="K240" s="331"/>
      <c r="L240" s="331">
        <v>1904</v>
      </c>
      <c r="M240" s="331">
        <v>785</v>
      </c>
      <c r="N240" s="331">
        <v>2689</v>
      </c>
      <c r="O240" s="331"/>
      <c r="P240" s="331"/>
      <c r="Q240" s="331"/>
      <c r="R240" s="331">
        <v>506</v>
      </c>
      <c r="S240" s="331">
        <v>798</v>
      </c>
      <c r="T240" s="331">
        <v>1304</v>
      </c>
      <c r="U240" s="329">
        <v>19861</v>
      </c>
      <c r="V240" s="329">
        <v>18445</v>
      </c>
      <c r="W240" s="329">
        <v>38306</v>
      </c>
      <c r="X240" s="13"/>
      <c r="Y240" s="13"/>
    </row>
    <row r="241" spans="2:25" hidden="1" outlineLevel="1" x14ac:dyDescent="0.25">
      <c r="B241" s="328">
        <v>44835</v>
      </c>
      <c r="C241" s="331">
        <v>3501</v>
      </c>
      <c r="D241" s="331">
        <v>1554</v>
      </c>
      <c r="E241" s="331">
        <v>5055</v>
      </c>
      <c r="F241" s="331">
        <v>20524</v>
      </c>
      <c r="G241" s="331">
        <v>20023</v>
      </c>
      <c r="H241" s="331">
        <v>40547</v>
      </c>
      <c r="I241" s="331"/>
      <c r="J241" s="331"/>
      <c r="K241" s="331"/>
      <c r="L241" s="331">
        <v>1972</v>
      </c>
      <c r="M241" s="331">
        <v>768</v>
      </c>
      <c r="N241" s="331">
        <v>2740</v>
      </c>
      <c r="O241" s="331"/>
      <c r="P241" s="331"/>
      <c r="Q241" s="331"/>
      <c r="R241" s="331">
        <v>500</v>
      </c>
      <c r="S241" s="331">
        <v>750</v>
      </c>
      <c r="T241" s="331">
        <v>1250</v>
      </c>
      <c r="U241" s="329">
        <v>26497</v>
      </c>
      <c r="V241" s="329">
        <v>23095</v>
      </c>
      <c r="W241" s="329">
        <v>49592</v>
      </c>
      <c r="X241" s="13"/>
      <c r="Y241" s="13"/>
    </row>
    <row r="242" spans="2:25" hidden="1" outlineLevel="1" x14ac:dyDescent="0.25">
      <c r="B242" s="328">
        <v>44866</v>
      </c>
      <c r="C242" s="331">
        <v>3783</v>
      </c>
      <c r="D242" s="331">
        <v>1381</v>
      </c>
      <c r="E242" s="331">
        <v>5164</v>
      </c>
      <c r="F242" s="331">
        <v>18899</v>
      </c>
      <c r="G242" s="331">
        <v>19494</v>
      </c>
      <c r="H242" s="331">
        <v>38393</v>
      </c>
      <c r="I242" s="331"/>
      <c r="J242" s="331"/>
      <c r="K242" s="331"/>
      <c r="L242" s="331">
        <v>2214</v>
      </c>
      <c r="M242" s="331">
        <v>880</v>
      </c>
      <c r="N242" s="331">
        <v>3094</v>
      </c>
      <c r="O242" s="331"/>
      <c r="P242" s="331"/>
      <c r="Q242" s="331"/>
      <c r="R242" s="331">
        <v>515</v>
      </c>
      <c r="S242" s="331">
        <v>846</v>
      </c>
      <c r="T242" s="331">
        <v>1361</v>
      </c>
      <c r="U242" s="329">
        <v>25411</v>
      </c>
      <c r="V242" s="329">
        <v>22601</v>
      </c>
      <c r="W242" s="329">
        <v>48012</v>
      </c>
      <c r="X242" s="13"/>
      <c r="Y242" s="13"/>
    </row>
    <row r="243" spans="2:25" hidden="1" outlineLevel="1" x14ac:dyDescent="0.25">
      <c r="B243" s="328">
        <v>44896</v>
      </c>
      <c r="C243" s="331">
        <v>3291</v>
      </c>
      <c r="D243" s="331">
        <v>839</v>
      </c>
      <c r="E243" s="331">
        <v>4130</v>
      </c>
      <c r="F243" s="331">
        <v>14887</v>
      </c>
      <c r="G243" s="331">
        <v>16239</v>
      </c>
      <c r="H243" s="331">
        <v>31126</v>
      </c>
      <c r="I243" s="331"/>
      <c r="J243" s="331"/>
      <c r="K243" s="331"/>
      <c r="L243" s="331">
        <v>1681</v>
      </c>
      <c r="M243" s="331">
        <v>753</v>
      </c>
      <c r="N243" s="331">
        <v>2434</v>
      </c>
      <c r="O243" s="331"/>
      <c r="P243" s="331"/>
      <c r="Q243" s="331"/>
      <c r="R243" s="331">
        <v>500</v>
      </c>
      <c r="S243" s="331">
        <v>754</v>
      </c>
      <c r="T243" s="331">
        <v>1254</v>
      </c>
      <c r="U243" s="329">
        <v>20359</v>
      </c>
      <c r="V243" s="329">
        <v>18585</v>
      </c>
      <c r="W243" s="329">
        <v>38944</v>
      </c>
      <c r="X243" s="13"/>
      <c r="Y243" s="13"/>
    </row>
    <row r="244" spans="2:25" collapsed="1" x14ac:dyDescent="0.25">
      <c r="B244" s="330" t="s">
        <v>704</v>
      </c>
      <c r="C244" s="329">
        <v>3303</v>
      </c>
      <c r="D244" s="329">
        <v>1349</v>
      </c>
      <c r="E244" s="329">
        <v>4653</v>
      </c>
      <c r="F244" s="329">
        <v>22431</v>
      </c>
      <c r="G244" s="329">
        <v>24825</v>
      </c>
      <c r="H244" s="329">
        <v>47256</v>
      </c>
      <c r="I244" s="329">
        <v>3514</v>
      </c>
      <c r="J244" s="329">
        <v>1243</v>
      </c>
      <c r="K244" s="329">
        <v>4757</v>
      </c>
      <c r="L244" s="329">
        <v>2109</v>
      </c>
      <c r="M244" s="329">
        <v>900</v>
      </c>
      <c r="N244" s="329">
        <v>3009</v>
      </c>
      <c r="O244" s="329">
        <v>11788</v>
      </c>
      <c r="P244" s="329">
        <v>10306</v>
      </c>
      <c r="Q244" s="329">
        <v>22094</v>
      </c>
      <c r="R244" s="329">
        <v>654</v>
      </c>
      <c r="S244" s="329">
        <v>990</v>
      </c>
      <c r="T244" s="329">
        <v>1644</v>
      </c>
      <c r="U244" s="329">
        <v>27628</v>
      </c>
      <c r="V244" s="329">
        <v>26846</v>
      </c>
      <c r="W244" s="329">
        <v>54474</v>
      </c>
      <c r="X244" s="13"/>
      <c r="Y244" s="13"/>
    </row>
    <row r="245" spans="2:25" hidden="1" outlineLevel="1" x14ac:dyDescent="0.25">
      <c r="B245" s="328">
        <v>44927</v>
      </c>
      <c r="C245" s="331">
        <v>1433</v>
      </c>
      <c r="D245" s="331">
        <v>527</v>
      </c>
      <c r="E245" s="331">
        <v>1960</v>
      </c>
      <c r="F245" s="331">
        <v>14940</v>
      </c>
      <c r="G245" s="331">
        <v>14906</v>
      </c>
      <c r="H245" s="331">
        <v>29846</v>
      </c>
      <c r="I245" s="331"/>
      <c r="J245" s="331"/>
      <c r="K245" s="331"/>
      <c r="L245" s="331">
        <v>2036</v>
      </c>
      <c r="M245" s="331">
        <v>866</v>
      </c>
      <c r="N245" s="331">
        <v>2902</v>
      </c>
      <c r="O245" s="331"/>
      <c r="P245" s="331"/>
      <c r="Q245" s="331"/>
      <c r="R245" s="331">
        <v>528</v>
      </c>
      <c r="S245" s="331">
        <v>843</v>
      </c>
      <c r="T245" s="331">
        <v>1371</v>
      </c>
      <c r="U245" s="329">
        <v>18937</v>
      </c>
      <c r="V245" s="329">
        <v>17142</v>
      </c>
      <c r="W245" s="329">
        <v>36079</v>
      </c>
      <c r="X245" s="13"/>
      <c r="Y245" s="13"/>
    </row>
    <row r="246" spans="2:25" hidden="1" outlineLevel="1" x14ac:dyDescent="0.25">
      <c r="B246" s="328">
        <v>44958</v>
      </c>
      <c r="C246" s="331">
        <v>1007</v>
      </c>
      <c r="D246" s="331">
        <v>363</v>
      </c>
      <c r="E246" s="331">
        <v>1370</v>
      </c>
      <c r="F246" s="331">
        <v>11736</v>
      </c>
      <c r="G246" s="331">
        <v>11309</v>
      </c>
      <c r="H246" s="331">
        <v>23045</v>
      </c>
      <c r="I246" s="331"/>
      <c r="J246" s="331"/>
      <c r="K246" s="331"/>
      <c r="L246" s="331">
        <v>1734</v>
      </c>
      <c r="M246" s="331">
        <v>735</v>
      </c>
      <c r="N246" s="331">
        <v>2469</v>
      </c>
      <c r="O246" s="331"/>
      <c r="P246" s="331"/>
      <c r="Q246" s="331"/>
      <c r="R246" s="331">
        <v>541</v>
      </c>
      <c r="S246" s="331">
        <v>741</v>
      </c>
      <c r="T246" s="331">
        <v>1282</v>
      </c>
      <c r="U246" s="329">
        <v>15018</v>
      </c>
      <c r="V246" s="329">
        <v>13148</v>
      </c>
      <c r="W246" s="329">
        <v>28166</v>
      </c>
      <c r="X246" s="13"/>
      <c r="Y246" s="13"/>
    </row>
    <row r="247" spans="2:25" hidden="1" outlineLevel="1" x14ac:dyDescent="0.25">
      <c r="B247" s="328">
        <v>44986</v>
      </c>
      <c r="C247" s="331">
        <v>1258</v>
      </c>
      <c r="D247" s="331">
        <v>492</v>
      </c>
      <c r="E247" s="331">
        <v>1750</v>
      </c>
      <c r="F247" s="331">
        <v>11487</v>
      </c>
      <c r="G247" s="331">
        <v>11088</v>
      </c>
      <c r="H247" s="331">
        <v>22575</v>
      </c>
      <c r="I247" s="331"/>
      <c r="J247" s="331"/>
      <c r="K247" s="331"/>
      <c r="L247" s="331">
        <v>2412</v>
      </c>
      <c r="M247" s="331">
        <v>913</v>
      </c>
      <c r="N247" s="331">
        <v>3325</v>
      </c>
      <c r="O247" s="331"/>
      <c r="P247" s="331"/>
      <c r="Q247" s="331"/>
      <c r="R247" s="331">
        <v>629</v>
      </c>
      <c r="S247" s="331">
        <v>783</v>
      </c>
      <c r="T247" s="331">
        <v>1412</v>
      </c>
      <c r="U247" s="329">
        <v>15786</v>
      </c>
      <c r="V247" s="329">
        <v>13276</v>
      </c>
      <c r="W247" s="329">
        <v>29062</v>
      </c>
      <c r="X247" s="13"/>
      <c r="Y247" s="13"/>
    </row>
    <row r="248" spans="2:25" hidden="1" outlineLevel="1" x14ac:dyDescent="0.25">
      <c r="B248" s="328">
        <v>45017</v>
      </c>
      <c r="C248" s="331">
        <v>844</v>
      </c>
      <c r="D248" s="331">
        <v>346</v>
      </c>
      <c r="E248" s="331">
        <v>1190</v>
      </c>
      <c r="F248" s="331">
        <v>10729</v>
      </c>
      <c r="G248" s="331">
        <v>10382</v>
      </c>
      <c r="H248" s="331">
        <v>21111</v>
      </c>
      <c r="I248" s="331"/>
      <c r="J248" s="331"/>
      <c r="K248" s="331"/>
      <c r="L248" s="331">
        <v>1875</v>
      </c>
      <c r="M248" s="331">
        <v>752</v>
      </c>
      <c r="N248" s="331">
        <v>2627</v>
      </c>
      <c r="O248" s="331"/>
      <c r="P248" s="331"/>
      <c r="Q248" s="331"/>
      <c r="R248" s="331">
        <v>468</v>
      </c>
      <c r="S248" s="331">
        <v>676</v>
      </c>
      <c r="T248" s="331">
        <v>1144</v>
      </c>
      <c r="U248" s="329">
        <v>13916</v>
      </c>
      <c r="V248" s="329">
        <v>12156</v>
      </c>
      <c r="W248" s="329">
        <v>26072</v>
      </c>
      <c r="X248" s="13"/>
      <c r="Y248" s="13"/>
    </row>
    <row r="249" spans="2:25" hidden="1" outlineLevel="1" x14ac:dyDescent="0.25">
      <c r="B249" s="328">
        <v>45047</v>
      </c>
      <c r="C249" s="331">
        <v>991</v>
      </c>
      <c r="D249" s="331">
        <v>441</v>
      </c>
      <c r="E249" s="331">
        <v>1432</v>
      </c>
      <c r="F249" s="331">
        <v>10446</v>
      </c>
      <c r="G249" s="331">
        <v>10356</v>
      </c>
      <c r="H249" s="331">
        <v>20802</v>
      </c>
      <c r="I249" s="331"/>
      <c r="J249" s="331"/>
      <c r="K249" s="331"/>
      <c r="L249" s="331">
        <v>1969</v>
      </c>
      <c r="M249" s="331">
        <v>868</v>
      </c>
      <c r="N249" s="331">
        <v>2837</v>
      </c>
      <c r="O249" s="331"/>
      <c r="P249" s="331"/>
      <c r="Q249" s="331"/>
      <c r="R249" s="331">
        <v>544</v>
      </c>
      <c r="S249" s="331">
        <v>799</v>
      </c>
      <c r="T249" s="331">
        <v>1343</v>
      </c>
      <c r="U249" s="329">
        <v>13950</v>
      </c>
      <c r="V249" s="329">
        <v>12464</v>
      </c>
      <c r="W249" s="329">
        <v>26414</v>
      </c>
      <c r="X249" s="13"/>
      <c r="Y249" s="13"/>
    </row>
    <row r="250" spans="2:25" hidden="1" outlineLevel="1" x14ac:dyDescent="0.25">
      <c r="B250" s="328">
        <v>45078</v>
      </c>
      <c r="C250" s="331">
        <v>975</v>
      </c>
      <c r="D250" s="331">
        <v>460</v>
      </c>
      <c r="E250" s="331">
        <v>1435</v>
      </c>
      <c r="F250" s="331">
        <v>9555</v>
      </c>
      <c r="G250" s="331">
        <v>8713</v>
      </c>
      <c r="H250" s="331">
        <v>18268</v>
      </c>
      <c r="I250" s="331"/>
      <c r="J250" s="331"/>
      <c r="K250" s="331"/>
      <c r="L250" s="331">
        <v>1703</v>
      </c>
      <c r="M250" s="331">
        <v>780</v>
      </c>
      <c r="N250" s="331">
        <v>2483</v>
      </c>
      <c r="O250" s="331"/>
      <c r="P250" s="331"/>
      <c r="Q250" s="331"/>
      <c r="R250" s="331">
        <v>492</v>
      </c>
      <c r="S250" s="331">
        <v>687</v>
      </c>
      <c r="T250" s="331">
        <v>1179</v>
      </c>
      <c r="U250" s="329">
        <v>12725</v>
      </c>
      <c r="V250" s="329">
        <v>10640</v>
      </c>
      <c r="W250" s="329">
        <v>23365</v>
      </c>
      <c r="X250" s="13"/>
      <c r="Y250" s="13"/>
    </row>
    <row r="251" spans="2:25" hidden="1" outlineLevel="1" x14ac:dyDescent="0.25">
      <c r="B251" s="328">
        <v>45108</v>
      </c>
      <c r="C251" s="331">
        <v>1154</v>
      </c>
      <c r="D251" s="331">
        <v>582</v>
      </c>
      <c r="E251" s="331">
        <v>1736</v>
      </c>
      <c r="F251" s="331">
        <v>11325</v>
      </c>
      <c r="G251" s="331">
        <v>10101</v>
      </c>
      <c r="H251" s="331">
        <v>21426</v>
      </c>
      <c r="I251" s="331"/>
      <c r="J251" s="331"/>
      <c r="K251" s="331"/>
      <c r="L251" s="331">
        <v>1908</v>
      </c>
      <c r="M251" s="331">
        <v>862</v>
      </c>
      <c r="N251" s="331">
        <v>2770</v>
      </c>
      <c r="O251" s="331"/>
      <c r="P251" s="331"/>
      <c r="Q251" s="331"/>
      <c r="R251" s="331">
        <v>476</v>
      </c>
      <c r="S251" s="331">
        <v>740</v>
      </c>
      <c r="T251" s="331">
        <v>1216</v>
      </c>
      <c r="U251" s="329">
        <v>14863</v>
      </c>
      <c r="V251" s="329">
        <v>12285</v>
      </c>
      <c r="W251" s="329">
        <v>27148</v>
      </c>
      <c r="X251" s="13"/>
      <c r="Y251" s="13"/>
    </row>
    <row r="252" spans="2:25" hidden="1" outlineLevel="1" x14ac:dyDescent="0.25">
      <c r="B252" s="328">
        <v>45139</v>
      </c>
      <c r="C252" s="331">
        <v>970</v>
      </c>
      <c r="D252" s="331">
        <v>378</v>
      </c>
      <c r="E252" s="331">
        <v>1348</v>
      </c>
      <c r="F252" s="331">
        <v>10866</v>
      </c>
      <c r="G252" s="331">
        <v>9825</v>
      </c>
      <c r="H252" s="331">
        <v>20691</v>
      </c>
      <c r="I252" s="331"/>
      <c r="J252" s="331"/>
      <c r="K252" s="331"/>
      <c r="L252" s="331">
        <v>1982</v>
      </c>
      <c r="M252" s="331">
        <v>830</v>
      </c>
      <c r="N252" s="331">
        <v>2812</v>
      </c>
      <c r="O252" s="331"/>
      <c r="P252" s="331"/>
      <c r="Q252" s="331"/>
      <c r="R252" s="331">
        <v>480</v>
      </c>
      <c r="S252" s="331">
        <v>787</v>
      </c>
      <c r="T252" s="331">
        <v>1267</v>
      </c>
      <c r="U252" s="329">
        <v>14298</v>
      </c>
      <c r="V252" s="329">
        <v>11820</v>
      </c>
      <c r="W252" s="329">
        <v>26118</v>
      </c>
      <c r="X252" s="13"/>
      <c r="Y252" s="13"/>
    </row>
    <row r="253" spans="2:25" hidden="1" outlineLevel="1" x14ac:dyDescent="0.25">
      <c r="B253" s="328">
        <v>45170</v>
      </c>
      <c r="C253" s="331">
        <v>913</v>
      </c>
      <c r="D253" s="331">
        <v>328</v>
      </c>
      <c r="E253" s="331">
        <v>1241</v>
      </c>
      <c r="F253" s="331">
        <v>11159</v>
      </c>
      <c r="G253" s="331">
        <v>9236</v>
      </c>
      <c r="H253" s="331">
        <v>20395</v>
      </c>
      <c r="I253" s="331"/>
      <c r="J253" s="331"/>
      <c r="K253" s="331"/>
      <c r="L253" s="331">
        <v>1595</v>
      </c>
      <c r="M253" s="331">
        <v>730</v>
      </c>
      <c r="N253" s="331">
        <v>2325</v>
      </c>
      <c r="O253" s="331"/>
      <c r="P253" s="331"/>
      <c r="Q253" s="331"/>
      <c r="R253" s="331">
        <v>422</v>
      </c>
      <c r="S253" s="331">
        <v>671</v>
      </c>
      <c r="T253" s="331">
        <v>1093</v>
      </c>
      <c r="U253" s="329">
        <v>14089</v>
      </c>
      <c r="V253" s="329">
        <v>10965</v>
      </c>
      <c r="W253" s="329">
        <v>25054</v>
      </c>
      <c r="X253" s="13"/>
      <c r="Y253" s="13"/>
    </row>
    <row r="254" spans="2:25" hidden="1" outlineLevel="1" x14ac:dyDescent="0.25">
      <c r="B254" s="328">
        <v>45200</v>
      </c>
      <c r="C254" s="331">
        <v>614</v>
      </c>
      <c r="D254" s="331">
        <v>195</v>
      </c>
      <c r="E254" s="331">
        <v>809</v>
      </c>
      <c r="F254" s="331">
        <v>10439</v>
      </c>
      <c r="G254" s="331">
        <v>9440</v>
      </c>
      <c r="H254" s="331">
        <v>19879</v>
      </c>
      <c r="I254" s="331"/>
      <c r="J254" s="331"/>
      <c r="K254" s="331"/>
      <c r="L254" s="331">
        <v>1801</v>
      </c>
      <c r="M254" s="331">
        <v>784</v>
      </c>
      <c r="N254" s="331">
        <v>2585</v>
      </c>
      <c r="O254" s="331"/>
      <c r="P254" s="331"/>
      <c r="Q254" s="331"/>
      <c r="R254" s="331">
        <v>456</v>
      </c>
      <c r="S254" s="331">
        <v>698</v>
      </c>
      <c r="T254" s="331">
        <v>1154</v>
      </c>
      <c r="U254" s="329">
        <v>13310</v>
      </c>
      <c r="V254" s="329">
        <v>11117</v>
      </c>
      <c r="W254" s="329">
        <v>24427</v>
      </c>
      <c r="X254" s="13"/>
      <c r="Y254" s="13"/>
    </row>
    <row r="255" spans="2:25" hidden="1" outlineLevel="1" x14ac:dyDescent="0.25">
      <c r="B255" s="328">
        <v>45231</v>
      </c>
      <c r="C255" s="331">
        <v>314</v>
      </c>
      <c r="D255" s="331">
        <v>92</v>
      </c>
      <c r="E255" s="331">
        <v>406</v>
      </c>
      <c r="F255" s="331">
        <v>10278</v>
      </c>
      <c r="G255" s="331">
        <v>10018</v>
      </c>
      <c r="H255" s="331">
        <v>20296</v>
      </c>
      <c r="I255" s="331"/>
      <c r="J255" s="331"/>
      <c r="K255" s="331"/>
      <c r="L255" s="331">
        <v>1969</v>
      </c>
      <c r="M255" s="331">
        <v>827</v>
      </c>
      <c r="N255" s="331">
        <v>2796</v>
      </c>
      <c r="O255" s="331"/>
      <c r="P255" s="331"/>
      <c r="Q255" s="331"/>
      <c r="R255" s="331">
        <v>532</v>
      </c>
      <c r="S255" s="331">
        <v>765</v>
      </c>
      <c r="T255" s="331">
        <v>1297</v>
      </c>
      <c r="U255" s="329">
        <v>13093</v>
      </c>
      <c r="V255" s="329">
        <v>11702</v>
      </c>
      <c r="W255" s="329">
        <v>24795</v>
      </c>
      <c r="X255" s="13"/>
      <c r="Y255" s="13"/>
    </row>
    <row r="256" spans="2:25" hidden="1" outlineLevel="1" x14ac:dyDescent="0.25">
      <c r="B256" s="328">
        <v>45261</v>
      </c>
      <c r="C256" s="331">
        <v>1151</v>
      </c>
      <c r="D256" s="331">
        <v>2347</v>
      </c>
      <c r="E256" s="331">
        <v>3498</v>
      </c>
      <c r="F256" s="331">
        <v>7053</v>
      </c>
      <c r="G256" s="331">
        <v>5485</v>
      </c>
      <c r="H256" s="331">
        <v>12538</v>
      </c>
      <c r="I256" s="331"/>
      <c r="J256" s="331"/>
      <c r="K256" s="331"/>
      <c r="L256" s="331">
        <v>1427</v>
      </c>
      <c r="M256" s="331">
        <v>660</v>
      </c>
      <c r="N256" s="331">
        <v>2087</v>
      </c>
      <c r="O256" s="331"/>
      <c r="P256" s="331"/>
      <c r="Q256" s="331"/>
      <c r="R256" s="331">
        <v>417</v>
      </c>
      <c r="S256" s="331">
        <v>625</v>
      </c>
      <c r="T256" s="331">
        <v>1042</v>
      </c>
      <c r="U256" s="329">
        <v>10048</v>
      </c>
      <c r="V256" s="329">
        <v>9117</v>
      </c>
      <c r="W256" s="329">
        <v>19165</v>
      </c>
      <c r="X256" s="13"/>
      <c r="Y256" s="13"/>
    </row>
    <row r="257" spans="2:25" collapsed="1" x14ac:dyDescent="0.25">
      <c r="B257" s="330" t="s">
        <v>869</v>
      </c>
      <c r="C257" s="329">
        <v>969</v>
      </c>
      <c r="D257" s="329">
        <v>546</v>
      </c>
      <c r="E257" s="329">
        <v>1515</v>
      </c>
      <c r="F257" s="329">
        <v>10834</v>
      </c>
      <c r="G257" s="329">
        <v>10072</v>
      </c>
      <c r="H257" s="329">
        <v>20906</v>
      </c>
      <c r="I257" s="329" t="s">
        <v>781</v>
      </c>
      <c r="J257" s="329" t="s">
        <v>781</v>
      </c>
      <c r="K257" s="329" t="s">
        <v>781</v>
      </c>
      <c r="L257" s="329">
        <v>1868</v>
      </c>
      <c r="M257" s="329">
        <v>801</v>
      </c>
      <c r="N257" s="329">
        <v>2668</v>
      </c>
      <c r="O257" s="329" t="s">
        <v>781</v>
      </c>
      <c r="P257" s="329" t="s">
        <v>781</v>
      </c>
      <c r="Q257" s="329" t="s">
        <v>781</v>
      </c>
      <c r="R257" s="329">
        <v>499</v>
      </c>
      <c r="S257" s="329">
        <v>735</v>
      </c>
      <c r="T257" s="329">
        <v>1233</v>
      </c>
      <c r="U257" s="329">
        <v>14169</v>
      </c>
      <c r="V257" s="329">
        <v>12153</v>
      </c>
      <c r="W257" s="329">
        <v>26322</v>
      </c>
      <c r="X257" s="13"/>
      <c r="Y257" s="13"/>
    </row>
    <row r="258" spans="2:25" ht="32.25" x14ac:dyDescent="0.25">
      <c r="B258" s="330" t="s">
        <v>962</v>
      </c>
      <c r="C258" s="329">
        <v>47961</v>
      </c>
      <c r="D258" s="329">
        <v>21393</v>
      </c>
      <c r="E258" s="329">
        <v>69354</v>
      </c>
      <c r="F258" s="329">
        <v>376753</v>
      </c>
      <c r="G258" s="329">
        <v>393937</v>
      </c>
      <c r="H258" s="329">
        <v>770690</v>
      </c>
      <c r="I258" s="329">
        <v>429114</v>
      </c>
      <c r="J258" s="329">
        <v>131263</v>
      </c>
      <c r="K258" s="329">
        <v>560377</v>
      </c>
      <c r="L258" s="329">
        <v>265617</v>
      </c>
      <c r="M258" s="329">
        <v>105992</v>
      </c>
      <c r="N258" s="329">
        <v>371609</v>
      </c>
      <c r="O258" s="329">
        <v>1010533</v>
      </c>
      <c r="P258" s="329">
        <v>786550</v>
      </c>
      <c r="Q258" s="329">
        <v>1797083</v>
      </c>
      <c r="R258" s="329">
        <v>72362</v>
      </c>
      <c r="S258" s="329">
        <v>72666</v>
      </c>
      <c r="T258" s="329">
        <v>145028</v>
      </c>
      <c r="U258" s="329">
        <v>2202340</v>
      </c>
      <c r="V258" s="329">
        <v>1511801</v>
      </c>
      <c r="W258" s="329">
        <v>3714141</v>
      </c>
      <c r="X258" s="13"/>
      <c r="Y258" s="13"/>
    </row>
    <row r="259" spans="2:25" ht="63.75" customHeight="1" x14ac:dyDescent="0.25">
      <c r="B259" s="428" t="s">
        <v>961</v>
      </c>
      <c r="C259" s="428"/>
      <c r="D259" s="428"/>
      <c r="E259" s="428"/>
      <c r="F259" s="428"/>
      <c r="G259" s="428"/>
      <c r="H259" s="428"/>
      <c r="I259" s="428"/>
      <c r="J259" s="428"/>
      <c r="K259" s="428"/>
      <c r="L259" s="428"/>
      <c r="M259" s="428"/>
      <c r="N259" s="428"/>
      <c r="O259" s="428"/>
      <c r="P259" s="428"/>
      <c r="Q259" s="428"/>
      <c r="R259" s="428"/>
      <c r="S259" s="428"/>
      <c r="T259" s="428"/>
      <c r="U259" s="428"/>
      <c r="V259" s="428"/>
      <c r="W259" s="428"/>
      <c r="X259" s="13"/>
      <c r="Y259" s="13"/>
    </row>
    <row r="260" spans="2:25" x14ac:dyDescent="0.25">
      <c r="C260" s="13"/>
      <c r="D260" s="13"/>
      <c r="E260" s="13"/>
      <c r="F260" s="13"/>
      <c r="G260" s="13"/>
      <c r="H260" s="13"/>
      <c r="I260" s="13"/>
      <c r="J260" s="13"/>
      <c r="K260" s="13"/>
      <c r="L260" s="13"/>
      <c r="M260" s="13"/>
      <c r="N260" s="13"/>
      <c r="O260" s="13"/>
      <c r="P260" s="13"/>
      <c r="Q260" s="13"/>
      <c r="R260" s="13"/>
      <c r="S260" s="13"/>
      <c r="T260" s="13"/>
      <c r="U260" s="13"/>
      <c r="V260" s="13"/>
      <c r="W260" s="13"/>
      <c r="X260" s="13"/>
      <c r="Y260" s="13"/>
    </row>
    <row r="261" spans="2:25" x14ac:dyDescent="0.25">
      <c r="C261" s="13"/>
      <c r="D261" s="13"/>
      <c r="E261" s="13"/>
      <c r="F261" s="13"/>
      <c r="G261" s="13"/>
      <c r="H261" s="13"/>
      <c r="I261" s="13"/>
      <c r="J261" s="13"/>
      <c r="K261" s="13"/>
      <c r="L261" s="13"/>
      <c r="M261" s="13"/>
      <c r="N261" s="13"/>
      <c r="O261" s="13"/>
      <c r="P261" s="13"/>
      <c r="Q261" s="13"/>
      <c r="R261" s="13"/>
      <c r="S261" s="13"/>
      <c r="T261" s="13"/>
      <c r="U261" s="13"/>
      <c r="V261" s="13"/>
      <c r="W261" s="13"/>
      <c r="X261" s="13"/>
      <c r="Y261" s="13"/>
    </row>
    <row r="262" spans="2:25" x14ac:dyDescent="0.25">
      <c r="C262" s="13"/>
      <c r="D262" s="13"/>
      <c r="E262" s="13"/>
      <c r="F262" s="13"/>
      <c r="G262" s="13"/>
      <c r="H262" s="13"/>
      <c r="I262" s="13"/>
      <c r="J262" s="13"/>
      <c r="K262" s="13"/>
      <c r="L262" s="13"/>
      <c r="M262" s="13"/>
      <c r="N262" s="13"/>
      <c r="O262" s="13"/>
      <c r="P262" s="13"/>
      <c r="Q262" s="13"/>
      <c r="R262" s="13"/>
      <c r="S262" s="13"/>
      <c r="T262" s="13"/>
      <c r="U262" s="13"/>
      <c r="V262" s="13"/>
      <c r="W262" s="13"/>
      <c r="X262" s="13"/>
      <c r="Y262" s="13"/>
    </row>
    <row r="263" spans="2:25" x14ac:dyDescent="0.25">
      <c r="C263" s="13"/>
      <c r="D263" s="13"/>
      <c r="E263" s="13"/>
      <c r="F263" s="13"/>
      <c r="G263" s="13"/>
      <c r="H263" s="13"/>
      <c r="I263" s="13"/>
      <c r="J263" s="13"/>
      <c r="K263" s="13"/>
      <c r="L263" s="13"/>
      <c r="M263" s="13"/>
      <c r="N263" s="13"/>
      <c r="O263" s="13"/>
      <c r="P263" s="13"/>
      <c r="Q263" s="13"/>
      <c r="R263" s="13"/>
      <c r="S263" s="13"/>
      <c r="T263" s="13"/>
      <c r="U263" s="13"/>
      <c r="V263" s="13"/>
      <c r="W263" s="13"/>
      <c r="X263" s="13"/>
      <c r="Y263" s="13"/>
    </row>
    <row r="264" spans="2:25" x14ac:dyDescent="0.25">
      <c r="C264" s="13"/>
      <c r="D264" s="13"/>
      <c r="E264" s="13"/>
      <c r="F264" s="13"/>
      <c r="G264" s="13"/>
      <c r="H264" s="13"/>
      <c r="I264" s="13"/>
      <c r="J264" s="13"/>
      <c r="K264" s="13"/>
      <c r="L264" s="13"/>
      <c r="M264" s="13"/>
      <c r="N264" s="13"/>
      <c r="O264" s="13"/>
      <c r="P264" s="13"/>
      <c r="Q264" s="13"/>
      <c r="R264" s="13"/>
      <c r="S264" s="13"/>
      <c r="T264" s="13"/>
      <c r="U264" s="13"/>
      <c r="V264" s="13"/>
      <c r="W264" s="13"/>
      <c r="X264" s="13"/>
      <c r="Y264" s="13"/>
    </row>
    <row r="265" spans="2:25" x14ac:dyDescent="0.25">
      <c r="C265" s="13"/>
      <c r="D265" s="13"/>
      <c r="E265" s="13"/>
      <c r="F265" s="13"/>
      <c r="G265" s="13"/>
      <c r="H265" s="13"/>
      <c r="I265" s="13"/>
      <c r="J265" s="13"/>
      <c r="K265" s="13"/>
      <c r="L265" s="13"/>
      <c r="M265" s="13"/>
      <c r="N265" s="13"/>
      <c r="O265" s="13"/>
      <c r="P265" s="13"/>
      <c r="Q265" s="13"/>
      <c r="R265" s="13"/>
      <c r="S265" s="13"/>
      <c r="T265" s="13"/>
      <c r="U265" s="13"/>
      <c r="V265" s="13"/>
      <c r="W265" s="13"/>
      <c r="X265" s="13"/>
      <c r="Y265" s="13"/>
    </row>
    <row r="266" spans="2:25" x14ac:dyDescent="0.25">
      <c r="C266" s="13"/>
      <c r="D266" s="13"/>
      <c r="E266" s="13"/>
      <c r="F266" s="13"/>
      <c r="G266" s="13"/>
      <c r="H266" s="13"/>
      <c r="I266" s="13"/>
      <c r="J266" s="13"/>
      <c r="K266" s="13"/>
      <c r="L266" s="13"/>
      <c r="M266" s="13"/>
      <c r="N266" s="13"/>
      <c r="O266" s="13"/>
      <c r="P266" s="13"/>
      <c r="Q266" s="13"/>
      <c r="R266" s="13"/>
      <c r="S266" s="13"/>
      <c r="T266" s="13"/>
      <c r="U266" s="13"/>
      <c r="V266" s="13"/>
      <c r="W266" s="13"/>
      <c r="X266" s="13"/>
      <c r="Y266" s="13"/>
    </row>
    <row r="267" spans="2:25" x14ac:dyDescent="0.25">
      <c r="C267" s="13"/>
      <c r="D267" s="13"/>
      <c r="E267" s="13"/>
      <c r="F267" s="13"/>
      <c r="G267" s="13"/>
      <c r="H267" s="13"/>
      <c r="I267" s="13"/>
      <c r="J267" s="13"/>
      <c r="K267" s="13"/>
      <c r="L267" s="13"/>
      <c r="M267" s="13"/>
      <c r="N267" s="13"/>
      <c r="O267" s="13"/>
      <c r="P267" s="13"/>
      <c r="Q267" s="13"/>
      <c r="R267" s="13"/>
      <c r="S267" s="13"/>
      <c r="T267" s="13"/>
      <c r="U267" s="13"/>
      <c r="V267" s="13"/>
      <c r="W267" s="13"/>
      <c r="X267" s="13"/>
      <c r="Y267" s="13"/>
    </row>
    <row r="268" spans="2:25" x14ac:dyDescent="0.25">
      <c r="C268" s="13"/>
      <c r="D268" s="13"/>
      <c r="E268" s="13"/>
      <c r="F268" s="13"/>
      <c r="G268" s="13"/>
      <c r="H268" s="13"/>
      <c r="I268" s="13"/>
      <c r="J268" s="13"/>
      <c r="K268" s="13"/>
      <c r="L268" s="13"/>
      <c r="M268" s="13"/>
      <c r="N268" s="13"/>
      <c r="O268" s="13"/>
      <c r="P268" s="13"/>
      <c r="Q268" s="13"/>
      <c r="R268" s="13"/>
      <c r="S268" s="13"/>
      <c r="T268" s="13"/>
      <c r="U268" s="13"/>
      <c r="V268" s="13"/>
      <c r="W268" s="13"/>
      <c r="X268" s="13"/>
      <c r="Y268" s="13"/>
    </row>
    <row r="269" spans="2:25" x14ac:dyDescent="0.25">
      <c r="C269" s="13"/>
      <c r="D269" s="13"/>
      <c r="E269" s="13"/>
      <c r="F269" s="13"/>
      <c r="G269" s="13"/>
      <c r="H269" s="13"/>
      <c r="I269" s="13"/>
      <c r="J269" s="13"/>
      <c r="K269" s="13"/>
      <c r="L269" s="13"/>
      <c r="M269" s="13"/>
      <c r="N269" s="13"/>
      <c r="O269" s="13"/>
      <c r="P269" s="13"/>
      <c r="Q269" s="13"/>
      <c r="R269" s="13"/>
      <c r="S269" s="13"/>
      <c r="T269" s="13"/>
      <c r="U269" s="13"/>
      <c r="V269" s="13"/>
      <c r="W269" s="13"/>
      <c r="X269" s="13"/>
      <c r="Y269" s="13"/>
    </row>
    <row r="270" spans="2:25" x14ac:dyDescent="0.25">
      <c r="C270" s="13"/>
      <c r="D270" s="13"/>
      <c r="E270" s="13"/>
      <c r="F270" s="13"/>
      <c r="G270" s="13"/>
      <c r="H270" s="13"/>
      <c r="I270" s="13"/>
      <c r="J270" s="13"/>
      <c r="K270" s="13"/>
      <c r="L270" s="13"/>
      <c r="M270" s="13"/>
      <c r="N270" s="13"/>
      <c r="O270" s="13"/>
      <c r="P270" s="13"/>
      <c r="Q270" s="13"/>
      <c r="R270" s="13"/>
      <c r="S270" s="13"/>
      <c r="T270" s="13"/>
      <c r="U270" s="13"/>
      <c r="V270" s="13"/>
      <c r="W270" s="13"/>
      <c r="X270" s="13"/>
      <c r="Y270" s="13"/>
    </row>
    <row r="271" spans="2:25" x14ac:dyDescent="0.25">
      <c r="C271" s="13"/>
      <c r="D271" s="13"/>
      <c r="E271" s="13"/>
      <c r="F271" s="13"/>
      <c r="G271" s="13"/>
      <c r="H271" s="13"/>
      <c r="I271" s="13"/>
      <c r="J271" s="13"/>
      <c r="K271" s="13"/>
      <c r="L271" s="13"/>
      <c r="M271" s="13"/>
      <c r="N271" s="13"/>
      <c r="O271" s="13"/>
      <c r="P271" s="13"/>
      <c r="Q271" s="13"/>
      <c r="R271" s="13"/>
      <c r="S271" s="13"/>
      <c r="T271" s="13"/>
      <c r="U271" s="13"/>
      <c r="V271" s="13"/>
      <c r="W271" s="13"/>
      <c r="X271" s="13"/>
      <c r="Y271" s="13"/>
    </row>
    <row r="272" spans="2:25" x14ac:dyDescent="0.25">
      <c r="C272" s="13"/>
      <c r="D272" s="13"/>
      <c r="E272" s="13"/>
      <c r="F272" s="13"/>
      <c r="G272" s="13"/>
      <c r="H272" s="13"/>
      <c r="I272" s="13"/>
      <c r="J272" s="13"/>
      <c r="K272" s="13"/>
      <c r="L272" s="13"/>
      <c r="M272" s="13"/>
      <c r="N272" s="13"/>
      <c r="O272" s="13"/>
      <c r="P272" s="13"/>
      <c r="Q272" s="13"/>
      <c r="R272" s="13"/>
      <c r="S272" s="13"/>
      <c r="T272" s="13"/>
      <c r="U272" s="13"/>
      <c r="V272" s="13"/>
      <c r="W272" s="13"/>
      <c r="X272" s="13"/>
      <c r="Y272" s="13"/>
    </row>
    <row r="273" spans="3:25" x14ac:dyDescent="0.25">
      <c r="C273" s="13"/>
      <c r="D273" s="13"/>
      <c r="E273" s="13"/>
      <c r="F273" s="13"/>
      <c r="G273" s="13"/>
      <c r="H273" s="13"/>
      <c r="I273" s="13"/>
      <c r="J273" s="13"/>
      <c r="K273" s="13"/>
      <c r="L273" s="13"/>
      <c r="M273" s="13"/>
      <c r="N273" s="13"/>
      <c r="O273" s="13"/>
      <c r="P273" s="13"/>
      <c r="Q273" s="13"/>
      <c r="R273" s="13"/>
      <c r="S273" s="13"/>
      <c r="T273" s="13"/>
      <c r="U273" s="13"/>
      <c r="V273" s="13"/>
      <c r="W273" s="13"/>
      <c r="X273" s="13"/>
      <c r="Y273" s="13"/>
    </row>
    <row r="274" spans="3:25" x14ac:dyDescent="0.25">
      <c r="C274" s="13"/>
      <c r="D274" s="13"/>
      <c r="E274" s="13"/>
      <c r="F274" s="13"/>
      <c r="G274" s="13"/>
      <c r="H274" s="13"/>
      <c r="I274" s="13"/>
      <c r="J274" s="13"/>
      <c r="K274" s="13"/>
      <c r="L274" s="13"/>
      <c r="M274" s="13"/>
      <c r="N274" s="13"/>
      <c r="O274" s="13"/>
      <c r="P274" s="13"/>
      <c r="Q274" s="13"/>
      <c r="R274" s="13"/>
      <c r="S274" s="13"/>
      <c r="T274" s="13"/>
      <c r="U274" s="13"/>
      <c r="V274" s="13"/>
      <c r="W274" s="13"/>
      <c r="X274" s="13"/>
      <c r="Y274" s="13"/>
    </row>
    <row r="275" spans="3:25" x14ac:dyDescent="0.25">
      <c r="C275" s="13"/>
      <c r="D275" s="13"/>
      <c r="E275" s="13"/>
      <c r="F275" s="13"/>
      <c r="G275" s="13"/>
      <c r="H275" s="13"/>
      <c r="I275" s="13"/>
      <c r="J275" s="13"/>
      <c r="K275" s="13"/>
      <c r="L275" s="13"/>
      <c r="M275" s="13"/>
      <c r="N275" s="13"/>
      <c r="O275" s="13"/>
      <c r="P275" s="13"/>
      <c r="Q275" s="13"/>
      <c r="R275" s="13"/>
      <c r="S275" s="13"/>
      <c r="T275" s="13"/>
      <c r="U275" s="13"/>
      <c r="V275" s="13"/>
      <c r="W275" s="13"/>
      <c r="X275" s="13"/>
      <c r="Y275" s="13"/>
    </row>
    <row r="276" spans="3:25" x14ac:dyDescent="0.25">
      <c r="C276" s="13"/>
      <c r="D276" s="13"/>
      <c r="E276" s="13"/>
      <c r="F276" s="13"/>
      <c r="G276" s="13"/>
      <c r="H276" s="13"/>
      <c r="I276" s="13"/>
      <c r="J276" s="13"/>
      <c r="K276" s="13"/>
      <c r="L276" s="13"/>
      <c r="M276" s="13"/>
      <c r="N276" s="13"/>
      <c r="O276" s="13"/>
      <c r="P276" s="13"/>
      <c r="Q276" s="13"/>
      <c r="R276" s="13"/>
      <c r="S276" s="13"/>
      <c r="T276" s="13"/>
      <c r="U276" s="13"/>
      <c r="V276" s="13"/>
      <c r="W276" s="13"/>
      <c r="X276" s="13"/>
      <c r="Y276" s="13"/>
    </row>
    <row r="277" spans="3:25" x14ac:dyDescent="0.25">
      <c r="C277" s="13"/>
      <c r="D277" s="13"/>
      <c r="E277" s="13"/>
      <c r="F277" s="13"/>
      <c r="G277" s="13"/>
      <c r="H277" s="13"/>
      <c r="I277" s="13"/>
      <c r="J277" s="13"/>
      <c r="K277" s="13"/>
      <c r="L277" s="13"/>
      <c r="M277" s="13"/>
      <c r="N277" s="13"/>
      <c r="O277" s="13"/>
      <c r="P277" s="13"/>
      <c r="Q277" s="13"/>
      <c r="R277" s="13"/>
      <c r="S277" s="13"/>
      <c r="T277" s="13"/>
      <c r="U277" s="13"/>
      <c r="V277" s="13"/>
      <c r="W277" s="13"/>
      <c r="X277" s="13"/>
      <c r="Y277" s="13"/>
    </row>
    <row r="278" spans="3:25" x14ac:dyDescent="0.25">
      <c r="C278" s="13"/>
      <c r="D278" s="13"/>
      <c r="E278" s="13"/>
      <c r="F278" s="13"/>
      <c r="G278" s="13"/>
      <c r="H278" s="13"/>
      <c r="I278" s="13"/>
      <c r="J278" s="13"/>
      <c r="K278" s="13"/>
      <c r="L278" s="13"/>
      <c r="M278" s="13"/>
      <c r="N278" s="13"/>
      <c r="O278" s="13"/>
      <c r="P278" s="13"/>
      <c r="Q278" s="13"/>
      <c r="R278" s="13"/>
      <c r="S278" s="13"/>
      <c r="T278" s="13"/>
      <c r="U278" s="13"/>
      <c r="V278" s="13"/>
      <c r="W278" s="13"/>
      <c r="X278" s="13"/>
      <c r="Y278" s="13"/>
    </row>
    <row r="279" spans="3:25" x14ac:dyDescent="0.25">
      <c r="C279" s="13"/>
      <c r="D279" s="13"/>
      <c r="E279" s="13"/>
      <c r="F279" s="13"/>
      <c r="G279" s="13"/>
      <c r="H279" s="13"/>
      <c r="I279" s="13"/>
      <c r="J279" s="13"/>
      <c r="K279" s="13"/>
      <c r="L279" s="13"/>
      <c r="M279" s="13"/>
      <c r="N279" s="13"/>
      <c r="O279" s="13"/>
      <c r="P279" s="13"/>
      <c r="Q279" s="13"/>
      <c r="R279" s="13"/>
      <c r="S279" s="13"/>
      <c r="T279" s="13"/>
      <c r="U279" s="13"/>
      <c r="V279" s="13"/>
      <c r="W279" s="13"/>
      <c r="X279" s="13"/>
      <c r="Y279" s="13"/>
    </row>
    <row r="280" spans="3:25" x14ac:dyDescent="0.25">
      <c r="C280" s="13"/>
      <c r="D280" s="13"/>
      <c r="E280" s="13"/>
      <c r="F280" s="13"/>
      <c r="G280" s="13"/>
      <c r="H280" s="13"/>
      <c r="I280" s="13"/>
      <c r="J280" s="13"/>
      <c r="K280" s="13"/>
      <c r="L280" s="13"/>
      <c r="M280" s="13"/>
      <c r="N280" s="13"/>
      <c r="O280" s="13"/>
      <c r="P280" s="13"/>
      <c r="Q280" s="13"/>
      <c r="R280" s="13"/>
      <c r="S280" s="13"/>
      <c r="T280" s="13"/>
      <c r="U280" s="13"/>
      <c r="V280" s="13"/>
      <c r="W280" s="13"/>
      <c r="X280" s="13"/>
      <c r="Y280" s="13"/>
    </row>
    <row r="281" spans="3:25" x14ac:dyDescent="0.25">
      <c r="C281" s="13"/>
      <c r="D281" s="13"/>
      <c r="E281" s="13"/>
      <c r="F281" s="13"/>
      <c r="G281" s="13"/>
      <c r="H281" s="13"/>
      <c r="I281" s="13"/>
      <c r="J281" s="13"/>
      <c r="K281" s="13"/>
      <c r="L281" s="13"/>
      <c r="M281" s="13"/>
      <c r="N281" s="13"/>
      <c r="O281" s="13"/>
      <c r="P281" s="13"/>
      <c r="Q281" s="13"/>
      <c r="R281" s="13"/>
      <c r="S281" s="13"/>
      <c r="T281" s="13"/>
      <c r="U281" s="13"/>
      <c r="V281" s="13"/>
      <c r="W281" s="13"/>
      <c r="X281" s="13"/>
      <c r="Y281" s="13"/>
    </row>
    <row r="282" spans="3:25" x14ac:dyDescent="0.25">
      <c r="C282" s="13"/>
      <c r="D282" s="13"/>
      <c r="E282" s="13"/>
      <c r="F282" s="13"/>
      <c r="G282" s="13"/>
      <c r="H282" s="13"/>
      <c r="I282" s="13"/>
      <c r="J282" s="13"/>
      <c r="K282" s="13"/>
      <c r="L282" s="13"/>
      <c r="M282" s="13"/>
      <c r="N282" s="13"/>
      <c r="O282" s="13"/>
      <c r="P282" s="13"/>
      <c r="Q282" s="13"/>
      <c r="R282" s="13"/>
      <c r="S282" s="13"/>
      <c r="T282" s="13"/>
      <c r="U282" s="13"/>
      <c r="V282" s="13"/>
      <c r="W282" s="13"/>
      <c r="X282" s="13"/>
      <c r="Y282" s="13"/>
    </row>
    <row r="283" spans="3:25" x14ac:dyDescent="0.25">
      <c r="C283" s="13"/>
      <c r="D283" s="13"/>
      <c r="E283" s="13"/>
      <c r="F283" s="13"/>
      <c r="G283" s="13"/>
      <c r="H283" s="13"/>
      <c r="I283" s="13"/>
      <c r="J283" s="13"/>
      <c r="K283" s="13"/>
      <c r="L283" s="13"/>
      <c r="M283" s="13"/>
      <c r="N283" s="13"/>
      <c r="O283" s="13"/>
      <c r="P283" s="13"/>
      <c r="Q283" s="13"/>
      <c r="R283" s="13"/>
      <c r="S283" s="13"/>
      <c r="T283" s="13"/>
      <c r="U283" s="13"/>
      <c r="V283" s="13"/>
      <c r="W283" s="13"/>
      <c r="X283" s="13"/>
      <c r="Y283" s="13"/>
    </row>
    <row r="284" spans="3:25" x14ac:dyDescent="0.25">
      <c r="C284" s="13"/>
      <c r="D284" s="13"/>
      <c r="E284" s="13"/>
      <c r="F284" s="13"/>
      <c r="G284" s="13"/>
      <c r="H284" s="13"/>
      <c r="I284" s="13"/>
      <c r="J284" s="13"/>
      <c r="K284" s="13"/>
      <c r="L284" s="13"/>
      <c r="M284" s="13"/>
      <c r="N284" s="13"/>
      <c r="O284" s="13"/>
      <c r="P284" s="13"/>
      <c r="Q284" s="13"/>
      <c r="R284" s="13"/>
      <c r="S284" s="13"/>
      <c r="T284" s="13"/>
      <c r="U284" s="13"/>
      <c r="V284" s="13"/>
      <c r="W284" s="13"/>
      <c r="X284" s="13"/>
      <c r="Y284" s="13"/>
    </row>
    <row r="285" spans="3:25" x14ac:dyDescent="0.25">
      <c r="C285" s="13"/>
      <c r="D285" s="13"/>
      <c r="E285" s="13"/>
      <c r="F285" s="13"/>
      <c r="G285" s="13"/>
      <c r="H285" s="13"/>
      <c r="I285" s="13"/>
      <c r="J285" s="13"/>
      <c r="K285" s="13"/>
      <c r="L285" s="13"/>
      <c r="M285" s="13"/>
      <c r="N285" s="13"/>
      <c r="O285" s="13"/>
      <c r="P285" s="13"/>
      <c r="Q285" s="13"/>
      <c r="R285" s="13"/>
      <c r="S285" s="13"/>
      <c r="T285" s="13"/>
      <c r="U285" s="13"/>
      <c r="V285" s="13"/>
      <c r="W285" s="13"/>
      <c r="X285" s="13"/>
      <c r="Y285" s="13"/>
    </row>
    <row r="286" spans="3:25" x14ac:dyDescent="0.25">
      <c r="C286" s="13"/>
      <c r="D286" s="13"/>
      <c r="E286" s="13"/>
      <c r="F286" s="13"/>
      <c r="G286" s="13"/>
      <c r="H286" s="13"/>
      <c r="I286" s="13"/>
      <c r="J286" s="13"/>
      <c r="K286" s="13"/>
      <c r="L286" s="13"/>
      <c r="M286" s="13"/>
      <c r="N286" s="13"/>
      <c r="O286" s="13"/>
      <c r="P286" s="13"/>
      <c r="Q286" s="13"/>
      <c r="R286" s="13"/>
      <c r="S286" s="13"/>
      <c r="T286" s="13"/>
      <c r="U286" s="13"/>
      <c r="V286" s="13"/>
      <c r="W286" s="13"/>
      <c r="X286" s="13"/>
      <c r="Y286" s="13"/>
    </row>
    <row r="287" spans="3:25" x14ac:dyDescent="0.25">
      <c r="C287" s="13"/>
      <c r="D287" s="13"/>
      <c r="E287" s="13"/>
      <c r="F287" s="13"/>
      <c r="G287" s="13"/>
      <c r="H287" s="13"/>
      <c r="I287" s="13"/>
      <c r="J287" s="13"/>
      <c r="K287" s="13"/>
      <c r="L287" s="13"/>
      <c r="M287" s="13"/>
      <c r="N287" s="13"/>
      <c r="O287" s="13"/>
      <c r="P287" s="13"/>
      <c r="Q287" s="13"/>
      <c r="R287" s="13"/>
      <c r="S287" s="13"/>
      <c r="T287" s="13"/>
      <c r="U287" s="13"/>
      <c r="V287" s="13"/>
      <c r="W287" s="13"/>
      <c r="X287" s="13"/>
      <c r="Y287" s="13"/>
    </row>
    <row r="288" spans="3:25" x14ac:dyDescent="0.25">
      <c r="C288" s="13"/>
      <c r="D288" s="13"/>
      <c r="E288" s="13"/>
      <c r="F288" s="13"/>
      <c r="G288" s="13"/>
      <c r="H288" s="13"/>
      <c r="I288" s="13"/>
      <c r="J288" s="13"/>
      <c r="K288" s="13"/>
      <c r="L288" s="13"/>
      <c r="M288" s="13"/>
      <c r="N288" s="13"/>
      <c r="O288" s="13"/>
      <c r="P288" s="13"/>
      <c r="Q288" s="13"/>
      <c r="R288" s="13"/>
      <c r="S288" s="13"/>
      <c r="T288" s="13"/>
      <c r="U288" s="13"/>
      <c r="V288" s="13"/>
      <c r="W288" s="13"/>
      <c r="X288" s="13"/>
      <c r="Y288" s="13"/>
    </row>
    <row r="289" spans="3:25" x14ac:dyDescent="0.25">
      <c r="C289" s="13"/>
      <c r="D289" s="13"/>
      <c r="E289" s="13"/>
      <c r="F289" s="13"/>
      <c r="G289" s="13"/>
      <c r="H289" s="13"/>
      <c r="I289" s="13"/>
      <c r="J289" s="13"/>
      <c r="K289" s="13"/>
      <c r="L289" s="13"/>
      <c r="M289" s="13"/>
      <c r="N289" s="13"/>
      <c r="O289" s="13"/>
      <c r="P289" s="13"/>
      <c r="Q289" s="13"/>
      <c r="R289" s="13"/>
      <c r="S289" s="13"/>
      <c r="T289" s="13"/>
      <c r="U289" s="13"/>
      <c r="V289" s="13"/>
      <c r="W289" s="13"/>
      <c r="X289" s="13"/>
      <c r="Y289" s="13"/>
    </row>
    <row r="290" spans="3:25" x14ac:dyDescent="0.25">
      <c r="C290" s="13"/>
      <c r="D290" s="13"/>
      <c r="E290" s="13"/>
      <c r="F290" s="13"/>
      <c r="G290" s="13"/>
      <c r="H290" s="13"/>
      <c r="I290" s="13"/>
      <c r="J290" s="13"/>
      <c r="K290" s="13"/>
      <c r="L290" s="13"/>
      <c r="M290" s="13"/>
      <c r="N290" s="13"/>
      <c r="O290" s="13"/>
      <c r="P290" s="13"/>
      <c r="Q290" s="13"/>
      <c r="R290" s="13"/>
      <c r="S290" s="13"/>
      <c r="T290" s="13"/>
      <c r="U290" s="13"/>
      <c r="V290" s="13"/>
      <c r="W290" s="13"/>
      <c r="X290" s="13"/>
      <c r="Y290" s="13"/>
    </row>
    <row r="291" spans="3:25" x14ac:dyDescent="0.25">
      <c r="C291" s="13"/>
      <c r="D291" s="13"/>
      <c r="E291" s="13"/>
      <c r="F291" s="13"/>
      <c r="G291" s="13"/>
      <c r="H291" s="13"/>
      <c r="I291" s="13"/>
      <c r="J291" s="13"/>
      <c r="K291" s="13"/>
      <c r="L291" s="13"/>
      <c r="M291" s="13"/>
      <c r="N291" s="13"/>
      <c r="O291" s="13"/>
      <c r="P291" s="13"/>
      <c r="Q291" s="13"/>
      <c r="R291" s="13"/>
      <c r="S291" s="13"/>
      <c r="T291" s="13"/>
      <c r="U291" s="13"/>
      <c r="V291" s="13"/>
      <c r="W291" s="13"/>
      <c r="X291" s="13"/>
      <c r="Y291" s="13"/>
    </row>
    <row r="292" spans="3:25" x14ac:dyDescent="0.25">
      <c r="C292" s="13"/>
      <c r="D292" s="13"/>
      <c r="E292" s="13"/>
      <c r="F292" s="13"/>
      <c r="G292" s="13"/>
      <c r="H292" s="13"/>
      <c r="I292" s="13"/>
      <c r="J292" s="13"/>
      <c r="K292" s="13"/>
      <c r="L292" s="13"/>
      <c r="M292" s="13"/>
      <c r="N292" s="13"/>
      <c r="O292" s="13"/>
      <c r="P292" s="13"/>
      <c r="Q292" s="13"/>
      <c r="R292" s="13"/>
      <c r="S292" s="13"/>
      <c r="T292" s="13"/>
      <c r="U292" s="13"/>
      <c r="V292" s="13"/>
      <c r="W292" s="13"/>
      <c r="X292" s="13"/>
      <c r="Y292" s="13"/>
    </row>
    <row r="293" spans="3:25" x14ac:dyDescent="0.25">
      <c r="C293" s="13"/>
      <c r="D293" s="13"/>
      <c r="E293" s="13"/>
      <c r="F293" s="13"/>
      <c r="G293" s="13"/>
      <c r="H293" s="13"/>
      <c r="I293" s="13"/>
      <c r="J293" s="13"/>
      <c r="K293" s="13"/>
      <c r="L293" s="13"/>
      <c r="M293" s="13"/>
      <c r="N293" s="13"/>
      <c r="O293" s="13"/>
      <c r="P293" s="13"/>
      <c r="Q293" s="13"/>
      <c r="R293" s="13"/>
      <c r="S293" s="13"/>
      <c r="T293" s="13"/>
      <c r="U293" s="13"/>
      <c r="V293" s="13"/>
      <c r="W293" s="13"/>
      <c r="X293" s="13"/>
      <c r="Y293" s="13"/>
    </row>
    <row r="294" spans="3:25" x14ac:dyDescent="0.25">
      <c r="C294" s="13"/>
      <c r="D294" s="13"/>
      <c r="E294" s="13"/>
      <c r="F294" s="13"/>
      <c r="G294" s="13"/>
      <c r="H294" s="13"/>
      <c r="I294" s="13"/>
      <c r="J294" s="13"/>
      <c r="K294" s="13"/>
      <c r="L294" s="13"/>
      <c r="M294" s="13"/>
      <c r="N294" s="13"/>
      <c r="O294" s="13"/>
      <c r="P294" s="13"/>
      <c r="Q294" s="13"/>
      <c r="R294" s="13"/>
      <c r="S294" s="13"/>
      <c r="T294" s="13"/>
      <c r="U294" s="13"/>
      <c r="V294" s="13"/>
      <c r="W294" s="13"/>
      <c r="X294" s="13"/>
      <c r="Y294" s="13"/>
    </row>
    <row r="295" spans="3:25" x14ac:dyDescent="0.25">
      <c r="C295" s="13"/>
      <c r="D295" s="13"/>
      <c r="E295" s="13"/>
      <c r="F295" s="13"/>
      <c r="G295" s="13"/>
      <c r="H295" s="13"/>
      <c r="I295" s="13"/>
      <c r="J295" s="13"/>
      <c r="K295" s="13"/>
      <c r="L295" s="13"/>
      <c r="M295" s="13"/>
      <c r="N295" s="13"/>
      <c r="O295" s="13"/>
      <c r="P295" s="13"/>
      <c r="Q295" s="13"/>
      <c r="R295" s="13"/>
      <c r="S295" s="13"/>
      <c r="T295" s="13"/>
      <c r="U295" s="13"/>
      <c r="V295" s="13"/>
      <c r="W295" s="13"/>
      <c r="X295" s="13"/>
      <c r="Y295" s="13"/>
    </row>
    <row r="296" spans="3:25" x14ac:dyDescent="0.25">
      <c r="C296" s="13"/>
      <c r="D296" s="13"/>
      <c r="E296" s="13"/>
      <c r="F296" s="13"/>
      <c r="G296" s="13"/>
      <c r="H296" s="13"/>
      <c r="I296" s="13"/>
      <c r="J296" s="13"/>
      <c r="K296" s="13"/>
      <c r="L296" s="13"/>
      <c r="M296" s="13"/>
      <c r="N296" s="13"/>
      <c r="O296" s="13"/>
      <c r="P296" s="13"/>
      <c r="Q296" s="13"/>
      <c r="R296" s="13"/>
      <c r="S296" s="13"/>
      <c r="T296" s="13"/>
      <c r="U296" s="13"/>
      <c r="V296" s="13"/>
      <c r="W296" s="13"/>
      <c r="X296" s="13"/>
      <c r="Y296" s="13"/>
    </row>
    <row r="297" spans="3:25" x14ac:dyDescent="0.25">
      <c r="C297" s="13"/>
      <c r="D297" s="13"/>
      <c r="E297" s="13"/>
      <c r="F297" s="13"/>
      <c r="G297" s="13"/>
      <c r="H297" s="13"/>
      <c r="I297" s="13"/>
      <c r="J297" s="13"/>
      <c r="K297" s="13"/>
      <c r="L297" s="13"/>
      <c r="M297" s="13"/>
      <c r="N297" s="13"/>
      <c r="O297" s="13"/>
      <c r="P297" s="13"/>
      <c r="Q297" s="13"/>
      <c r="R297" s="13"/>
      <c r="S297" s="13"/>
      <c r="T297" s="13"/>
      <c r="U297" s="13"/>
      <c r="V297" s="13"/>
      <c r="W297" s="13"/>
      <c r="X297" s="13"/>
      <c r="Y297" s="13"/>
    </row>
    <row r="298" spans="3:25" x14ac:dyDescent="0.25">
      <c r="C298" s="13"/>
      <c r="D298" s="13"/>
      <c r="E298" s="13"/>
      <c r="F298" s="13"/>
      <c r="G298" s="13"/>
      <c r="H298" s="13"/>
      <c r="I298" s="13"/>
      <c r="J298" s="13"/>
      <c r="K298" s="13"/>
      <c r="L298" s="13"/>
      <c r="M298" s="13"/>
      <c r="N298" s="13"/>
      <c r="O298" s="13"/>
      <c r="P298" s="13"/>
      <c r="Q298" s="13"/>
      <c r="R298" s="13"/>
      <c r="S298" s="13"/>
      <c r="T298" s="13"/>
      <c r="U298" s="13"/>
      <c r="V298" s="13"/>
      <c r="W298" s="13"/>
      <c r="X298" s="13"/>
      <c r="Y298" s="13"/>
    </row>
    <row r="299" spans="3:25" x14ac:dyDescent="0.25">
      <c r="C299" s="13"/>
      <c r="D299" s="13"/>
      <c r="E299" s="13"/>
      <c r="F299" s="13"/>
      <c r="G299" s="13"/>
      <c r="H299" s="13"/>
      <c r="I299" s="13"/>
      <c r="J299" s="13"/>
      <c r="K299" s="13"/>
      <c r="L299" s="13"/>
      <c r="M299" s="13"/>
      <c r="N299" s="13"/>
      <c r="O299" s="13"/>
      <c r="P299" s="13"/>
      <c r="Q299" s="13"/>
      <c r="R299" s="13"/>
      <c r="S299" s="13"/>
      <c r="T299" s="13"/>
      <c r="U299" s="13"/>
      <c r="V299" s="13"/>
      <c r="W299" s="13"/>
      <c r="X299" s="13"/>
      <c r="Y299" s="13"/>
    </row>
    <row r="300" spans="3:25" x14ac:dyDescent="0.25">
      <c r="C300" s="13"/>
      <c r="D300" s="13"/>
      <c r="E300" s="13"/>
      <c r="F300" s="13"/>
      <c r="G300" s="13"/>
      <c r="H300" s="13"/>
      <c r="I300" s="13"/>
      <c r="J300" s="13"/>
      <c r="K300" s="13"/>
      <c r="L300" s="13"/>
      <c r="M300" s="13"/>
      <c r="N300" s="13"/>
      <c r="O300" s="13"/>
      <c r="P300" s="13"/>
      <c r="Q300" s="13"/>
      <c r="R300" s="13"/>
      <c r="S300" s="13"/>
      <c r="T300" s="13"/>
      <c r="U300" s="13"/>
      <c r="V300" s="13"/>
      <c r="W300" s="13"/>
      <c r="X300" s="13"/>
      <c r="Y300" s="13"/>
    </row>
    <row r="301" spans="3:25" x14ac:dyDescent="0.25">
      <c r="C301" s="13"/>
      <c r="D301" s="13"/>
      <c r="E301" s="13"/>
      <c r="F301" s="13"/>
      <c r="G301" s="13"/>
      <c r="H301" s="13"/>
      <c r="I301" s="13"/>
      <c r="J301" s="13"/>
      <c r="K301" s="13"/>
      <c r="L301" s="13"/>
      <c r="M301" s="13"/>
      <c r="N301" s="13"/>
      <c r="O301" s="13"/>
      <c r="P301" s="13"/>
      <c r="Q301" s="13"/>
      <c r="R301" s="13"/>
      <c r="S301" s="13"/>
      <c r="T301" s="13"/>
      <c r="U301" s="13"/>
      <c r="V301" s="13"/>
      <c r="W301" s="13"/>
      <c r="X301" s="13"/>
      <c r="Y301" s="13"/>
    </row>
    <row r="302" spans="3:25" x14ac:dyDescent="0.25">
      <c r="C302" s="13"/>
      <c r="D302" s="13"/>
      <c r="E302" s="13"/>
      <c r="F302" s="13"/>
      <c r="G302" s="13"/>
      <c r="H302" s="13"/>
      <c r="I302" s="13"/>
      <c r="J302" s="13"/>
      <c r="K302" s="13"/>
      <c r="L302" s="13"/>
      <c r="M302" s="13"/>
      <c r="N302" s="13"/>
      <c r="O302" s="13"/>
      <c r="P302" s="13"/>
      <c r="Q302" s="13"/>
      <c r="R302" s="13"/>
      <c r="S302" s="13"/>
      <c r="T302" s="13"/>
      <c r="U302" s="13"/>
      <c r="V302" s="13"/>
      <c r="W302" s="13"/>
      <c r="X302" s="13"/>
      <c r="Y302" s="13"/>
    </row>
    <row r="303" spans="3:25" x14ac:dyDescent="0.25">
      <c r="C303" s="13"/>
      <c r="D303" s="13"/>
      <c r="E303" s="13"/>
      <c r="F303" s="13"/>
      <c r="G303" s="13"/>
      <c r="H303" s="13"/>
      <c r="I303" s="13"/>
      <c r="J303" s="13"/>
      <c r="K303" s="13"/>
      <c r="L303" s="13"/>
      <c r="M303" s="13"/>
      <c r="N303" s="13"/>
      <c r="O303" s="13"/>
      <c r="P303" s="13"/>
      <c r="Q303" s="13"/>
      <c r="R303" s="13"/>
      <c r="S303" s="13"/>
      <c r="T303" s="13"/>
      <c r="U303" s="13"/>
      <c r="V303" s="13"/>
      <c r="W303" s="13"/>
      <c r="X303" s="13"/>
      <c r="Y303" s="13"/>
    </row>
    <row r="306" spans="2:25" x14ac:dyDescent="0.25">
      <c r="B306" s="158"/>
      <c r="C306" s="190"/>
      <c r="D306" s="190"/>
      <c r="E306" s="190"/>
      <c r="F306" s="190"/>
      <c r="G306" s="190"/>
      <c r="H306" s="190"/>
      <c r="I306" s="13"/>
      <c r="J306" s="13"/>
      <c r="K306" s="13"/>
      <c r="L306" s="13"/>
      <c r="M306" s="13"/>
      <c r="N306" s="13"/>
      <c r="O306" s="13"/>
      <c r="P306" s="13"/>
      <c r="Q306" s="13"/>
      <c r="R306" s="13"/>
      <c r="S306" s="13"/>
      <c r="T306" s="13"/>
      <c r="U306" s="13"/>
      <c r="V306" s="13"/>
      <c r="W306" s="13"/>
      <c r="X306" s="13"/>
      <c r="Y306" s="13"/>
    </row>
  </sheetData>
  <mergeCells count="40">
    <mergeCell ref="B42:B44"/>
    <mergeCell ref="B45:B47"/>
    <mergeCell ref="B48:O48"/>
    <mergeCell ref="B33:B35"/>
    <mergeCell ref="B36:B38"/>
    <mergeCell ref="B39:B41"/>
    <mergeCell ref="B30:B32"/>
    <mergeCell ref="C30:C32"/>
    <mergeCell ref="D30:O30"/>
    <mergeCell ref="D31:E31"/>
    <mergeCell ref="F31:G31"/>
    <mergeCell ref="H31:I31"/>
    <mergeCell ref="J31:K31"/>
    <mergeCell ref="L31:M31"/>
    <mergeCell ref="N31:O31"/>
    <mergeCell ref="D7:O7"/>
    <mergeCell ref="B7:B9"/>
    <mergeCell ref="C7:C9"/>
    <mergeCell ref="L8:M8"/>
    <mergeCell ref="H8:I8"/>
    <mergeCell ref="D8:E8"/>
    <mergeCell ref="F8:G8"/>
    <mergeCell ref="N8:O8"/>
    <mergeCell ref="J8:K8"/>
    <mergeCell ref="B259:W259"/>
    <mergeCell ref="U53:W54"/>
    <mergeCell ref="B13:B15"/>
    <mergeCell ref="B10:B12"/>
    <mergeCell ref="B16:B18"/>
    <mergeCell ref="B19:B21"/>
    <mergeCell ref="B22:B24"/>
    <mergeCell ref="B25:O25"/>
    <mergeCell ref="C54:E54"/>
    <mergeCell ref="B53:B55"/>
    <mergeCell ref="F54:H54"/>
    <mergeCell ref="I54:K54"/>
    <mergeCell ref="L54:N54"/>
    <mergeCell ref="O54:Q54"/>
    <mergeCell ref="R54:T54"/>
    <mergeCell ref="C53:T53"/>
  </mergeCells>
  <phoneticPr fontId="27" type="noConversion"/>
  <pageMargins left="0.7" right="0.7" top="0.75" bottom="0.75" header="0.3" footer="0.3"/>
  <pageSetup scale="80"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F1EED-E81D-475E-BC1D-BD5F00485FFA}">
  <sheetPr>
    <tabColor rgb="FF00B0F0"/>
  </sheetPr>
  <dimension ref="B2:AI117"/>
  <sheetViews>
    <sheetView workbookViewId="0"/>
  </sheetViews>
  <sheetFormatPr baseColWidth="10" defaultColWidth="11.5703125" defaultRowHeight="15" x14ac:dyDescent="0.25"/>
  <cols>
    <col min="1" max="1" width="7.28515625" style="7" customWidth="1"/>
    <col min="2" max="2" width="12" style="7" customWidth="1"/>
    <col min="3" max="4" width="11.5703125" style="7"/>
    <col min="5" max="5" width="13" style="7" customWidth="1"/>
    <col min="6" max="7" width="11.5703125" style="7"/>
    <col min="8" max="8" width="14.42578125" style="7" customWidth="1"/>
    <col min="9" max="9" width="9.85546875" style="7" customWidth="1"/>
    <col min="10" max="10" width="5.85546875" style="7" customWidth="1"/>
    <col min="11" max="11" width="16.28515625" style="7" customWidth="1"/>
    <col min="12" max="29" width="11.5703125" style="7"/>
    <col min="30" max="30" width="16.7109375" style="7" customWidth="1"/>
    <col min="31" max="33" width="11.5703125" style="7"/>
    <col min="34" max="34" width="20.42578125" style="7" bestFit="1" customWidth="1"/>
    <col min="35" max="16384" width="11.5703125" style="7"/>
  </cols>
  <sheetData>
    <row r="2" spans="2:35" ht="24" customHeight="1" x14ac:dyDescent="0.25">
      <c r="B2" s="1" t="s">
        <v>19</v>
      </c>
      <c r="C2"/>
      <c r="D2"/>
    </row>
    <row r="3" spans="2:35" ht="17.45" customHeight="1" x14ac:dyDescent="0.35">
      <c r="B3" s="204" t="s">
        <v>542</v>
      </c>
    </row>
    <row r="4" spans="2:35" ht="18.75" x14ac:dyDescent="0.3">
      <c r="B4" s="2" t="s">
        <v>20</v>
      </c>
      <c r="C4" s="2"/>
      <c r="D4" s="2"/>
      <c r="E4" s="2"/>
      <c r="F4" s="2"/>
      <c r="G4" s="2"/>
      <c r="H4" s="2"/>
      <c r="I4" s="8"/>
    </row>
    <row r="5" spans="2:35" x14ac:dyDescent="0.25">
      <c r="B5" s="15" t="s">
        <v>0</v>
      </c>
      <c r="C5" s="9"/>
      <c r="D5" s="9"/>
      <c r="E5" s="9"/>
      <c r="F5" s="9"/>
      <c r="G5" s="9"/>
      <c r="H5" s="9"/>
    </row>
    <row r="7" spans="2:35" ht="32.450000000000003" customHeight="1" x14ac:dyDescent="0.25">
      <c r="B7" s="442" t="s">
        <v>7</v>
      </c>
      <c r="C7" s="443" t="s">
        <v>21</v>
      </c>
      <c r="D7" s="444"/>
      <c r="E7" s="444"/>
      <c r="F7" s="444"/>
      <c r="G7" s="444"/>
      <c r="H7" s="444"/>
    </row>
    <row r="8" spans="2:35" ht="37.9" customHeight="1" x14ac:dyDescent="0.25">
      <c r="B8" s="442"/>
      <c r="C8" s="16" t="s">
        <v>22</v>
      </c>
      <c r="D8" s="16" t="s">
        <v>23</v>
      </c>
      <c r="E8" s="17" t="s">
        <v>10</v>
      </c>
      <c r="F8" s="16" t="s">
        <v>24</v>
      </c>
      <c r="G8" s="16" t="s">
        <v>11</v>
      </c>
      <c r="H8" s="18" t="s">
        <v>25</v>
      </c>
      <c r="K8" s="203" t="s">
        <v>541</v>
      </c>
    </row>
    <row r="9" spans="2:35" ht="15.75" customHeight="1" x14ac:dyDescent="0.3">
      <c r="B9" s="19" t="s">
        <v>26</v>
      </c>
      <c r="C9" s="20">
        <v>83903</v>
      </c>
      <c r="D9" s="20">
        <v>36885</v>
      </c>
      <c r="E9" s="20">
        <v>12630</v>
      </c>
      <c r="F9" s="20">
        <v>5944</v>
      </c>
      <c r="G9" s="20"/>
      <c r="H9" s="20">
        <f t="shared" ref="H9:H28" si="0">SUM(C9:F9)</f>
        <v>139362</v>
      </c>
      <c r="K9" s="21" t="s">
        <v>27</v>
      </c>
      <c r="L9" s="8"/>
      <c r="M9" s="8"/>
      <c r="N9" s="8"/>
      <c r="O9" s="8"/>
      <c r="P9" s="8"/>
      <c r="Q9" s="8"/>
      <c r="R9" s="8"/>
      <c r="S9" s="8"/>
      <c r="T9" s="8"/>
      <c r="AD9" s="21" t="s">
        <v>27</v>
      </c>
    </row>
    <row r="10" spans="2:35" ht="15.75" customHeight="1" x14ac:dyDescent="0.25">
      <c r="B10" s="19" t="s">
        <v>28</v>
      </c>
      <c r="C10" s="20">
        <v>59154</v>
      </c>
      <c r="D10" s="20">
        <v>35458</v>
      </c>
      <c r="E10" s="20">
        <v>298121</v>
      </c>
      <c r="F10" s="20">
        <v>11707</v>
      </c>
      <c r="G10" s="20"/>
      <c r="H10" s="20">
        <f t="shared" si="0"/>
        <v>404440</v>
      </c>
      <c r="K10" s="3" t="s">
        <v>0</v>
      </c>
      <c r="AD10" s="3" t="s">
        <v>504</v>
      </c>
    </row>
    <row r="11" spans="2:35" ht="15.75" customHeight="1" thickBot="1" x14ac:dyDescent="0.3">
      <c r="B11" s="19" t="s">
        <v>29</v>
      </c>
      <c r="C11" s="20">
        <v>40733</v>
      </c>
      <c r="D11" s="20">
        <v>24967</v>
      </c>
      <c r="E11" s="20">
        <v>168046</v>
      </c>
      <c r="F11" s="20">
        <v>11929</v>
      </c>
      <c r="G11" s="20"/>
      <c r="H11" s="20">
        <f t="shared" si="0"/>
        <v>245675</v>
      </c>
    </row>
    <row r="12" spans="2:35" ht="15.75" customHeight="1" thickBot="1" x14ac:dyDescent="0.3">
      <c r="B12" s="19" t="s">
        <v>30</v>
      </c>
      <c r="C12" s="20">
        <v>37414</v>
      </c>
      <c r="D12" s="20">
        <v>20938</v>
      </c>
      <c r="E12" s="20">
        <v>126071</v>
      </c>
      <c r="F12" s="20">
        <v>10368</v>
      </c>
      <c r="G12" s="20"/>
      <c r="H12" s="20">
        <f t="shared" si="0"/>
        <v>194791</v>
      </c>
      <c r="K12" s="22" t="s">
        <v>31</v>
      </c>
      <c r="L12" s="23">
        <v>2008</v>
      </c>
      <c r="M12" s="24">
        <v>2009</v>
      </c>
      <c r="N12" s="24">
        <v>2010</v>
      </c>
      <c r="O12" s="24">
        <v>2011</v>
      </c>
      <c r="P12" s="24">
        <v>2012</v>
      </c>
      <c r="Q12" s="24">
        <v>2013</v>
      </c>
      <c r="R12" s="24">
        <v>2014</v>
      </c>
      <c r="S12" s="24">
        <v>2015</v>
      </c>
      <c r="T12" s="24">
        <v>2016</v>
      </c>
      <c r="U12" s="24">
        <v>2017</v>
      </c>
      <c r="V12" s="24">
        <v>2018</v>
      </c>
      <c r="W12" s="24">
        <v>2019</v>
      </c>
      <c r="X12" s="24">
        <v>2020</v>
      </c>
      <c r="Y12" s="24">
        <v>2021</v>
      </c>
      <c r="Z12" s="25">
        <v>2022</v>
      </c>
      <c r="AA12" s="22" t="s">
        <v>25</v>
      </c>
      <c r="AD12" s="196" t="s">
        <v>31</v>
      </c>
      <c r="AE12" s="197">
        <v>44835</v>
      </c>
      <c r="AF12" s="197">
        <v>44866</v>
      </c>
      <c r="AG12" s="197">
        <v>44896</v>
      </c>
      <c r="AH12" s="196" t="s">
        <v>473</v>
      </c>
      <c r="AI12"/>
    </row>
    <row r="13" spans="2:35" ht="15.75" customHeight="1" x14ac:dyDescent="0.25">
      <c r="B13" s="19" t="s">
        <v>32</v>
      </c>
      <c r="C13" s="20">
        <v>34111</v>
      </c>
      <c r="D13" s="20">
        <v>19594</v>
      </c>
      <c r="E13" s="20">
        <v>130339</v>
      </c>
      <c r="F13" s="20">
        <v>8226</v>
      </c>
      <c r="G13" s="20"/>
      <c r="H13" s="20">
        <f t="shared" si="0"/>
        <v>192270</v>
      </c>
      <c r="K13" s="26" t="s">
        <v>33</v>
      </c>
      <c r="L13" s="27">
        <v>95470</v>
      </c>
      <c r="M13" s="28">
        <v>299851</v>
      </c>
      <c r="N13" s="28">
        <v>148063</v>
      </c>
      <c r="O13" s="28">
        <v>114399</v>
      </c>
      <c r="P13" s="28">
        <v>126850</v>
      </c>
      <c r="Q13" s="28">
        <v>83745</v>
      </c>
      <c r="R13" s="28">
        <v>94143</v>
      </c>
      <c r="S13" s="28">
        <v>84139</v>
      </c>
      <c r="T13" s="28">
        <v>84299</v>
      </c>
      <c r="U13" s="28">
        <v>94990</v>
      </c>
      <c r="V13" s="28">
        <v>106236</v>
      </c>
      <c r="W13" s="28">
        <v>95189</v>
      </c>
      <c r="X13" s="28">
        <v>107160</v>
      </c>
      <c r="Y13" s="28">
        <v>117979</v>
      </c>
      <c r="Z13" s="29">
        <v>250187</v>
      </c>
      <c r="AA13" s="30">
        <f>SUM(L13:Z13)</f>
        <v>1902700</v>
      </c>
      <c r="AD13" s="194" t="s">
        <v>33</v>
      </c>
      <c r="AE13" s="195">
        <v>19719</v>
      </c>
      <c r="AF13" s="195">
        <v>22796</v>
      </c>
      <c r="AG13" s="195">
        <v>17770</v>
      </c>
      <c r="AH13" s="195">
        <f>SUM(AE13:AG13)</f>
        <v>60285</v>
      </c>
      <c r="AI13"/>
    </row>
    <row r="14" spans="2:35" ht="15.75" customHeight="1" x14ac:dyDescent="0.25">
      <c r="B14" s="19" t="s">
        <v>34</v>
      </c>
      <c r="C14" s="20">
        <v>32718</v>
      </c>
      <c r="D14" s="20">
        <v>17032</v>
      </c>
      <c r="E14" s="20">
        <v>76989</v>
      </c>
      <c r="F14" s="20">
        <v>7295</v>
      </c>
      <c r="G14" s="20"/>
      <c r="H14" s="20">
        <f t="shared" si="0"/>
        <v>134034</v>
      </c>
      <c r="K14" s="31" t="s">
        <v>35</v>
      </c>
      <c r="L14" s="32">
        <v>1029</v>
      </c>
      <c r="M14" s="33">
        <v>30362</v>
      </c>
      <c r="N14" s="33">
        <v>32918</v>
      </c>
      <c r="O14" s="33">
        <v>25990</v>
      </c>
      <c r="P14" s="33">
        <v>24058</v>
      </c>
      <c r="Q14" s="33">
        <v>22686</v>
      </c>
      <c r="R14" s="33">
        <v>27044</v>
      </c>
      <c r="S14" s="33">
        <v>29604</v>
      </c>
      <c r="T14" s="33">
        <v>29016</v>
      </c>
      <c r="U14" s="33">
        <v>34397</v>
      </c>
      <c r="V14" s="33">
        <v>43517</v>
      </c>
      <c r="W14" s="33">
        <v>43221</v>
      </c>
      <c r="X14" s="33">
        <v>56267</v>
      </c>
      <c r="Y14" s="33">
        <v>73775</v>
      </c>
      <c r="Z14" s="34">
        <v>99369</v>
      </c>
      <c r="AA14" s="35">
        <f t="shared" ref="AA14:AA17" si="1">SUM(L14:Z14)</f>
        <v>573253</v>
      </c>
      <c r="AD14" s="194" t="s">
        <v>35</v>
      </c>
      <c r="AE14" s="195">
        <v>6527</v>
      </c>
      <c r="AF14" s="195">
        <v>6510</v>
      </c>
      <c r="AG14" s="195">
        <v>5625</v>
      </c>
      <c r="AH14" s="195">
        <f t="shared" ref="AH14:AH17" si="2">SUM(AE14:AG14)</f>
        <v>18662</v>
      </c>
      <c r="AI14"/>
    </row>
    <row r="15" spans="2:35" ht="15.75" customHeight="1" x14ac:dyDescent="0.25">
      <c r="B15" s="19" t="s">
        <v>36</v>
      </c>
      <c r="C15" s="20">
        <v>39392</v>
      </c>
      <c r="D15" s="20">
        <v>17573</v>
      </c>
      <c r="E15" s="20">
        <v>88545</v>
      </c>
      <c r="F15" s="20">
        <v>6054</v>
      </c>
      <c r="G15" s="20"/>
      <c r="H15" s="20">
        <f t="shared" si="0"/>
        <v>151564</v>
      </c>
      <c r="I15" s="36"/>
      <c r="K15" s="31" t="s">
        <v>37</v>
      </c>
      <c r="L15" s="32">
        <v>0</v>
      </c>
      <c r="M15" s="33">
        <v>0</v>
      </c>
      <c r="N15" s="33">
        <v>5301</v>
      </c>
      <c r="O15" s="33">
        <v>11377</v>
      </c>
      <c r="P15" s="33">
        <v>9223</v>
      </c>
      <c r="Q15" s="33">
        <v>6357</v>
      </c>
      <c r="R15" s="33">
        <v>6542</v>
      </c>
      <c r="S15" s="33">
        <v>5381</v>
      </c>
      <c r="T15" s="33">
        <v>4531</v>
      </c>
      <c r="U15" s="33">
        <v>4540</v>
      </c>
      <c r="V15" s="33">
        <v>4894</v>
      </c>
      <c r="W15" s="33">
        <v>4177</v>
      </c>
      <c r="X15" s="33">
        <v>8095</v>
      </c>
      <c r="Y15" s="33">
        <v>7164</v>
      </c>
      <c r="Z15" s="34">
        <v>9558</v>
      </c>
      <c r="AA15" s="35">
        <f t="shared" si="1"/>
        <v>87140</v>
      </c>
      <c r="AD15" s="194" t="s">
        <v>37</v>
      </c>
      <c r="AE15" s="195">
        <v>623</v>
      </c>
      <c r="AF15" s="195">
        <v>681</v>
      </c>
      <c r="AG15" s="195">
        <v>385</v>
      </c>
      <c r="AH15" s="195">
        <f t="shared" si="2"/>
        <v>1689</v>
      </c>
      <c r="AI15"/>
    </row>
    <row r="16" spans="2:35" x14ac:dyDescent="0.25">
      <c r="B16" s="19" t="s">
        <v>38</v>
      </c>
      <c r="C16" s="20">
        <v>31042</v>
      </c>
      <c r="D16" s="20">
        <v>18557</v>
      </c>
      <c r="E16" s="20">
        <v>88878</v>
      </c>
      <c r="F16" s="20">
        <v>2501</v>
      </c>
      <c r="G16" s="20"/>
      <c r="H16" s="20">
        <f t="shared" si="0"/>
        <v>140978</v>
      </c>
      <c r="I16" s="36"/>
      <c r="K16" s="31" t="s">
        <v>39</v>
      </c>
      <c r="L16" s="32">
        <v>42858</v>
      </c>
      <c r="M16" s="33">
        <v>74227</v>
      </c>
      <c r="N16" s="33">
        <v>59393</v>
      </c>
      <c r="O16" s="33">
        <v>43025</v>
      </c>
      <c r="P16" s="33">
        <v>32139</v>
      </c>
      <c r="Q16" s="33">
        <v>21246</v>
      </c>
      <c r="R16" s="33">
        <v>23835</v>
      </c>
      <c r="S16" s="33">
        <v>21854</v>
      </c>
      <c r="T16" s="33">
        <v>20904</v>
      </c>
      <c r="U16" s="33">
        <v>22824</v>
      </c>
      <c r="V16" s="33">
        <v>22939</v>
      </c>
      <c r="W16" s="33">
        <v>21341</v>
      </c>
      <c r="X16" s="33">
        <v>19280</v>
      </c>
      <c r="Y16" s="33">
        <v>24333</v>
      </c>
      <c r="Z16" s="34">
        <v>31316</v>
      </c>
      <c r="AA16" s="35">
        <f t="shared" si="1"/>
        <v>481514</v>
      </c>
      <c r="AD16" s="194" t="s">
        <v>39</v>
      </c>
      <c r="AE16" s="195">
        <v>2426</v>
      </c>
      <c r="AF16" s="195">
        <v>2788</v>
      </c>
      <c r="AG16" s="195">
        <v>2390</v>
      </c>
      <c r="AH16" s="195">
        <f t="shared" si="2"/>
        <v>7604</v>
      </c>
      <c r="AI16"/>
    </row>
    <row r="17" spans="2:35" x14ac:dyDescent="0.25">
      <c r="B17" s="37" t="s">
        <v>40</v>
      </c>
      <c r="C17" s="33">
        <v>2173</v>
      </c>
      <c r="D17" s="33">
        <v>1500</v>
      </c>
      <c r="E17" s="33">
        <v>6222</v>
      </c>
      <c r="F17" s="33">
        <v>224</v>
      </c>
      <c r="G17" s="33"/>
      <c r="H17" s="33">
        <f t="shared" si="0"/>
        <v>10119</v>
      </c>
      <c r="K17" s="31" t="s">
        <v>41</v>
      </c>
      <c r="L17" s="32">
        <v>5</v>
      </c>
      <c r="M17" s="33">
        <v>0</v>
      </c>
      <c r="N17" s="33">
        <v>0</v>
      </c>
      <c r="O17" s="33">
        <v>0</v>
      </c>
      <c r="P17" s="33">
        <v>0</v>
      </c>
      <c r="Q17" s="33">
        <v>0</v>
      </c>
      <c r="R17" s="33">
        <v>0</v>
      </c>
      <c r="S17" s="33">
        <v>0</v>
      </c>
      <c r="T17" s="33">
        <v>0</v>
      </c>
      <c r="U17" s="33">
        <v>0</v>
      </c>
      <c r="V17" s="33">
        <v>0</v>
      </c>
      <c r="W17" s="33">
        <v>0</v>
      </c>
      <c r="X17" s="33">
        <v>0</v>
      </c>
      <c r="Y17" s="33">
        <v>0</v>
      </c>
      <c r="Z17" s="34">
        <v>0</v>
      </c>
      <c r="AA17" s="35">
        <f t="shared" si="1"/>
        <v>5</v>
      </c>
      <c r="AD17" s="194" t="s">
        <v>41</v>
      </c>
      <c r="AE17" s="195">
        <v>20297</v>
      </c>
      <c r="AF17" s="195">
        <v>15246</v>
      </c>
      <c r="AG17" s="195">
        <v>12744</v>
      </c>
      <c r="AH17" s="195">
        <f t="shared" si="2"/>
        <v>48287</v>
      </c>
      <c r="AI17"/>
    </row>
    <row r="18" spans="2:35" x14ac:dyDescent="0.25">
      <c r="B18" s="37" t="s">
        <v>42</v>
      </c>
      <c r="C18" s="33">
        <v>2224</v>
      </c>
      <c r="D18" s="33">
        <v>1403</v>
      </c>
      <c r="E18" s="33">
        <v>6802</v>
      </c>
      <c r="F18" s="33">
        <v>216</v>
      </c>
      <c r="G18" s="33"/>
      <c r="H18" s="33">
        <f t="shared" si="0"/>
        <v>10645</v>
      </c>
      <c r="K18" s="31" t="s">
        <v>43</v>
      </c>
      <c r="L18" s="32">
        <v>0</v>
      </c>
      <c r="M18" s="33">
        <v>0</v>
      </c>
      <c r="N18" s="33">
        <v>0</v>
      </c>
      <c r="O18" s="33">
        <v>0</v>
      </c>
      <c r="P18" s="33">
        <v>0</v>
      </c>
      <c r="Q18" s="33">
        <v>0</v>
      </c>
      <c r="R18" s="33">
        <v>0</v>
      </c>
      <c r="S18" s="33">
        <v>0</v>
      </c>
      <c r="T18" s="33">
        <v>38</v>
      </c>
      <c r="U18" s="33">
        <v>315</v>
      </c>
      <c r="V18" s="33">
        <v>815</v>
      </c>
      <c r="W18" s="33">
        <v>1384</v>
      </c>
      <c r="X18" s="33">
        <v>29007</v>
      </c>
      <c r="Y18" s="33">
        <v>56959</v>
      </c>
      <c r="Z18" s="34">
        <v>263157</v>
      </c>
      <c r="AA18" s="35">
        <v>351675</v>
      </c>
      <c r="AD18" s="194" t="s">
        <v>43</v>
      </c>
      <c r="AE18" s="195"/>
      <c r="AF18" s="195"/>
      <c r="AG18" s="195"/>
      <c r="AH18" s="195"/>
      <c r="AI18"/>
    </row>
    <row r="19" spans="2:35" ht="15.75" thickBot="1" x14ac:dyDescent="0.3">
      <c r="B19" s="37" t="s">
        <v>44</v>
      </c>
      <c r="C19" s="33">
        <v>2350</v>
      </c>
      <c r="D19" s="33">
        <v>1601</v>
      </c>
      <c r="E19" s="33">
        <v>6925</v>
      </c>
      <c r="F19" s="33">
        <v>207</v>
      </c>
      <c r="G19" s="33"/>
      <c r="H19" s="33">
        <f t="shared" si="0"/>
        <v>11083</v>
      </c>
      <c r="K19" s="38" t="s">
        <v>25</v>
      </c>
      <c r="L19" s="39">
        <f>SUM(L13:L18)</f>
        <v>139362</v>
      </c>
      <c r="M19" s="40">
        <f t="shared" ref="M19:AA19" si="3">SUM(M13:M18)</f>
        <v>404440</v>
      </c>
      <c r="N19" s="40">
        <f t="shared" si="3"/>
        <v>245675</v>
      </c>
      <c r="O19" s="40">
        <f t="shared" si="3"/>
        <v>194791</v>
      </c>
      <c r="P19" s="40">
        <f t="shared" si="3"/>
        <v>192270</v>
      </c>
      <c r="Q19" s="40">
        <f t="shared" si="3"/>
        <v>134034</v>
      </c>
      <c r="R19" s="40">
        <f t="shared" si="3"/>
        <v>151564</v>
      </c>
      <c r="S19" s="40">
        <f t="shared" si="3"/>
        <v>140978</v>
      </c>
      <c r="T19" s="40">
        <f t="shared" si="3"/>
        <v>138788</v>
      </c>
      <c r="U19" s="40">
        <f t="shared" si="3"/>
        <v>157066</v>
      </c>
      <c r="V19" s="40">
        <f t="shared" si="3"/>
        <v>178401</v>
      </c>
      <c r="W19" s="40">
        <f t="shared" si="3"/>
        <v>165312</v>
      </c>
      <c r="X19" s="40">
        <f t="shared" si="3"/>
        <v>219809</v>
      </c>
      <c r="Y19" s="40">
        <f t="shared" si="3"/>
        <v>280210</v>
      </c>
      <c r="Z19" s="41">
        <f t="shared" si="3"/>
        <v>653587</v>
      </c>
      <c r="AA19" s="42">
        <f t="shared" si="3"/>
        <v>3396287</v>
      </c>
      <c r="AD19" s="198" t="s">
        <v>25</v>
      </c>
      <c r="AE19" s="140">
        <f>SUM(AE13:AE18)</f>
        <v>49592</v>
      </c>
      <c r="AF19" s="140">
        <f t="shared" ref="AF19:AH19" si="4">SUM(AF13:AF18)</f>
        <v>48021</v>
      </c>
      <c r="AG19" s="140">
        <f t="shared" si="4"/>
        <v>38914</v>
      </c>
      <c r="AH19" s="140">
        <f t="shared" si="4"/>
        <v>136527</v>
      </c>
      <c r="AI19"/>
    </row>
    <row r="20" spans="2:35" x14ac:dyDescent="0.25">
      <c r="B20" s="37" t="s">
        <v>45</v>
      </c>
      <c r="C20" s="33">
        <v>3284</v>
      </c>
      <c r="D20" s="33">
        <v>1531</v>
      </c>
      <c r="E20" s="33">
        <v>7503</v>
      </c>
      <c r="F20" s="33">
        <v>205</v>
      </c>
      <c r="G20" s="33"/>
      <c r="H20" s="33">
        <f t="shared" si="0"/>
        <v>12523</v>
      </c>
      <c r="K20" s="5" t="s">
        <v>17</v>
      </c>
    </row>
    <row r="21" spans="2:35" x14ac:dyDescent="0.25">
      <c r="B21" s="37" t="s">
        <v>46</v>
      </c>
      <c r="C21" s="33">
        <v>2764</v>
      </c>
      <c r="D21" s="33">
        <v>1579</v>
      </c>
      <c r="E21" s="33">
        <v>9264</v>
      </c>
      <c r="F21" s="33">
        <v>224</v>
      </c>
      <c r="G21" s="33"/>
      <c r="H21" s="33">
        <f t="shared" si="0"/>
        <v>13831</v>
      </c>
    </row>
    <row r="22" spans="2:35" x14ac:dyDescent="0.25">
      <c r="B22" s="37" t="s">
        <v>47</v>
      </c>
      <c r="C22" s="33">
        <v>2478</v>
      </c>
      <c r="D22" s="33">
        <v>1445</v>
      </c>
      <c r="E22" s="33">
        <v>6920</v>
      </c>
      <c r="F22" s="33">
        <v>174</v>
      </c>
      <c r="G22" s="33"/>
      <c r="H22" s="33">
        <f t="shared" si="0"/>
        <v>11017</v>
      </c>
    </row>
    <row r="23" spans="2:35" ht="18.75" x14ac:dyDescent="0.3">
      <c r="B23" s="37" t="s">
        <v>48</v>
      </c>
      <c r="C23" s="33">
        <v>2663</v>
      </c>
      <c r="D23" s="33">
        <v>1514</v>
      </c>
      <c r="E23" s="33">
        <v>6996</v>
      </c>
      <c r="F23" s="33">
        <v>198</v>
      </c>
      <c r="G23" s="33"/>
      <c r="H23" s="33">
        <f t="shared" si="0"/>
        <v>11371</v>
      </c>
      <c r="K23" s="21" t="s">
        <v>49</v>
      </c>
      <c r="L23" s="8"/>
      <c r="M23" s="8"/>
      <c r="N23" s="8"/>
      <c r="O23" s="8"/>
      <c r="P23" s="8"/>
      <c r="Q23" s="8"/>
      <c r="R23" s="8"/>
      <c r="S23" s="8"/>
      <c r="T23" s="8"/>
    </row>
    <row r="24" spans="2:35" x14ac:dyDescent="0.25">
      <c r="B24" s="37" t="s">
        <v>50</v>
      </c>
      <c r="C24" s="33">
        <v>2949</v>
      </c>
      <c r="D24" s="33">
        <v>1850</v>
      </c>
      <c r="E24" s="33">
        <v>8983</v>
      </c>
      <c r="F24" s="33">
        <v>245</v>
      </c>
      <c r="G24" s="33"/>
      <c r="H24" s="33">
        <f t="shared" si="0"/>
        <v>14027</v>
      </c>
      <c r="K24" s="15" t="s">
        <v>6</v>
      </c>
    </row>
    <row r="25" spans="2:35" ht="15.75" thickBot="1" x14ac:dyDescent="0.3">
      <c r="B25" s="37" t="s">
        <v>51</v>
      </c>
      <c r="C25" s="33">
        <v>2715</v>
      </c>
      <c r="D25" s="33">
        <v>1614</v>
      </c>
      <c r="E25" s="33">
        <v>7860</v>
      </c>
      <c r="F25" s="33">
        <v>213</v>
      </c>
      <c r="G25" s="33"/>
      <c r="H25" s="33">
        <f t="shared" si="0"/>
        <v>12402</v>
      </c>
    </row>
    <row r="26" spans="2:35" ht="15.75" thickBot="1" x14ac:dyDescent="0.3">
      <c r="B26" s="37" t="s">
        <v>52</v>
      </c>
      <c r="C26" s="33">
        <v>2274</v>
      </c>
      <c r="D26" s="33">
        <v>1331</v>
      </c>
      <c r="E26" s="33">
        <v>6676</v>
      </c>
      <c r="F26" s="33">
        <v>215</v>
      </c>
      <c r="G26" s="33"/>
      <c r="H26" s="33">
        <f t="shared" si="0"/>
        <v>10496</v>
      </c>
      <c r="K26" s="22" t="s">
        <v>31</v>
      </c>
      <c r="L26" s="43" t="s">
        <v>42</v>
      </c>
      <c r="M26" s="44" t="s">
        <v>44</v>
      </c>
      <c r="N26" s="44" t="s">
        <v>45</v>
      </c>
      <c r="O26" s="44" t="s">
        <v>46</v>
      </c>
      <c r="P26" s="44" t="s">
        <v>47</v>
      </c>
      <c r="Q26" s="44" t="s">
        <v>48</v>
      </c>
      <c r="R26" s="44" t="s">
        <v>50</v>
      </c>
      <c r="S26" s="44" t="s">
        <v>51</v>
      </c>
      <c r="T26" s="44" t="s">
        <v>52</v>
      </c>
      <c r="U26" s="44" t="s">
        <v>53</v>
      </c>
      <c r="V26" s="45" t="s">
        <v>54</v>
      </c>
      <c r="W26" s="22" t="s">
        <v>25</v>
      </c>
    </row>
    <row r="27" spans="2:35" x14ac:dyDescent="0.25">
      <c r="B27" s="37" t="s">
        <v>53</v>
      </c>
      <c r="C27" s="33">
        <v>2376</v>
      </c>
      <c r="D27" s="33">
        <v>1259</v>
      </c>
      <c r="E27" s="33">
        <v>6679</v>
      </c>
      <c r="F27" s="33">
        <v>208</v>
      </c>
      <c r="G27" s="33"/>
      <c r="H27" s="33">
        <f t="shared" si="0"/>
        <v>10522</v>
      </c>
      <c r="K27" s="26" t="s">
        <v>33</v>
      </c>
      <c r="L27" s="46">
        <v>33391</v>
      </c>
      <c r="M27" s="33">
        <v>24468</v>
      </c>
      <c r="N27" s="33">
        <v>15614</v>
      </c>
      <c r="O27" s="33">
        <v>15183</v>
      </c>
      <c r="P27" s="33">
        <v>15569</v>
      </c>
      <c r="Q27" s="33">
        <v>16839</v>
      </c>
      <c r="R27" s="33">
        <v>22369</v>
      </c>
      <c r="S27" s="33">
        <v>14247</v>
      </c>
      <c r="T27" s="33">
        <v>17724</v>
      </c>
      <c r="U27" s="33">
        <v>20504</v>
      </c>
      <c r="V27" s="47">
        <v>15932</v>
      </c>
      <c r="W27" s="30">
        <f>SUM(L27:V27)</f>
        <v>211840</v>
      </c>
    </row>
    <row r="28" spans="2:35" x14ac:dyDescent="0.25">
      <c r="B28" s="37" t="s">
        <v>54</v>
      </c>
      <c r="C28" s="33">
        <v>2435</v>
      </c>
      <c r="D28" s="33">
        <v>1467</v>
      </c>
      <c r="E28" s="33">
        <v>6602</v>
      </c>
      <c r="F28" s="33">
        <v>248</v>
      </c>
      <c r="G28" s="33"/>
      <c r="H28" s="33">
        <f t="shared" si="0"/>
        <v>10752</v>
      </c>
      <c r="K28" s="31" t="s">
        <v>35</v>
      </c>
      <c r="L28" s="46">
        <v>9704</v>
      </c>
      <c r="M28" s="33">
        <v>9520</v>
      </c>
      <c r="N28" s="33">
        <v>7533</v>
      </c>
      <c r="O28" s="33">
        <v>7931</v>
      </c>
      <c r="P28" s="33">
        <v>7526</v>
      </c>
      <c r="Q28" s="33">
        <v>7879</v>
      </c>
      <c r="R28" s="33">
        <v>9071</v>
      </c>
      <c r="S28" s="33">
        <v>6033</v>
      </c>
      <c r="T28" s="33">
        <v>5791</v>
      </c>
      <c r="U28" s="33">
        <v>5751</v>
      </c>
      <c r="V28" s="47">
        <v>4886</v>
      </c>
      <c r="W28" s="35">
        <f t="shared" ref="W28:W31" si="5">SUM(L28:V28)</f>
        <v>81625</v>
      </c>
    </row>
    <row r="29" spans="2:35" x14ac:dyDescent="0.25">
      <c r="B29" s="19" t="s">
        <v>55</v>
      </c>
      <c r="C29" s="20">
        <f t="shared" ref="C29:H29" si="6">SUM(C17:C28)</f>
        <v>30685</v>
      </c>
      <c r="D29" s="20">
        <f t="shared" si="6"/>
        <v>18094</v>
      </c>
      <c r="E29" s="20">
        <f t="shared" si="6"/>
        <v>87432</v>
      </c>
      <c r="F29" s="20">
        <f t="shared" si="6"/>
        <v>2577</v>
      </c>
      <c r="G29" s="20"/>
      <c r="H29" s="20">
        <f t="shared" si="6"/>
        <v>138788</v>
      </c>
      <c r="I29" s="36"/>
      <c r="K29" s="31" t="s">
        <v>37</v>
      </c>
      <c r="L29" s="46">
        <v>1778</v>
      </c>
      <c r="M29" s="33">
        <v>1136</v>
      </c>
      <c r="N29" s="33">
        <v>679</v>
      </c>
      <c r="O29" s="33">
        <v>581</v>
      </c>
      <c r="P29" s="33">
        <v>704</v>
      </c>
      <c r="Q29" s="33">
        <v>735</v>
      </c>
      <c r="R29" s="33">
        <v>884</v>
      </c>
      <c r="S29" s="33">
        <v>415</v>
      </c>
      <c r="T29" s="33">
        <v>611</v>
      </c>
      <c r="U29" s="33">
        <v>650</v>
      </c>
      <c r="V29" s="47">
        <v>361</v>
      </c>
      <c r="W29" s="35">
        <f t="shared" si="5"/>
        <v>8534</v>
      </c>
    </row>
    <row r="30" spans="2:35" x14ac:dyDescent="0.25">
      <c r="B30" s="37" t="s">
        <v>40</v>
      </c>
      <c r="C30" s="33">
        <v>3122</v>
      </c>
      <c r="D30" s="33">
        <v>1508</v>
      </c>
      <c r="E30" s="33">
        <v>7979</v>
      </c>
      <c r="F30" s="33">
        <v>269</v>
      </c>
      <c r="G30" s="33"/>
      <c r="H30" s="33">
        <f t="shared" ref="H30:H41" si="7">SUM(C30:F30)</f>
        <v>12878</v>
      </c>
      <c r="K30" s="31" t="s">
        <v>39</v>
      </c>
      <c r="L30" s="46">
        <v>2114</v>
      </c>
      <c r="M30" s="33">
        <v>2094</v>
      </c>
      <c r="N30" s="33">
        <v>1761</v>
      </c>
      <c r="O30" s="33">
        <v>1772</v>
      </c>
      <c r="P30" s="33">
        <v>1614</v>
      </c>
      <c r="Q30" s="33">
        <v>1702</v>
      </c>
      <c r="R30" s="33">
        <v>2309</v>
      </c>
      <c r="S30" s="33">
        <v>1677</v>
      </c>
      <c r="T30" s="33">
        <v>1807</v>
      </c>
      <c r="U30" s="33">
        <v>2062</v>
      </c>
      <c r="V30" s="47">
        <v>1847</v>
      </c>
      <c r="W30" s="35">
        <f t="shared" si="5"/>
        <v>20759</v>
      </c>
    </row>
    <row r="31" spans="2:35" x14ac:dyDescent="0.25">
      <c r="B31" s="37" t="s">
        <v>42</v>
      </c>
      <c r="C31" s="33">
        <v>2377</v>
      </c>
      <c r="D31" s="33">
        <v>1375</v>
      </c>
      <c r="E31" s="33">
        <v>7282</v>
      </c>
      <c r="F31" s="33">
        <v>213</v>
      </c>
      <c r="G31" s="33"/>
      <c r="H31" s="33">
        <f t="shared" si="7"/>
        <v>11247</v>
      </c>
      <c r="K31" s="31" t="s">
        <v>43</v>
      </c>
      <c r="L31" s="46">
        <v>102199</v>
      </c>
      <c r="M31" s="33">
        <v>20649</v>
      </c>
      <c r="N31" s="33">
        <v>11093</v>
      </c>
      <c r="O31" s="33">
        <v>9844</v>
      </c>
      <c r="P31" s="33">
        <v>10561</v>
      </c>
      <c r="Q31" s="33">
        <v>12378</v>
      </c>
      <c r="R31" s="33">
        <v>23019</v>
      </c>
      <c r="S31" s="33">
        <v>11941</v>
      </c>
      <c r="T31" s="33">
        <v>19669</v>
      </c>
      <c r="U31" s="33">
        <v>14585</v>
      </c>
      <c r="V31" s="47">
        <v>12199</v>
      </c>
      <c r="W31" s="35">
        <f t="shared" si="5"/>
        <v>248137</v>
      </c>
    </row>
    <row r="32" spans="2:35" ht="15.75" thickBot="1" x14ac:dyDescent="0.3">
      <c r="B32" s="37" t="s">
        <v>44</v>
      </c>
      <c r="C32" s="33">
        <v>2340</v>
      </c>
      <c r="D32" s="33">
        <v>1762</v>
      </c>
      <c r="E32" s="33">
        <v>8966</v>
      </c>
      <c r="F32" s="33">
        <v>224</v>
      </c>
      <c r="G32" s="33"/>
      <c r="H32" s="33">
        <f t="shared" si="7"/>
        <v>13292</v>
      </c>
      <c r="K32" s="48" t="s">
        <v>25</v>
      </c>
      <c r="L32" s="49">
        <f>SUM(L27:L31)</f>
        <v>149186</v>
      </c>
      <c r="M32" s="50">
        <f t="shared" ref="M32:W32" si="8">SUM(M27:M31)</f>
        <v>57867</v>
      </c>
      <c r="N32" s="50">
        <f t="shared" si="8"/>
        <v>36680</v>
      </c>
      <c r="O32" s="50">
        <f t="shared" si="8"/>
        <v>35311</v>
      </c>
      <c r="P32" s="50">
        <f t="shared" si="8"/>
        <v>35974</v>
      </c>
      <c r="Q32" s="50">
        <f t="shared" si="8"/>
        <v>39533</v>
      </c>
      <c r="R32" s="50">
        <f t="shared" si="8"/>
        <v>57652</v>
      </c>
      <c r="S32" s="50">
        <f t="shared" si="8"/>
        <v>34313</v>
      </c>
      <c r="T32" s="50">
        <f t="shared" si="8"/>
        <v>45602</v>
      </c>
      <c r="U32" s="50">
        <f t="shared" si="8"/>
        <v>43552</v>
      </c>
      <c r="V32" s="51">
        <f t="shared" si="8"/>
        <v>35225</v>
      </c>
      <c r="W32" s="42">
        <f t="shared" si="8"/>
        <v>570895</v>
      </c>
    </row>
    <row r="33" spans="2:18" x14ac:dyDescent="0.25">
      <c r="B33" s="37" t="s">
        <v>45</v>
      </c>
      <c r="C33" s="33">
        <v>2319</v>
      </c>
      <c r="D33" s="33">
        <v>1421</v>
      </c>
      <c r="E33" s="33">
        <v>7022</v>
      </c>
      <c r="F33" s="33">
        <v>212</v>
      </c>
      <c r="G33" s="33"/>
      <c r="H33" s="33">
        <f t="shared" si="7"/>
        <v>10974</v>
      </c>
      <c r="K33" s="5" t="s">
        <v>17</v>
      </c>
    </row>
    <row r="34" spans="2:18" x14ac:dyDescent="0.25">
      <c r="B34" s="37" t="s">
        <v>46</v>
      </c>
      <c r="C34" s="33">
        <v>2725</v>
      </c>
      <c r="D34" s="33">
        <v>1582</v>
      </c>
      <c r="E34" s="33">
        <v>9937</v>
      </c>
      <c r="F34" s="33">
        <v>270</v>
      </c>
      <c r="G34" s="33"/>
      <c r="H34" s="33">
        <f t="shared" si="7"/>
        <v>14514</v>
      </c>
    </row>
    <row r="35" spans="2:18" x14ac:dyDescent="0.25">
      <c r="B35" s="37" t="s">
        <v>47</v>
      </c>
      <c r="C35" s="33">
        <v>2467</v>
      </c>
      <c r="D35" s="33">
        <v>1474</v>
      </c>
      <c r="E35" s="33">
        <v>7973</v>
      </c>
      <c r="F35" s="33">
        <v>218</v>
      </c>
      <c r="G35" s="33"/>
      <c r="H35" s="33">
        <f t="shared" si="7"/>
        <v>12132</v>
      </c>
    </row>
    <row r="36" spans="2:18" ht="18.75" x14ac:dyDescent="0.3">
      <c r="B36" s="37" t="s">
        <v>48</v>
      </c>
      <c r="C36" s="33">
        <v>2809</v>
      </c>
      <c r="D36" s="33">
        <v>1626</v>
      </c>
      <c r="E36" s="33">
        <v>9532</v>
      </c>
      <c r="F36" s="33">
        <v>294</v>
      </c>
      <c r="G36" s="33"/>
      <c r="H36" s="33">
        <f t="shared" si="7"/>
        <v>14261</v>
      </c>
      <c r="K36" s="2" t="s">
        <v>56</v>
      </c>
      <c r="L36" s="8"/>
      <c r="M36" s="8"/>
      <c r="N36" s="8"/>
      <c r="O36" s="8"/>
      <c r="P36" s="8"/>
      <c r="Q36" s="8"/>
      <c r="R36" s="8"/>
    </row>
    <row r="37" spans="2:18" x14ac:dyDescent="0.25">
      <c r="B37" s="37" t="s">
        <v>50</v>
      </c>
      <c r="C37" s="33">
        <v>2996</v>
      </c>
      <c r="D37" s="33">
        <v>1673</v>
      </c>
      <c r="E37" s="33">
        <v>9947</v>
      </c>
      <c r="F37" s="33">
        <v>305</v>
      </c>
      <c r="G37" s="33"/>
      <c r="H37" s="33">
        <f t="shared" si="7"/>
        <v>14921</v>
      </c>
      <c r="K37" s="15" t="s">
        <v>6</v>
      </c>
    </row>
    <row r="38" spans="2:18" ht="15.75" thickBot="1" x14ac:dyDescent="0.3">
      <c r="B38" s="37" t="s">
        <v>51</v>
      </c>
      <c r="C38" s="33">
        <v>2682</v>
      </c>
      <c r="D38" s="33">
        <v>1371</v>
      </c>
      <c r="E38" s="33">
        <v>8257</v>
      </c>
      <c r="F38" s="33">
        <v>259</v>
      </c>
      <c r="G38" s="33"/>
      <c r="H38" s="33">
        <f t="shared" si="7"/>
        <v>12569</v>
      </c>
    </row>
    <row r="39" spans="2:18" ht="15.75" thickBot="1" x14ac:dyDescent="0.3">
      <c r="B39" s="37" t="s">
        <v>52</v>
      </c>
      <c r="C39" s="33">
        <v>3034</v>
      </c>
      <c r="D39" s="33">
        <v>1585</v>
      </c>
      <c r="E39" s="33">
        <v>9685</v>
      </c>
      <c r="F39" s="33">
        <v>312</v>
      </c>
      <c r="G39" s="33"/>
      <c r="H39" s="33">
        <f t="shared" si="7"/>
        <v>14616</v>
      </c>
      <c r="K39" s="52" t="s">
        <v>57</v>
      </c>
      <c r="L39" s="53" t="s">
        <v>22</v>
      </c>
      <c r="M39" s="54" t="s">
        <v>23</v>
      </c>
      <c r="N39" s="54" t="s">
        <v>9</v>
      </c>
      <c r="O39" s="54" t="s">
        <v>24</v>
      </c>
      <c r="P39" s="54" t="s">
        <v>11</v>
      </c>
      <c r="Q39" s="55" t="s">
        <v>25</v>
      </c>
    </row>
    <row r="40" spans="2:18" x14ac:dyDescent="0.25">
      <c r="B40" s="37" t="s">
        <v>53</v>
      </c>
      <c r="C40" s="33">
        <v>2756</v>
      </c>
      <c r="D40" s="33">
        <v>1664</v>
      </c>
      <c r="E40" s="33">
        <v>9055</v>
      </c>
      <c r="F40" s="33">
        <v>316</v>
      </c>
      <c r="G40" s="33"/>
      <c r="H40" s="33">
        <f t="shared" si="7"/>
        <v>13791</v>
      </c>
      <c r="K40" s="56">
        <v>2008</v>
      </c>
      <c r="L40" s="57">
        <f>Solicitudes_compl!C9</f>
        <v>83903</v>
      </c>
      <c r="M40" s="58">
        <f>Solicitudes_compl!D9</f>
        <v>36885</v>
      </c>
      <c r="N40" s="58">
        <f>Solicitudes_compl!E9</f>
        <v>12630</v>
      </c>
      <c r="O40" s="58">
        <f>Solicitudes_compl!F9</f>
        <v>5944</v>
      </c>
      <c r="P40" s="58">
        <v>0</v>
      </c>
      <c r="Q40" s="59">
        <f t="shared" ref="Q40:Q54" si="9">SUM(L40:P40)</f>
        <v>139362</v>
      </c>
    </row>
    <row r="41" spans="2:18" x14ac:dyDescent="0.25">
      <c r="B41" s="37" t="s">
        <v>54</v>
      </c>
      <c r="C41" s="33">
        <v>2401</v>
      </c>
      <c r="D41" s="33">
        <v>1294</v>
      </c>
      <c r="E41" s="33">
        <v>7901</v>
      </c>
      <c r="F41" s="33">
        <v>275</v>
      </c>
      <c r="G41" s="33"/>
      <c r="H41" s="33">
        <f t="shared" si="7"/>
        <v>11871</v>
      </c>
      <c r="K41" s="60">
        <v>2009</v>
      </c>
      <c r="L41" s="61">
        <f>Solicitudes_compl!C10</f>
        <v>59154</v>
      </c>
      <c r="M41" s="62">
        <f>Solicitudes_compl!D10</f>
        <v>35458</v>
      </c>
      <c r="N41" s="62">
        <f>Solicitudes_compl!E10</f>
        <v>298121</v>
      </c>
      <c r="O41" s="62">
        <f>Solicitudes_compl!F10</f>
        <v>11707</v>
      </c>
      <c r="P41" s="62">
        <v>0</v>
      </c>
      <c r="Q41" s="63">
        <f t="shared" si="9"/>
        <v>404440</v>
      </c>
    </row>
    <row r="42" spans="2:18" x14ac:dyDescent="0.25">
      <c r="B42" s="19" t="s">
        <v>58</v>
      </c>
      <c r="C42" s="20">
        <f t="shared" ref="C42:H42" si="10">SUM(C30:C41)</f>
        <v>32028</v>
      </c>
      <c r="D42" s="20">
        <f t="shared" si="10"/>
        <v>18335</v>
      </c>
      <c r="E42" s="20">
        <f t="shared" si="10"/>
        <v>103536</v>
      </c>
      <c r="F42" s="20">
        <f t="shared" si="10"/>
        <v>3167</v>
      </c>
      <c r="G42" s="20"/>
      <c r="H42" s="20">
        <f t="shared" si="10"/>
        <v>157066</v>
      </c>
      <c r="I42" s="36"/>
      <c r="J42" s="12"/>
      <c r="K42" s="60">
        <v>2010</v>
      </c>
      <c r="L42" s="61">
        <f>Solicitudes_compl!C11</f>
        <v>40733</v>
      </c>
      <c r="M42" s="62">
        <f>Solicitudes_compl!D11</f>
        <v>24967</v>
      </c>
      <c r="N42" s="62">
        <f>Solicitudes_compl!E11</f>
        <v>168046</v>
      </c>
      <c r="O42" s="62">
        <f>Solicitudes_compl!F11</f>
        <v>11929</v>
      </c>
      <c r="P42" s="62">
        <v>0</v>
      </c>
      <c r="Q42" s="63">
        <f t="shared" si="9"/>
        <v>245675</v>
      </c>
    </row>
    <row r="43" spans="2:18" x14ac:dyDescent="0.25">
      <c r="B43" s="37" t="s">
        <v>40</v>
      </c>
      <c r="C43" s="33">
        <v>2721</v>
      </c>
      <c r="D43" s="33">
        <v>1453</v>
      </c>
      <c r="E43" s="33">
        <v>11159</v>
      </c>
      <c r="F43" s="33">
        <v>401</v>
      </c>
      <c r="G43" s="33"/>
      <c r="H43" s="33">
        <f t="shared" ref="H43:H54" si="11">SUM(C43:F43)</f>
        <v>15734</v>
      </c>
      <c r="K43" s="60">
        <v>2011</v>
      </c>
      <c r="L43" s="61">
        <f>Solicitudes_compl!C12</f>
        <v>37414</v>
      </c>
      <c r="M43" s="62">
        <f>Solicitudes_compl!D12</f>
        <v>20938</v>
      </c>
      <c r="N43" s="62">
        <f>Solicitudes_compl!E12</f>
        <v>126071</v>
      </c>
      <c r="O43" s="62">
        <f>Solicitudes_compl!F12</f>
        <v>10368</v>
      </c>
      <c r="P43" s="62">
        <v>0</v>
      </c>
      <c r="Q43" s="63">
        <f t="shared" si="9"/>
        <v>194791</v>
      </c>
    </row>
    <row r="44" spans="2:18" x14ac:dyDescent="0.25">
      <c r="B44" s="37" t="s">
        <v>42</v>
      </c>
      <c r="C44" s="33">
        <v>2301</v>
      </c>
      <c r="D44" s="33">
        <v>1173</v>
      </c>
      <c r="E44" s="33">
        <v>11051</v>
      </c>
      <c r="F44" s="33">
        <v>732</v>
      </c>
      <c r="G44" s="33"/>
      <c r="H44" s="33">
        <f t="shared" si="11"/>
        <v>15257</v>
      </c>
      <c r="K44" s="60">
        <v>2012</v>
      </c>
      <c r="L44" s="61">
        <f>Solicitudes_compl!C13</f>
        <v>34111</v>
      </c>
      <c r="M44" s="62">
        <f>Solicitudes_compl!D13</f>
        <v>19594</v>
      </c>
      <c r="N44" s="62">
        <f>Solicitudes_compl!E13</f>
        <v>130339</v>
      </c>
      <c r="O44" s="62">
        <f>Solicitudes_compl!F13</f>
        <v>8226</v>
      </c>
      <c r="P44" s="62">
        <v>0</v>
      </c>
      <c r="Q44" s="63">
        <f t="shared" si="9"/>
        <v>192270</v>
      </c>
    </row>
    <row r="45" spans="2:18" x14ac:dyDescent="0.25">
      <c r="B45" s="37" t="s">
        <v>44</v>
      </c>
      <c r="C45" s="33">
        <v>2626</v>
      </c>
      <c r="D45" s="33">
        <v>1458</v>
      </c>
      <c r="E45" s="33">
        <v>10390</v>
      </c>
      <c r="F45" s="33">
        <v>921</v>
      </c>
      <c r="G45" s="33"/>
      <c r="H45" s="33">
        <f t="shared" si="11"/>
        <v>15395</v>
      </c>
      <c r="K45" s="60">
        <v>2013</v>
      </c>
      <c r="L45" s="61">
        <f>Solicitudes_compl!C14</f>
        <v>32718</v>
      </c>
      <c r="M45" s="62">
        <f>Solicitudes_compl!D14</f>
        <v>17032</v>
      </c>
      <c r="N45" s="62">
        <f>Solicitudes_compl!E14</f>
        <v>76989</v>
      </c>
      <c r="O45" s="62">
        <f>Solicitudes_compl!F14</f>
        <v>7295</v>
      </c>
      <c r="P45" s="62">
        <v>0</v>
      </c>
      <c r="Q45" s="63">
        <f t="shared" si="9"/>
        <v>134034</v>
      </c>
    </row>
    <row r="46" spans="2:18" x14ac:dyDescent="0.25">
      <c r="B46" s="37" t="s">
        <v>45</v>
      </c>
      <c r="C46" s="33">
        <v>2566</v>
      </c>
      <c r="D46" s="33">
        <v>1511</v>
      </c>
      <c r="E46" s="33">
        <v>9759</v>
      </c>
      <c r="F46" s="33">
        <v>837</v>
      </c>
      <c r="G46" s="33"/>
      <c r="H46" s="33">
        <f t="shared" si="11"/>
        <v>14673</v>
      </c>
      <c r="K46" s="60">
        <v>2014</v>
      </c>
      <c r="L46" s="61">
        <f>Solicitudes_compl!C15</f>
        <v>39392</v>
      </c>
      <c r="M46" s="62">
        <f>Solicitudes_compl!D15</f>
        <v>17573</v>
      </c>
      <c r="N46" s="62">
        <f>Solicitudes_compl!E15</f>
        <v>88545</v>
      </c>
      <c r="O46" s="62">
        <f>Solicitudes_compl!F15</f>
        <v>6054</v>
      </c>
      <c r="P46" s="62">
        <v>0</v>
      </c>
      <c r="Q46" s="63">
        <f t="shared" si="9"/>
        <v>151564</v>
      </c>
    </row>
    <row r="47" spans="2:18" x14ac:dyDescent="0.25">
      <c r="B47" s="37" t="s">
        <v>46</v>
      </c>
      <c r="C47" s="33">
        <v>2730</v>
      </c>
      <c r="D47" s="33">
        <v>1384</v>
      </c>
      <c r="E47" s="33">
        <v>11338</v>
      </c>
      <c r="F47" s="33">
        <v>557</v>
      </c>
      <c r="G47" s="33"/>
      <c r="H47" s="33">
        <f t="shared" si="11"/>
        <v>16009</v>
      </c>
      <c r="K47" s="60">
        <v>2015</v>
      </c>
      <c r="L47" s="61">
        <f>Solicitudes_compl!C16</f>
        <v>31042</v>
      </c>
      <c r="M47" s="62">
        <f>Solicitudes_compl!D16</f>
        <v>18557</v>
      </c>
      <c r="N47" s="62">
        <f>Solicitudes_compl!E16</f>
        <v>88878</v>
      </c>
      <c r="O47" s="62">
        <f>Solicitudes_compl!F16</f>
        <v>2501</v>
      </c>
      <c r="P47" s="62">
        <v>0</v>
      </c>
      <c r="Q47" s="63">
        <f t="shared" si="9"/>
        <v>140978</v>
      </c>
    </row>
    <row r="48" spans="2:18" x14ac:dyDescent="0.25">
      <c r="B48" s="37" t="s">
        <v>47</v>
      </c>
      <c r="C48" s="33">
        <v>2508</v>
      </c>
      <c r="D48" s="33">
        <v>1416</v>
      </c>
      <c r="E48" s="33">
        <v>9844</v>
      </c>
      <c r="F48" s="33">
        <v>524</v>
      </c>
      <c r="G48" s="33"/>
      <c r="H48" s="33">
        <f t="shared" si="11"/>
        <v>14292</v>
      </c>
      <c r="K48" s="60">
        <v>2016</v>
      </c>
      <c r="L48" s="61">
        <f>Solicitudes_compl!C29</f>
        <v>30685</v>
      </c>
      <c r="M48" s="62">
        <f>Solicitudes_compl!D29</f>
        <v>18094</v>
      </c>
      <c r="N48" s="62">
        <f>Solicitudes_compl!E29</f>
        <v>87432</v>
      </c>
      <c r="O48" s="62">
        <f>Solicitudes_compl!F29</f>
        <v>2577</v>
      </c>
      <c r="P48" s="62">
        <v>0</v>
      </c>
      <c r="Q48" s="63">
        <f t="shared" si="9"/>
        <v>138788</v>
      </c>
    </row>
    <row r="49" spans="2:19" x14ac:dyDescent="0.25">
      <c r="B49" s="37" t="s">
        <v>48</v>
      </c>
      <c r="C49" s="33">
        <v>2765</v>
      </c>
      <c r="D49" s="33">
        <v>1457</v>
      </c>
      <c r="E49" s="33">
        <v>10406</v>
      </c>
      <c r="F49" s="33">
        <v>480</v>
      </c>
      <c r="G49" s="33"/>
      <c r="H49" s="33">
        <f t="shared" si="11"/>
        <v>15108</v>
      </c>
      <c r="K49" s="60">
        <v>2017</v>
      </c>
      <c r="L49" s="61">
        <f>Solicitudes_compl!C42</f>
        <v>32028</v>
      </c>
      <c r="M49" s="62">
        <f>Solicitudes_compl!D42</f>
        <v>18335</v>
      </c>
      <c r="N49" s="62">
        <f>Solicitudes_compl!E42</f>
        <v>103536</v>
      </c>
      <c r="O49" s="62">
        <f>Solicitudes_compl!F42</f>
        <v>3167</v>
      </c>
      <c r="P49" s="62">
        <v>0</v>
      </c>
      <c r="Q49" s="63">
        <f t="shared" si="9"/>
        <v>157066</v>
      </c>
    </row>
    <row r="50" spans="2:19" x14ac:dyDescent="0.25">
      <c r="B50" s="37" t="s">
        <v>50</v>
      </c>
      <c r="C50" s="33">
        <v>3040</v>
      </c>
      <c r="D50" s="33">
        <v>1641</v>
      </c>
      <c r="E50" s="33">
        <v>11023</v>
      </c>
      <c r="F50" s="33">
        <v>427</v>
      </c>
      <c r="G50" s="33"/>
      <c r="H50" s="33">
        <f t="shared" si="11"/>
        <v>16131</v>
      </c>
      <c r="K50" s="60">
        <v>2018</v>
      </c>
      <c r="L50" s="61">
        <f>Solicitudes_compl!C55</f>
        <v>31567</v>
      </c>
      <c r="M50" s="62">
        <f>Solicitudes_compl!D55</f>
        <v>16995</v>
      </c>
      <c r="N50" s="62">
        <f>Solicitudes_compl!E55</f>
        <v>123567</v>
      </c>
      <c r="O50" s="62">
        <f>Solicitudes_compl!F55</f>
        <v>6272</v>
      </c>
      <c r="P50" s="62">
        <v>0</v>
      </c>
      <c r="Q50" s="63">
        <f t="shared" si="9"/>
        <v>178401</v>
      </c>
    </row>
    <row r="51" spans="2:19" x14ac:dyDescent="0.25">
      <c r="B51" s="37" t="s">
        <v>51</v>
      </c>
      <c r="C51" s="33">
        <v>2125</v>
      </c>
      <c r="D51" s="33">
        <v>1251</v>
      </c>
      <c r="E51" s="33">
        <v>8571</v>
      </c>
      <c r="F51" s="33">
        <v>339</v>
      </c>
      <c r="G51" s="33"/>
      <c r="H51" s="33">
        <f t="shared" si="11"/>
        <v>12286</v>
      </c>
      <c r="K51" s="60">
        <v>2019</v>
      </c>
      <c r="L51" s="61">
        <f>Solicitudes_compl!C68</f>
        <v>29733</v>
      </c>
      <c r="M51" s="62">
        <f>Solicitudes_compl!D68</f>
        <v>16637</v>
      </c>
      <c r="N51" s="62">
        <f>Solicitudes_compl!E68</f>
        <v>112867</v>
      </c>
      <c r="O51" s="62">
        <f>Solicitudes_compl!F68</f>
        <v>6075</v>
      </c>
      <c r="P51" s="62">
        <v>0</v>
      </c>
      <c r="Q51" s="63">
        <f t="shared" si="9"/>
        <v>165312</v>
      </c>
    </row>
    <row r="52" spans="2:19" x14ac:dyDescent="0.25">
      <c r="B52" s="37" t="s">
        <v>52</v>
      </c>
      <c r="C52" s="33">
        <v>3181</v>
      </c>
      <c r="D52" s="33">
        <v>1519</v>
      </c>
      <c r="E52" s="33">
        <v>11882</v>
      </c>
      <c r="F52" s="33">
        <v>419</v>
      </c>
      <c r="G52" s="33"/>
      <c r="H52" s="33">
        <f t="shared" si="11"/>
        <v>17001</v>
      </c>
      <c r="K52" s="60">
        <v>2020</v>
      </c>
      <c r="L52" s="61">
        <f>Solicitudes_compl!C81</f>
        <v>30482</v>
      </c>
      <c r="M52" s="62">
        <f>Solicitudes_compl!D81</f>
        <v>15008</v>
      </c>
      <c r="N52" s="62">
        <f>Solicitudes_compl!E81</f>
        <v>166581</v>
      </c>
      <c r="O52" s="62">
        <f>Solicitudes_compl!F81</f>
        <v>7738</v>
      </c>
      <c r="P52" s="62">
        <v>0</v>
      </c>
      <c r="Q52" s="63">
        <f t="shared" si="9"/>
        <v>219809</v>
      </c>
    </row>
    <row r="53" spans="2:19" x14ac:dyDescent="0.25">
      <c r="B53" s="37" t="s">
        <v>53</v>
      </c>
      <c r="C53" s="33">
        <v>2631</v>
      </c>
      <c r="D53" s="33">
        <v>1405</v>
      </c>
      <c r="E53" s="33">
        <v>9497</v>
      </c>
      <c r="F53" s="33">
        <v>308</v>
      </c>
      <c r="G53" s="33"/>
      <c r="H53" s="33">
        <f t="shared" si="11"/>
        <v>13841</v>
      </c>
      <c r="K53" s="60">
        <v>2021</v>
      </c>
      <c r="L53" s="61">
        <f>Solicitudes_compl!C94</f>
        <v>41653</v>
      </c>
      <c r="M53" s="62">
        <f>Solicitudes_compl!D94</f>
        <v>26969</v>
      </c>
      <c r="N53" s="62">
        <f>Solicitudes_compl!E94</f>
        <v>191078</v>
      </c>
      <c r="O53" s="62">
        <f>Solicitudes_compl!F94</f>
        <v>20510</v>
      </c>
      <c r="P53" s="62">
        <v>0</v>
      </c>
      <c r="Q53" s="63">
        <f t="shared" si="9"/>
        <v>280210</v>
      </c>
    </row>
    <row r="54" spans="2:19" ht="15.75" thickBot="1" x14ac:dyDescent="0.3">
      <c r="B54" s="37" t="s">
        <v>54</v>
      </c>
      <c r="C54" s="33">
        <v>2373</v>
      </c>
      <c r="D54" s="33">
        <v>1327</v>
      </c>
      <c r="E54" s="33">
        <v>8647</v>
      </c>
      <c r="F54" s="33">
        <v>327</v>
      </c>
      <c r="G54" s="33"/>
      <c r="H54" s="33">
        <f t="shared" si="11"/>
        <v>12674</v>
      </c>
      <c r="K54" s="64">
        <v>2022</v>
      </c>
      <c r="L54" s="65">
        <f>Solicitudes_compl!C107</f>
        <v>4879</v>
      </c>
      <c r="M54" s="66">
        <f>Solicitudes_compl!D107</f>
        <v>36400</v>
      </c>
      <c r="N54" s="66">
        <f>Solicitudes_compl!E107</f>
        <v>21970</v>
      </c>
      <c r="O54" s="66">
        <f>Solicitudes_compl!F107</f>
        <v>19443</v>
      </c>
      <c r="P54" s="66">
        <f>Solicitudes_compl!G107</f>
        <v>570895</v>
      </c>
      <c r="Q54" s="67">
        <f t="shared" si="9"/>
        <v>653587</v>
      </c>
    </row>
    <row r="55" spans="2:19" ht="15.75" thickBot="1" x14ac:dyDescent="0.3">
      <c r="B55" s="19" t="s">
        <v>59</v>
      </c>
      <c r="C55" s="20">
        <f>SUM(C43:C54)</f>
        <v>31567</v>
      </c>
      <c r="D55" s="20">
        <f t="shared" ref="D55:F55" si="12">SUM(D43:D54)</f>
        <v>16995</v>
      </c>
      <c r="E55" s="20">
        <f t="shared" si="12"/>
        <v>123567</v>
      </c>
      <c r="F55" s="20">
        <f t="shared" si="12"/>
        <v>6272</v>
      </c>
      <c r="G55" s="20"/>
      <c r="H55" s="20">
        <f>SUM(H43:H54)</f>
        <v>178401</v>
      </c>
      <c r="I55" s="36"/>
      <c r="J55" s="68"/>
      <c r="K55" s="69" t="s">
        <v>25</v>
      </c>
      <c r="L55" s="65">
        <f>SUM(L40:L54)</f>
        <v>559494</v>
      </c>
      <c r="M55" s="66">
        <f t="shared" ref="M55:Q55" si="13">SUM(M40:M54)</f>
        <v>339442</v>
      </c>
      <c r="N55" s="66">
        <f t="shared" si="13"/>
        <v>1796650</v>
      </c>
      <c r="O55" s="66">
        <f t="shared" si="13"/>
        <v>129806</v>
      </c>
      <c r="P55" s="66">
        <f t="shared" si="13"/>
        <v>570895</v>
      </c>
      <c r="Q55" s="67">
        <f t="shared" si="13"/>
        <v>3396287</v>
      </c>
    </row>
    <row r="56" spans="2:19" x14ac:dyDescent="0.25">
      <c r="B56" s="37" t="s">
        <v>40</v>
      </c>
      <c r="C56" s="46">
        <v>2750</v>
      </c>
      <c r="D56" s="33">
        <v>1462</v>
      </c>
      <c r="E56" s="33">
        <v>10200</v>
      </c>
      <c r="F56" s="33">
        <v>565</v>
      </c>
      <c r="G56" s="33"/>
      <c r="H56" s="33">
        <f t="shared" ref="H56:H80" si="14">SUM(C56:F56)</f>
        <v>14977</v>
      </c>
      <c r="K56" s="5" t="s">
        <v>17</v>
      </c>
    </row>
    <row r="57" spans="2:19" x14ac:dyDescent="0.25">
      <c r="B57" s="37" t="s">
        <v>42</v>
      </c>
      <c r="C57" s="46">
        <v>2188</v>
      </c>
      <c r="D57" s="33">
        <v>1293</v>
      </c>
      <c r="E57" s="33">
        <v>8591</v>
      </c>
      <c r="F57" s="33">
        <v>685</v>
      </c>
      <c r="G57" s="33"/>
      <c r="H57" s="33">
        <f t="shared" si="14"/>
        <v>12757</v>
      </c>
      <c r="K57" s="445" t="s">
        <v>18</v>
      </c>
      <c r="L57" s="445"/>
      <c r="M57" s="445"/>
      <c r="N57" s="445"/>
      <c r="O57" s="445"/>
      <c r="P57" s="445"/>
      <c r="Q57" s="445"/>
      <c r="R57" s="70"/>
      <c r="S57" s="70"/>
    </row>
    <row r="58" spans="2:19" x14ac:dyDescent="0.25">
      <c r="B58" s="37" t="s">
        <v>44</v>
      </c>
      <c r="C58" s="46">
        <v>2496</v>
      </c>
      <c r="D58" s="33">
        <v>1471</v>
      </c>
      <c r="E58" s="33">
        <v>9418</v>
      </c>
      <c r="F58" s="33">
        <v>638</v>
      </c>
      <c r="G58" s="33"/>
      <c r="H58" s="33">
        <f t="shared" si="14"/>
        <v>14023</v>
      </c>
      <c r="K58" s="445"/>
      <c r="L58" s="445"/>
      <c r="M58" s="445"/>
      <c r="N58" s="445"/>
      <c r="O58" s="445"/>
      <c r="P58" s="445"/>
      <c r="Q58" s="445"/>
      <c r="R58" s="70"/>
      <c r="S58" s="70"/>
    </row>
    <row r="59" spans="2:19" x14ac:dyDescent="0.25">
      <c r="B59" s="37" t="s">
        <v>45</v>
      </c>
      <c r="C59" s="46">
        <v>2388</v>
      </c>
      <c r="D59" s="33">
        <v>1544</v>
      </c>
      <c r="E59" s="33">
        <v>9186</v>
      </c>
      <c r="F59" s="33">
        <v>584</v>
      </c>
      <c r="G59" s="33"/>
      <c r="H59" s="33">
        <f t="shared" si="14"/>
        <v>13702</v>
      </c>
      <c r="K59" s="445"/>
      <c r="L59" s="445"/>
      <c r="M59" s="445"/>
      <c r="N59" s="445"/>
      <c r="O59" s="445"/>
      <c r="P59" s="445"/>
      <c r="Q59" s="445"/>
      <c r="R59" s="70"/>
      <c r="S59" s="70"/>
    </row>
    <row r="60" spans="2:19" x14ac:dyDescent="0.25">
      <c r="B60" s="37" t="s">
        <v>46</v>
      </c>
      <c r="C60" s="46">
        <v>2428</v>
      </c>
      <c r="D60" s="33">
        <v>1373</v>
      </c>
      <c r="E60" s="33">
        <v>9457</v>
      </c>
      <c r="F60" s="33">
        <v>483</v>
      </c>
      <c r="G60" s="33"/>
      <c r="H60" s="33">
        <f t="shared" si="14"/>
        <v>13741</v>
      </c>
      <c r="K60" s="445"/>
      <c r="L60" s="445"/>
      <c r="M60" s="445"/>
      <c r="N60" s="445"/>
      <c r="O60" s="445"/>
      <c r="P60" s="445"/>
      <c r="Q60" s="445"/>
      <c r="R60" s="70"/>
      <c r="S60" s="70"/>
    </row>
    <row r="61" spans="2:19" x14ac:dyDescent="0.25">
      <c r="B61" s="37" t="s">
        <v>47</v>
      </c>
      <c r="C61" s="46">
        <v>2221</v>
      </c>
      <c r="D61" s="33">
        <v>1366</v>
      </c>
      <c r="E61" s="33">
        <v>8050</v>
      </c>
      <c r="F61" s="33">
        <v>401</v>
      </c>
      <c r="G61" s="33"/>
      <c r="H61" s="33">
        <f t="shared" si="14"/>
        <v>12038</v>
      </c>
      <c r="K61" s="445"/>
      <c r="L61" s="445"/>
      <c r="M61" s="445"/>
      <c r="N61" s="445"/>
      <c r="O61" s="445"/>
      <c r="P61" s="445"/>
      <c r="Q61" s="445"/>
      <c r="R61" s="70"/>
      <c r="S61" s="70"/>
    </row>
    <row r="62" spans="2:19" x14ac:dyDescent="0.25">
      <c r="B62" s="37" t="s">
        <v>48</v>
      </c>
      <c r="C62" s="46">
        <v>2612</v>
      </c>
      <c r="D62" s="33">
        <v>1574</v>
      </c>
      <c r="E62" s="33">
        <v>10193</v>
      </c>
      <c r="F62" s="33">
        <v>470</v>
      </c>
      <c r="G62" s="33"/>
      <c r="H62" s="33">
        <f t="shared" si="14"/>
        <v>14849</v>
      </c>
      <c r="K62" s="445"/>
      <c r="L62" s="445"/>
      <c r="M62" s="445"/>
      <c r="N62" s="445"/>
      <c r="O62" s="445"/>
      <c r="P62" s="445"/>
      <c r="Q62" s="445"/>
      <c r="R62" s="70"/>
      <c r="S62" s="70"/>
    </row>
    <row r="63" spans="2:19" x14ac:dyDescent="0.25">
      <c r="B63" s="37" t="s">
        <v>50</v>
      </c>
      <c r="C63" s="46">
        <v>2584</v>
      </c>
      <c r="D63" s="33">
        <v>1488</v>
      </c>
      <c r="E63" s="33">
        <v>9712</v>
      </c>
      <c r="F63" s="33">
        <v>424</v>
      </c>
      <c r="G63" s="33"/>
      <c r="H63" s="33">
        <f t="shared" si="14"/>
        <v>14208</v>
      </c>
      <c r="K63" s="445"/>
      <c r="L63" s="445"/>
      <c r="M63" s="445"/>
      <c r="N63" s="445"/>
      <c r="O63" s="445"/>
      <c r="P63" s="445"/>
      <c r="Q63" s="445"/>
      <c r="R63" s="70"/>
      <c r="S63" s="70"/>
    </row>
    <row r="64" spans="2:19" x14ac:dyDescent="0.25">
      <c r="B64" s="37" t="s">
        <v>51</v>
      </c>
      <c r="C64" s="46">
        <v>2469</v>
      </c>
      <c r="D64" s="33">
        <v>1221</v>
      </c>
      <c r="E64" s="33">
        <v>8795</v>
      </c>
      <c r="F64" s="33">
        <v>457</v>
      </c>
      <c r="G64" s="33"/>
      <c r="H64" s="33">
        <f t="shared" si="14"/>
        <v>12942</v>
      </c>
      <c r="K64" s="445"/>
      <c r="L64" s="445"/>
      <c r="M64" s="445"/>
      <c r="N64" s="445"/>
      <c r="O64" s="445"/>
      <c r="P64" s="445"/>
      <c r="Q64" s="445"/>
    </row>
    <row r="65" spans="2:17" x14ac:dyDescent="0.25">
      <c r="B65" s="37" t="s">
        <v>52</v>
      </c>
      <c r="C65" s="46">
        <v>2384</v>
      </c>
      <c r="D65" s="33">
        <v>1180</v>
      </c>
      <c r="E65" s="33">
        <v>7849</v>
      </c>
      <c r="F65" s="33">
        <v>360</v>
      </c>
      <c r="G65" s="33"/>
      <c r="H65" s="33">
        <f t="shared" si="14"/>
        <v>11773</v>
      </c>
      <c r="K65" s="445"/>
      <c r="L65" s="445"/>
      <c r="M65" s="445"/>
      <c r="N65" s="445"/>
      <c r="O65" s="445"/>
      <c r="P65" s="445"/>
      <c r="Q65" s="445"/>
    </row>
    <row r="66" spans="2:17" x14ac:dyDescent="0.25">
      <c r="B66" s="37" t="s">
        <v>53</v>
      </c>
      <c r="C66" s="46">
        <v>2268</v>
      </c>
      <c r="D66" s="33">
        <v>1004</v>
      </c>
      <c r="E66" s="33">
        <v>7880</v>
      </c>
      <c r="F66" s="33">
        <v>388</v>
      </c>
      <c r="G66" s="33"/>
      <c r="H66" s="33">
        <f t="shared" si="14"/>
        <v>11540</v>
      </c>
      <c r="K66" s="445"/>
      <c r="L66" s="445"/>
      <c r="M66" s="445"/>
      <c r="N66" s="445"/>
      <c r="O66" s="445"/>
      <c r="P66" s="445"/>
      <c r="Q66" s="445"/>
    </row>
    <row r="67" spans="2:17" x14ac:dyDescent="0.25">
      <c r="B67" s="37" t="s">
        <v>54</v>
      </c>
      <c r="C67" s="46">
        <v>2945</v>
      </c>
      <c r="D67" s="33">
        <v>1661</v>
      </c>
      <c r="E67" s="33">
        <v>13536</v>
      </c>
      <c r="F67" s="33">
        <v>620</v>
      </c>
      <c r="G67" s="33"/>
      <c r="H67" s="33">
        <f t="shared" si="14"/>
        <v>18762</v>
      </c>
      <c r="K67" s="13"/>
      <c r="L67" s="13"/>
      <c r="M67" s="13"/>
      <c r="N67" s="13"/>
      <c r="O67" s="13"/>
      <c r="P67" s="13"/>
      <c r="Q67" s="13"/>
    </row>
    <row r="68" spans="2:17" x14ac:dyDescent="0.25">
      <c r="B68" s="19" t="s">
        <v>60</v>
      </c>
      <c r="C68" s="20">
        <f>SUM(C56:C67)</f>
        <v>29733</v>
      </c>
      <c r="D68" s="20">
        <f t="shared" ref="D68:F68" si="15">SUM(D56:D67)</f>
        <v>16637</v>
      </c>
      <c r="E68" s="20">
        <f t="shared" si="15"/>
        <v>112867</v>
      </c>
      <c r="F68" s="20">
        <f t="shared" si="15"/>
        <v>6075</v>
      </c>
      <c r="G68" s="20"/>
      <c r="H68" s="20">
        <f t="shared" si="14"/>
        <v>165312</v>
      </c>
      <c r="I68" s="36"/>
      <c r="J68" s="71"/>
      <c r="K68" s="72"/>
      <c r="L68" s="72"/>
      <c r="M68" s="72"/>
      <c r="N68" s="72"/>
      <c r="O68" s="73"/>
      <c r="P68" s="13"/>
      <c r="Q68" s="13"/>
    </row>
    <row r="69" spans="2:17" ht="14.45" customHeight="1" x14ac:dyDescent="0.25">
      <c r="B69" s="37" t="s">
        <v>40</v>
      </c>
      <c r="C69" s="46">
        <v>3010</v>
      </c>
      <c r="D69" s="33">
        <v>1753</v>
      </c>
      <c r="E69" s="33">
        <v>19891</v>
      </c>
      <c r="F69" s="33">
        <v>741</v>
      </c>
      <c r="G69" s="33"/>
      <c r="H69" s="74">
        <f t="shared" si="14"/>
        <v>25395</v>
      </c>
      <c r="J69" s="75"/>
      <c r="K69" s="13"/>
      <c r="L69" s="13"/>
      <c r="M69" s="13"/>
      <c r="N69" s="13"/>
      <c r="O69" s="76"/>
      <c r="P69" s="13"/>
      <c r="Q69" s="13"/>
    </row>
    <row r="70" spans="2:17" ht="18.75" x14ac:dyDescent="0.3">
      <c r="B70" s="37" t="s">
        <v>42</v>
      </c>
      <c r="C70" s="46">
        <v>2521</v>
      </c>
      <c r="D70" s="33">
        <v>1559</v>
      </c>
      <c r="E70" s="33">
        <v>24159</v>
      </c>
      <c r="F70" s="33">
        <v>845</v>
      </c>
      <c r="G70" s="33"/>
      <c r="H70" s="74">
        <f t="shared" si="14"/>
        <v>29084</v>
      </c>
      <c r="J70" s="75"/>
      <c r="K70" s="21" t="s">
        <v>61</v>
      </c>
      <c r="L70" s="8"/>
      <c r="M70" s="8"/>
      <c r="N70" s="8"/>
      <c r="O70" s="77"/>
    </row>
    <row r="71" spans="2:17" x14ac:dyDescent="0.25">
      <c r="B71" s="37" t="s">
        <v>44</v>
      </c>
      <c r="C71" s="46">
        <v>2000</v>
      </c>
      <c r="D71" s="33">
        <v>1119</v>
      </c>
      <c r="E71" s="33">
        <v>12648</v>
      </c>
      <c r="F71" s="33">
        <v>527</v>
      </c>
      <c r="G71" s="33"/>
      <c r="H71" s="74">
        <f t="shared" si="14"/>
        <v>16294</v>
      </c>
      <c r="J71" s="75"/>
      <c r="K71"/>
      <c r="O71" s="77"/>
    </row>
    <row r="72" spans="2:17" x14ac:dyDescent="0.25">
      <c r="B72" s="37" t="s">
        <v>45</v>
      </c>
      <c r="C72" s="46">
        <v>1368</v>
      </c>
      <c r="D72" s="33">
        <v>462</v>
      </c>
      <c r="E72" s="33">
        <v>6817</v>
      </c>
      <c r="F72" s="33">
        <v>450</v>
      </c>
      <c r="G72" s="33"/>
      <c r="H72" s="74">
        <f t="shared" si="14"/>
        <v>9097</v>
      </c>
      <c r="J72" s="75"/>
      <c r="K72" s="78">
        <v>40000</v>
      </c>
      <c r="O72" s="77"/>
    </row>
    <row r="73" spans="2:17" x14ac:dyDescent="0.25">
      <c r="B73" s="37" t="s">
        <v>46</v>
      </c>
      <c r="C73" s="46">
        <v>2058</v>
      </c>
      <c r="D73" s="33">
        <v>843</v>
      </c>
      <c r="E73" s="33">
        <v>10889</v>
      </c>
      <c r="F73" s="33">
        <v>718</v>
      </c>
      <c r="G73" s="33"/>
      <c r="H73" s="74">
        <f t="shared" si="14"/>
        <v>14508</v>
      </c>
      <c r="J73" s="75"/>
      <c r="K73" s="5" t="s">
        <v>62</v>
      </c>
      <c r="O73" s="77"/>
    </row>
    <row r="74" spans="2:17" x14ac:dyDescent="0.25">
      <c r="B74" s="37" t="s">
        <v>47</v>
      </c>
      <c r="C74" s="46">
        <v>1919</v>
      </c>
      <c r="D74" s="33">
        <v>773</v>
      </c>
      <c r="E74" s="33">
        <v>9601</v>
      </c>
      <c r="F74" s="33">
        <v>637</v>
      </c>
      <c r="G74" s="33"/>
      <c r="H74" s="74">
        <f t="shared" si="14"/>
        <v>12930</v>
      </c>
      <c r="J74" s="75"/>
      <c r="O74" s="77"/>
    </row>
    <row r="75" spans="2:17" x14ac:dyDescent="0.25">
      <c r="B75" s="37" t="s">
        <v>48</v>
      </c>
      <c r="C75" s="46">
        <v>2816</v>
      </c>
      <c r="D75" s="33">
        <v>939</v>
      </c>
      <c r="E75" s="33">
        <v>11414</v>
      </c>
      <c r="F75" s="33">
        <v>530</v>
      </c>
      <c r="G75" s="33"/>
      <c r="H75" s="74">
        <f t="shared" si="14"/>
        <v>15699</v>
      </c>
      <c r="J75" s="75"/>
      <c r="O75" s="77"/>
    </row>
    <row r="76" spans="2:17" ht="18.75" x14ac:dyDescent="0.3">
      <c r="B76" s="37" t="s">
        <v>50</v>
      </c>
      <c r="C76" s="46">
        <v>3066</v>
      </c>
      <c r="D76" s="33">
        <v>1181</v>
      </c>
      <c r="E76" s="33">
        <v>14803</v>
      </c>
      <c r="F76" s="33">
        <v>627</v>
      </c>
      <c r="G76" s="33"/>
      <c r="H76" s="74">
        <f t="shared" si="14"/>
        <v>19677</v>
      </c>
      <c r="J76" s="75"/>
      <c r="K76" s="21" t="s">
        <v>63</v>
      </c>
      <c r="L76" s="8"/>
      <c r="M76" s="8"/>
      <c r="N76" s="8"/>
      <c r="O76" s="77"/>
    </row>
    <row r="77" spans="2:17" x14ac:dyDescent="0.25">
      <c r="B77" s="37" t="s">
        <v>51</v>
      </c>
      <c r="C77" s="46">
        <v>3009</v>
      </c>
      <c r="D77" s="33">
        <v>1422</v>
      </c>
      <c r="E77" s="33">
        <v>14413</v>
      </c>
      <c r="F77" s="33">
        <v>732</v>
      </c>
      <c r="G77" s="33"/>
      <c r="H77" s="74">
        <f t="shared" si="14"/>
        <v>19576</v>
      </c>
      <c r="J77" s="75"/>
      <c r="K77"/>
      <c r="O77" s="77"/>
    </row>
    <row r="78" spans="2:17" x14ac:dyDescent="0.25">
      <c r="B78" s="37" t="s">
        <v>52</v>
      </c>
      <c r="C78" s="46">
        <v>3231</v>
      </c>
      <c r="D78" s="33">
        <v>1811</v>
      </c>
      <c r="E78" s="33">
        <v>15413</v>
      </c>
      <c r="F78" s="33">
        <v>835</v>
      </c>
      <c r="G78" s="33"/>
      <c r="H78" s="74">
        <f t="shared" si="14"/>
        <v>21290</v>
      </c>
      <c r="J78" s="75"/>
      <c r="K78" s="33">
        <v>65000</v>
      </c>
      <c r="O78" s="77"/>
    </row>
    <row r="79" spans="2:17" x14ac:dyDescent="0.25">
      <c r="B79" s="37" t="s">
        <v>53</v>
      </c>
      <c r="C79" s="46">
        <v>2859</v>
      </c>
      <c r="D79" s="33">
        <v>1602</v>
      </c>
      <c r="E79" s="33">
        <v>13983</v>
      </c>
      <c r="F79" s="33">
        <v>605</v>
      </c>
      <c r="G79" s="33"/>
      <c r="H79" s="74">
        <f t="shared" si="14"/>
        <v>19049</v>
      </c>
      <c r="J79" s="75"/>
      <c r="K79" s="5" t="s">
        <v>62</v>
      </c>
      <c r="O79" s="77"/>
    </row>
    <row r="80" spans="2:17" x14ac:dyDescent="0.25">
      <c r="B80" s="37" t="s">
        <v>54</v>
      </c>
      <c r="C80" s="46">
        <v>2625</v>
      </c>
      <c r="D80" s="33">
        <v>1544</v>
      </c>
      <c r="E80" s="33">
        <v>12550</v>
      </c>
      <c r="F80" s="33">
        <v>491</v>
      </c>
      <c r="G80" s="33"/>
      <c r="H80" s="74">
        <f t="shared" si="14"/>
        <v>17210</v>
      </c>
      <c r="I80" s="36"/>
      <c r="J80" s="79"/>
      <c r="K80" s="80"/>
      <c r="L80" s="81"/>
      <c r="M80" s="81"/>
      <c r="N80" s="81"/>
      <c r="O80" s="82"/>
    </row>
    <row r="81" spans="2:12" x14ac:dyDescent="0.25">
      <c r="B81" s="19" t="s">
        <v>64</v>
      </c>
      <c r="C81" s="20">
        <f>SUM(C69:C80)</f>
        <v>30482</v>
      </c>
      <c r="D81" s="20">
        <f>SUM(D69:D80)</f>
        <v>15008</v>
      </c>
      <c r="E81" s="20">
        <f t="shared" ref="E81" si="16">SUM(E69:E80)</f>
        <v>166581</v>
      </c>
      <c r="F81" s="20">
        <f>SUM(F69:F80)</f>
        <v>7738</v>
      </c>
      <c r="G81" s="20"/>
      <c r="H81" s="20">
        <f>SUM(H69:H80)</f>
        <v>219809</v>
      </c>
      <c r="J81" s="12"/>
      <c r="K81" s="11"/>
    </row>
    <row r="82" spans="2:12" x14ac:dyDescent="0.25">
      <c r="B82" s="37" t="s">
        <v>40</v>
      </c>
      <c r="C82" s="46">
        <v>2624</v>
      </c>
      <c r="D82" s="33">
        <v>1886</v>
      </c>
      <c r="E82" s="33">
        <v>12697</v>
      </c>
      <c r="F82" s="33">
        <v>945</v>
      </c>
      <c r="G82" s="33"/>
      <c r="H82" s="74">
        <f t="shared" ref="H82:H93" si="17">SUM(C82:F82)</f>
        <v>18152</v>
      </c>
    </row>
    <row r="83" spans="2:12" x14ac:dyDescent="0.25">
      <c r="B83" s="37" t="s">
        <v>42</v>
      </c>
      <c r="C83" s="46">
        <v>2353</v>
      </c>
      <c r="D83" s="33">
        <v>1607</v>
      </c>
      <c r="E83" s="33">
        <v>12205</v>
      </c>
      <c r="F83" s="33">
        <v>862</v>
      </c>
      <c r="G83" s="33"/>
      <c r="H83" s="74">
        <f t="shared" si="17"/>
        <v>17027</v>
      </c>
    </row>
    <row r="84" spans="2:12" x14ac:dyDescent="0.25">
      <c r="B84" s="37" t="s">
        <v>44</v>
      </c>
      <c r="C84" s="46">
        <v>2678</v>
      </c>
      <c r="D84" s="33">
        <v>1931</v>
      </c>
      <c r="E84" s="33">
        <v>14594</v>
      </c>
      <c r="F84" s="33">
        <v>2800</v>
      </c>
      <c r="G84" s="33"/>
      <c r="H84" s="74">
        <f t="shared" si="17"/>
        <v>22003</v>
      </c>
    </row>
    <row r="85" spans="2:12" x14ac:dyDescent="0.25">
      <c r="B85" s="37" t="s">
        <v>45</v>
      </c>
      <c r="C85" s="46">
        <v>2953</v>
      </c>
      <c r="D85" s="33">
        <v>2127</v>
      </c>
      <c r="E85" s="33">
        <v>13753</v>
      </c>
      <c r="F85" s="33">
        <v>3063</v>
      </c>
      <c r="G85" s="33"/>
      <c r="H85" s="74">
        <f t="shared" si="17"/>
        <v>21896</v>
      </c>
    </row>
    <row r="86" spans="2:12" x14ac:dyDescent="0.25">
      <c r="B86" s="37" t="s">
        <v>46</v>
      </c>
      <c r="C86" s="46">
        <v>3346</v>
      </c>
      <c r="D86" s="33">
        <v>2277</v>
      </c>
      <c r="E86" s="33">
        <v>13729</v>
      </c>
      <c r="F86" s="33">
        <v>2119</v>
      </c>
      <c r="G86" s="33"/>
      <c r="H86" s="74">
        <f t="shared" si="17"/>
        <v>21471</v>
      </c>
    </row>
    <row r="87" spans="2:12" x14ac:dyDescent="0.25">
      <c r="B87" s="37" t="s">
        <v>47</v>
      </c>
      <c r="C87" s="46">
        <v>3596</v>
      </c>
      <c r="D87" s="33">
        <v>2125</v>
      </c>
      <c r="E87" s="33">
        <v>13497</v>
      </c>
      <c r="F87" s="33">
        <v>1738</v>
      </c>
      <c r="G87" s="33"/>
      <c r="H87" s="74">
        <f t="shared" si="17"/>
        <v>20956</v>
      </c>
    </row>
    <row r="88" spans="2:12" x14ac:dyDescent="0.25">
      <c r="B88" s="37" t="s">
        <v>48</v>
      </c>
      <c r="C88" s="46">
        <v>4119</v>
      </c>
      <c r="D88" s="33">
        <v>2409</v>
      </c>
      <c r="E88" s="33">
        <v>15819</v>
      </c>
      <c r="F88" s="33">
        <v>1609</v>
      </c>
      <c r="G88" s="33"/>
      <c r="H88" s="74">
        <f t="shared" si="17"/>
        <v>23956</v>
      </c>
    </row>
    <row r="89" spans="2:12" x14ac:dyDescent="0.25">
      <c r="B89" s="37" t="s">
        <v>50</v>
      </c>
      <c r="C89" s="46">
        <v>4297</v>
      </c>
      <c r="D89" s="33">
        <v>2641</v>
      </c>
      <c r="E89" s="33">
        <v>18223</v>
      </c>
      <c r="F89" s="33">
        <v>1553</v>
      </c>
      <c r="G89" s="33"/>
      <c r="H89" s="74">
        <f t="shared" si="17"/>
        <v>26714</v>
      </c>
    </row>
    <row r="90" spans="2:12" x14ac:dyDescent="0.25">
      <c r="B90" s="37" t="s">
        <v>51</v>
      </c>
      <c r="C90" s="46">
        <v>4529</v>
      </c>
      <c r="D90" s="33">
        <v>2330</v>
      </c>
      <c r="E90" s="33">
        <v>19815</v>
      </c>
      <c r="F90" s="33">
        <v>1444</v>
      </c>
      <c r="G90" s="33"/>
      <c r="H90" s="74">
        <f t="shared" si="17"/>
        <v>28118</v>
      </c>
    </row>
    <row r="91" spans="2:12" x14ac:dyDescent="0.25">
      <c r="B91" s="37" t="s">
        <v>52</v>
      </c>
      <c r="C91" s="46">
        <v>3477</v>
      </c>
      <c r="D91" s="33">
        <v>2464</v>
      </c>
      <c r="E91" s="33">
        <v>17701</v>
      </c>
      <c r="F91" s="33">
        <v>1432</v>
      </c>
      <c r="G91" s="33"/>
      <c r="H91" s="74">
        <f t="shared" si="17"/>
        <v>25074</v>
      </c>
    </row>
    <row r="92" spans="2:12" x14ac:dyDescent="0.25">
      <c r="B92" s="37" t="s">
        <v>53</v>
      </c>
      <c r="C92" s="46">
        <v>3890</v>
      </c>
      <c r="D92" s="33">
        <v>2658</v>
      </c>
      <c r="E92" s="33">
        <v>20150</v>
      </c>
      <c r="F92" s="33">
        <v>1497</v>
      </c>
      <c r="G92" s="33"/>
      <c r="H92" s="74">
        <f t="shared" si="17"/>
        <v>28195</v>
      </c>
      <c r="I92" s="36"/>
      <c r="J92" s="11"/>
    </row>
    <row r="93" spans="2:12" x14ac:dyDescent="0.25">
      <c r="B93" s="37" t="s">
        <v>54</v>
      </c>
      <c r="C93" s="46">
        <v>3791</v>
      </c>
      <c r="D93" s="33">
        <v>2514</v>
      </c>
      <c r="E93" s="33">
        <v>18895</v>
      </c>
      <c r="F93" s="33">
        <v>1448</v>
      </c>
      <c r="G93" s="33"/>
      <c r="H93" s="74">
        <f t="shared" si="17"/>
        <v>26648</v>
      </c>
      <c r="I93" s="36"/>
      <c r="J93" s="11"/>
    </row>
    <row r="94" spans="2:12" x14ac:dyDescent="0.25">
      <c r="B94" s="19" t="s">
        <v>65</v>
      </c>
      <c r="C94" s="20">
        <f>SUM(C82:C93)</f>
        <v>41653</v>
      </c>
      <c r="D94" s="20">
        <f t="shared" ref="D94:H94" si="18">SUM(D82:D93)</f>
        <v>26969</v>
      </c>
      <c r="E94" s="20">
        <f t="shared" si="18"/>
        <v>191078</v>
      </c>
      <c r="F94" s="20">
        <f>SUM(F82:F93)</f>
        <v>20510</v>
      </c>
      <c r="G94" s="20"/>
      <c r="H94" s="20">
        <f t="shared" si="18"/>
        <v>280210</v>
      </c>
      <c r="J94" s="12"/>
      <c r="K94" s="12"/>
      <c r="L94" s="12"/>
    </row>
    <row r="95" spans="2:12" x14ac:dyDescent="0.25">
      <c r="B95" s="37" t="s">
        <v>40</v>
      </c>
      <c r="C95" s="46">
        <v>4879</v>
      </c>
      <c r="D95" s="33">
        <v>3211</v>
      </c>
      <c r="E95" s="33">
        <v>21970</v>
      </c>
      <c r="F95" s="33">
        <v>1552</v>
      </c>
      <c r="G95" s="33">
        <v>0</v>
      </c>
      <c r="H95" s="74">
        <f t="shared" ref="H95:H106" si="19">SUM(C95:G95)</f>
        <v>31612</v>
      </c>
    </row>
    <row r="96" spans="2:12" x14ac:dyDescent="0.25">
      <c r="B96" s="37" t="s">
        <v>42</v>
      </c>
      <c r="C96" s="46">
        <v>0</v>
      </c>
      <c r="D96" s="33">
        <v>3005</v>
      </c>
      <c r="E96" s="33">
        <v>0</v>
      </c>
      <c r="F96" s="33">
        <v>3339</v>
      </c>
      <c r="G96" s="33">
        <v>149186</v>
      </c>
      <c r="H96" s="74">
        <f t="shared" si="19"/>
        <v>155530</v>
      </c>
    </row>
    <row r="97" spans="2:17" x14ac:dyDescent="0.25">
      <c r="B97" s="37" t="s">
        <v>44</v>
      </c>
      <c r="C97" s="46">
        <v>0</v>
      </c>
      <c r="D97" s="33">
        <v>3441</v>
      </c>
      <c r="E97" s="33">
        <v>0</v>
      </c>
      <c r="F97" s="33">
        <v>1913</v>
      </c>
      <c r="G97" s="33">
        <v>57867</v>
      </c>
      <c r="H97" s="74">
        <f t="shared" si="19"/>
        <v>63221</v>
      </c>
    </row>
    <row r="98" spans="2:17" x14ac:dyDescent="0.25">
      <c r="B98" s="37" t="s">
        <v>45</v>
      </c>
      <c r="C98" s="46">
        <v>0</v>
      </c>
      <c r="D98" s="33">
        <v>3126</v>
      </c>
      <c r="E98" s="33">
        <v>0</v>
      </c>
      <c r="F98" s="33">
        <v>1334</v>
      </c>
      <c r="G98" s="33">
        <v>36680</v>
      </c>
      <c r="H98" s="74">
        <f t="shared" si="19"/>
        <v>41140</v>
      </c>
    </row>
    <row r="99" spans="2:17" x14ac:dyDescent="0.25">
      <c r="B99" s="37" t="s">
        <v>46</v>
      </c>
      <c r="C99" s="46">
        <v>0</v>
      </c>
      <c r="D99" s="33">
        <v>3083</v>
      </c>
      <c r="E99" s="33">
        <v>0</v>
      </c>
      <c r="F99" s="33">
        <v>1382</v>
      </c>
      <c r="G99" s="33">
        <v>35311</v>
      </c>
      <c r="H99" s="74">
        <f t="shared" si="19"/>
        <v>39776</v>
      </c>
    </row>
    <row r="100" spans="2:17" x14ac:dyDescent="0.25">
      <c r="B100" s="37" t="s">
        <v>47</v>
      </c>
      <c r="C100" s="46">
        <v>0</v>
      </c>
      <c r="D100" s="33">
        <v>2713</v>
      </c>
      <c r="E100" s="33">
        <v>0</v>
      </c>
      <c r="F100" s="33">
        <v>1334</v>
      </c>
      <c r="G100" s="33">
        <v>35974</v>
      </c>
      <c r="H100" s="74">
        <f t="shared" si="19"/>
        <v>40021</v>
      </c>
    </row>
    <row r="101" spans="2:17" x14ac:dyDescent="0.25">
      <c r="B101" s="37" t="s">
        <v>48</v>
      </c>
      <c r="C101" s="46">
        <v>0</v>
      </c>
      <c r="D101" s="33">
        <v>3135</v>
      </c>
      <c r="E101" s="33">
        <v>0</v>
      </c>
      <c r="F101" s="33">
        <v>1526</v>
      </c>
      <c r="G101" s="33">
        <v>39533</v>
      </c>
      <c r="H101" s="74">
        <f t="shared" si="19"/>
        <v>44194</v>
      </c>
    </row>
    <row r="102" spans="2:17" x14ac:dyDescent="0.25">
      <c r="B102" s="37" t="s">
        <v>50</v>
      </c>
      <c r="C102" s="46">
        <v>0</v>
      </c>
      <c r="D102" s="33">
        <v>3668</v>
      </c>
      <c r="E102" s="33">
        <v>0</v>
      </c>
      <c r="F102" s="33">
        <v>1950</v>
      </c>
      <c r="G102" s="33">
        <v>57652</v>
      </c>
      <c r="H102" s="74">
        <f t="shared" si="19"/>
        <v>63270</v>
      </c>
    </row>
    <row r="103" spans="2:17" x14ac:dyDescent="0.25">
      <c r="B103" s="37" t="s">
        <v>51</v>
      </c>
      <c r="C103" s="46">
        <v>0</v>
      </c>
      <c r="D103" s="33">
        <v>2716</v>
      </c>
      <c r="E103" s="33">
        <v>0</v>
      </c>
      <c r="F103" s="33">
        <v>1277</v>
      </c>
      <c r="G103" s="33">
        <v>34313</v>
      </c>
      <c r="H103" s="74">
        <f t="shared" si="19"/>
        <v>38306</v>
      </c>
    </row>
    <row r="104" spans="2:17" x14ac:dyDescent="0.25">
      <c r="B104" s="37" t="s">
        <v>52</v>
      </c>
      <c r="C104" s="46">
        <v>0</v>
      </c>
      <c r="D104" s="33">
        <v>2773</v>
      </c>
      <c r="E104" s="33">
        <v>0</v>
      </c>
      <c r="F104" s="33">
        <v>1217</v>
      </c>
      <c r="G104" s="33">
        <v>45602</v>
      </c>
      <c r="H104" s="74">
        <f t="shared" si="19"/>
        <v>49592</v>
      </c>
    </row>
    <row r="105" spans="2:17" x14ac:dyDescent="0.25">
      <c r="B105" s="37" t="s">
        <v>53</v>
      </c>
      <c r="C105" s="46">
        <v>0</v>
      </c>
      <c r="D105" s="33">
        <v>3106</v>
      </c>
      <c r="E105" s="33">
        <v>0</v>
      </c>
      <c r="F105" s="33">
        <v>1353</v>
      </c>
      <c r="G105" s="33">
        <v>43552</v>
      </c>
      <c r="H105" s="74">
        <f t="shared" si="19"/>
        <v>48011</v>
      </c>
      <c r="I105" s="36"/>
      <c r="J105" s="11"/>
      <c r="K105" s="11"/>
    </row>
    <row r="106" spans="2:17" x14ac:dyDescent="0.25">
      <c r="B106" s="37" t="s">
        <v>54</v>
      </c>
      <c r="C106" s="46">
        <v>0</v>
      </c>
      <c r="D106" s="33">
        <v>2423</v>
      </c>
      <c r="E106" s="33">
        <v>0</v>
      </c>
      <c r="F106" s="33">
        <v>1266</v>
      </c>
      <c r="G106" s="33">
        <v>35225</v>
      </c>
      <c r="H106" s="74">
        <f t="shared" si="19"/>
        <v>38914</v>
      </c>
      <c r="I106" s="36"/>
      <c r="J106" s="11"/>
      <c r="K106" s="11"/>
    </row>
    <row r="107" spans="2:17" x14ac:dyDescent="0.25">
      <c r="B107" s="19" t="s">
        <v>66</v>
      </c>
      <c r="C107" s="20">
        <f>SUM(C95:C106)</f>
        <v>4879</v>
      </c>
      <c r="D107" s="20">
        <f t="shared" ref="D107:F107" si="20">SUM(D95:D106)</f>
        <v>36400</v>
      </c>
      <c r="E107" s="20">
        <f t="shared" si="20"/>
        <v>21970</v>
      </c>
      <c r="F107" s="20">
        <f t="shared" si="20"/>
        <v>19443</v>
      </c>
      <c r="G107" s="20">
        <f>SUM(G95:G106)</f>
        <v>570895</v>
      </c>
      <c r="H107" s="20">
        <f>SUM(H95:H106)</f>
        <v>653587</v>
      </c>
      <c r="J107" s="12"/>
      <c r="K107" s="12"/>
      <c r="L107" s="12"/>
    </row>
    <row r="108" spans="2:17" x14ac:dyDescent="0.25">
      <c r="B108" s="19" t="s">
        <v>4</v>
      </c>
      <c r="C108" s="83">
        <f>C9+C10+C11+C12+C13+C14+C15+C16+C29+C42+C55+C81+C94+C68+C107</f>
        <v>559494</v>
      </c>
      <c r="D108" s="83">
        <f t="shared" ref="D108:G108" si="21">D9+D10+D11+D12+D13+D14+D15+D16+D29+D42+D55+D81+D94+D68+D107</f>
        <v>339442</v>
      </c>
      <c r="E108" s="83">
        <f t="shared" si="21"/>
        <v>1796650</v>
      </c>
      <c r="F108" s="83">
        <f t="shared" si="21"/>
        <v>129806</v>
      </c>
      <c r="G108" s="83">
        <f t="shared" si="21"/>
        <v>570895</v>
      </c>
      <c r="H108" s="83">
        <f>H9+H10+H11+H12+H13+H14+H15+H16+H29+H42+H55+H81+H94+H68+H107</f>
        <v>3396287</v>
      </c>
    </row>
    <row r="109" spans="2:17" x14ac:dyDescent="0.25">
      <c r="C109" s="84"/>
      <c r="D109" s="84"/>
      <c r="E109" s="84"/>
      <c r="F109" s="84"/>
      <c r="G109" s="84"/>
      <c r="H109" s="84"/>
    </row>
    <row r="110" spans="2:17" ht="15" customHeight="1" x14ac:dyDescent="0.25">
      <c r="B110" s="5" t="s">
        <v>17</v>
      </c>
    </row>
    <row r="111" spans="2:17" ht="31.15" customHeight="1" x14ac:dyDescent="0.25">
      <c r="B111" s="445" t="s">
        <v>18</v>
      </c>
      <c r="C111" s="445"/>
      <c r="D111" s="445"/>
      <c r="E111" s="445"/>
      <c r="F111" s="445"/>
      <c r="G111" s="445"/>
      <c r="H111" s="445"/>
      <c r="I111" s="445"/>
      <c r="J111" s="445"/>
      <c r="K111" s="85"/>
      <c r="L111" s="85"/>
      <c r="M111" s="85"/>
      <c r="N111" s="85"/>
      <c r="O111" s="85"/>
      <c r="P111" s="85"/>
      <c r="Q111" s="85"/>
    </row>
    <row r="112" spans="2:17" x14ac:dyDescent="0.25">
      <c r="B112" s="445"/>
      <c r="C112" s="445"/>
      <c r="D112" s="445"/>
      <c r="E112" s="445"/>
      <c r="F112" s="445"/>
      <c r="G112" s="445"/>
      <c r="H112" s="445"/>
      <c r="I112" s="445"/>
      <c r="J112" s="445"/>
      <c r="K112" s="85"/>
      <c r="L112" s="85"/>
      <c r="M112" s="85"/>
      <c r="N112" s="85"/>
      <c r="O112" s="85"/>
      <c r="P112" s="85"/>
      <c r="Q112" s="85"/>
    </row>
    <row r="113" spans="2:17" x14ac:dyDescent="0.25">
      <c r="B113" s="445"/>
      <c r="C113" s="445"/>
      <c r="D113" s="445"/>
      <c r="E113" s="445"/>
      <c r="F113" s="445"/>
      <c r="G113" s="445"/>
      <c r="H113" s="445"/>
      <c r="I113" s="445"/>
      <c r="J113" s="445"/>
      <c r="K113" s="85"/>
      <c r="L113" s="85"/>
      <c r="M113" s="85"/>
      <c r="N113" s="85"/>
      <c r="O113" s="85"/>
      <c r="P113" s="85"/>
      <c r="Q113" s="85"/>
    </row>
    <row r="114" spans="2:17" x14ac:dyDescent="0.25">
      <c r="B114" s="445"/>
      <c r="C114" s="445"/>
      <c r="D114" s="445"/>
      <c r="E114" s="445"/>
      <c r="F114" s="445"/>
      <c r="G114" s="445"/>
      <c r="H114" s="445"/>
      <c r="I114" s="445"/>
      <c r="J114" s="445"/>
      <c r="K114" s="85"/>
      <c r="L114" s="85"/>
      <c r="M114" s="85"/>
      <c r="N114" s="85"/>
      <c r="O114" s="85"/>
      <c r="P114" s="85"/>
      <c r="Q114" s="85"/>
    </row>
    <row r="115" spans="2:17" x14ac:dyDescent="0.25">
      <c r="B115" s="445"/>
      <c r="C115" s="445"/>
      <c r="D115" s="445"/>
      <c r="E115" s="445"/>
      <c r="F115" s="445"/>
      <c r="G115" s="445"/>
      <c r="H115" s="445"/>
      <c r="I115" s="445"/>
      <c r="J115" s="445"/>
      <c r="K115" s="85"/>
      <c r="L115" s="85"/>
      <c r="M115" s="85"/>
      <c r="N115" s="85"/>
      <c r="O115" s="85"/>
      <c r="P115" s="85"/>
      <c r="Q115" s="85"/>
    </row>
    <row r="116" spans="2:17" x14ac:dyDescent="0.25">
      <c r="B116" s="445"/>
      <c r="C116" s="445"/>
      <c r="D116" s="445"/>
      <c r="E116" s="445"/>
      <c r="F116" s="445"/>
      <c r="G116" s="445"/>
      <c r="H116" s="445"/>
      <c r="I116" s="445"/>
      <c r="J116" s="445"/>
    </row>
    <row r="117" spans="2:17" x14ac:dyDescent="0.25">
      <c r="B117" s="445"/>
      <c r="C117" s="445"/>
      <c r="D117" s="445"/>
      <c r="E117" s="445"/>
      <c r="F117" s="445"/>
      <c r="G117" s="445"/>
      <c r="H117" s="445"/>
      <c r="I117" s="445"/>
      <c r="J117" s="445"/>
    </row>
  </sheetData>
  <mergeCells count="4">
    <mergeCell ref="B7:B8"/>
    <mergeCell ref="C7:H7"/>
    <mergeCell ref="K57:Q66"/>
    <mergeCell ref="B111:J117"/>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7F774-B3B9-4EA0-92B3-7648CBFCA02B}">
  <sheetPr>
    <tabColor rgb="FF00B0F0"/>
  </sheetPr>
  <dimension ref="B2:W245"/>
  <sheetViews>
    <sheetView showGridLines="0" workbookViewId="0"/>
  </sheetViews>
  <sheetFormatPr baseColWidth="10" defaultColWidth="11.5703125" defaultRowHeight="15" outlineLevelRow="1" x14ac:dyDescent="0.25"/>
  <cols>
    <col min="1" max="1" width="6.7109375" style="7" customWidth="1"/>
    <col min="2" max="2" width="20.5703125" style="7" customWidth="1"/>
    <col min="3" max="3" width="22.28515625" style="7" customWidth="1"/>
    <col min="4" max="4" width="11.5703125" style="7"/>
    <col min="5" max="5" width="13.5703125" style="7" bestFit="1" customWidth="1"/>
    <col min="6" max="6" width="13.140625" style="7" customWidth="1"/>
    <col min="7" max="7" width="11.5703125" style="7"/>
    <col min="8" max="8" width="14.7109375" style="7" customWidth="1"/>
    <col min="9" max="9" width="10" style="7" customWidth="1"/>
    <col min="10" max="10" width="12.28515625" style="7" customWidth="1"/>
    <col min="11" max="18" width="11.5703125" style="7" customWidth="1"/>
    <col min="19" max="19" width="10.140625" style="7" customWidth="1"/>
    <col min="20" max="16384" width="11.5703125" style="7"/>
  </cols>
  <sheetData>
    <row r="2" spans="2:17" ht="23.25" x14ac:dyDescent="0.25">
      <c r="B2" s="1" t="s">
        <v>711</v>
      </c>
    </row>
    <row r="4" spans="2:17" ht="18.75" x14ac:dyDescent="0.3">
      <c r="B4" s="2" t="s">
        <v>760</v>
      </c>
      <c r="C4" s="8"/>
      <c r="D4" s="8"/>
      <c r="E4" s="8"/>
      <c r="F4" s="8"/>
      <c r="G4" s="8"/>
      <c r="H4"/>
      <c r="I4"/>
    </row>
    <row r="5" spans="2:17" x14ac:dyDescent="0.25">
      <c r="B5" s="454" t="s">
        <v>866</v>
      </c>
      <c r="C5" s="454"/>
      <c r="D5" s="454"/>
      <c r="E5" s="454"/>
      <c r="F5" s="454"/>
      <c r="G5" s="454"/>
      <c r="H5" s="454"/>
    </row>
    <row r="6" spans="2:17" x14ac:dyDescent="0.25">
      <c r="B6" s="3"/>
      <c r="C6" s="3"/>
      <c r="D6" s="3"/>
      <c r="E6" s="3"/>
      <c r="F6" s="3"/>
      <c r="G6" s="3"/>
      <c r="H6" s="3"/>
    </row>
    <row r="7" spans="2:17" ht="17.25" x14ac:dyDescent="0.25">
      <c r="B7" s="456" t="s">
        <v>478</v>
      </c>
      <c r="C7" s="455" t="s">
        <v>935</v>
      </c>
      <c r="D7" s="455"/>
      <c r="E7" s="455"/>
      <c r="F7" s="3"/>
      <c r="G7" s="3"/>
      <c r="H7" s="3"/>
    </row>
    <row r="8" spans="2:17" x14ac:dyDescent="0.25">
      <c r="B8" s="456"/>
      <c r="C8" s="231" t="s">
        <v>73</v>
      </c>
      <c r="D8" s="231" t="s">
        <v>74</v>
      </c>
      <c r="E8" s="231" t="s">
        <v>588</v>
      </c>
      <c r="F8" s="3"/>
      <c r="G8" s="3"/>
      <c r="H8" s="3"/>
    </row>
    <row r="9" spans="2:17" ht="17.25" x14ac:dyDescent="0.25">
      <c r="B9" s="286" t="s">
        <v>918</v>
      </c>
      <c r="C9" s="267">
        <v>453</v>
      </c>
      <c r="D9" s="267">
        <v>44</v>
      </c>
      <c r="E9" s="267">
        <v>497</v>
      </c>
      <c r="F9" s="3"/>
      <c r="G9" s="3"/>
      <c r="H9" s="3"/>
    </row>
    <row r="10" spans="2:17" ht="17.25" x14ac:dyDescent="0.25">
      <c r="B10" s="286" t="s">
        <v>919</v>
      </c>
      <c r="C10" s="267">
        <v>20905</v>
      </c>
      <c r="D10" s="267">
        <v>17703</v>
      </c>
      <c r="E10" s="267">
        <v>38608</v>
      </c>
      <c r="F10" s="3"/>
      <c r="G10" s="3"/>
      <c r="H10" s="3"/>
    </row>
    <row r="11" spans="2:17" x14ac:dyDescent="0.25">
      <c r="B11" s="286" t="s">
        <v>2</v>
      </c>
      <c r="C11" s="267">
        <v>286</v>
      </c>
      <c r="D11" s="267">
        <v>204</v>
      </c>
      <c r="E11" s="267">
        <v>490</v>
      </c>
      <c r="F11" s="3"/>
      <c r="G11" s="3"/>
      <c r="H11" s="3"/>
    </row>
    <row r="12" spans="2:17" x14ac:dyDescent="0.25">
      <c r="B12" s="286" t="s">
        <v>3</v>
      </c>
      <c r="C12" s="267">
        <v>596</v>
      </c>
      <c r="D12" s="267">
        <v>1021</v>
      </c>
      <c r="E12" s="267">
        <v>1617</v>
      </c>
      <c r="F12" s="3"/>
      <c r="G12" s="3"/>
      <c r="H12" s="3"/>
    </row>
    <row r="13" spans="2:17" x14ac:dyDescent="0.25">
      <c r="B13" s="301" t="s">
        <v>476</v>
      </c>
      <c r="C13" s="294">
        <v>22240</v>
      </c>
      <c r="D13" s="294">
        <v>18972</v>
      </c>
      <c r="E13" s="294">
        <v>41212</v>
      </c>
    </row>
    <row r="14" spans="2:17" ht="81" customHeight="1" x14ac:dyDescent="0.25">
      <c r="B14" s="445" t="s">
        <v>920</v>
      </c>
      <c r="C14" s="445"/>
      <c r="D14" s="445"/>
      <c r="E14" s="445"/>
      <c r="F14" s="445"/>
      <c r="G14" s="445"/>
      <c r="H14" s="445"/>
      <c r="I14" s="445"/>
      <c r="J14" s="445"/>
      <c r="K14" s="445"/>
      <c r="L14" s="445"/>
      <c r="M14" s="445"/>
      <c r="N14" s="445"/>
      <c r="O14" s="445"/>
      <c r="P14" s="445"/>
      <c r="Q14" s="445"/>
    </row>
    <row r="16" spans="2:17" ht="18.75" x14ac:dyDescent="0.3">
      <c r="B16" s="2" t="s">
        <v>858</v>
      </c>
      <c r="C16" s="8"/>
      <c r="D16" s="8"/>
      <c r="E16" s="8"/>
      <c r="F16" s="8"/>
      <c r="G16" s="8"/>
      <c r="H16" s="8"/>
    </row>
    <row r="17" spans="2:23" x14ac:dyDescent="0.25">
      <c r="B17" s="454" t="s">
        <v>867</v>
      </c>
      <c r="C17" s="454"/>
      <c r="D17" s="454"/>
      <c r="E17" s="454"/>
      <c r="F17" s="454"/>
      <c r="G17" s="454"/>
      <c r="H17" s="454"/>
    </row>
    <row r="18" spans="2:23" x14ac:dyDescent="0.25">
      <c r="B18" s="3"/>
      <c r="C18" s="3"/>
      <c r="D18" s="3"/>
      <c r="E18" s="3"/>
      <c r="F18" s="3"/>
      <c r="G18" s="3"/>
      <c r="H18" s="3"/>
    </row>
    <row r="19" spans="2:23" ht="17.25" x14ac:dyDescent="0.25">
      <c r="B19" s="456" t="s">
        <v>478</v>
      </c>
      <c r="C19" s="455" t="s">
        <v>935</v>
      </c>
      <c r="D19" s="455"/>
      <c r="E19" s="455"/>
      <c r="F19" s="3"/>
      <c r="G19" s="3"/>
      <c r="H19" s="3"/>
    </row>
    <row r="20" spans="2:23" x14ac:dyDescent="0.25">
      <c r="B20" s="456"/>
      <c r="C20" s="231" t="s">
        <v>73</v>
      </c>
      <c r="D20" s="231" t="s">
        <v>74</v>
      </c>
      <c r="E20" s="231" t="s">
        <v>588</v>
      </c>
    </row>
    <row r="21" spans="2:23" ht="17.25" x14ac:dyDescent="0.25">
      <c r="B21" s="286" t="s">
        <v>918</v>
      </c>
      <c r="C21" s="267">
        <v>8118</v>
      </c>
      <c r="D21" s="267">
        <v>2442</v>
      </c>
      <c r="E21" s="267">
        <v>10560</v>
      </c>
    </row>
    <row r="22" spans="2:23" ht="17.25" x14ac:dyDescent="0.25">
      <c r="B22" s="286" t="s">
        <v>919</v>
      </c>
      <c r="C22" s="267">
        <v>111568</v>
      </c>
      <c r="D22" s="267">
        <v>99422</v>
      </c>
      <c r="E22" s="267">
        <v>210990</v>
      </c>
    </row>
    <row r="23" spans="2:23" x14ac:dyDescent="0.25">
      <c r="B23" s="286" t="s">
        <v>2</v>
      </c>
      <c r="C23" s="267">
        <v>5431</v>
      </c>
      <c r="D23" s="267">
        <v>3673</v>
      </c>
      <c r="E23" s="267">
        <v>9104</v>
      </c>
    </row>
    <row r="24" spans="2:23" x14ac:dyDescent="0.25">
      <c r="B24" s="286" t="s">
        <v>3</v>
      </c>
      <c r="C24" s="267">
        <v>4132</v>
      </c>
      <c r="D24" s="267">
        <v>6891</v>
      </c>
      <c r="E24" s="267">
        <v>11023</v>
      </c>
    </row>
    <row r="25" spans="2:23" x14ac:dyDescent="0.25">
      <c r="B25" s="301" t="s">
        <v>476</v>
      </c>
      <c r="C25" s="294">
        <v>129249</v>
      </c>
      <c r="D25" s="294">
        <v>112428</v>
      </c>
      <c r="E25" s="294">
        <v>241677</v>
      </c>
      <c r="G25"/>
    </row>
    <row r="26" spans="2:23" ht="80.25" customHeight="1" x14ac:dyDescent="0.25">
      <c r="B26" s="445" t="s">
        <v>920</v>
      </c>
      <c r="C26" s="445"/>
      <c r="D26" s="445"/>
      <c r="E26" s="445"/>
      <c r="F26" s="445"/>
      <c r="G26" s="445"/>
      <c r="H26" s="445"/>
      <c r="I26" s="445"/>
      <c r="J26" s="445"/>
      <c r="K26" s="445"/>
      <c r="L26" s="445"/>
      <c r="M26" s="445"/>
      <c r="N26" s="445"/>
      <c r="O26" s="445"/>
      <c r="P26" s="445"/>
      <c r="Q26" s="445"/>
    </row>
    <row r="28" spans="2:23" ht="18.75" x14ac:dyDescent="0.3">
      <c r="B28" s="2" t="s">
        <v>782</v>
      </c>
      <c r="C28" s="2"/>
      <c r="D28" s="2"/>
      <c r="E28" s="2"/>
      <c r="F28" s="2"/>
      <c r="G28" s="2"/>
      <c r="H28" s="2"/>
      <c r="I28"/>
    </row>
    <row r="29" spans="2:23" x14ac:dyDescent="0.25">
      <c r="B29" s="457" t="s">
        <v>868</v>
      </c>
      <c r="C29" s="457"/>
      <c r="D29" s="457"/>
      <c r="E29" s="457"/>
      <c r="F29" s="457"/>
      <c r="G29" s="457"/>
      <c r="H29" s="457"/>
    </row>
    <row r="30" spans="2:23" x14ac:dyDescent="0.25">
      <c r="B30" s="3"/>
      <c r="C30" s="3"/>
      <c r="D30" s="3"/>
      <c r="E30" s="3"/>
      <c r="F30" s="3"/>
      <c r="G30" s="3"/>
      <c r="H30" s="3"/>
    </row>
    <row r="31" spans="2:23" x14ac:dyDescent="0.25">
      <c r="B31" s="435" t="s">
        <v>472</v>
      </c>
      <c r="C31" s="436" t="s">
        <v>477</v>
      </c>
      <c r="D31" s="437"/>
      <c r="E31" s="437"/>
      <c r="F31" s="437"/>
      <c r="G31" s="437"/>
      <c r="H31" s="437"/>
      <c r="I31" s="437"/>
      <c r="J31" s="437"/>
      <c r="K31" s="437"/>
      <c r="L31" s="437"/>
      <c r="M31" s="437"/>
      <c r="N31" s="437"/>
      <c r="O31" s="437"/>
      <c r="P31" s="437"/>
      <c r="Q31" s="437"/>
      <c r="R31" s="437"/>
      <c r="S31" s="437"/>
      <c r="T31" s="438"/>
      <c r="U31" s="432" t="s">
        <v>944</v>
      </c>
      <c r="V31" s="432"/>
      <c r="W31" s="432"/>
    </row>
    <row r="32" spans="2:23" x14ac:dyDescent="0.25">
      <c r="B32" s="435"/>
      <c r="C32" s="434" t="s">
        <v>936</v>
      </c>
      <c r="D32" s="434"/>
      <c r="E32" s="434"/>
      <c r="F32" s="434" t="s">
        <v>937</v>
      </c>
      <c r="G32" s="434"/>
      <c r="H32" s="434"/>
      <c r="I32" s="434" t="s">
        <v>942</v>
      </c>
      <c r="J32" s="434"/>
      <c r="K32" s="434"/>
      <c r="L32" s="434" t="s">
        <v>2</v>
      </c>
      <c r="M32" s="434"/>
      <c r="N32" s="434"/>
      <c r="O32" s="434" t="s">
        <v>941</v>
      </c>
      <c r="P32" s="434"/>
      <c r="Q32" s="434"/>
      <c r="R32" s="434" t="s">
        <v>3</v>
      </c>
      <c r="S32" s="434"/>
      <c r="T32" s="434"/>
      <c r="U32" s="432"/>
      <c r="V32" s="432"/>
      <c r="W32" s="432"/>
    </row>
    <row r="33" spans="2:23" x14ac:dyDescent="0.25">
      <c r="B33" s="435"/>
      <c r="C33" s="238" t="s">
        <v>73</v>
      </c>
      <c r="D33" s="238" t="s">
        <v>74</v>
      </c>
      <c r="E33" s="238" t="s">
        <v>25</v>
      </c>
      <c r="F33" s="238" t="s">
        <v>73</v>
      </c>
      <c r="G33" s="238" t="s">
        <v>74</v>
      </c>
      <c r="H33" s="238" t="s">
        <v>25</v>
      </c>
      <c r="I33" s="238" t="s">
        <v>73</v>
      </c>
      <c r="J33" s="238" t="s">
        <v>74</v>
      </c>
      <c r="K33" s="238" t="s">
        <v>25</v>
      </c>
      <c r="L33" s="238" t="s">
        <v>73</v>
      </c>
      <c r="M33" s="238" t="s">
        <v>74</v>
      </c>
      <c r="N33" s="238" t="s">
        <v>25</v>
      </c>
      <c r="O33" s="238" t="s">
        <v>73</v>
      </c>
      <c r="P33" s="238" t="s">
        <v>74</v>
      </c>
      <c r="Q33" s="238" t="s">
        <v>25</v>
      </c>
      <c r="R33" s="238" t="s">
        <v>73</v>
      </c>
      <c r="S33" s="238" t="s">
        <v>74</v>
      </c>
      <c r="T33" s="238" t="s">
        <v>25</v>
      </c>
      <c r="U33" s="300" t="s">
        <v>73</v>
      </c>
      <c r="V33" s="300" t="s">
        <v>74</v>
      </c>
      <c r="W33" s="300" t="s">
        <v>25</v>
      </c>
    </row>
    <row r="34" spans="2:23" hidden="1" outlineLevel="1" x14ac:dyDescent="0.25">
      <c r="B34" s="328">
        <v>39630</v>
      </c>
      <c r="C34" s="331"/>
      <c r="D34" s="331"/>
      <c r="E34" s="331"/>
      <c r="F34" s="331"/>
      <c r="G34" s="331"/>
      <c r="H34" s="331"/>
      <c r="I34" s="331">
        <v>36571</v>
      </c>
      <c r="J34" s="331">
        <v>7919</v>
      </c>
      <c r="K34" s="331">
        <v>44490</v>
      </c>
      <c r="L34" s="331">
        <v>4876</v>
      </c>
      <c r="M34" s="331">
        <v>1751</v>
      </c>
      <c r="N34" s="331">
        <v>6627</v>
      </c>
      <c r="O34" s="331">
        <v>2047</v>
      </c>
      <c r="P34" s="331">
        <v>805</v>
      </c>
      <c r="Q34" s="331">
        <v>2852</v>
      </c>
      <c r="R34" s="331">
        <v>203</v>
      </c>
      <c r="S34" s="331">
        <v>171</v>
      </c>
      <c r="T34" s="331">
        <v>374</v>
      </c>
      <c r="U34" s="329">
        <v>43697</v>
      </c>
      <c r="V34" s="329">
        <v>10646</v>
      </c>
      <c r="W34" s="329">
        <v>54343</v>
      </c>
    </row>
    <row r="35" spans="2:23" hidden="1" outlineLevel="1" x14ac:dyDescent="0.25">
      <c r="B35" s="328">
        <v>39661</v>
      </c>
      <c r="C35" s="331"/>
      <c r="D35" s="331"/>
      <c r="E35" s="331"/>
      <c r="F35" s="331"/>
      <c r="G35" s="331"/>
      <c r="H35" s="331"/>
      <c r="I35" s="331">
        <v>8864</v>
      </c>
      <c r="J35" s="331">
        <v>2750</v>
      </c>
      <c r="K35" s="331">
        <v>11614</v>
      </c>
      <c r="L35" s="331">
        <v>3833</v>
      </c>
      <c r="M35" s="331">
        <v>1473</v>
      </c>
      <c r="N35" s="331">
        <v>5306</v>
      </c>
      <c r="O35" s="331">
        <v>1302</v>
      </c>
      <c r="P35" s="331">
        <v>526</v>
      </c>
      <c r="Q35" s="331">
        <v>1828</v>
      </c>
      <c r="R35" s="331">
        <v>103</v>
      </c>
      <c r="S35" s="331">
        <v>128</v>
      </c>
      <c r="T35" s="331">
        <v>231</v>
      </c>
      <c r="U35" s="329">
        <v>14102</v>
      </c>
      <c r="V35" s="329">
        <v>4877</v>
      </c>
      <c r="W35" s="329">
        <v>18979</v>
      </c>
    </row>
    <row r="36" spans="2:23" hidden="1" outlineLevel="1" x14ac:dyDescent="0.25">
      <c r="B36" s="328">
        <v>39692</v>
      </c>
      <c r="C36" s="331"/>
      <c r="D36" s="331"/>
      <c r="E36" s="331"/>
      <c r="F36" s="331"/>
      <c r="G36" s="331"/>
      <c r="H36" s="331"/>
      <c r="I36" s="331">
        <v>6899</v>
      </c>
      <c r="J36" s="331">
        <v>2045</v>
      </c>
      <c r="K36" s="331">
        <v>8944</v>
      </c>
      <c r="L36" s="331">
        <v>2050</v>
      </c>
      <c r="M36" s="331">
        <v>766</v>
      </c>
      <c r="N36" s="331">
        <v>2816</v>
      </c>
      <c r="O36" s="331">
        <v>863</v>
      </c>
      <c r="P36" s="331">
        <v>399</v>
      </c>
      <c r="Q36" s="331">
        <v>1262</v>
      </c>
      <c r="R36" s="331">
        <v>81</v>
      </c>
      <c r="S36" s="331">
        <v>98</v>
      </c>
      <c r="T36" s="331">
        <v>179</v>
      </c>
      <c r="U36" s="329">
        <v>9893</v>
      </c>
      <c r="V36" s="329">
        <v>3308</v>
      </c>
      <c r="W36" s="329">
        <v>13201</v>
      </c>
    </row>
    <row r="37" spans="2:23" hidden="1" outlineLevel="1" x14ac:dyDescent="0.25">
      <c r="B37" s="328">
        <v>39722</v>
      </c>
      <c r="C37" s="331"/>
      <c r="D37" s="331"/>
      <c r="E37" s="331"/>
      <c r="F37" s="331"/>
      <c r="G37" s="331"/>
      <c r="H37" s="331"/>
      <c r="I37" s="331">
        <v>5971</v>
      </c>
      <c r="J37" s="331">
        <v>1753</v>
      </c>
      <c r="K37" s="331">
        <v>7724</v>
      </c>
      <c r="L37" s="331">
        <v>2033</v>
      </c>
      <c r="M37" s="331">
        <v>786</v>
      </c>
      <c r="N37" s="331">
        <v>2819</v>
      </c>
      <c r="O37" s="331">
        <v>806</v>
      </c>
      <c r="P37" s="331">
        <v>425</v>
      </c>
      <c r="Q37" s="331">
        <v>1231</v>
      </c>
      <c r="R37" s="331">
        <v>90</v>
      </c>
      <c r="S37" s="331">
        <v>76</v>
      </c>
      <c r="T37" s="331">
        <v>166</v>
      </c>
      <c r="U37" s="329">
        <v>8900</v>
      </c>
      <c r="V37" s="329">
        <v>3040</v>
      </c>
      <c r="W37" s="329">
        <v>11940</v>
      </c>
    </row>
    <row r="38" spans="2:23" hidden="1" outlineLevel="1" x14ac:dyDescent="0.25">
      <c r="B38" s="328">
        <v>39753</v>
      </c>
      <c r="C38" s="331"/>
      <c r="D38" s="331"/>
      <c r="E38" s="331"/>
      <c r="F38" s="331"/>
      <c r="G38" s="331"/>
      <c r="H38" s="331"/>
      <c r="I38" s="331">
        <v>4376</v>
      </c>
      <c r="J38" s="331">
        <v>1271</v>
      </c>
      <c r="K38" s="331">
        <v>5647</v>
      </c>
      <c r="L38" s="331">
        <v>1317</v>
      </c>
      <c r="M38" s="331">
        <v>603</v>
      </c>
      <c r="N38" s="331">
        <v>1920</v>
      </c>
      <c r="O38" s="331">
        <v>685</v>
      </c>
      <c r="P38" s="331">
        <v>414</v>
      </c>
      <c r="Q38" s="331">
        <v>1099</v>
      </c>
      <c r="R38" s="331">
        <v>151</v>
      </c>
      <c r="S38" s="331">
        <v>125</v>
      </c>
      <c r="T38" s="331">
        <v>276</v>
      </c>
      <c r="U38" s="329">
        <v>6529</v>
      </c>
      <c r="V38" s="329">
        <v>2413</v>
      </c>
      <c r="W38" s="329">
        <v>8942</v>
      </c>
    </row>
    <row r="39" spans="2:23" hidden="1" outlineLevel="1" x14ac:dyDescent="0.25">
      <c r="B39" s="328">
        <v>39783</v>
      </c>
      <c r="C39" s="331"/>
      <c r="D39" s="331"/>
      <c r="E39" s="331"/>
      <c r="F39" s="331"/>
      <c r="G39" s="331"/>
      <c r="H39" s="331"/>
      <c r="I39" s="331">
        <v>4091</v>
      </c>
      <c r="J39" s="331">
        <v>1225</v>
      </c>
      <c r="K39" s="331">
        <v>5316</v>
      </c>
      <c r="L39" s="331">
        <v>1355</v>
      </c>
      <c r="M39" s="331">
        <v>597</v>
      </c>
      <c r="N39" s="331">
        <v>1952</v>
      </c>
      <c r="O39" s="331">
        <v>722</v>
      </c>
      <c r="P39" s="331">
        <v>488</v>
      </c>
      <c r="Q39" s="331">
        <v>1210</v>
      </c>
      <c r="R39" s="331">
        <v>188</v>
      </c>
      <c r="S39" s="331">
        <v>127</v>
      </c>
      <c r="T39" s="331">
        <v>315</v>
      </c>
      <c r="U39" s="329">
        <v>6356</v>
      </c>
      <c r="V39" s="329">
        <v>2437</v>
      </c>
      <c r="W39" s="329">
        <v>8793</v>
      </c>
    </row>
    <row r="40" spans="2:23" collapsed="1" x14ac:dyDescent="0.25">
      <c r="B40" s="330" t="s">
        <v>690</v>
      </c>
      <c r="C40" s="329" t="s">
        <v>781</v>
      </c>
      <c r="D40" s="329" t="s">
        <v>781</v>
      </c>
      <c r="E40" s="329" t="s">
        <v>781</v>
      </c>
      <c r="F40" s="329" t="s">
        <v>781</v>
      </c>
      <c r="G40" s="329" t="s">
        <v>781</v>
      </c>
      <c r="H40" s="329" t="s">
        <v>781</v>
      </c>
      <c r="I40" s="329">
        <v>11129</v>
      </c>
      <c r="J40" s="329">
        <v>2827</v>
      </c>
      <c r="K40" s="329">
        <v>13956</v>
      </c>
      <c r="L40" s="329">
        <v>2577</v>
      </c>
      <c r="M40" s="329">
        <v>996</v>
      </c>
      <c r="N40" s="329">
        <v>3573</v>
      </c>
      <c r="O40" s="329">
        <v>1071</v>
      </c>
      <c r="P40" s="329">
        <v>510</v>
      </c>
      <c r="Q40" s="329">
        <v>1580</v>
      </c>
      <c r="R40" s="329">
        <v>136</v>
      </c>
      <c r="S40" s="329">
        <v>121</v>
      </c>
      <c r="T40" s="329">
        <v>257</v>
      </c>
      <c r="U40" s="329">
        <v>14913</v>
      </c>
      <c r="V40" s="329">
        <v>4454</v>
      </c>
      <c r="W40" s="329">
        <v>19366</v>
      </c>
    </row>
    <row r="41" spans="2:23" hidden="1" outlineLevel="1" x14ac:dyDescent="0.25">
      <c r="B41" s="328">
        <v>39814</v>
      </c>
      <c r="C41" s="331"/>
      <c r="D41" s="331"/>
      <c r="E41" s="331"/>
      <c r="F41" s="331"/>
      <c r="G41" s="331"/>
      <c r="H41" s="331"/>
      <c r="I41" s="331">
        <v>3284</v>
      </c>
      <c r="J41" s="331">
        <v>1182</v>
      </c>
      <c r="K41" s="331">
        <v>4466</v>
      </c>
      <c r="L41" s="331">
        <v>1263</v>
      </c>
      <c r="M41" s="331">
        <v>503</v>
      </c>
      <c r="N41" s="331">
        <v>1766</v>
      </c>
      <c r="O41" s="331">
        <v>689</v>
      </c>
      <c r="P41" s="331">
        <v>544</v>
      </c>
      <c r="Q41" s="331">
        <v>1233</v>
      </c>
      <c r="R41" s="331">
        <v>258</v>
      </c>
      <c r="S41" s="331">
        <v>166</v>
      </c>
      <c r="T41" s="331">
        <v>424</v>
      </c>
      <c r="U41" s="329">
        <v>5494</v>
      </c>
      <c r="V41" s="329">
        <v>2395</v>
      </c>
      <c r="W41" s="329">
        <v>7889</v>
      </c>
    </row>
    <row r="42" spans="2:23" hidden="1" outlineLevel="1" x14ac:dyDescent="0.25">
      <c r="B42" s="328">
        <v>39845</v>
      </c>
      <c r="C42" s="331"/>
      <c r="D42" s="331"/>
      <c r="E42" s="331"/>
      <c r="F42" s="331"/>
      <c r="G42" s="331"/>
      <c r="H42" s="331"/>
      <c r="I42" s="331">
        <v>2477</v>
      </c>
      <c r="J42" s="331">
        <v>875</v>
      </c>
      <c r="K42" s="331">
        <v>3352</v>
      </c>
      <c r="L42" s="331">
        <v>943</v>
      </c>
      <c r="M42" s="331">
        <v>493</v>
      </c>
      <c r="N42" s="331">
        <v>1436</v>
      </c>
      <c r="O42" s="331">
        <v>603</v>
      </c>
      <c r="P42" s="331">
        <v>502</v>
      </c>
      <c r="Q42" s="331">
        <v>1105</v>
      </c>
      <c r="R42" s="331">
        <v>269</v>
      </c>
      <c r="S42" s="331">
        <v>192</v>
      </c>
      <c r="T42" s="331">
        <v>461</v>
      </c>
      <c r="U42" s="329">
        <v>4292</v>
      </c>
      <c r="V42" s="329">
        <v>2062</v>
      </c>
      <c r="W42" s="329">
        <v>6354</v>
      </c>
    </row>
    <row r="43" spans="2:23" hidden="1" outlineLevel="1" x14ac:dyDescent="0.25">
      <c r="B43" s="328">
        <v>39873</v>
      </c>
      <c r="C43" s="331"/>
      <c r="D43" s="331"/>
      <c r="E43" s="331"/>
      <c r="F43" s="331"/>
      <c r="G43" s="331"/>
      <c r="H43" s="331"/>
      <c r="I43" s="331">
        <v>3202</v>
      </c>
      <c r="J43" s="331">
        <v>1062</v>
      </c>
      <c r="K43" s="331">
        <v>4264</v>
      </c>
      <c r="L43" s="331">
        <v>1333</v>
      </c>
      <c r="M43" s="331">
        <v>560</v>
      </c>
      <c r="N43" s="331">
        <v>1893</v>
      </c>
      <c r="O43" s="331">
        <v>704</v>
      </c>
      <c r="P43" s="331">
        <v>640</v>
      </c>
      <c r="Q43" s="331">
        <v>1344</v>
      </c>
      <c r="R43" s="331">
        <v>308</v>
      </c>
      <c r="S43" s="331">
        <v>255</v>
      </c>
      <c r="T43" s="331">
        <v>563</v>
      </c>
      <c r="U43" s="329">
        <v>5547</v>
      </c>
      <c r="V43" s="329">
        <v>2517</v>
      </c>
      <c r="W43" s="329">
        <v>8064</v>
      </c>
    </row>
    <row r="44" spans="2:23" hidden="1" outlineLevel="1" x14ac:dyDescent="0.25">
      <c r="B44" s="328">
        <v>39904</v>
      </c>
      <c r="C44" s="331"/>
      <c r="D44" s="331"/>
      <c r="E44" s="331"/>
      <c r="F44" s="331"/>
      <c r="G44" s="331"/>
      <c r="H44" s="331"/>
      <c r="I44" s="331">
        <v>2863</v>
      </c>
      <c r="J44" s="331">
        <v>937</v>
      </c>
      <c r="K44" s="331">
        <v>3800</v>
      </c>
      <c r="L44" s="331">
        <v>1239</v>
      </c>
      <c r="M44" s="331">
        <v>525</v>
      </c>
      <c r="N44" s="331">
        <v>1764</v>
      </c>
      <c r="O44" s="331">
        <v>673</v>
      </c>
      <c r="P44" s="331">
        <v>572</v>
      </c>
      <c r="Q44" s="331">
        <v>1245</v>
      </c>
      <c r="R44" s="331">
        <v>338</v>
      </c>
      <c r="S44" s="331">
        <v>244</v>
      </c>
      <c r="T44" s="331">
        <v>582</v>
      </c>
      <c r="U44" s="329">
        <v>5113</v>
      </c>
      <c r="V44" s="329">
        <v>2278</v>
      </c>
      <c r="W44" s="329">
        <v>7391</v>
      </c>
    </row>
    <row r="45" spans="2:23" hidden="1" outlineLevel="1" x14ac:dyDescent="0.25">
      <c r="B45" s="328">
        <v>39934</v>
      </c>
      <c r="C45" s="331"/>
      <c r="D45" s="331"/>
      <c r="E45" s="331"/>
      <c r="F45" s="331"/>
      <c r="G45" s="331"/>
      <c r="H45" s="331"/>
      <c r="I45" s="331">
        <v>2602</v>
      </c>
      <c r="J45" s="331">
        <v>877</v>
      </c>
      <c r="K45" s="331">
        <v>3479</v>
      </c>
      <c r="L45" s="331">
        <v>1042</v>
      </c>
      <c r="M45" s="331">
        <v>442</v>
      </c>
      <c r="N45" s="331">
        <v>1484</v>
      </c>
      <c r="O45" s="331">
        <v>554</v>
      </c>
      <c r="P45" s="331">
        <v>547</v>
      </c>
      <c r="Q45" s="331">
        <v>1101</v>
      </c>
      <c r="R45" s="331">
        <v>388</v>
      </c>
      <c r="S45" s="331">
        <v>259</v>
      </c>
      <c r="T45" s="331">
        <v>647</v>
      </c>
      <c r="U45" s="329">
        <v>4586</v>
      </c>
      <c r="V45" s="329">
        <v>2125</v>
      </c>
      <c r="W45" s="329">
        <v>6711</v>
      </c>
    </row>
    <row r="46" spans="2:23" hidden="1" outlineLevel="1" x14ac:dyDescent="0.25">
      <c r="B46" s="328">
        <v>39965</v>
      </c>
      <c r="C46" s="331"/>
      <c r="D46" s="331"/>
      <c r="E46" s="331"/>
      <c r="F46" s="331"/>
      <c r="G46" s="331"/>
      <c r="H46" s="331"/>
      <c r="I46" s="331">
        <v>1851</v>
      </c>
      <c r="J46" s="331">
        <v>973</v>
      </c>
      <c r="K46" s="331">
        <v>2824</v>
      </c>
      <c r="L46" s="331">
        <v>1212</v>
      </c>
      <c r="M46" s="331">
        <v>560</v>
      </c>
      <c r="N46" s="331">
        <v>1772</v>
      </c>
      <c r="O46" s="331">
        <v>25293</v>
      </c>
      <c r="P46" s="331">
        <v>17563</v>
      </c>
      <c r="Q46" s="331">
        <v>42856</v>
      </c>
      <c r="R46" s="331">
        <v>357</v>
      </c>
      <c r="S46" s="331">
        <v>319</v>
      </c>
      <c r="T46" s="331">
        <v>676</v>
      </c>
      <c r="U46" s="329">
        <v>28713</v>
      </c>
      <c r="V46" s="329">
        <v>19415</v>
      </c>
      <c r="W46" s="329">
        <v>48128</v>
      </c>
    </row>
    <row r="47" spans="2:23" hidden="1" outlineLevel="1" x14ac:dyDescent="0.25">
      <c r="B47" s="328">
        <v>39995</v>
      </c>
      <c r="C47" s="331"/>
      <c r="D47" s="331"/>
      <c r="E47" s="331"/>
      <c r="F47" s="331"/>
      <c r="G47" s="331"/>
      <c r="H47" s="331"/>
      <c r="I47" s="331">
        <v>7907</v>
      </c>
      <c r="J47" s="331">
        <v>1100</v>
      </c>
      <c r="K47" s="331">
        <v>9007</v>
      </c>
      <c r="L47" s="331">
        <v>1562</v>
      </c>
      <c r="M47" s="331">
        <v>564</v>
      </c>
      <c r="N47" s="331">
        <v>2126</v>
      </c>
      <c r="O47" s="331">
        <v>17318</v>
      </c>
      <c r="P47" s="331">
        <v>15867</v>
      </c>
      <c r="Q47" s="331">
        <v>33185</v>
      </c>
      <c r="R47" s="331">
        <v>370</v>
      </c>
      <c r="S47" s="331">
        <v>300</v>
      </c>
      <c r="T47" s="331">
        <v>670</v>
      </c>
      <c r="U47" s="329">
        <v>27157</v>
      </c>
      <c r="V47" s="329">
        <v>17831</v>
      </c>
      <c r="W47" s="329">
        <v>44988</v>
      </c>
    </row>
    <row r="48" spans="2:23" hidden="1" outlineLevel="1" x14ac:dyDescent="0.25">
      <c r="B48" s="328">
        <v>40026</v>
      </c>
      <c r="C48" s="331"/>
      <c r="D48" s="331"/>
      <c r="E48" s="331"/>
      <c r="F48" s="331"/>
      <c r="G48" s="331"/>
      <c r="H48" s="331"/>
      <c r="I48" s="331">
        <v>5309</v>
      </c>
      <c r="J48" s="331">
        <v>1411</v>
      </c>
      <c r="K48" s="331">
        <v>6720</v>
      </c>
      <c r="L48" s="331">
        <v>1604</v>
      </c>
      <c r="M48" s="331">
        <v>628</v>
      </c>
      <c r="N48" s="331">
        <v>2232</v>
      </c>
      <c r="O48" s="331">
        <v>31821</v>
      </c>
      <c r="P48" s="331">
        <v>22265</v>
      </c>
      <c r="Q48" s="331">
        <v>54086</v>
      </c>
      <c r="R48" s="331">
        <v>682</v>
      </c>
      <c r="S48" s="331">
        <v>510</v>
      </c>
      <c r="T48" s="331">
        <v>1192</v>
      </c>
      <c r="U48" s="329">
        <v>39416</v>
      </c>
      <c r="V48" s="329">
        <v>24814</v>
      </c>
      <c r="W48" s="329">
        <v>64230</v>
      </c>
    </row>
    <row r="49" spans="2:23" hidden="1" outlineLevel="1" x14ac:dyDescent="0.25">
      <c r="B49" s="328">
        <v>40057</v>
      </c>
      <c r="C49" s="331"/>
      <c r="D49" s="331"/>
      <c r="E49" s="331"/>
      <c r="F49" s="331"/>
      <c r="G49" s="331"/>
      <c r="H49" s="331"/>
      <c r="I49" s="331">
        <v>4866</v>
      </c>
      <c r="J49" s="331">
        <v>1389</v>
      </c>
      <c r="K49" s="331">
        <v>6255</v>
      </c>
      <c r="L49" s="331">
        <v>1384</v>
      </c>
      <c r="M49" s="331">
        <v>644</v>
      </c>
      <c r="N49" s="331">
        <v>2028</v>
      </c>
      <c r="O49" s="331">
        <v>41703</v>
      </c>
      <c r="P49" s="331">
        <v>30290</v>
      </c>
      <c r="Q49" s="331">
        <v>71993</v>
      </c>
      <c r="R49" s="331">
        <v>833</v>
      </c>
      <c r="S49" s="331">
        <v>686</v>
      </c>
      <c r="T49" s="331">
        <v>1519</v>
      </c>
      <c r="U49" s="329">
        <v>48786</v>
      </c>
      <c r="V49" s="329">
        <v>33009</v>
      </c>
      <c r="W49" s="329">
        <v>81795</v>
      </c>
    </row>
    <row r="50" spans="2:23" hidden="1" outlineLevel="1" x14ac:dyDescent="0.25">
      <c r="B50" s="328">
        <v>40087</v>
      </c>
      <c r="C50" s="331"/>
      <c r="D50" s="331"/>
      <c r="E50" s="331"/>
      <c r="F50" s="331"/>
      <c r="G50" s="331"/>
      <c r="H50" s="331"/>
      <c r="I50" s="331">
        <v>3987</v>
      </c>
      <c r="J50" s="331">
        <v>1299</v>
      </c>
      <c r="K50" s="331">
        <v>5286</v>
      </c>
      <c r="L50" s="331">
        <v>1315</v>
      </c>
      <c r="M50" s="331">
        <v>594</v>
      </c>
      <c r="N50" s="331">
        <v>1909</v>
      </c>
      <c r="O50" s="331">
        <v>18779</v>
      </c>
      <c r="P50" s="331">
        <v>14683</v>
      </c>
      <c r="Q50" s="331">
        <v>33462</v>
      </c>
      <c r="R50" s="331">
        <v>587</v>
      </c>
      <c r="S50" s="331">
        <v>468</v>
      </c>
      <c r="T50" s="331">
        <v>1055</v>
      </c>
      <c r="U50" s="329">
        <v>24668</v>
      </c>
      <c r="V50" s="329">
        <v>17044</v>
      </c>
      <c r="W50" s="329">
        <v>41712</v>
      </c>
    </row>
    <row r="51" spans="2:23" hidden="1" outlineLevel="1" x14ac:dyDescent="0.25">
      <c r="B51" s="328">
        <v>40118</v>
      </c>
      <c r="C51" s="331"/>
      <c r="D51" s="331"/>
      <c r="E51" s="331"/>
      <c r="F51" s="331"/>
      <c r="G51" s="331"/>
      <c r="H51" s="331"/>
      <c r="I51" s="331">
        <v>3353</v>
      </c>
      <c r="J51" s="331">
        <v>1111</v>
      </c>
      <c r="K51" s="331">
        <v>4464</v>
      </c>
      <c r="L51" s="331">
        <v>1006</v>
      </c>
      <c r="M51" s="331">
        <v>463</v>
      </c>
      <c r="N51" s="331">
        <v>1469</v>
      </c>
      <c r="O51" s="331">
        <v>12202</v>
      </c>
      <c r="P51" s="331">
        <v>8014</v>
      </c>
      <c r="Q51" s="331">
        <v>20216</v>
      </c>
      <c r="R51" s="331">
        <v>575</v>
      </c>
      <c r="S51" s="331">
        <v>427</v>
      </c>
      <c r="T51" s="331">
        <v>1002</v>
      </c>
      <c r="U51" s="329">
        <v>17136</v>
      </c>
      <c r="V51" s="329">
        <v>10015</v>
      </c>
      <c r="W51" s="329">
        <v>27151</v>
      </c>
    </row>
    <row r="52" spans="2:23" hidden="1" outlineLevel="1" x14ac:dyDescent="0.25">
      <c r="B52" s="328">
        <v>40148</v>
      </c>
      <c r="C52" s="331"/>
      <c r="D52" s="331"/>
      <c r="E52" s="331"/>
      <c r="F52" s="331"/>
      <c r="G52" s="331"/>
      <c r="H52" s="331"/>
      <c r="I52" s="331">
        <v>3114</v>
      </c>
      <c r="J52" s="331">
        <v>944</v>
      </c>
      <c r="K52" s="331">
        <v>4058</v>
      </c>
      <c r="L52" s="331">
        <v>937</v>
      </c>
      <c r="M52" s="331">
        <v>455</v>
      </c>
      <c r="N52" s="331">
        <v>1392</v>
      </c>
      <c r="O52" s="331">
        <v>9838</v>
      </c>
      <c r="P52" s="331">
        <v>5480</v>
      </c>
      <c r="Q52" s="331">
        <v>15318</v>
      </c>
      <c r="R52" s="331">
        <v>580</v>
      </c>
      <c r="S52" s="331">
        <v>502</v>
      </c>
      <c r="T52" s="331">
        <v>1082</v>
      </c>
      <c r="U52" s="329">
        <v>14469</v>
      </c>
      <c r="V52" s="329">
        <v>7381</v>
      </c>
      <c r="W52" s="329">
        <v>21850</v>
      </c>
    </row>
    <row r="53" spans="2:23" collapsed="1" x14ac:dyDescent="0.25">
      <c r="B53" s="330" t="s">
        <v>691</v>
      </c>
      <c r="C53" s="329" t="s">
        <v>781</v>
      </c>
      <c r="D53" s="329" t="s">
        <v>781</v>
      </c>
      <c r="E53" s="329" t="s">
        <v>781</v>
      </c>
      <c r="F53" s="329" t="s">
        <v>781</v>
      </c>
      <c r="G53" s="329" t="s">
        <v>781</v>
      </c>
      <c r="H53" s="329" t="s">
        <v>781</v>
      </c>
      <c r="I53" s="329">
        <v>3735</v>
      </c>
      <c r="J53" s="329">
        <v>1097</v>
      </c>
      <c r="K53" s="329">
        <v>4831</v>
      </c>
      <c r="L53" s="329">
        <v>1237</v>
      </c>
      <c r="M53" s="329">
        <v>536</v>
      </c>
      <c r="N53" s="329">
        <v>1773</v>
      </c>
      <c r="O53" s="329">
        <v>13348</v>
      </c>
      <c r="P53" s="329">
        <v>9747</v>
      </c>
      <c r="Q53" s="329">
        <v>23095</v>
      </c>
      <c r="R53" s="329">
        <v>462</v>
      </c>
      <c r="S53" s="329">
        <v>361</v>
      </c>
      <c r="T53" s="329">
        <v>823</v>
      </c>
      <c r="U53" s="329">
        <v>18781</v>
      </c>
      <c r="V53" s="329">
        <v>11741</v>
      </c>
      <c r="W53" s="329">
        <v>30522</v>
      </c>
    </row>
    <row r="54" spans="2:23" hidden="1" outlineLevel="1" x14ac:dyDescent="0.25">
      <c r="B54" s="328">
        <v>40179</v>
      </c>
      <c r="C54" s="331"/>
      <c r="D54" s="331"/>
      <c r="E54" s="331"/>
      <c r="F54" s="331"/>
      <c r="G54" s="331"/>
      <c r="H54" s="331"/>
      <c r="I54" s="331">
        <v>2797</v>
      </c>
      <c r="J54" s="331">
        <v>900</v>
      </c>
      <c r="K54" s="331">
        <v>3697</v>
      </c>
      <c r="L54" s="331">
        <v>924</v>
      </c>
      <c r="M54" s="331">
        <v>458</v>
      </c>
      <c r="N54" s="331">
        <v>1382</v>
      </c>
      <c r="O54" s="331">
        <v>8083</v>
      </c>
      <c r="P54" s="331">
        <v>4617</v>
      </c>
      <c r="Q54" s="331">
        <v>12700</v>
      </c>
      <c r="R54" s="331">
        <v>544</v>
      </c>
      <c r="S54" s="331">
        <v>351</v>
      </c>
      <c r="T54" s="331">
        <v>895</v>
      </c>
      <c r="U54" s="329">
        <v>12348</v>
      </c>
      <c r="V54" s="329">
        <v>6326</v>
      </c>
      <c r="W54" s="329">
        <v>18674</v>
      </c>
    </row>
    <row r="55" spans="2:23" hidden="1" outlineLevel="1" x14ac:dyDescent="0.25">
      <c r="B55" s="328">
        <v>40210</v>
      </c>
      <c r="C55" s="331"/>
      <c r="D55" s="331"/>
      <c r="E55" s="331"/>
      <c r="F55" s="331"/>
      <c r="G55" s="331"/>
      <c r="H55" s="331"/>
      <c r="I55" s="331">
        <v>2157</v>
      </c>
      <c r="J55" s="331">
        <v>789</v>
      </c>
      <c r="K55" s="331">
        <v>2946</v>
      </c>
      <c r="L55" s="331">
        <v>796</v>
      </c>
      <c r="M55" s="331">
        <v>370</v>
      </c>
      <c r="N55" s="331">
        <v>1166</v>
      </c>
      <c r="O55" s="331">
        <v>6075</v>
      </c>
      <c r="P55" s="331">
        <v>3599</v>
      </c>
      <c r="Q55" s="331">
        <v>9674</v>
      </c>
      <c r="R55" s="331">
        <v>521</v>
      </c>
      <c r="S55" s="331">
        <v>352</v>
      </c>
      <c r="T55" s="331">
        <v>873</v>
      </c>
      <c r="U55" s="329">
        <v>9549</v>
      </c>
      <c r="V55" s="329">
        <v>5110</v>
      </c>
      <c r="W55" s="329">
        <v>14659</v>
      </c>
    </row>
    <row r="56" spans="2:23" hidden="1" outlineLevel="1" x14ac:dyDescent="0.25">
      <c r="B56" s="328">
        <v>40238</v>
      </c>
      <c r="C56" s="331"/>
      <c r="D56" s="331"/>
      <c r="E56" s="331"/>
      <c r="F56" s="331"/>
      <c r="G56" s="331"/>
      <c r="H56" s="331"/>
      <c r="I56" s="331">
        <v>2334</v>
      </c>
      <c r="J56" s="331">
        <v>836</v>
      </c>
      <c r="K56" s="331">
        <v>3170</v>
      </c>
      <c r="L56" s="331">
        <v>772</v>
      </c>
      <c r="M56" s="331">
        <v>373</v>
      </c>
      <c r="N56" s="331">
        <v>1145</v>
      </c>
      <c r="O56" s="331">
        <v>4788</v>
      </c>
      <c r="P56" s="331">
        <v>3255</v>
      </c>
      <c r="Q56" s="331">
        <v>8043</v>
      </c>
      <c r="R56" s="331">
        <v>607</v>
      </c>
      <c r="S56" s="331">
        <v>429</v>
      </c>
      <c r="T56" s="331">
        <v>1036</v>
      </c>
      <c r="U56" s="329">
        <v>8501</v>
      </c>
      <c r="V56" s="329">
        <v>4893</v>
      </c>
      <c r="W56" s="329">
        <v>13394</v>
      </c>
    </row>
    <row r="57" spans="2:23" hidden="1" outlineLevel="1" x14ac:dyDescent="0.25">
      <c r="B57" s="328">
        <v>40269</v>
      </c>
      <c r="C57" s="331"/>
      <c r="D57" s="331"/>
      <c r="E57" s="331"/>
      <c r="F57" s="331"/>
      <c r="G57" s="331"/>
      <c r="H57" s="331"/>
      <c r="I57" s="331">
        <v>2367</v>
      </c>
      <c r="J57" s="331">
        <v>771</v>
      </c>
      <c r="K57" s="331">
        <v>3138</v>
      </c>
      <c r="L57" s="331">
        <v>815</v>
      </c>
      <c r="M57" s="331">
        <v>436</v>
      </c>
      <c r="N57" s="331">
        <v>1251</v>
      </c>
      <c r="O57" s="331">
        <v>5583</v>
      </c>
      <c r="P57" s="331">
        <v>4887</v>
      </c>
      <c r="Q57" s="331">
        <v>10470</v>
      </c>
      <c r="R57" s="331">
        <v>578</v>
      </c>
      <c r="S57" s="331">
        <v>482</v>
      </c>
      <c r="T57" s="331">
        <v>1060</v>
      </c>
      <c r="U57" s="329">
        <v>9343</v>
      </c>
      <c r="V57" s="329">
        <v>6576</v>
      </c>
      <c r="W57" s="329">
        <v>15919</v>
      </c>
    </row>
    <row r="58" spans="2:23" hidden="1" outlineLevel="1" x14ac:dyDescent="0.25">
      <c r="B58" s="328">
        <v>40299</v>
      </c>
      <c r="C58" s="331"/>
      <c r="D58" s="331"/>
      <c r="E58" s="331"/>
      <c r="F58" s="331"/>
      <c r="G58" s="331"/>
      <c r="H58" s="331"/>
      <c r="I58" s="331">
        <v>2149</v>
      </c>
      <c r="J58" s="331">
        <v>790</v>
      </c>
      <c r="K58" s="331">
        <v>2939</v>
      </c>
      <c r="L58" s="331">
        <v>803</v>
      </c>
      <c r="M58" s="331">
        <v>394</v>
      </c>
      <c r="N58" s="331">
        <v>1197</v>
      </c>
      <c r="O58" s="331">
        <v>4670</v>
      </c>
      <c r="P58" s="331">
        <v>4644</v>
      </c>
      <c r="Q58" s="331">
        <v>9314</v>
      </c>
      <c r="R58" s="331">
        <v>539</v>
      </c>
      <c r="S58" s="331">
        <v>414</v>
      </c>
      <c r="T58" s="331">
        <v>953</v>
      </c>
      <c r="U58" s="329">
        <v>8161</v>
      </c>
      <c r="V58" s="329">
        <v>6242</v>
      </c>
      <c r="W58" s="329">
        <v>14403</v>
      </c>
    </row>
    <row r="59" spans="2:23" hidden="1" outlineLevel="1" x14ac:dyDescent="0.25">
      <c r="B59" s="328">
        <v>40330</v>
      </c>
      <c r="C59" s="331"/>
      <c r="D59" s="331"/>
      <c r="E59" s="331"/>
      <c r="F59" s="331"/>
      <c r="G59" s="331"/>
      <c r="H59" s="331"/>
      <c r="I59" s="331">
        <v>2217</v>
      </c>
      <c r="J59" s="331">
        <v>833</v>
      </c>
      <c r="K59" s="331">
        <v>3050</v>
      </c>
      <c r="L59" s="331">
        <v>804</v>
      </c>
      <c r="M59" s="331">
        <v>376</v>
      </c>
      <c r="N59" s="331">
        <v>1180</v>
      </c>
      <c r="O59" s="331">
        <v>8772</v>
      </c>
      <c r="P59" s="331">
        <v>6826</v>
      </c>
      <c r="Q59" s="331">
        <v>15598</v>
      </c>
      <c r="R59" s="331">
        <v>467</v>
      </c>
      <c r="S59" s="331">
        <v>361</v>
      </c>
      <c r="T59" s="331">
        <v>828</v>
      </c>
      <c r="U59" s="329">
        <v>12260</v>
      </c>
      <c r="V59" s="329">
        <v>8396</v>
      </c>
      <c r="W59" s="329">
        <v>20656</v>
      </c>
    </row>
    <row r="60" spans="2:23" hidden="1" outlineLevel="1" x14ac:dyDescent="0.25">
      <c r="B60" s="328">
        <v>40360</v>
      </c>
      <c r="C60" s="331"/>
      <c r="D60" s="331"/>
      <c r="E60" s="331"/>
      <c r="F60" s="331"/>
      <c r="G60" s="331"/>
      <c r="H60" s="331"/>
      <c r="I60" s="331">
        <v>2313</v>
      </c>
      <c r="J60" s="331">
        <v>848</v>
      </c>
      <c r="K60" s="331">
        <v>3161</v>
      </c>
      <c r="L60" s="331">
        <v>765</v>
      </c>
      <c r="M60" s="331">
        <v>318</v>
      </c>
      <c r="N60" s="331">
        <v>1083</v>
      </c>
      <c r="O60" s="331">
        <v>11683</v>
      </c>
      <c r="P60" s="331">
        <v>10170</v>
      </c>
      <c r="Q60" s="331">
        <v>21853</v>
      </c>
      <c r="R60" s="331">
        <v>415</v>
      </c>
      <c r="S60" s="331">
        <v>289</v>
      </c>
      <c r="T60" s="331">
        <v>704</v>
      </c>
      <c r="U60" s="329">
        <v>15176</v>
      </c>
      <c r="V60" s="329">
        <v>11625</v>
      </c>
      <c r="W60" s="329">
        <v>26801</v>
      </c>
    </row>
    <row r="61" spans="2:23" hidden="1" outlineLevel="1" x14ac:dyDescent="0.25">
      <c r="B61" s="328">
        <v>40391</v>
      </c>
      <c r="C61" s="331"/>
      <c r="D61" s="331"/>
      <c r="E61" s="331"/>
      <c r="F61" s="331"/>
      <c r="G61" s="331"/>
      <c r="H61" s="331"/>
      <c r="I61" s="331">
        <v>2365</v>
      </c>
      <c r="J61" s="331">
        <v>899</v>
      </c>
      <c r="K61" s="331">
        <v>3264</v>
      </c>
      <c r="L61" s="331">
        <v>810</v>
      </c>
      <c r="M61" s="331">
        <v>398</v>
      </c>
      <c r="N61" s="331">
        <v>1208</v>
      </c>
      <c r="O61" s="331">
        <v>9759</v>
      </c>
      <c r="P61" s="331">
        <v>8132</v>
      </c>
      <c r="Q61" s="331">
        <v>17891</v>
      </c>
      <c r="R61" s="331">
        <v>462</v>
      </c>
      <c r="S61" s="331">
        <v>325</v>
      </c>
      <c r="T61" s="331">
        <v>787</v>
      </c>
      <c r="U61" s="329">
        <v>13396</v>
      </c>
      <c r="V61" s="329">
        <v>9754</v>
      </c>
      <c r="W61" s="329">
        <v>23150</v>
      </c>
    </row>
    <row r="62" spans="2:23" hidden="1" outlineLevel="1" x14ac:dyDescent="0.25">
      <c r="B62" s="328">
        <v>40422</v>
      </c>
      <c r="C62" s="331"/>
      <c r="D62" s="331"/>
      <c r="E62" s="331"/>
      <c r="F62" s="331"/>
      <c r="G62" s="331"/>
      <c r="H62" s="331"/>
      <c r="I62" s="331">
        <v>2158</v>
      </c>
      <c r="J62" s="331">
        <v>751</v>
      </c>
      <c r="K62" s="331">
        <v>2909</v>
      </c>
      <c r="L62" s="331">
        <v>681</v>
      </c>
      <c r="M62" s="331">
        <v>336</v>
      </c>
      <c r="N62" s="331">
        <v>1017</v>
      </c>
      <c r="O62" s="331">
        <v>5901</v>
      </c>
      <c r="P62" s="331">
        <v>4226</v>
      </c>
      <c r="Q62" s="331">
        <v>10127</v>
      </c>
      <c r="R62" s="331">
        <v>383</v>
      </c>
      <c r="S62" s="331">
        <v>260</v>
      </c>
      <c r="T62" s="331">
        <v>643</v>
      </c>
      <c r="U62" s="329">
        <v>9123</v>
      </c>
      <c r="V62" s="329">
        <v>5573</v>
      </c>
      <c r="W62" s="329">
        <v>14696</v>
      </c>
    </row>
    <row r="63" spans="2:23" hidden="1" outlineLevel="1" x14ac:dyDescent="0.25">
      <c r="B63" s="328">
        <v>40452</v>
      </c>
      <c r="C63" s="331"/>
      <c r="D63" s="331"/>
      <c r="E63" s="331"/>
      <c r="F63" s="331"/>
      <c r="G63" s="331"/>
      <c r="H63" s="331"/>
      <c r="I63" s="331">
        <v>2218</v>
      </c>
      <c r="J63" s="331">
        <v>787</v>
      </c>
      <c r="K63" s="331">
        <v>3005</v>
      </c>
      <c r="L63" s="331">
        <v>707</v>
      </c>
      <c r="M63" s="331">
        <v>273</v>
      </c>
      <c r="N63" s="331">
        <v>980</v>
      </c>
      <c r="O63" s="331">
        <v>5513</v>
      </c>
      <c r="P63" s="331">
        <v>3910</v>
      </c>
      <c r="Q63" s="331">
        <v>9423</v>
      </c>
      <c r="R63" s="331">
        <v>423</v>
      </c>
      <c r="S63" s="331">
        <v>346</v>
      </c>
      <c r="T63" s="331">
        <v>769</v>
      </c>
      <c r="U63" s="329">
        <v>8861</v>
      </c>
      <c r="V63" s="329">
        <v>5316</v>
      </c>
      <c r="W63" s="329">
        <v>14177</v>
      </c>
    </row>
    <row r="64" spans="2:23" hidden="1" outlineLevel="1" x14ac:dyDescent="0.25">
      <c r="B64" s="328">
        <v>40483</v>
      </c>
      <c r="C64" s="331"/>
      <c r="D64" s="331"/>
      <c r="E64" s="331"/>
      <c r="F64" s="331"/>
      <c r="G64" s="331"/>
      <c r="H64" s="331"/>
      <c r="I64" s="331">
        <v>2005</v>
      </c>
      <c r="J64" s="331">
        <v>720</v>
      </c>
      <c r="K64" s="331">
        <v>2725</v>
      </c>
      <c r="L64" s="331">
        <v>620</v>
      </c>
      <c r="M64" s="331">
        <v>302</v>
      </c>
      <c r="N64" s="331">
        <v>922</v>
      </c>
      <c r="O64" s="331">
        <v>4587</v>
      </c>
      <c r="P64" s="331">
        <v>3066</v>
      </c>
      <c r="Q64" s="331">
        <v>7653</v>
      </c>
      <c r="R64" s="331">
        <v>358</v>
      </c>
      <c r="S64" s="331">
        <v>250</v>
      </c>
      <c r="T64" s="331">
        <v>608</v>
      </c>
      <c r="U64" s="329">
        <v>7570</v>
      </c>
      <c r="V64" s="329">
        <v>4338</v>
      </c>
      <c r="W64" s="329">
        <v>11908</v>
      </c>
    </row>
    <row r="65" spans="2:23" hidden="1" outlineLevel="1" x14ac:dyDescent="0.25">
      <c r="B65" s="328">
        <v>40513</v>
      </c>
      <c r="C65" s="331"/>
      <c r="D65" s="331"/>
      <c r="E65" s="331"/>
      <c r="F65" s="331"/>
      <c r="G65" s="331"/>
      <c r="H65" s="331"/>
      <c r="I65" s="331">
        <v>1541</v>
      </c>
      <c r="J65" s="331">
        <v>580</v>
      </c>
      <c r="K65" s="331">
        <v>2121</v>
      </c>
      <c r="L65" s="331">
        <v>456</v>
      </c>
      <c r="M65" s="331">
        <v>258</v>
      </c>
      <c r="N65" s="331">
        <v>714</v>
      </c>
      <c r="O65" s="331">
        <v>2985</v>
      </c>
      <c r="P65" s="331">
        <v>2173</v>
      </c>
      <c r="Q65" s="331">
        <v>5158</v>
      </c>
      <c r="R65" s="331">
        <v>407</v>
      </c>
      <c r="S65" s="331">
        <v>352</v>
      </c>
      <c r="T65" s="331">
        <v>759</v>
      </c>
      <c r="U65" s="329">
        <v>5389</v>
      </c>
      <c r="V65" s="329">
        <v>3363</v>
      </c>
      <c r="W65" s="329">
        <v>8752</v>
      </c>
    </row>
    <row r="66" spans="2:23" collapsed="1" x14ac:dyDescent="0.25">
      <c r="B66" s="330" t="s">
        <v>692</v>
      </c>
      <c r="C66" s="329" t="s">
        <v>781</v>
      </c>
      <c r="D66" s="329" t="s">
        <v>781</v>
      </c>
      <c r="E66" s="329" t="s">
        <v>781</v>
      </c>
      <c r="F66" s="329" t="s">
        <v>781</v>
      </c>
      <c r="G66" s="329" t="s">
        <v>781</v>
      </c>
      <c r="H66" s="329" t="s">
        <v>781</v>
      </c>
      <c r="I66" s="329">
        <v>2218</v>
      </c>
      <c r="J66" s="329">
        <v>792</v>
      </c>
      <c r="K66" s="329">
        <v>3010</v>
      </c>
      <c r="L66" s="329">
        <v>746</v>
      </c>
      <c r="M66" s="329">
        <v>358</v>
      </c>
      <c r="N66" s="329">
        <v>1104</v>
      </c>
      <c r="O66" s="329">
        <v>6533</v>
      </c>
      <c r="P66" s="329">
        <v>4959</v>
      </c>
      <c r="Q66" s="329">
        <v>11492</v>
      </c>
      <c r="R66" s="329">
        <v>475</v>
      </c>
      <c r="S66" s="329">
        <v>351</v>
      </c>
      <c r="T66" s="329">
        <v>826</v>
      </c>
      <c r="U66" s="329">
        <v>9973</v>
      </c>
      <c r="V66" s="329">
        <v>6459</v>
      </c>
      <c r="W66" s="329">
        <v>16432</v>
      </c>
    </row>
    <row r="67" spans="2:23" hidden="1" outlineLevel="1" x14ac:dyDescent="0.25">
      <c r="B67" s="328">
        <v>40544</v>
      </c>
      <c r="C67" s="331"/>
      <c r="D67" s="331"/>
      <c r="E67" s="331"/>
      <c r="F67" s="331"/>
      <c r="G67" s="331"/>
      <c r="H67" s="331"/>
      <c r="I67" s="331">
        <v>1750</v>
      </c>
      <c r="J67" s="331">
        <v>770</v>
      </c>
      <c r="K67" s="331">
        <v>2520</v>
      </c>
      <c r="L67" s="331">
        <v>607</v>
      </c>
      <c r="M67" s="331">
        <v>327</v>
      </c>
      <c r="N67" s="331">
        <v>934</v>
      </c>
      <c r="O67" s="331">
        <v>4444</v>
      </c>
      <c r="P67" s="331">
        <v>3405</v>
      </c>
      <c r="Q67" s="331">
        <v>7849</v>
      </c>
      <c r="R67" s="331">
        <v>472</v>
      </c>
      <c r="S67" s="331">
        <v>385</v>
      </c>
      <c r="T67" s="331">
        <v>857</v>
      </c>
      <c r="U67" s="329">
        <v>7273</v>
      </c>
      <c r="V67" s="329">
        <v>4887</v>
      </c>
      <c r="W67" s="329">
        <v>12160</v>
      </c>
    </row>
    <row r="68" spans="2:23" hidden="1" outlineLevel="1" x14ac:dyDescent="0.25">
      <c r="B68" s="328">
        <v>40575</v>
      </c>
      <c r="C68" s="331"/>
      <c r="D68" s="331"/>
      <c r="E68" s="331"/>
      <c r="F68" s="331"/>
      <c r="G68" s="331"/>
      <c r="H68" s="331"/>
      <c r="I68" s="331">
        <v>1639</v>
      </c>
      <c r="J68" s="331">
        <v>645</v>
      </c>
      <c r="K68" s="331">
        <v>2284</v>
      </c>
      <c r="L68" s="331">
        <v>456</v>
      </c>
      <c r="M68" s="331">
        <v>290</v>
      </c>
      <c r="N68" s="331">
        <v>746</v>
      </c>
      <c r="O68" s="331">
        <v>3610</v>
      </c>
      <c r="P68" s="331">
        <v>2654</v>
      </c>
      <c r="Q68" s="331">
        <v>6264</v>
      </c>
      <c r="R68" s="331">
        <v>379</v>
      </c>
      <c r="S68" s="331">
        <v>331</v>
      </c>
      <c r="T68" s="331">
        <v>710</v>
      </c>
      <c r="U68" s="329">
        <v>6084</v>
      </c>
      <c r="V68" s="329">
        <v>3920</v>
      </c>
      <c r="W68" s="329">
        <v>10004</v>
      </c>
    </row>
    <row r="69" spans="2:23" hidden="1" outlineLevel="1" x14ac:dyDescent="0.25">
      <c r="B69" s="328">
        <v>40603</v>
      </c>
      <c r="C69" s="331"/>
      <c r="D69" s="331"/>
      <c r="E69" s="331"/>
      <c r="F69" s="331"/>
      <c r="G69" s="331"/>
      <c r="H69" s="331"/>
      <c r="I69" s="331">
        <v>1907</v>
      </c>
      <c r="J69" s="331">
        <v>705</v>
      </c>
      <c r="K69" s="331">
        <v>2612</v>
      </c>
      <c r="L69" s="331">
        <v>677</v>
      </c>
      <c r="M69" s="331">
        <v>376</v>
      </c>
      <c r="N69" s="331">
        <v>1053</v>
      </c>
      <c r="O69" s="331">
        <v>4242</v>
      </c>
      <c r="P69" s="331">
        <v>2789</v>
      </c>
      <c r="Q69" s="331">
        <v>7031</v>
      </c>
      <c r="R69" s="331">
        <v>524</v>
      </c>
      <c r="S69" s="331">
        <v>390</v>
      </c>
      <c r="T69" s="331">
        <v>914</v>
      </c>
      <c r="U69" s="329">
        <v>7350</v>
      </c>
      <c r="V69" s="329">
        <v>4260</v>
      </c>
      <c r="W69" s="329">
        <v>11610</v>
      </c>
    </row>
    <row r="70" spans="2:23" hidden="1" outlineLevel="1" x14ac:dyDescent="0.25">
      <c r="B70" s="328">
        <v>40634</v>
      </c>
      <c r="C70" s="331"/>
      <c r="D70" s="331"/>
      <c r="E70" s="331"/>
      <c r="F70" s="331"/>
      <c r="G70" s="331"/>
      <c r="H70" s="331"/>
      <c r="I70" s="331">
        <v>1367</v>
      </c>
      <c r="J70" s="331">
        <v>558</v>
      </c>
      <c r="K70" s="331">
        <v>1925</v>
      </c>
      <c r="L70" s="331">
        <v>556</v>
      </c>
      <c r="M70" s="331">
        <v>304</v>
      </c>
      <c r="N70" s="331">
        <v>860</v>
      </c>
      <c r="O70" s="331">
        <v>3162</v>
      </c>
      <c r="P70" s="331">
        <v>1969</v>
      </c>
      <c r="Q70" s="331">
        <v>5131</v>
      </c>
      <c r="R70" s="331">
        <v>332</v>
      </c>
      <c r="S70" s="331">
        <v>292</v>
      </c>
      <c r="T70" s="331">
        <v>624</v>
      </c>
      <c r="U70" s="329">
        <v>5417</v>
      </c>
      <c r="V70" s="329">
        <v>3123</v>
      </c>
      <c r="W70" s="329">
        <v>8540</v>
      </c>
    </row>
    <row r="71" spans="2:23" hidden="1" outlineLevel="1" x14ac:dyDescent="0.25">
      <c r="B71" s="328">
        <v>40664</v>
      </c>
      <c r="C71" s="331"/>
      <c r="D71" s="331"/>
      <c r="E71" s="331"/>
      <c r="F71" s="331"/>
      <c r="G71" s="331"/>
      <c r="H71" s="331"/>
      <c r="I71" s="331">
        <v>1645</v>
      </c>
      <c r="J71" s="331">
        <v>670</v>
      </c>
      <c r="K71" s="331">
        <v>2315</v>
      </c>
      <c r="L71" s="331">
        <v>608</v>
      </c>
      <c r="M71" s="331">
        <v>323</v>
      </c>
      <c r="N71" s="331">
        <v>931</v>
      </c>
      <c r="O71" s="331">
        <v>3770</v>
      </c>
      <c r="P71" s="331">
        <v>2512</v>
      </c>
      <c r="Q71" s="331">
        <v>6282</v>
      </c>
      <c r="R71" s="331">
        <v>376</v>
      </c>
      <c r="S71" s="331">
        <v>292</v>
      </c>
      <c r="T71" s="331">
        <v>668</v>
      </c>
      <c r="U71" s="329">
        <v>6399</v>
      </c>
      <c r="V71" s="329">
        <v>3797</v>
      </c>
      <c r="W71" s="329">
        <v>10196</v>
      </c>
    </row>
    <row r="72" spans="2:23" hidden="1" outlineLevel="1" x14ac:dyDescent="0.25">
      <c r="B72" s="328">
        <v>40695</v>
      </c>
      <c r="C72" s="331"/>
      <c r="D72" s="331"/>
      <c r="E72" s="331"/>
      <c r="F72" s="331"/>
      <c r="G72" s="331"/>
      <c r="H72" s="331"/>
      <c r="I72" s="331">
        <v>1541</v>
      </c>
      <c r="J72" s="331">
        <v>610</v>
      </c>
      <c r="K72" s="331">
        <v>2151</v>
      </c>
      <c r="L72" s="331">
        <v>522</v>
      </c>
      <c r="M72" s="331">
        <v>288</v>
      </c>
      <c r="N72" s="331">
        <v>810</v>
      </c>
      <c r="O72" s="331">
        <v>3223</v>
      </c>
      <c r="P72" s="331">
        <v>2318</v>
      </c>
      <c r="Q72" s="331">
        <v>5541</v>
      </c>
      <c r="R72" s="331">
        <v>328</v>
      </c>
      <c r="S72" s="331">
        <v>270</v>
      </c>
      <c r="T72" s="331">
        <v>598</v>
      </c>
      <c r="U72" s="329">
        <v>5614</v>
      </c>
      <c r="V72" s="329">
        <v>3486</v>
      </c>
      <c r="W72" s="329">
        <v>9100</v>
      </c>
    </row>
    <row r="73" spans="2:23" hidden="1" outlineLevel="1" x14ac:dyDescent="0.25">
      <c r="B73" s="328">
        <v>40725</v>
      </c>
      <c r="C73" s="331"/>
      <c r="D73" s="331"/>
      <c r="E73" s="331"/>
      <c r="F73" s="331"/>
      <c r="G73" s="331"/>
      <c r="H73" s="331"/>
      <c r="I73" s="331">
        <v>1883</v>
      </c>
      <c r="J73" s="331">
        <v>670</v>
      </c>
      <c r="K73" s="331">
        <v>2553</v>
      </c>
      <c r="L73" s="331">
        <v>539</v>
      </c>
      <c r="M73" s="331">
        <v>327</v>
      </c>
      <c r="N73" s="331">
        <v>866</v>
      </c>
      <c r="O73" s="331">
        <v>5198</v>
      </c>
      <c r="P73" s="331">
        <v>4905</v>
      </c>
      <c r="Q73" s="331">
        <v>10103</v>
      </c>
      <c r="R73" s="331">
        <v>420</v>
      </c>
      <c r="S73" s="331">
        <v>336</v>
      </c>
      <c r="T73" s="331">
        <v>756</v>
      </c>
      <c r="U73" s="329">
        <v>8040</v>
      </c>
      <c r="V73" s="329">
        <v>6238</v>
      </c>
      <c r="W73" s="329">
        <v>14278</v>
      </c>
    </row>
    <row r="74" spans="2:23" hidden="1" outlineLevel="1" x14ac:dyDescent="0.25">
      <c r="B74" s="328">
        <v>40756</v>
      </c>
      <c r="C74" s="331"/>
      <c r="D74" s="331"/>
      <c r="E74" s="331"/>
      <c r="F74" s="331"/>
      <c r="G74" s="331"/>
      <c r="H74" s="331"/>
      <c r="I74" s="331">
        <v>2034</v>
      </c>
      <c r="J74" s="331">
        <v>691</v>
      </c>
      <c r="K74" s="331">
        <v>2725</v>
      </c>
      <c r="L74" s="331">
        <v>573</v>
      </c>
      <c r="M74" s="331">
        <v>318</v>
      </c>
      <c r="N74" s="331">
        <v>891</v>
      </c>
      <c r="O74" s="331">
        <v>5030</v>
      </c>
      <c r="P74" s="331">
        <v>4099</v>
      </c>
      <c r="Q74" s="331">
        <v>9129</v>
      </c>
      <c r="R74" s="331">
        <v>421</v>
      </c>
      <c r="S74" s="331">
        <v>295</v>
      </c>
      <c r="T74" s="331">
        <v>716</v>
      </c>
      <c r="U74" s="329">
        <v>8058</v>
      </c>
      <c r="V74" s="329">
        <v>5403</v>
      </c>
      <c r="W74" s="329">
        <v>13461</v>
      </c>
    </row>
    <row r="75" spans="2:23" hidden="1" outlineLevel="1" x14ac:dyDescent="0.25">
      <c r="B75" s="328">
        <v>40787</v>
      </c>
      <c r="C75" s="331"/>
      <c r="D75" s="331"/>
      <c r="E75" s="331"/>
      <c r="F75" s="331"/>
      <c r="G75" s="331"/>
      <c r="H75" s="331"/>
      <c r="I75" s="331">
        <v>2199</v>
      </c>
      <c r="J75" s="331">
        <v>779</v>
      </c>
      <c r="K75" s="331">
        <v>2978</v>
      </c>
      <c r="L75" s="331">
        <v>494</v>
      </c>
      <c r="M75" s="331">
        <v>294</v>
      </c>
      <c r="N75" s="331">
        <v>788</v>
      </c>
      <c r="O75" s="331">
        <v>4057</v>
      </c>
      <c r="P75" s="331">
        <v>2913</v>
      </c>
      <c r="Q75" s="331">
        <v>6970</v>
      </c>
      <c r="R75" s="331">
        <v>329</v>
      </c>
      <c r="S75" s="331">
        <v>249</v>
      </c>
      <c r="T75" s="331">
        <v>578</v>
      </c>
      <c r="U75" s="329">
        <v>7079</v>
      </c>
      <c r="V75" s="329">
        <v>4235</v>
      </c>
      <c r="W75" s="329">
        <v>11314</v>
      </c>
    </row>
    <row r="76" spans="2:23" hidden="1" outlineLevel="1" x14ac:dyDescent="0.25">
      <c r="B76" s="328">
        <v>40817</v>
      </c>
      <c r="C76" s="331"/>
      <c r="D76" s="331"/>
      <c r="E76" s="331"/>
      <c r="F76" s="331"/>
      <c r="G76" s="331"/>
      <c r="H76" s="331"/>
      <c r="I76" s="331">
        <v>1749</v>
      </c>
      <c r="J76" s="331">
        <v>631</v>
      </c>
      <c r="K76" s="331">
        <v>2380</v>
      </c>
      <c r="L76" s="331">
        <v>544</v>
      </c>
      <c r="M76" s="331">
        <v>293</v>
      </c>
      <c r="N76" s="331">
        <v>837</v>
      </c>
      <c r="O76" s="331">
        <v>4305</v>
      </c>
      <c r="P76" s="331">
        <v>2830</v>
      </c>
      <c r="Q76" s="331">
        <v>7135</v>
      </c>
      <c r="R76" s="331">
        <v>416</v>
      </c>
      <c r="S76" s="331">
        <v>296</v>
      </c>
      <c r="T76" s="331">
        <v>712</v>
      </c>
      <c r="U76" s="329">
        <v>7014</v>
      </c>
      <c r="V76" s="329">
        <v>4050</v>
      </c>
      <c r="W76" s="329">
        <v>11064</v>
      </c>
    </row>
    <row r="77" spans="2:23" hidden="1" outlineLevel="1" x14ac:dyDescent="0.25">
      <c r="B77" s="328">
        <v>40848</v>
      </c>
      <c r="C77" s="331"/>
      <c r="D77" s="331"/>
      <c r="E77" s="331"/>
      <c r="F77" s="331"/>
      <c r="G77" s="331"/>
      <c r="H77" s="331"/>
      <c r="I77" s="331">
        <v>2318</v>
      </c>
      <c r="J77" s="331">
        <v>824</v>
      </c>
      <c r="K77" s="331">
        <v>3142</v>
      </c>
      <c r="L77" s="331">
        <v>633</v>
      </c>
      <c r="M77" s="331">
        <v>289</v>
      </c>
      <c r="N77" s="331">
        <v>922</v>
      </c>
      <c r="O77" s="331">
        <v>5748</v>
      </c>
      <c r="P77" s="331">
        <v>4581</v>
      </c>
      <c r="Q77" s="331">
        <v>10329</v>
      </c>
      <c r="R77" s="331">
        <v>483</v>
      </c>
      <c r="S77" s="331">
        <v>410</v>
      </c>
      <c r="T77" s="331">
        <v>893</v>
      </c>
      <c r="U77" s="329">
        <v>9182</v>
      </c>
      <c r="V77" s="329">
        <v>6104</v>
      </c>
      <c r="W77" s="329">
        <v>15286</v>
      </c>
    </row>
    <row r="78" spans="2:23" hidden="1" outlineLevel="1" x14ac:dyDescent="0.25">
      <c r="B78" s="328">
        <v>40878</v>
      </c>
      <c r="C78" s="331"/>
      <c r="D78" s="331"/>
      <c r="E78" s="331"/>
      <c r="F78" s="331"/>
      <c r="G78" s="331"/>
      <c r="H78" s="331"/>
      <c r="I78" s="331">
        <v>1756</v>
      </c>
      <c r="J78" s="331">
        <v>635</v>
      </c>
      <c r="K78" s="331">
        <v>2391</v>
      </c>
      <c r="L78" s="331">
        <v>452</v>
      </c>
      <c r="M78" s="331">
        <v>274</v>
      </c>
      <c r="N78" s="331">
        <v>726</v>
      </c>
      <c r="O78" s="331">
        <v>4752</v>
      </c>
      <c r="P78" s="331">
        <v>3756</v>
      </c>
      <c r="Q78" s="331">
        <v>8508</v>
      </c>
      <c r="R78" s="331">
        <v>369</v>
      </c>
      <c r="S78" s="331">
        <v>302</v>
      </c>
      <c r="T78" s="331">
        <v>671</v>
      </c>
      <c r="U78" s="329">
        <v>7329</v>
      </c>
      <c r="V78" s="329">
        <v>4967</v>
      </c>
      <c r="W78" s="329">
        <v>12296</v>
      </c>
    </row>
    <row r="79" spans="2:23" collapsed="1" x14ac:dyDescent="0.25">
      <c r="B79" s="330" t="s">
        <v>693</v>
      </c>
      <c r="C79" s="329" t="s">
        <v>781</v>
      </c>
      <c r="D79" s="329" t="s">
        <v>781</v>
      </c>
      <c r="E79" s="329" t="s">
        <v>781</v>
      </c>
      <c r="F79" s="329" t="s">
        <v>781</v>
      </c>
      <c r="G79" s="329" t="s">
        <v>781</v>
      </c>
      <c r="H79" s="329" t="s">
        <v>781</v>
      </c>
      <c r="I79" s="329">
        <v>1816</v>
      </c>
      <c r="J79" s="329">
        <v>682</v>
      </c>
      <c r="K79" s="329">
        <v>2498</v>
      </c>
      <c r="L79" s="329">
        <v>555</v>
      </c>
      <c r="M79" s="329">
        <v>309</v>
      </c>
      <c r="N79" s="329">
        <v>864</v>
      </c>
      <c r="O79" s="329">
        <v>4295</v>
      </c>
      <c r="P79" s="329">
        <v>3228</v>
      </c>
      <c r="Q79" s="329">
        <v>7523</v>
      </c>
      <c r="R79" s="329">
        <v>404</v>
      </c>
      <c r="S79" s="329">
        <v>321</v>
      </c>
      <c r="T79" s="329">
        <v>725</v>
      </c>
      <c r="U79" s="329">
        <v>7070</v>
      </c>
      <c r="V79" s="329">
        <v>4539</v>
      </c>
      <c r="W79" s="329">
        <v>11609</v>
      </c>
    </row>
    <row r="80" spans="2:23" hidden="1" outlineLevel="1" x14ac:dyDescent="0.25">
      <c r="B80" s="328">
        <v>40909</v>
      </c>
      <c r="C80" s="331"/>
      <c r="D80" s="331"/>
      <c r="E80" s="331"/>
      <c r="F80" s="331"/>
      <c r="G80" s="331"/>
      <c r="H80" s="331"/>
      <c r="I80" s="331">
        <v>1922</v>
      </c>
      <c r="J80" s="331">
        <v>715</v>
      </c>
      <c r="K80" s="331">
        <v>2637</v>
      </c>
      <c r="L80" s="331">
        <v>532</v>
      </c>
      <c r="M80" s="331">
        <v>285</v>
      </c>
      <c r="N80" s="331">
        <v>817</v>
      </c>
      <c r="O80" s="331">
        <v>5060</v>
      </c>
      <c r="P80" s="331">
        <v>3875</v>
      </c>
      <c r="Q80" s="331">
        <v>8935</v>
      </c>
      <c r="R80" s="331">
        <v>394</v>
      </c>
      <c r="S80" s="331">
        <v>294</v>
      </c>
      <c r="T80" s="331">
        <v>688</v>
      </c>
      <c r="U80" s="329">
        <v>7908</v>
      </c>
      <c r="V80" s="329">
        <v>5169</v>
      </c>
      <c r="W80" s="329">
        <v>13077</v>
      </c>
    </row>
    <row r="81" spans="2:23" hidden="1" outlineLevel="1" x14ac:dyDescent="0.25">
      <c r="B81" s="328">
        <v>40940</v>
      </c>
      <c r="C81" s="331"/>
      <c r="D81" s="331"/>
      <c r="E81" s="331"/>
      <c r="F81" s="331"/>
      <c r="G81" s="331"/>
      <c r="H81" s="331"/>
      <c r="I81" s="331">
        <v>1555</v>
      </c>
      <c r="J81" s="331">
        <v>583</v>
      </c>
      <c r="K81" s="331">
        <v>2138</v>
      </c>
      <c r="L81" s="331">
        <v>427</v>
      </c>
      <c r="M81" s="331">
        <v>251</v>
      </c>
      <c r="N81" s="331">
        <v>678</v>
      </c>
      <c r="O81" s="331">
        <v>4530</v>
      </c>
      <c r="P81" s="331">
        <v>2984</v>
      </c>
      <c r="Q81" s="331">
        <v>7514</v>
      </c>
      <c r="R81" s="331">
        <v>381</v>
      </c>
      <c r="S81" s="331">
        <v>310</v>
      </c>
      <c r="T81" s="331">
        <v>691</v>
      </c>
      <c r="U81" s="329">
        <v>6893</v>
      </c>
      <c r="V81" s="329">
        <v>4128</v>
      </c>
      <c r="W81" s="329">
        <v>11021</v>
      </c>
    </row>
    <row r="82" spans="2:23" hidden="1" outlineLevel="1" x14ac:dyDescent="0.25">
      <c r="B82" s="328">
        <v>40969</v>
      </c>
      <c r="C82" s="331"/>
      <c r="D82" s="331"/>
      <c r="E82" s="331"/>
      <c r="F82" s="331"/>
      <c r="G82" s="331"/>
      <c r="H82" s="331"/>
      <c r="I82" s="331">
        <v>1779</v>
      </c>
      <c r="J82" s="331">
        <v>635</v>
      </c>
      <c r="K82" s="331">
        <v>2414</v>
      </c>
      <c r="L82" s="331">
        <v>535</v>
      </c>
      <c r="M82" s="331">
        <v>279</v>
      </c>
      <c r="N82" s="331">
        <v>814</v>
      </c>
      <c r="O82" s="331">
        <v>4788</v>
      </c>
      <c r="P82" s="331">
        <v>3353</v>
      </c>
      <c r="Q82" s="331">
        <v>8141</v>
      </c>
      <c r="R82" s="331">
        <v>373</v>
      </c>
      <c r="S82" s="331">
        <v>316</v>
      </c>
      <c r="T82" s="331">
        <v>689</v>
      </c>
      <c r="U82" s="329">
        <v>7475</v>
      </c>
      <c r="V82" s="329">
        <v>4583</v>
      </c>
      <c r="W82" s="329">
        <v>12058</v>
      </c>
    </row>
    <row r="83" spans="2:23" hidden="1" outlineLevel="1" x14ac:dyDescent="0.25">
      <c r="B83" s="328">
        <v>41000</v>
      </c>
      <c r="C83" s="331"/>
      <c r="D83" s="331"/>
      <c r="E83" s="331"/>
      <c r="F83" s="331"/>
      <c r="G83" s="331"/>
      <c r="H83" s="331"/>
      <c r="I83" s="331">
        <v>1468</v>
      </c>
      <c r="J83" s="331">
        <v>586</v>
      </c>
      <c r="K83" s="331">
        <v>2054</v>
      </c>
      <c r="L83" s="331">
        <v>554</v>
      </c>
      <c r="M83" s="331">
        <v>275</v>
      </c>
      <c r="N83" s="331">
        <v>829</v>
      </c>
      <c r="O83" s="331">
        <v>3891</v>
      </c>
      <c r="P83" s="331">
        <v>2702</v>
      </c>
      <c r="Q83" s="331">
        <v>6593</v>
      </c>
      <c r="R83" s="331">
        <v>314</v>
      </c>
      <c r="S83" s="331">
        <v>259</v>
      </c>
      <c r="T83" s="331">
        <v>573</v>
      </c>
      <c r="U83" s="329">
        <v>6227</v>
      </c>
      <c r="V83" s="329">
        <v>3822</v>
      </c>
      <c r="W83" s="329">
        <v>10049</v>
      </c>
    </row>
    <row r="84" spans="2:23" hidden="1" outlineLevel="1" x14ac:dyDescent="0.25">
      <c r="B84" s="328">
        <v>41030</v>
      </c>
      <c r="C84" s="331"/>
      <c r="D84" s="331"/>
      <c r="E84" s="331"/>
      <c r="F84" s="331"/>
      <c r="G84" s="331"/>
      <c r="H84" s="331"/>
      <c r="I84" s="331">
        <v>1806</v>
      </c>
      <c r="J84" s="331">
        <v>642</v>
      </c>
      <c r="K84" s="331">
        <v>2448</v>
      </c>
      <c r="L84" s="331">
        <v>664</v>
      </c>
      <c r="M84" s="331">
        <v>381</v>
      </c>
      <c r="N84" s="331">
        <v>1045</v>
      </c>
      <c r="O84" s="331">
        <v>4149</v>
      </c>
      <c r="P84" s="331">
        <v>3154</v>
      </c>
      <c r="Q84" s="331">
        <v>7303</v>
      </c>
      <c r="R84" s="331">
        <v>316</v>
      </c>
      <c r="S84" s="331">
        <v>258</v>
      </c>
      <c r="T84" s="331">
        <v>574</v>
      </c>
      <c r="U84" s="329">
        <v>6935</v>
      </c>
      <c r="V84" s="329">
        <v>4435</v>
      </c>
      <c r="W84" s="329">
        <v>11370</v>
      </c>
    </row>
    <row r="85" spans="2:23" hidden="1" outlineLevel="1" x14ac:dyDescent="0.25">
      <c r="B85" s="328">
        <v>41061</v>
      </c>
      <c r="C85" s="331"/>
      <c r="D85" s="331"/>
      <c r="E85" s="331"/>
      <c r="F85" s="331"/>
      <c r="G85" s="331"/>
      <c r="H85" s="331"/>
      <c r="I85" s="331">
        <v>1631</v>
      </c>
      <c r="J85" s="331">
        <v>608</v>
      </c>
      <c r="K85" s="331">
        <v>2239</v>
      </c>
      <c r="L85" s="331">
        <v>624</v>
      </c>
      <c r="M85" s="331">
        <v>380</v>
      </c>
      <c r="N85" s="331">
        <v>1004</v>
      </c>
      <c r="O85" s="331">
        <v>3789</v>
      </c>
      <c r="P85" s="331">
        <v>3089</v>
      </c>
      <c r="Q85" s="331">
        <v>6878</v>
      </c>
      <c r="R85" s="331">
        <v>246</v>
      </c>
      <c r="S85" s="331">
        <v>228</v>
      </c>
      <c r="T85" s="331">
        <v>474</v>
      </c>
      <c r="U85" s="329">
        <v>6290</v>
      </c>
      <c r="V85" s="329">
        <v>4305</v>
      </c>
      <c r="W85" s="329">
        <v>10595</v>
      </c>
    </row>
    <row r="86" spans="2:23" hidden="1" outlineLevel="1" x14ac:dyDescent="0.25">
      <c r="B86" s="328">
        <v>41091</v>
      </c>
      <c r="C86" s="331"/>
      <c r="D86" s="331"/>
      <c r="E86" s="331"/>
      <c r="F86" s="331"/>
      <c r="G86" s="331"/>
      <c r="H86" s="331"/>
      <c r="I86" s="331">
        <v>1930</v>
      </c>
      <c r="J86" s="331">
        <v>640</v>
      </c>
      <c r="K86" s="331">
        <v>2570</v>
      </c>
      <c r="L86" s="331">
        <v>589</v>
      </c>
      <c r="M86" s="331">
        <v>360</v>
      </c>
      <c r="N86" s="331">
        <v>949</v>
      </c>
      <c r="O86" s="331">
        <v>4865</v>
      </c>
      <c r="P86" s="331">
        <v>3765</v>
      </c>
      <c r="Q86" s="331">
        <v>8630</v>
      </c>
      <c r="R86" s="331">
        <v>353</v>
      </c>
      <c r="S86" s="331">
        <v>257</v>
      </c>
      <c r="T86" s="331">
        <v>610</v>
      </c>
      <c r="U86" s="329">
        <v>7737</v>
      </c>
      <c r="V86" s="329">
        <v>5022</v>
      </c>
      <c r="W86" s="329">
        <v>12759</v>
      </c>
    </row>
    <row r="87" spans="2:23" hidden="1" outlineLevel="1" x14ac:dyDescent="0.25">
      <c r="B87" s="328">
        <v>41122</v>
      </c>
      <c r="C87" s="331"/>
      <c r="D87" s="331"/>
      <c r="E87" s="331"/>
      <c r="F87" s="331"/>
      <c r="G87" s="331"/>
      <c r="H87" s="331"/>
      <c r="I87" s="331">
        <v>1948</v>
      </c>
      <c r="J87" s="331">
        <v>700</v>
      </c>
      <c r="K87" s="331">
        <v>2648</v>
      </c>
      <c r="L87" s="331">
        <v>677</v>
      </c>
      <c r="M87" s="331">
        <v>388</v>
      </c>
      <c r="N87" s="331">
        <v>1065</v>
      </c>
      <c r="O87" s="331">
        <v>8973</v>
      </c>
      <c r="P87" s="331">
        <v>7408</v>
      </c>
      <c r="Q87" s="331">
        <v>16381</v>
      </c>
      <c r="R87" s="331">
        <v>355</v>
      </c>
      <c r="S87" s="331">
        <v>270</v>
      </c>
      <c r="T87" s="331">
        <v>625</v>
      </c>
      <c r="U87" s="329">
        <v>11953</v>
      </c>
      <c r="V87" s="329">
        <v>8766</v>
      </c>
      <c r="W87" s="329">
        <v>20719</v>
      </c>
    </row>
    <row r="88" spans="2:23" hidden="1" outlineLevel="1" x14ac:dyDescent="0.25">
      <c r="B88" s="328">
        <v>41153</v>
      </c>
      <c r="C88" s="331"/>
      <c r="D88" s="331"/>
      <c r="E88" s="331"/>
      <c r="F88" s="331"/>
      <c r="G88" s="331"/>
      <c r="H88" s="331"/>
      <c r="I88" s="331">
        <v>1634</v>
      </c>
      <c r="J88" s="331">
        <v>597</v>
      </c>
      <c r="K88" s="331">
        <v>2231</v>
      </c>
      <c r="L88" s="331">
        <v>421</v>
      </c>
      <c r="M88" s="331">
        <v>264</v>
      </c>
      <c r="N88" s="331">
        <v>685</v>
      </c>
      <c r="O88" s="331">
        <v>10421</v>
      </c>
      <c r="P88" s="331">
        <v>7599</v>
      </c>
      <c r="Q88" s="331">
        <v>18020</v>
      </c>
      <c r="R88" s="331">
        <v>251</v>
      </c>
      <c r="S88" s="331">
        <v>203</v>
      </c>
      <c r="T88" s="331">
        <v>454</v>
      </c>
      <c r="U88" s="329">
        <v>12727</v>
      </c>
      <c r="V88" s="329">
        <v>8663</v>
      </c>
      <c r="W88" s="329">
        <v>21390</v>
      </c>
    </row>
    <row r="89" spans="2:23" hidden="1" outlineLevel="1" x14ac:dyDescent="0.25">
      <c r="B89" s="328">
        <v>41183</v>
      </c>
      <c r="C89" s="331"/>
      <c r="D89" s="331"/>
      <c r="E89" s="331"/>
      <c r="F89" s="331"/>
      <c r="G89" s="331"/>
      <c r="H89" s="331"/>
      <c r="I89" s="331">
        <v>2284</v>
      </c>
      <c r="J89" s="331">
        <v>745</v>
      </c>
      <c r="K89" s="331">
        <v>3029</v>
      </c>
      <c r="L89" s="331">
        <v>602</v>
      </c>
      <c r="M89" s="331">
        <v>364</v>
      </c>
      <c r="N89" s="331">
        <v>966</v>
      </c>
      <c r="O89" s="331">
        <v>6173</v>
      </c>
      <c r="P89" s="331">
        <v>4643</v>
      </c>
      <c r="Q89" s="331">
        <v>10816</v>
      </c>
      <c r="R89" s="331">
        <v>342</v>
      </c>
      <c r="S89" s="331">
        <v>282</v>
      </c>
      <c r="T89" s="331">
        <v>624</v>
      </c>
      <c r="U89" s="329">
        <v>9401</v>
      </c>
      <c r="V89" s="329">
        <v>6034</v>
      </c>
      <c r="W89" s="329">
        <v>15435</v>
      </c>
    </row>
    <row r="90" spans="2:23" hidden="1" outlineLevel="1" x14ac:dyDescent="0.25">
      <c r="B90" s="328">
        <v>41214</v>
      </c>
      <c r="C90" s="331"/>
      <c r="D90" s="331"/>
      <c r="E90" s="331"/>
      <c r="F90" s="331"/>
      <c r="G90" s="331"/>
      <c r="H90" s="331"/>
      <c r="I90" s="331">
        <v>2021</v>
      </c>
      <c r="J90" s="331">
        <v>667</v>
      </c>
      <c r="K90" s="331">
        <v>2688</v>
      </c>
      <c r="L90" s="331">
        <v>514</v>
      </c>
      <c r="M90" s="331">
        <v>273</v>
      </c>
      <c r="N90" s="331">
        <v>787</v>
      </c>
      <c r="O90" s="331">
        <v>3890</v>
      </c>
      <c r="P90" s="331">
        <v>3976</v>
      </c>
      <c r="Q90" s="331">
        <v>7866</v>
      </c>
      <c r="R90" s="331">
        <v>287</v>
      </c>
      <c r="S90" s="331">
        <v>230</v>
      </c>
      <c r="T90" s="331">
        <v>517</v>
      </c>
      <c r="U90" s="329">
        <v>6712</v>
      </c>
      <c r="V90" s="329">
        <v>5146</v>
      </c>
      <c r="W90" s="329">
        <v>11858</v>
      </c>
    </row>
    <row r="91" spans="2:23" hidden="1" outlineLevel="1" x14ac:dyDescent="0.25">
      <c r="B91" s="328">
        <v>41244</v>
      </c>
      <c r="C91" s="331"/>
      <c r="D91" s="331"/>
      <c r="E91" s="331"/>
      <c r="F91" s="331"/>
      <c r="G91" s="331"/>
      <c r="H91" s="331"/>
      <c r="I91" s="331">
        <v>1730</v>
      </c>
      <c r="J91" s="331">
        <v>543</v>
      </c>
      <c r="K91" s="331">
        <v>2273</v>
      </c>
      <c r="L91" s="331">
        <v>452</v>
      </c>
      <c r="M91" s="331">
        <v>289</v>
      </c>
      <c r="N91" s="331">
        <v>741</v>
      </c>
      <c r="O91" s="331">
        <v>3040</v>
      </c>
      <c r="P91" s="331">
        <v>3252</v>
      </c>
      <c r="Q91" s="331">
        <v>6292</v>
      </c>
      <c r="R91" s="331">
        <v>274</v>
      </c>
      <c r="S91" s="331">
        <v>221</v>
      </c>
      <c r="T91" s="331">
        <v>495</v>
      </c>
      <c r="U91" s="329">
        <v>5496</v>
      </c>
      <c r="V91" s="329">
        <v>4305</v>
      </c>
      <c r="W91" s="329">
        <v>9801</v>
      </c>
    </row>
    <row r="92" spans="2:23" collapsed="1" x14ac:dyDescent="0.25">
      <c r="B92" s="330" t="s">
        <v>694</v>
      </c>
      <c r="C92" s="329" t="s">
        <v>781</v>
      </c>
      <c r="D92" s="329" t="s">
        <v>781</v>
      </c>
      <c r="E92" s="329" t="s">
        <v>781</v>
      </c>
      <c r="F92" s="329" t="s">
        <v>781</v>
      </c>
      <c r="G92" s="329" t="s">
        <v>781</v>
      </c>
      <c r="H92" s="329" t="s">
        <v>781</v>
      </c>
      <c r="I92" s="329">
        <v>1809</v>
      </c>
      <c r="J92" s="329">
        <v>638</v>
      </c>
      <c r="K92" s="329">
        <v>2447</v>
      </c>
      <c r="L92" s="329">
        <v>549</v>
      </c>
      <c r="M92" s="329">
        <v>316</v>
      </c>
      <c r="N92" s="329">
        <v>865</v>
      </c>
      <c r="O92" s="329">
        <v>5297</v>
      </c>
      <c r="P92" s="329">
        <v>4150</v>
      </c>
      <c r="Q92" s="329">
        <v>9447</v>
      </c>
      <c r="R92" s="329">
        <v>324</v>
      </c>
      <c r="S92" s="329">
        <v>261</v>
      </c>
      <c r="T92" s="329">
        <v>585</v>
      </c>
      <c r="U92" s="329">
        <v>7980</v>
      </c>
      <c r="V92" s="329">
        <v>5365</v>
      </c>
      <c r="W92" s="329">
        <v>13344</v>
      </c>
    </row>
    <row r="93" spans="2:23" hidden="1" outlineLevel="1" x14ac:dyDescent="0.25">
      <c r="B93" s="328">
        <v>41275</v>
      </c>
      <c r="C93" s="331"/>
      <c r="D93" s="331"/>
      <c r="E93" s="331"/>
      <c r="F93" s="331"/>
      <c r="G93" s="331"/>
      <c r="H93" s="331"/>
      <c r="I93" s="331">
        <v>2059</v>
      </c>
      <c r="J93" s="331">
        <v>694</v>
      </c>
      <c r="K93" s="331">
        <v>2753</v>
      </c>
      <c r="L93" s="331">
        <v>554</v>
      </c>
      <c r="M93" s="331">
        <v>313</v>
      </c>
      <c r="N93" s="331">
        <v>867</v>
      </c>
      <c r="O93" s="331">
        <v>3488</v>
      </c>
      <c r="P93" s="331">
        <v>2876</v>
      </c>
      <c r="Q93" s="331">
        <v>6364</v>
      </c>
      <c r="R93" s="331">
        <v>290</v>
      </c>
      <c r="S93" s="331">
        <v>232</v>
      </c>
      <c r="T93" s="331">
        <v>522</v>
      </c>
      <c r="U93" s="329">
        <v>6391</v>
      </c>
      <c r="V93" s="329">
        <v>4115</v>
      </c>
      <c r="W93" s="329">
        <v>10506</v>
      </c>
    </row>
    <row r="94" spans="2:23" hidden="1" outlineLevel="1" x14ac:dyDescent="0.25">
      <c r="B94" s="328">
        <v>41306</v>
      </c>
      <c r="C94" s="331"/>
      <c r="D94" s="331"/>
      <c r="E94" s="331"/>
      <c r="F94" s="331"/>
      <c r="G94" s="331"/>
      <c r="H94" s="331"/>
      <c r="I94" s="331">
        <v>1485</v>
      </c>
      <c r="J94" s="331">
        <v>535</v>
      </c>
      <c r="K94" s="331">
        <v>2020</v>
      </c>
      <c r="L94" s="331">
        <v>459</v>
      </c>
      <c r="M94" s="331">
        <v>245</v>
      </c>
      <c r="N94" s="331">
        <v>704</v>
      </c>
      <c r="O94" s="331">
        <v>2527</v>
      </c>
      <c r="P94" s="331">
        <v>2274</v>
      </c>
      <c r="Q94" s="331">
        <v>4801</v>
      </c>
      <c r="R94" s="331">
        <v>217</v>
      </c>
      <c r="S94" s="331">
        <v>209</v>
      </c>
      <c r="T94" s="331">
        <v>426</v>
      </c>
      <c r="U94" s="329">
        <v>4688</v>
      </c>
      <c r="V94" s="329">
        <v>3263</v>
      </c>
      <c r="W94" s="329">
        <v>7951</v>
      </c>
    </row>
    <row r="95" spans="2:23" hidden="1" outlineLevel="1" x14ac:dyDescent="0.25">
      <c r="B95" s="328">
        <v>41334</v>
      </c>
      <c r="C95" s="331"/>
      <c r="D95" s="331"/>
      <c r="E95" s="331"/>
      <c r="F95" s="331"/>
      <c r="G95" s="331"/>
      <c r="H95" s="331"/>
      <c r="I95" s="331">
        <v>1726</v>
      </c>
      <c r="J95" s="331">
        <v>522</v>
      </c>
      <c r="K95" s="331">
        <v>2248</v>
      </c>
      <c r="L95" s="331">
        <v>512</v>
      </c>
      <c r="M95" s="331">
        <v>297</v>
      </c>
      <c r="N95" s="331">
        <v>809</v>
      </c>
      <c r="O95" s="331">
        <v>2713</v>
      </c>
      <c r="P95" s="331">
        <v>2211</v>
      </c>
      <c r="Q95" s="331">
        <v>4924</v>
      </c>
      <c r="R95" s="331">
        <v>278</v>
      </c>
      <c r="S95" s="331">
        <v>228</v>
      </c>
      <c r="T95" s="331">
        <v>506</v>
      </c>
      <c r="U95" s="329">
        <v>5229</v>
      </c>
      <c r="V95" s="329">
        <v>3258</v>
      </c>
      <c r="W95" s="329">
        <v>8487</v>
      </c>
    </row>
    <row r="96" spans="2:23" hidden="1" outlineLevel="1" x14ac:dyDescent="0.25">
      <c r="B96" s="328">
        <v>41365</v>
      </c>
      <c r="C96" s="331"/>
      <c r="D96" s="331"/>
      <c r="E96" s="331"/>
      <c r="F96" s="331"/>
      <c r="G96" s="331"/>
      <c r="H96" s="331"/>
      <c r="I96" s="331">
        <v>1696</v>
      </c>
      <c r="J96" s="331">
        <v>572</v>
      </c>
      <c r="K96" s="331">
        <v>2268</v>
      </c>
      <c r="L96" s="331">
        <v>542</v>
      </c>
      <c r="M96" s="331">
        <v>269</v>
      </c>
      <c r="N96" s="331">
        <v>811</v>
      </c>
      <c r="O96" s="331">
        <v>2708</v>
      </c>
      <c r="P96" s="331">
        <v>2634</v>
      </c>
      <c r="Q96" s="331">
        <v>5342</v>
      </c>
      <c r="R96" s="331">
        <v>300</v>
      </c>
      <c r="S96" s="331">
        <v>214</v>
      </c>
      <c r="T96" s="331">
        <v>514</v>
      </c>
      <c r="U96" s="329">
        <v>5246</v>
      </c>
      <c r="V96" s="329">
        <v>3689</v>
      </c>
      <c r="W96" s="329">
        <v>8935</v>
      </c>
    </row>
    <row r="97" spans="2:23" hidden="1" outlineLevel="1" x14ac:dyDescent="0.25">
      <c r="B97" s="328">
        <v>41395</v>
      </c>
      <c r="C97" s="331"/>
      <c r="D97" s="331"/>
      <c r="E97" s="331"/>
      <c r="F97" s="331"/>
      <c r="G97" s="331"/>
      <c r="H97" s="331"/>
      <c r="I97" s="331">
        <v>1595</v>
      </c>
      <c r="J97" s="331">
        <v>550</v>
      </c>
      <c r="K97" s="331">
        <v>2145</v>
      </c>
      <c r="L97" s="331">
        <v>471</v>
      </c>
      <c r="M97" s="331">
        <v>277</v>
      </c>
      <c r="N97" s="331">
        <v>748</v>
      </c>
      <c r="O97" s="331">
        <v>2545</v>
      </c>
      <c r="P97" s="331">
        <v>2948</v>
      </c>
      <c r="Q97" s="331">
        <v>5493</v>
      </c>
      <c r="R97" s="331">
        <v>268</v>
      </c>
      <c r="S97" s="331">
        <v>227</v>
      </c>
      <c r="T97" s="331">
        <v>495</v>
      </c>
      <c r="U97" s="329">
        <v>4879</v>
      </c>
      <c r="V97" s="329">
        <v>4002</v>
      </c>
      <c r="W97" s="329">
        <v>8881</v>
      </c>
    </row>
    <row r="98" spans="2:23" hidden="1" outlineLevel="1" x14ac:dyDescent="0.25">
      <c r="B98" s="328">
        <v>41426</v>
      </c>
      <c r="C98" s="331"/>
      <c r="D98" s="331"/>
      <c r="E98" s="331"/>
      <c r="F98" s="331"/>
      <c r="G98" s="331"/>
      <c r="H98" s="331"/>
      <c r="I98" s="331">
        <v>1552</v>
      </c>
      <c r="J98" s="331">
        <v>503</v>
      </c>
      <c r="K98" s="331">
        <v>2055</v>
      </c>
      <c r="L98" s="331">
        <v>488</v>
      </c>
      <c r="M98" s="331">
        <v>261</v>
      </c>
      <c r="N98" s="331">
        <v>749</v>
      </c>
      <c r="O98" s="331">
        <v>2446</v>
      </c>
      <c r="P98" s="331">
        <v>2553</v>
      </c>
      <c r="Q98" s="331">
        <v>4999</v>
      </c>
      <c r="R98" s="331">
        <v>266</v>
      </c>
      <c r="S98" s="331">
        <v>221</v>
      </c>
      <c r="T98" s="331">
        <v>487</v>
      </c>
      <c r="U98" s="329">
        <v>4752</v>
      </c>
      <c r="V98" s="329">
        <v>3538</v>
      </c>
      <c r="W98" s="329">
        <v>8290</v>
      </c>
    </row>
    <row r="99" spans="2:23" hidden="1" outlineLevel="1" x14ac:dyDescent="0.25">
      <c r="B99" s="328">
        <v>41456</v>
      </c>
      <c r="C99" s="331"/>
      <c r="D99" s="331"/>
      <c r="E99" s="331"/>
      <c r="F99" s="331"/>
      <c r="G99" s="331"/>
      <c r="H99" s="331"/>
      <c r="I99" s="331">
        <v>1978</v>
      </c>
      <c r="J99" s="331">
        <v>592</v>
      </c>
      <c r="K99" s="331">
        <v>2570</v>
      </c>
      <c r="L99" s="331">
        <v>484</v>
      </c>
      <c r="M99" s="331">
        <v>273</v>
      </c>
      <c r="N99" s="331">
        <v>757</v>
      </c>
      <c r="O99" s="331">
        <v>2734</v>
      </c>
      <c r="P99" s="331">
        <v>2580</v>
      </c>
      <c r="Q99" s="331">
        <v>5314</v>
      </c>
      <c r="R99" s="331">
        <v>288</v>
      </c>
      <c r="S99" s="331">
        <v>228</v>
      </c>
      <c r="T99" s="331">
        <v>516</v>
      </c>
      <c r="U99" s="329">
        <v>5484</v>
      </c>
      <c r="V99" s="329">
        <v>3673</v>
      </c>
      <c r="W99" s="329">
        <v>9157</v>
      </c>
    </row>
    <row r="100" spans="2:23" hidden="1" outlineLevel="1" x14ac:dyDescent="0.25">
      <c r="B100" s="328">
        <v>41487</v>
      </c>
      <c r="C100" s="331"/>
      <c r="D100" s="331"/>
      <c r="E100" s="331"/>
      <c r="F100" s="331"/>
      <c r="G100" s="331"/>
      <c r="H100" s="331"/>
      <c r="I100" s="331">
        <v>2083</v>
      </c>
      <c r="J100" s="331">
        <v>695</v>
      </c>
      <c r="K100" s="331">
        <v>2778</v>
      </c>
      <c r="L100" s="331">
        <v>508</v>
      </c>
      <c r="M100" s="331">
        <v>246</v>
      </c>
      <c r="N100" s="331">
        <v>754</v>
      </c>
      <c r="O100" s="331">
        <v>3057</v>
      </c>
      <c r="P100" s="331">
        <v>2657</v>
      </c>
      <c r="Q100" s="331">
        <v>5714</v>
      </c>
      <c r="R100" s="331">
        <v>329</v>
      </c>
      <c r="S100" s="331">
        <v>273</v>
      </c>
      <c r="T100" s="331">
        <v>602</v>
      </c>
      <c r="U100" s="329">
        <v>5977</v>
      </c>
      <c r="V100" s="329">
        <v>3871</v>
      </c>
      <c r="W100" s="329">
        <v>9848</v>
      </c>
    </row>
    <row r="101" spans="2:23" hidden="1" outlineLevel="1" x14ac:dyDescent="0.25">
      <c r="B101" s="328">
        <v>41518</v>
      </c>
      <c r="C101" s="331"/>
      <c r="D101" s="331"/>
      <c r="E101" s="331"/>
      <c r="F101" s="331"/>
      <c r="G101" s="331"/>
      <c r="H101" s="331"/>
      <c r="I101" s="331">
        <v>1961</v>
      </c>
      <c r="J101" s="331">
        <v>604</v>
      </c>
      <c r="K101" s="331">
        <v>2565</v>
      </c>
      <c r="L101" s="331">
        <v>436</v>
      </c>
      <c r="M101" s="331">
        <v>217</v>
      </c>
      <c r="N101" s="331">
        <v>653</v>
      </c>
      <c r="O101" s="331">
        <v>2703</v>
      </c>
      <c r="P101" s="331">
        <v>2501</v>
      </c>
      <c r="Q101" s="331">
        <v>5204</v>
      </c>
      <c r="R101" s="331">
        <v>214</v>
      </c>
      <c r="S101" s="331">
        <v>224</v>
      </c>
      <c r="T101" s="331">
        <v>438</v>
      </c>
      <c r="U101" s="329">
        <v>5314</v>
      </c>
      <c r="V101" s="329">
        <v>3546</v>
      </c>
      <c r="W101" s="329">
        <v>8860</v>
      </c>
    </row>
    <row r="102" spans="2:23" hidden="1" outlineLevel="1" x14ac:dyDescent="0.25">
      <c r="B102" s="328">
        <v>41548</v>
      </c>
      <c r="C102" s="331"/>
      <c r="D102" s="331"/>
      <c r="E102" s="331"/>
      <c r="F102" s="331"/>
      <c r="G102" s="331"/>
      <c r="H102" s="331"/>
      <c r="I102" s="331">
        <v>2200</v>
      </c>
      <c r="J102" s="331">
        <v>630</v>
      </c>
      <c r="K102" s="331">
        <v>2830</v>
      </c>
      <c r="L102" s="331">
        <v>476</v>
      </c>
      <c r="M102" s="331">
        <v>290</v>
      </c>
      <c r="N102" s="331">
        <v>766</v>
      </c>
      <c r="O102" s="331">
        <v>3609</v>
      </c>
      <c r="P102" s="331">
        <v>3178</v>
      </c>
      <c r="Q102" s="331">
        <v>6787</v>
      </c>
      <c r="R102" s="331">
        <v>305</v>
      </c>
      <c r="S102" s="331">
        <v>252</v>
      </c>
      <c r="T102" s="331">
        <v>557</v>
      </c>
      <c r="U102" s="329">
        <v>6590</v>
      </c>
      <c r="V102" s="329">
        <v>4350</v>
      </c>
      <c r="W102" s="329">
        <v>10940</v>
      </c>
    </row>
    <row r="103" spans="2:23" hidden="1" outlineLevel="1" x14ac:dyDescent="0.25">
      <c r="B103" s="328">
        <v>41579</v>
      </c>
      <c r="C103" s="331"/>
      <c r="D103" s="331"/>
      <c r="E103" s="331"/>
      <c r="F103" s="331"/>
      <c r="G103" s="331"/>
      <c r="H103" s="331"/>
      <c r="I103" s="331">
        <v>1534</v>
      </c>
      <c r="J103" s="331">
        <v>407</v>
      </c>
      <c r="K103" s="331">
        <v>1941</v>
      </c>
      <c r="L103" s="331">
        <v>318</v>
      </c>
      <c r="M103" s="331">
        <v>183</v>
      </c>
      <c r="N103" s="331">
        <v>501</v>
      </c>
      <c r="O103" s="331">
        <v>2269</v>
      </c>
      <c r="P103" s="331">
        <v>1993</v>
      </c>
      <c r="Q103" s="331">
        <v>4262</v>
      </c>
      <c r="R103" s="331">
        <v>237</v>
      </c>
      <c r="S103" s="331">
        <v>194</v>
      </c>
      <c r="T103" s="331">
        <v>431</v>
      </c>
      <c r="U103" s="329">
        <v>4358</v>
      </c>
      <c r="V103" s="329">
        <v>2777</v>
      </c>
      <c r="W103" s="329">
        <v>7135</v>
      </c>
    </row>
    <row r="104" spans="2:23" hidden="1" outlineLevel="1" x14ac:dyDescent="0.25">
      <c r="B104" s="328">
        <v>41609</v>
      </c>
      <c r="C104" s="331"/>
      <c r="D104" s="331"/>
      <c r="E104" s="331"/>
      <c r="F104" s="331"/>
      <c r="G104" s="331"/>
      <c r="H104" s="331"/>
      <c r="I104" s="331">
        <v>2568</v>
      </c>
      <c r="J104" s="331">
        <v>738</v>
      </c>
      <c r="K104" s="331">
        <v>3306</v>
      </c>
      <c r="L104" s="331">
        <v>552</v>
      </c>
      <c r="M104" s="331">
        <v>343</v>
      </c>
      <c r="N104" s="331">
        <v>895</v>
      </c>
      <c r="O104" s="331">
        <v>3426</v>
      </c>
      <c r="P104" s="331">
        <v>2937</v>
      </c>
      <c r="Q104" s="331">
        <v>6363</v>
      </c>
      <c r="R104" s="331">
        <v>294</v>
      </c>
      <c r="S104" s="331">
        <v>260</v>
      </c>
      <c r="T104" s="331">
        <v>554</v>
      </c>
      <c r="U104" s="329">
        <v>6840</v>
      </c>
      <c r="V104" s="329">
        <v>4278</v>
      </c>
      <c r="W104" s="329">
        <v>11118</v>
      </c>
    </row>
    <row r="105" spans="2:23" collapsed="1" x14ac:dyDescent="0.25">
      <c r="B105" s="330" t="s">
        <v>695</v>
      </c>
      <c r="C105" s="329" t="s">
        <v>781</v>
      </c>
      <c r="D105" s="329" t="s">
        <v>781</v>
      </c>
      <c r="E105" s="329" t="s">
        <v>781</v>
      </c>
      <c r="F105" s="329" t="s">
        <v>781</v>
      </c>
      <c r="G105" s="329" t="s">
        <v>781</v>
      </c>
      <c r="H105" s="329" t="s">
        <v>781</v>
      </c>
      <c r="I105" s="329">
        <v>1870</v>
      </c>
      <c r="J105" s="329">
        <v>587</v>
      </c>
      <c r="K105" s="329">
        <v>2457</v>
      </c>
      <c r="L105" s="329">
        <v>483</v>
      </c>
      <c r="M105" s="329">
        <v>268</v>
      </c>
      <c r="N105" s="329">
        <v>751</v>
      </c>
      <c r="O105" s="329">
        <v>2852</v>
      </c>
      <c r="P105" s="329">
        <v>2612</v>
      </c>
      <c r="Q105" s="329">
        <v>5464</v>
      </c>
      <c r="R105" s="329">
        <v>274</v>
      </c>
      <c r="S105" s="329">
        <v>230</v>
      </c>
      <c r="T105" s="329">
        <v>504</v>
      </c>
      <c r="U105" s="329">
        <v>5479</v>
      </c>
      <c r="V105" s="329">
        <v>3697</v>
      </c>
      <c r="W105" s="329">
        <v>9176</v>
      </c>
    </row>
    <row r="106" spans="2:23" hidden="1" outlineLevel="1" x14ac:dyDescent="0.25">
      <c r="B106" s="328">
        <v>41640</v>
      </c>
      <c r="C106" s="331"/>
      <c r="D106" s="331"/>
      <c r="E106" s="331"/>
      <c r="F106" s="331"/>
      <c r="G106" s="331"/>
      <c r="H106" s="331"/>
      <c r="I106" s="331">
        <v>2156</v>
      </c>
      <c r="J106" s="331">
        <v>697</v>
      </c>
      <c r="K106" s="331">
        <v>2853</v>
      </c>
      <c r="L106" s="331">
        <v>499</v>
      </c>
      <c r="M106" s="331">
        <v>271</v>
      </c>
      <c r="N106" s="331">
        <v>770</v>
      </c>
      <c r="O106" s="331">
        <v>3023</v>
      </c>
      <c r="P106" s="331">
        <v>2752</v>
      </c>
      <c r="Q106" s="331">
        <v>5775</v>
      </c>
      <c r="R106" s="331">
        <v>326</v>
      </c>
      <c r="S106" s="331">
        <v>256</v>
      </c>
      <c r="T106" s="331">
        <v>582</v>
      </c>
      <c r="U106" s="329">
        <v>6004</v>
      </c>
      <c r="V106" s="329">
        <v>3976</v>
      </c>
      <c r="W106" s="329">
        <v>9980</v>
      </c>
    </row>
    <row r="107" spans="2:23" hidden="1" outlineLevel="1" x14ac:dyDescent="0.25">
      <c r="B107" s="328">
        <v>41671</v>
      </c>
      <c r="C107" s="331"/>
      <c r="D107" s="331"/>
      <c r="E107" s="331"/>
      <c r="F107" s="331"/>
      <c r="G107" s="331"/>
      <c r="H107" s="331"/>
      <c r="I107" s="331">
        <v>1795</v>
      </c>
      <c r="J107" s="331">
        <v>577</v>
      </c>
      <c r="K107" s="331">
        <v>2372</v>
      </c>
      <c r="L107" s="331">
        <v>453</v>
      </c>
      <c r="M107" s="331">
        <v>238</v>
      </c>
      <c r="N107" s="331">
        <v>691</v>
      </c>
      <c r="O107" s="331">
        <v>2452</v>
      </c>
      <c r="P107" s="331">
        <v>2289</v>
      </c>
      <c r="Q107" s="331">
        <v>4741</v>
      </c>
      <c r="R107" s="331">
        <v>229</v>
      </c>
      <c r="S107" s="331">
        <v>192</v>
      </c>
      <c r="T107" s="331">
        <v>421</v>
      </c>
      <c r="U107" s="329">
        <v>4929</v>
      </c>
      <c r="V107" s="329">
        <v>3296</v>
      </c>
      <c r="W107" s="329">
        <v>8225</v>
      </c>
    </row>
    <row r="108" spans="2:23" hidden="1" outlineLevel="1" x14ac:dyDescent="0.25">
      <c r="B108" s="328">
        <v>41699</v>
      </c>
      <c r="C108" s="331"/>
      <c r="D108" s="331"/>
      <c r="E108" s="331"/>
      <c r="F108" s="331"/>
      <c r="G108" s="331"/>
      <c r="H108" s="331"/>
      <c r="I108" s="331">
        <v>2273</v>
      </c>
      <c r="J108" s="331">
        <v>694</v>
      </c>
      <c r="K108" s="331">
        <v>2967</v>
      </c>
      <c r="L108" s="331">
        <v>578</v>
      </c>
      <c r="M108" s="331">
        <v>322</v>
      </c>
      <c r="N108" s="331">
        <v>900</v>
      </c>
      <c r="O108" s="331">
        <v>2708</v>
      </c>
      <c r="P108" s="331">
        <v>2645</v>
      </c>
      <c r="Q108" s="331">
        <v>5353</v>
      </c>
      <c r="R108" s="331">
        <v>325</v>
      </c>
      <c r="S108" s="331">
        <v>228</v>
      </c>
      <c r="T108" s="331">
        <v>553</v>
      </c>
      <c r="U108" s="329">
        <v>5884</v>
      </c>
      <c r="V108" s="329">
        <v>3889</v>
      </c>
      <c r="W108" s="329">
        <v>9773</v>
      </c>
    </row>
    <row r="109" spans="2:23" hidden="1" outlineLevel="1" x14ac:dyDescent="0.25">
      <c r="B109" s="328">
        <v>41730</v>
      </c>
      <c r="C109" s="331"/>
      <c r="D109" s="331"/>
      <c r="E109" s="331"/>
      <c r="F109" s="331"/>
      <c r="G109" s="331"/>
      <c r="H109" s="331"/>
      <c r="I109" s="331">
        <v>1889</v>
      </c>
      <c r="J109" s="331">
        <v>623</v>
      </c>
      <c r="K109" s="331">
        <v>2512</v>
      </c>
      <c r="L109" s="331">
        <v>527</v>
      </c>
      <c r="M109" s="331">
        <v>269</v>
      </c>
      <c r="N109" s="331">
        <v>796</v>
      </c>
      <c r="O109" s="331">
        <v>2487</v>
      </c>
      <c r="P109" s="331">
        <v>2472</v>
      </c>
      <c r="Q109" s="331">
        <v>4959</v>
      </c>
      <c r="R109" s="331">
        <v>319</v>
      </c>
      <c r="S109" s="331">
        <v>258</v>
      </c>
      <c r="T109" s="331">
        <v>577</v>
      </c>
      <c r="U109" s="329">
        <v>5222</v>
      </c>
      <c r="V109" s="329">
        <v>3622</v>
      </c>
      <c r="W109" s="329">
        <v>8844</v>
      </c>
    </row>
    <row r="110" spans="2:23" hidden="1" outlineLevel="1" x14ac:dyDescent="0.25">
      <c r="B110" s="328">
        <v>41760</v>
      </c>
      <c r="C110" s="331"/>
      <c r="D110" s="331"/>
      <c r="E110" s="331"/>
      <c r="F110" s="331"/>
      <c r="G110" s="331"/>
      <c r="H110" s="331"/>
      <c r="I110" s="331">
        <v>2328</v>
      </c>
      <c r="J110" s="331">
        <v>687</v>
      </c>
      <c r="K110" s="331">
        <v>3015</v>
      </c>
      <c r="L110" s="331">
        <v>526</v>
      </c>
      <c r="M110" s="331">
        <v>292</v>
      </c>
      <c r="N110" s="331">
        <v>818</v>
      </c>
      <c r="O110" s="331">
        <v>3027</v>
      </c>
      <c r="P110" s="331">
        <v>3865</v>
      </c>
      <c r="Q110" s="331">
        <v>6892</v>
      </c>
      <c r="R110" s="331">
        <v>255</v>
      </c>
      <c r="S110" s="331">
        <v>228</v>
      </c>
      <c r="T110" s="331">
        <v>483</v>
      </c>
      <c r="U110" s="329">
        <v>6136</v>
      </c>
      <c r="V110" s="329">
        <v>5072</v>
      </c>
      <c r="W110" s="329">
        <v>11208</v>
      </c>
    </row>
    <row r="111" spans="2:23" hidden="1" outlineLevel="1" x14ac:dyDescent="0.25">
      <c r="B111" s="328">
        <v>41791</v>
      </c>
      <c r="C111" s="331"/>
      <c r="D111" s="331"/>
      <c r="E111" s="331"/>
      <c r="F111" s="331"/>
      <c r="G111" s="331"/>
      <c r="H111" s="331"/>
      <c r="I111" s="331">
        <v>1952</v>
      </c>
      <c r="J111" s="331">
        <v>621</v>
      </c>
      <c r="K111" s="331">
        <v>2573</v>
      </c>
      <c r="L111" s="331">
        <v>491</v>
      </c>
      <c r="M111" s="331">
        <v>308</v>
      </c>
      <c r="N111" s="331">
        <v>799</v>
      </c>
      <c r="O111" s="331">
        <v>2836</v>
      </c>
      <c r="P111" s="331">
        <v>3047</v>
      </c>
      <c r="Q111" s="331">
        <v>5883</v>
      </c>
      <c r="R111" s="331">
        <v>216</v>
      </c>
      <c r="S111" s="331">
        <v>190</v>
      </c>
      <c r="T111" s="331">
        <v>406</v>
      </c>
      <c r="U111" s="329">
        <v>5495</v>
      </c>
      <c r="V111" s="329">
        <v>4166</v>
      </c>
      <c r="W111" s="329">
        <v>9661</v>
      </c>
    </row>
    <row r="112" spans="2:23" hidden="1" outlineLevel="1" x14ac:dyDescent="0.25">
      <c r="B112" s="328">
        <v>41821</v>
      </c>
      <c r="C112" s="331"/>
      <c r="D112" s="331"/>
      <c r="E112" s="331"/>
      <c r="F112" s="331"/>
      <c r="G112" s="331"/>
      <c r="H112" s="331"/>
      <c r="I112" s="331">
        <v>1965</v>
      </c>
      <c r="J112" s="331">
        <v>610</v>
      </c>
      <c r="K112" s="331">
        <v>2575</v>
      </c>
      <c r="L112" s="331">
        <v>565</v>
      </c>
      <c r="M112" s="331">
        <v>328</v>
      </c>
      <c r="N112" s="331">
        <v>893</v>
      </c>
      <c r="O112" s="331">
        <v>3164</v>
      </c>
      <c r="P112" s="331">
        <v>2761</v>
      </c>
      <c r="Q112" s="331">
        <v>5925</v>
      </c>
      <c r="R112" s="331">
        <v>212</v>
      </c>
      <c r="S112" s="331">
        <v>191</v>
      </c>
      <c r="T112" s="331">
        <v>403</v>
      </c>
      <c r="U112" s="329">
        <v>5906</v>
      </c>
      <c r="V112" s="329">
        <v>3890</v>
      </c>
      <c r="W112" s="329">
        <v>9796</v>
      </c>
    </row>
    <row r="113" spans="2:23" hidden="1" outlineLevel="1" x14ac:dyDescent="0.25">
      <c r="B113" s="328">
        <v>41852</v>
      </c>
      <c r="C113" s="331"/>
      <c r="D113" s="331"/>
      <c r="E113" s="331"/>
      <c r="F113" s="331"/>
      <c r="G113" s="331"/>
      <c r="H113" s="331"/>
      <c r="I113" s="331">
        <v>2211</v>
      </c>
      <c r="J113" s="331">
        <v>729</v>
      </c>
      <c r="K113" s="331">
        <v>2940</v>
      </c>
      <c r="L113" s="331">
        <v>559</v>
      </c>
      <c r="M113" s="331">
        <v>353</v>
      </c>
      <c r="N113" s="331">
        <v>912</v>
      </c>
      <c r="O113" s="331">
        <v>3364</v>
      </c>
      <c r="P113" s="331">
        <v>2904</v>
      </c>
      <c r="Q113" s="331">
        <v>6268</v>
      </c>
      <c r="R113" s="331">
        <v>215</v>
      </c>
      <c r="S113" s="331">
        <v>216</v>
      </c>
      <c r="T113" s="331">
        <v>431</v>
      </c>
      <c r="U113" s="329">
        <v>6349</v>
      </c>
      <c r="V113" s="329">
        <v>4202</v>
      </c>
      <c r="W113" s="329">
        <v>10551</v>
      </c>
    </row>
    <row r="114" spans="2:23" hidden="1" outlineLevel="1" x14ac:dyDescent="0.25">
      <c r="B114" s="328">
        <v>41883</v>
      </c>
      <c r="C114" s="331"/>
      <c r="D114" s="331"/>
      <c r="E114" s="331"/>
      <c r="F114" s="331"/>
      <c r="G114" s="331"/>
      <c r="H114" s="331"/>
      <c r="I114" s="331">
        <v>2074</v>
      </c>
      <c r="J114" s="331">
        <v>662</v>
      </c>
      <c r="K114" s="331">
        <v>2736</v>
      </c>
      <c r="L114" s="331">
        <v>461</v>
      </c>
      <c r="M114" s="331">
        <v>341</v>
      </c>
      <c r="N114" s="331">
        <v>802</v>
      </c>
      <c r="O114" s="331">
        <v>3296</v>
      </c>
      <c r="P114" s="331">
        <v>2831</v>
      </c>
      <c r="Q114" s="331">
        <v>6127</v>
      </c>
      <c r="R114" s="331">
        <v>182</v>
      </c>
      <c r="S114" s="331">
        <v>174</v>
      </c>
      <c r="T114" s="331">
        <v>356</v>
      </c>
      <c r="U114" s="329">
        <v>6013</v>
      </c>
      <c r="V114" s="329">
        <v>4008</v>
      </c>
      <c r="W114" s="329">
        <v>10021</v>
      </c>
    </row>
    <row r="115" spans="2:23" hidden="1" outlineLevel="1" x14ac:dyDescent="0.25">
      <c r="B115" s="328">
        <v>41913</v>
      </c>
      <c r="C115" s="331"/>
      <c r="D115" s="331"/>
      <c r="E115" s="331"/>
      <c r="F115" s="331"/>
      <c r="G115" s="331"/>
      <c r="H115" s="331"/>
      <c r="I115" s="331">
        <v>2227</v>
      </c>
      <c r="J115" s="331">
        <v>707</v>
      </c>
      <c r="K115" s="331">
        <v>2934</v>
      </c>
      <c r="L115" s="331">
        <v>623</v>
      </c>
      <c r="M115" s="331">
        <v>348</v>
      </c>
      <c r="N115" s="331">
        <v>971</v>
      </c>
      <c r="O115" s="331">
        <v>3729</v>
      </c>
      <c r="P115" s="331">
        <v>3307</v>
      </c>
      <c r="Q115" s="331">
        <v>7036</v>
      </c>
      <c r="R115" s="331">
        <v>202</v>
      </c>
      <c r="S115" s="331">
        <v>172</v>
      </c>
      <c r="T115" s="331">
        <v>374</v>
      </c>
      <c r="U115" s="329">
        <v>6781</v>
      </c>
      <c r="V115" s="329">
        <v>4534</v>
      </c>
      <c r="W115" s="329">
        <v>11315</v>
      </c>
    </row>
    <row r="116" spans="2:23" hidden="1" outlineLevel="1" x14ac:dyDescent="0.25">
      <c r="B116" s="328">
        <v>41944</v>
      </c>
      <c r="C116" s="331"/>
      <c r="D116" s="331"/>
      <c r="E116" s="331"/>
      <c r="F116" s="331"/>
      <c r="G116" s="331"/>
      <c r="H116" s="331"/>
      <c r="I116" s="331">
        <v>1985</v>
      </c>
      <c r="J116" s="331">
        <v>631</v>
      </c>
      <c r="K116" s="331">
        <v>2616</v>
      </c>
      <c r="L116" s="331">
        <v>519</v>
      </c>
      <c r="M116" s="331">
        <v>323</v>
      </c>
      <c r="N116" s="331">
        <v>842</v>
      </c>
      <c r="O116" s="331">
        <v>3340</v>
      </c>
      <c r="P116" s="331">
        <v>2748</v>
      </c>
      <c r="Q116" s="331">
        <v>6088</v>
      </c>
      <c r="R116" s="331">
        <v>202</v>
      </c>
      <c r="S116" s="331">
        <v>153</v>
      </c>
      <c r="T116" s="331">
        <v>355</v>
      </c>
      <c r="U116" s="329">
        <v>6046</v>
      </c>
      <c r="V116" s="329">
        <v>3855</v>
      </c>
      <c r="W116" s="329">
        <v>9901</v>
      </c>
    </row>
    <row r="117" spans="2:23" hidden="1" outlineLevel="1" x14ac:dyDescent="0.25">
      <c r="B117" s="328">
        <v>41974</v>
      </c>
      <c r="C117" s="331"/>
      <c r="D117" s="331"/>
      <c r="E117" s="331"/>
      <c r="F117" s="331"/>
      <c r="G117" s="331"/>
      <c r="H117" s="331"/>
      <c r="I117" s="331">
        <v>1910</v>
      </c>
      <c r="J117" s="331">
        <v>564</v>
      </c>
      <c r="K117" s="331">
        <v>2474</v>
      </c>
      <c r="L117" s="331">
        <v>486</v>
      </c>
      <c r="M117" s="331">
        <v>308</v>
      </c>
      <c r="N117" s="331">
        <v>794</v>
      </c>
      <c r="O117" s="331">
        <v>2672</v>
      </c>
      <c r="P117" s="331">
        <v>2341</v>
      </c>
      <c r="Q117" s="331">
        <v>5013</v>
      </c>
      <c r="R117" s="331">
        <v>171</v>
      </c>
      <c r="S117" s="331">
        <v>158</v>
      </c>
      <c r="T117" s="331">
        <v>329</v>
      </c>
      <c r="U117" s="329">
        <v>5239</v>
      </c>
      <c r="V117" s="329">
        <v>3371</v>
      </c>
      <c r="W117" s="329">
        <v>8610</v>
      </c>
    </row>
    <row r="118" spans="2:23" collapsed="1" x14ac:dyDescent="0.25">
      <c r="B118" s="330" t="s">
        <v>696</v>
      </c>
      <c r="C118" s="329" t="s">
        <v>781</v>
      </c>
      <c r="D118" s="329" t="s">
        <v>781</v>
      </c>
      <c r="E118" s="329" t="s">
        <v>781</v>
      </c>
      <c r="F118" s="329" t="s">
        <v>781</v>
      </c>
      <c r="G118" s="329" t="s">
        <v>781</v>
      </c>
      <c r="H118" s="329" t="s">
        <v>781</v>
      </c>
      <c r="I118" s="329">
        <v>2064</v>
      </c>
      <c r="J118" s="329">
        <v>650</v>
      </c>
      <c r="K118" s="329">
        <v>2714</v>
      </c>
      <c r="L118" s="329">
        <v>524</v>
      </c>
      <c r="M118" s="329">
        <v>308</v>
      </c>
      <c r="N118" s="329">
        <v>832</v>
      </c>
      <c r="O118" s="329">
        <v>3008</v>
      </c>
      <c r="P118" s="329">
        <v>2830</v>
      </c>
      <c r="Q118" s="329">
        <v>5838</v>
      </c>
      <c r="R118" s="329">
        <v>238</v>
      </c>
      <c r="S118" s="329">
        <v>201</v>
      </c>
      <c r="T118" s="329">
        <v>439</v>
      </c>
      <c r="U118" s="329">
        <v>5834</v>
      </c>
      <c r="V118" s="329">
        <v>3990</v>
      </c>
      <c r="W118" s="329">
        <v>9824</v>
      </c>
    </row>
    <row r="119" spans="2:23" hidden="1" outlineLevel="1" x14ac:dyDescent="0.25">
      <c r="B119" s="328">
        <v>42005</v>
      </c>
      <c r="C119" s="331"/>
      <c r="D119" s="331"/>
      <c r="E119" s="331"/>
      <c r="F119" s="331"/>
      <c r="G119" s="331"/>
      <c r="H119" s="331"/>
      <c r="I119" s="331">
        <v>1869</v>
      </c>
      <c r="J119" s="331">
        <v>570</v>
      </c>
      <c r="K119" s="331">
        <v>2439</v>
      </c>
      <c r="L119" s="331">
        <v>591</v>
      </c>
      <c r="M119" s="331">
        <v>397</v>
      </c>
      <c r="N119" s="331">
        <v>988</v>
      </c>
      <c r="O119" s="331">
        <v>2831</v>
      </c>
      <c r="P119" s="331">
        <v>2278</v>
      </c>
      <c r="Q119" s="331">
        <v>5109</v>
      </c>
      <c r="R119" s="331">
        <v>88</v>
      </c>
      <c r="S119" s="331">
        <v>85</v>
      </c>
      <c r="T119" s="331">
        <v>173</v>
      </c>
      <c r="U119" s="329">
        <v>5379</v>
      </c>
      <c r="V119" s="329">
        <v>3330</v>
      </c>
      <c r="W119" s="329">
        <v>8709</v>
      </c>
    </row>
    <row r="120" spans="2:23" hidden="1" outlineLevel="1" x14ac:dyDescent="0.25">
      <c r="B120" s="328">
        <v>42036</v>
      </c>
      <c r="C120" s="331"/>
      <c r="D120" s="331"/>
      <c r="E120" s="331"/>
      <c r="F120" s="331"/>
      <c r="G120" s="331"/>
      <c r="H120" s="331"/>
      <c r="I120" s="331">
        <v>1678</v>
      </c>
      <c r="J120" s="331">
        <v>503</v>
      </c>
      <c r="K120" s="331">
        <v>2181</v>
      </c>
      <c r="L120" s="331">
        <v>531</v>
      </c>
      <c r="M120" s="331">
        <v>338</v>
      </c>
      <c r="N120" s="331">
        <v>869</v>
      </c>
      <c r="O120" s="331">
        <v>2746</v>
      </c>
      <c r="P120" s="331">
        <v>2325</v>
      </c>
      <c r="Q120" s="331">
        <v>5071</v>
      </c>
      <c r="R120" s="331">
        <v>69</v>
      </c>
      <c r="S120" s="331">
        <v>76</v>
      </c>
      <c r="T120" s="331">
        <v>145</v>
      </c>
      <c r="U120" s="329">
        <v>5024</v>
      </c>
      <c r="V120" s="329">
        <v>3242</v>
      </c>
      <c r="W120" s="329">
        <v>8266</v>
      </c>
    </row>
    <row r="121" spans="2:23" hidden="1" outlineLevel="1" x14ac:dyDescent="0.25">
      <c r="B121" s="328">
        <v>42064</v>
      </c>
      <c r="C121" s="331"/>
      <c r="D121" s="331"/>
      <c r="E121" s="331"/>
      <c r="F121" s="331"/>
      <c r="G121" s="331"/>
      <c r="H121" s="331"/>
      <c r="I121" s="331">
        <v>1862</v>
      </c>
      <c r="J121" s="331">
        <v>572</v>
      </c>
      <c r="K121" s="331">
        <v>2434</v>
      </c>
      <c r="L121" s="331">
        <v>683</v>
      </c>
      <c r="M121" s="331">
        <v>432</v>
      </c>
      <c r="N121" s="331">
        <v>1115</v>
      </c>
      <c r="O121" s="331">
        <v>3232</v>
      </c>
      <c r="P121" s="331">
        <v>2846</v>
      </c>
      <c r="Q121" s="331">
        <v>6078</v>
      </c>
      <c r="R121" s="331">
        <v>91</v>
      </c>
      <c r="S121" s="331">
        <v>100</v>
      </c>
      <c r="T121" s="331">
        <v>191</v>
      </c>
      <c r="U121" s="329">
        <v>5868</v>
      </c>
      <c r="V121" s="329">
        <v>3950</v>
      </c>
      <c r="W121" s="329">
        <v>9818</v>
      </c>
    </row>
    <row r="122" spans="2:23" hidden="1" outlineLevel="1" x14ac:dyDescent="0.25">
      <c r="B122" s="328">
        <v>42095</v>
      </c>
      <c r="C122" s="331"/>
      <c r="D122" s="331"/>
      <c r="E122" s="331"/>
      <c r="F122" s="331"/>
      <c r="G122" s="331"/>
      <c r="H122" s="331"/>
      <c r="I122" s="331">
        <v>1566</v>
      </c>
      <c r="J122" s="331">
        <v>509</v>
      </c>
      <c r="K122" s="331">
        <v>2075</v>
      </c>
      <c r="L122" s="331">
        <v>569</v>
      </c>
      <c r="M122" s="331">
        <v>383</v>
      </c>
      <c r="N122" s="331">
        <v>952</v>
      </c>
      <c r="O122" s="331">
        <v>2827</v>
      </c>
      <c r="P122" s="331">
        <v>2372</v>
      </c>
      <c r="Q122" s="331">
        <v>5199</v>
      </c>
      <c r="R122" s="331">
        <v>73</v>
      </c>
      <c r="S122" s="331">
        <v>81</v>
      </c>
      <c r="T122" s="331">
        <v>154</v>
      </c>
      <c r="U122" s="329">
        <v>5035</v>
      </c>
      <c r="V122" s="329">
        <v>3345</v>
      </c>
      <c r="W122" s="329">
        <v>8380</v>
      </c>
    </row>
    <row r="123" spans="2:23" hidden="1" outlineLevel="1" x14ac:dyDescent="0.25">
      <c r="B123" s="328">
        <v>42125</v>
      </c>
      <c r="C123" s="331"/>
      <c r="D123" s="331"/>
      <c r="E123" s="331"/>
      <c r="F123" s="331"/>
      <c r="G123" s="331"/>
      <c r="H123" s="331"/>
      <c r="I123" s="331">
        <v>1453</v>
      </c>
      <c r="J123" s="331">
        <v>555</v>
      </c>
      <c r="K123" s="331">
        <v>2008</v>
      </c>
      <c r="L123" s="331">
        <v>550</v>
      </c>
      <c r="M123" s="331">
        <v>312</v>
      </c>
      <c r="N123" s="331">
        <v>862</v>
      </c>
      <c r="O123" s="331">
        <v>3346</v>
      </c>
      <c r="P123" s="331">
        <v>3920</v>
      </c>
      <c r="Q123" s="331">
        <v>7266</v>
      </c>
      <c r="R123" s="331">
        <v>113</v>
      </c>
      <c r="S123" s="331">
        <v>102</v>
      </c>
      <c r="T123" s="331">
        <v>215</v>
      </c>
      <c r="U123" s="329">
        <v>5462</v>
      </c>
      <c r="V123" s="329">
        <v>4889</v>
      </c>
      <c r="W123" s="329">
        <v>10351</v>
      </c>
    </row>
    <row r="124" spans="2:23" hidden="1" outlineLevel="1" x14ac:dyDescent="0.25">
      <c r="B124" s="328">
        <v>42156</v>
      </c>
      <c r="C124" s="331"/>
      <c r="D124" s="331"/>
      <c r="E124" s="331"/>
      <c r="F124" s="331"/>
      <c r="G124" s="331"/>
      <c r="H124" s="331"/>
      <c r="I124" s="331">
        <v>1526</v>
      </c>
      <c r="J124" s="331">
        <v>513</v>
      </c>
      <c r="K124" s="331">
        <v>2039</v>
      </c>
      <c r="L124" s="331">
        <v>569</v>
      </c>
      <c r="M124" s="331">
        <v>360</v>
      </c>
      <c r="N124" s="331">
        <v>929</v>
      </c>
      <c r="O124" s="331">
        <v>3250</v>
      </c>
      <c r="P124" s="331">
        <v>3086</v>
      </c>
      <c r="Q124" s="331">
        <v>6336</v>
      </c>
      <c r="R124" s="331">
        <v>89</v>
      </c>
      <c r="S124" s="331">
        <v>102</v>
      </c>
      <c r="T124" s="331">
        <v>191</v>
      </c>
      <c r="U124" s="329">
        <v>5434</v>
      </c>
      <c r="V124" s="329">
        <v>4061</v>
      </c>
      <c r="W124" s="329">
        <v>9495</v>
      </c>
    </row>
    <row r="125" spans="2:23" hidden="1" outlineLevel="1" x14ac:dyDescent="0.25">
      <c r="B125" s="328">
        <v>42186</v>
      </c>
      <c r="C125" s="331"/>
      <c r="D125" s="331"/>
      <c r="E125" s="331"/>
      <c r="F125" s="331"/>
      <c r="G125" s="331"/>
      <c r="H125" s="331"/>
      <c r="I125" s="331">
        <v>1648</v>
      </c>
      <c r="J125" s="331">
        <v>612</v>
      </c>
      <c r="K125" s="331">
        <v>2260</v>
      </c>
      <c r="L125" s="331">
        <v>597</v>
      </c>
      <c r="M125" s="331">
        <v>390</v>
      </c>
      <c r="N125" s="331">
        <v>987</v>
      </c>
      <c r="O125" s="331">
        <v>3606</v>
      </c>
      <c r="P125" s="331">
        <v>2785</v>
      </c>
      <c r="Q125" s="331">
        <v>6391</v>
      </c>
      <c r="R125" s="331">
        <v>82</v>
      </c>
      <c r="S125" s="331">
        <v>84</v>
      </c>
      <c r="T125" s="331">
        <v>166</v>
      </c>
      <c r="U125" s="329">
        <v>5933</v>
      </c>
      <c r="V125" s="329">
        <v>3871</v>
      </c>
      <c r="W125" s="329">
        <v>9804</v>
      </c>
    </row>
    <row r="126" spans="2:23" hidden="1" outlineLevel="1" x14ac:dyDescent="0.25">
      <c r="B126" s="328">
        <v>42217</v>
      </c>
      <c r="C126" s="331"/>
      <c r="D126" s="331"/>
      <c r="E126" s="331"/>
      <c r="F126" s="331"/>
      <c r="G126" s="331"/>
      <c r="H126" s="331"/>
      <c r="I126" s="331">
        <v>1725</v>
      </c>
      <c r="J126" s="331">
        <v>577</v>
      </c>
      <c r="K126" s="331">
        <v>2302</v>
      </c>
      <c r="L126" s="331">
        <v>613</v>
      </c>
      <c r="M126" s="331">
        <v>373</v>
      </c>
      <c r="N126" s="331">
        <v>986</v>
      </c>
      <c r="O126" s="331">
        <v>3420</v>
      </c>
      <c r="P126" s="331">
        <v>2802</v>
      </c>
      <c r="Q126" s="331">
        <v>6222</v>
      </c>
      <c r="R126" s="331">
        <v>92</v>
      </c>
      <c r="S126" s="331">
        <v>86</v>
      </c>
      <c r="T126" s="331">
        <v>178</v>
      </c>
      <c r="U126" s="329">
        <v>5850</v>
      </c>
      <c r="V126" s="329">
        <v>3838</v>
      </c>
      <c r="W126" s="329">
        <v>9688</v>
      </c>
    </row>
    <row r="127" spans="2:23" hidden="1" outlineLevel="1" x14ac:dyDescent="0.25">
      <c r="B127" s="328">
        <v>42248</v>
      </c>
      <c r="C127" s="331"/>
      <c r="D127" s="331"/>
      <c r="E127" s="331"/>
      <c r="F127" s="331"/>
      <c r="G127" s="331"/>
      <c r="H127" s="331"/>
      <c r="I127" s="331">
        <v>1650</v>
      </c>
      <c r="J127" s="331">
        <v>551</v>
      </c>
      <c r="K127" s="331">
        <v>2201</v>
      </c>
      <c r="L127" s="331">
        <v>629</v>
      </c>
      <c r="M127" s="331">
        <v>421</v>
      </c>
      <c r="N127" s="331">
        <v>1050</v>
      </c>
      <c r="O127" s="331">
        <v>3305</v>
      </c>
      <c r="P127" s="331">
        <v>2743</v>
      </c>
      <c r="Q127" s="331">
        <v>6048</v>
      </c>
      <c r="R127" s="331">
        <v>69</v>
      </c>
      <c r="S127" s="331">
        <v>68</v>
      </c>
      <c r="T127" s="331">
        <v>137</v>
      </c>
      <c r="U127" s="329">
        <v>5653</v>
      </c>
      <c r="V127" s="329">
        <v>3783</v>
      </c>
      <c r="W127" s="329">
        <v>9436</v>
      </c>
    </row>
    <row r="128" spans="2:23" hidden="1" outlineLevel="1" x14ac:dyDescent="0.25">
      <c r="B128" s="328">
        <v>42278</v>
      </c>
      <c r="C128" s="331"/>
      <c r="D128" s="331"/>
      <c r="E128" s="331"/>
      <c r="F128" s="331"/>
      <c r="G128" s="331"/>
      <c r="H128" s="331"/>
      <c r="I128" s="331">
        <v>1687</v>
      </c>
      <c r="J128" s="331">
        <v>604</v>
      </c>
      <c r="K128" s="331">
        <v>2291</v>
      </c>
      <c r="L128" s="331">
        <v>623</v>
      </c>
      <c r="M128" s="331">
        <v>370</v>
      </c>
      <c r="N128" s="331">
        <v>993</v>
      </c>
      <c r="O128" s="331">
        <v>3263</v>
      </c>
      <c r="P128" s="331">
        <v>2668</v>
      </c>
      <c r="Q128" s="331">
        <v>5931</v>
      </c>
      <c r="R128" s="331">
        <v>96</v>
      </c>
      <c r="S128" s="331">
        <v>86</v>
      </c>
      <c r="T128" s="331">
        <v>182</v>
      </c>
      <c r="U128" s="329">
        <v>5669</v>
      </c>
      <c r="V128" s="329">
        <v>3728</v>
      </c>
      <c r="W128" s="329">
        <v>9397</v>
      </c>
    </row>
    <row r="129" spans="2:23" hidden="1" outlineLevel="1" x14ac:dyDescent="0.25">
      <c r="B129" s="328">
        <v>42309</v>
      </c>
      <c r="C129" s="331"/>
      <c r="D129" s="331"/>
      <c r="E129" s="331"/>
      <c r="F129" s="331"/>
      <c r="G129" s="331"/>
      <c r="H129" s="331"/>
      <c r="I129" s="331">
        <v>1608</v>
      </c>
      <c r="J129" s="331">
        <v>615</v>
      </c>
      <c r="K129" s="331">
        <v>2223</v>
      </c>
      <c r="L129" s="331">
        <v>637</v>
      </c>
      <c r="M129" s="331">
        <v>380</v>
      </c>
      <c r="N129" s="331">
        <v>1017</v>
      </c>
      <c r="O129" s="331">
        <v>3536</v>
      </c>
      <c r="P129" s="331">
        <v>3021</v>
      </c>
      <c r="Q129" s="331">
        <v>6557</v>
      </c>
      <c r="R129" s="331">
        <v>87</v>
      </c>
      <c r="S129" s="331">
        <v>99</v>
      </c>
      <c r="T129" s="331">
        <v>186</v>
      </c>
      <c r="U129" s="329">
        <v>5868</v>
      </c>
      <c r="V129" s="329">
        <v>4115</v>
      </c>
      <c r="W129" s="329">
        <v>9983</v>
      </c>
    </row>
    <row r="130" spans="2:23" hidden="1" outlineLevel="1" x14ac:dyDescent="0.25">
      <c r="B130" s="328">
        <v>42339</v>
      </c>
      <c r="C130" s="331"/>
      <c r="D130" s="331"/>
      <c r="E130" s="331"/>
      <c r="F130" s="331"/>
      <c r="G130" s="331"/>
      <c r="H130" s="331"/>
      <c r="I130" s="331">
        <v>1427</v>
      </c>
      <c r="J130" s="331">
        <v>483</v>
      </c>
      <c r="K130" s="331">
        <v>1910</v>
      </c>
      <c r="L130" s="331">
        <v>588</v>
      </c>
      <c r="M130" s="331">
        <v>375</v>
      </c>
      <c r="N130" s="331">
        <v>963</v>
      </c>
      <c r="O130" s="331">
        <v>2714</v>
      </c>
      <c r="P130" s="331">
        <v>2268</v>
      </c>
      <c r="Q130" s="331">
        <v>4982</v>
      </c>
      <c r="R130" s="331">
        <v>86</v>
      </c>
      <c r="S130" s="331">
        <v>77</v>
      </c>
      <c r="T130" s="331">
        <v>163</v>
      </c>
      <c r="U130" s="329">
        <v>4815</v>
      </c>
      <c r="V130" s="329">
        <v>3203</v>
      </c>
      <c r="W130" s="329">
        <v>8018</v>
      </c>
    </row>
    <row r="131" spans="2:23" collapsed="1" x14ac:dyDescent="0.25">
      <c r="B131" s="330" t="s">
        <v>697</v>
      </c>
      <c r="C131" s="329" t="s">
        <v>781</v>
      </c>
      <c r="D131" s="329" t="s">
        <v>781</v>
      </c>
      <c r="E131" s="329" t="s">
        <v>781</v>
      </c>
      <c r="F131" s="329" t="s">
        <v>781</v>
      </c>
      <c r="G131" s="329" t="s">
        <v>781</v>
      </c>
      <c r="H131" s="329" t="s">
        <v>781</v>
      </c>
      <c r="I131" s="329">
        <v>1642</v>
      </c>
      <c r="J131" s="329">
        <v>555</v>
      </c>
      <c r="K131" s="329">
        <v>2197</v>
      </c>
      <c r="L131" s="329">
        <v>598</v>
      </c>
      <c r="M131" s="329">
        <v>378</v>
      </c>
      <c r="N131" s="329">
        <v>976</v>
      </c>
      <c r="O131" s="329">
        <v>3173</v>
      </c>
      <c r="P131" s="329">
        <v>2760</v>
      </c>
      <c r="Q131" s="329">
        <v>5933</v>
      </c>
      <c r="R131" s="329">
        <v>86</v>
      </c>
      <c r="S131" s="329">
        <v>87</v>
      </c>
      <c r="T131" s="329">
        <v>173</v>
      </c>
      <c r="U131" s="329">
        <v>5499</v>
      </c>
      <c r="V131" s="329">
        <v>3780</v>
      </c>
      <c r="W131" s="329">
        <v>9279</v>
      </c>
    </row>
    <row r="132" spans="2:23" hidden="1" outlineLevel="1" x14ac:dyDescent="0.25">
      <c r="B132" s="328">
        <v>42370</v>
      </c>
      <c r="C132" s="331"/>
      <c r="D132" s="331"/>
      <c r="E132" s="331"/>
      <c r="F132" s="331"/>
      <c r="G132" s="331"/>
      <c r="H132" s="331"/>
      <c r="I132" s="331">
        <v>1359</v>
      </c>
      <c r="J132" s="331">
        <v>417</v>
      </c>
      <c r="K132" s="331">
        <v>1776</v>
      </c>
      <c r="L132" s="331">
        <v>611</v>
      </c>
      <c r="M132" s="331">
        <v>380</v>
      </c>
      <c r="N132" s="331">
        <v>991</v>
      </c>
      <c r="O132" s="331">
        <v>2549</v>
      </c>
      <c r="P132" s="331">
        <v>2080</v>
      </c>
      <c r="Q132" s="331">
        <v>4629</v>
      </c>
      <c r="R132" s="331">
        <v>96</v>
      </c>
      <c r="S132" s="331">
        <v>88</v>
      </c>
      <c r="T132" s="331">
        <v>184</v>
      </c>
      <c r="U132" s="329">
        <v>4615</v>
      </c>
      <c r="V132" s="329">
        <v>2965</v>
      </c>
      <c r="W132" s="329">
        <v>7580</v>
      </c>
    </row>
    <row r="133" spans="2:23" hidden="1" outlineLevel="1" x14ac:dyDescent="0.25">
      <c r="B133" s="328">
        <v>42401</v>
      </c>
      <c r="C133" s="331"/>
      <c r="D133" s="331"/>
      <c r="E133" s="331"/>
      <c r="F133" s="331"/>
      <c r="G133" s="331"/>
      <c r="H133" s="331"/>
      <c r="I133" s="331">
        <v>1332</v>
      </c>
      <c r="J133" s="331">
        <v>441</v>
      </c>
      <c r="K133" s="331">
        <v>1773</v>
      </c>
      <c r="L133" s="331">
        <v>556</v>
      </c>
      <c r="M133" s="331">
        <v>332</v>
      </c>
      <c r="N133" s="331">
        <v>888</v>
      </c>
      <c r="O133" s="331">
        <v>2855</v>
      </c>
      <c r="P133" s="331">
        <v>2182</v>
      </c>
      <c r="Q133" s="331">
        <v>5037</v>
      </c>
      <c r="R133" s="331">
        <v>104</v>
      </c>
      <c r="S133" s="331">
        <v>81</v>
      </c>
      <c r="T133" s="331">
        <v>185</v>
      </c>
      <c r="U133" s="329">
        <v>4847</v>
      </c>
      <c r="V133" s="329">
        <v>3036</v>
      </c>
      <c r="W133" s="329">
        <v>7883</v>
      </c>
    </row>
    <row r="134" spans="2:23" hidden="1" outlineLevel="1" x14ac:dyDescent="0.25">
      <c r="B134" s="328">
        <v>42430</v>
      </c>
      <c r="C134" s="331"/>
      <c r="D134" s="331"/>
      <c r="E134" s="331"/>
      <c r="F134" s="331"/>
      <c r="G134" s="331"/>
      <c r="H134" s="331"/>
      <c r="I134" s="331">
        <v>1448</v>
      </c>
      <c r="J134" s="331">
        <v>469</v>
      </c>
      <c r="K134" s="331">
        <v>1917</v>
      </c>
      <c r="L134" s="331">
        <v>693</v>
      </c>
      <c r="M134" s="331">
        <v>384</v>
      </c>
      <c r="N134" s="331">
        <v>1077</v>
      </c>
      <c r="O134" s="331">
        <v>3013</v>
      </c>
      <c r="P134" s="331">
        <v>2392</v>
      </c>
      <c r="Q134" s="331">
        <v>5405</v>
      </c>
      <c r="R134" s="331">
        <v>97</v>
      </c>
      <c r="S134" s="331">
        <v>82</v>
      </c>
      <c r="T134" s="331">
        <v>179</v>
      </c>
      <c r="U134" s="329">
        <v>5251</v>
      </c>
      <c r="V134" s="329">
        <v>3327</v>
      </c>
      <c r="W134" s="329">
        <v>8578</v>
      </c>
    </row>
    <row r="135" spans="2:23" hidden="1" outlineLevel="1" x14ac:dyDescent="0.25">
      <c r="B135" s="328">
        <v>42461</v>
      </c>
      <c r="C135" s="331"/>
      <c r="D135" s="331"/>
      <c r="E135" s="331"/>
      <c r="F135" s="331"/>
      <c r="G135" s="331"/>
      <c r="H135" s="331"/>
      <c r="I135" s="331">
        <v>2011</v>
      </c>
      <c r="J135" s="331">
        <v>736</v>
      </c>
      <c r="K135" s="331">
        <v>2747</v>
      </c>
      <c r="L135" s="331">
        <v>572</v>
      </c>
      <c r="M135" s="331">
        <v>381</v>
      </c>
      <c r="N135" s="331">
        <v>953</v>
      </c>
      <c r="O135" s="331">
        <v>3185</v>
      </c>
      <c r="P135" s="331">
        <v>2615</v>
      </c>
      <c r="Q135" s="331">
        <v>5800</v>
      </c>
      <c r="R135" s="331">
        <v>84</v>
      </c>
      <c r="S135" s="331">
        <v>87</v>
      </c>
      <c r="T135" s="331">
        <v>171</v>
      </c>
      <c r="U135" s="329">
        <v>5852</v>
      </c>
      <c r="V135" s="329">
        <v>3819</v>
      </c>
      <c r="W135" s="329">
        <v>9671</v>
      </c>
    </row>
    <row r="136" spans="2:23" hidden="1" outlineLevel="1" x14ac:dyDescent="0.25">
      <c r="B136" s="328">
        <v>42491</v>
      </c>
      <c r="C136" s="331"/>
      <c r="D136" s="331"/>
      <c r="E136" s="331"/>
      <c r="F136" s="331"/>
      <c r="G136" s="331"/>
      <c r="H136" s="331"/>
      <c r="I136" s="331">
        <v>1625</v>
      </c>
      <c r="J136" s="331">
        <v>575</v>
      </c>
      <c r="K136" s="331">
        <v>2200</v>
      </c>
      <c r="L136" s="331">
        <v>632</v>
      </c>
      <c r="M136" s="331">
        <v>372</v>
      </c>
      <c r="N136" s="331">
        <v>1004</v>
      </c>
      <c r="O136" s="331">
        <v>3504</v>
      </c>
      <c r="P136" s="331">
        <v>3633</v>
      </c>
      <c r="Q136" s="331">
        <v>7137</v>
      </c>
      <c r="R136" s="331">
        <v>104</v>
      </c>
      <c r="S136" s="331">
        <v>92</v>
      </c>
      <c r="T136" s="331">
        <v>196</v>
      </c>
      <c r="U136" s="329">
        <v>5865</v>
      </c>
      <c r="V136" s="329">
        <v>4672</v>
      </c>
      <c r="W136" s="329">
        <v>10537</v>
      </c>
    </row>
    <row r="137" spans="2:23" hidden="1" outlineLevel="1" x14ac:dyDescent="0.25">
      <c r="B137" s="328">
        <v>42522</v>
      </c>
      <c r="C137" s="331"/>
      <c r="D137" s="331"/>
      <c r="E137" s="331"/>
      <c r="F137" s="331"/>
      <c r="G137" s="331"/>
      <c r="H137" s="331"/>
      <c r="I137" s="331">
        <v>1420</v>
      </c>
      <c r="J137" s="331">
        <v>542</v>
      </c>
      <c r="K137" s="331">
        <v>1962</v>
      </c>
      <c r="L137" s="331">
        <v>546</v>
      </c>
      <c r="M137" s="331">
        <v>376</v>
      </c>
      <c r="N137" s="331">
        <v>922</v>
      </c>
      <c r="O137" s="331">
        <v>2912</v>
      </c>
      <c r="P137" s="331">
        <v>2301</v>
      </c>
      <c r="Q137" s="331">
        <v>5213</v>
      </c>
      <c r="R137" s="331">
        <v>59</v>
      </c>
      <c r="S137" s="331">
        <v>76</v>
      </c>
      <c r="T137" s="331">
        <v>135</v>
      </c>
      <c r="U137" s="329">
        <v>4937</v>
      </c>
      <c r="V137" s="329">
        <v>3295</v>
      </c>
      <c r="W137" s="329">
        <v>8232</v>
      </c>
    </row>
    <row r="138" spans="2:23" hidden="1" outlineLevel="1" x14ac:dyDescent="0.25">
      <c r="B138" s="328">
        <v>42552</v>
      </c>
      <c r="C138" s="331"/>
      <c r="D138" s="331"/>
      <c r="E138" s="331"/>
      <c r="F138" s="331"/>
      <c r="G138" s="331"/>
      <c r="H138" s="331"/>
      <c r="I138" s="331">
        <v>1536</v>
      </c>
      <c r="J138" s="331">
        <v>532</v>
      </c>
      <c r="K138" s="331">
        <v>2068</v>
      </c>
      <c r="L138" s="331">
        <v>611</v>
      </c>
      <c r="M138" s="331">
        <v>406</v>
      </c>
      <c r="N138" s="331">
        <v>1017</v>
      </c>
      <c r="O138" s="331">
        <v>3072</v>
      </c>
      <c r="P138" s="331">
        <v>2417</v>
      </c>
      <c r="Q138" s="331">
        <v>5489</v>
      </c>
      <c r="R138" s="331">
        <v>83</v>
      </c>
      <c r="S138" s="331">
        <v>93</v>
      </c>
      <c r="T138" s="331">
        <v>176</v>
      </c>
      <c r="U138" s="329">
        <v>5302</v>
      </c>
      <c r="V138" s="329">
        <v>3448</v>
      </c>
      <c r="W138" s="329">
        <v>8750</v>
      </c>
    </row>
    <row r="139" spans="2:23" hidden="1" outlineLevel="1" x14ac:dyDescent="0.25">
      <c r="B139" s="328">
        <v>42583</v>
      </c>
      <c r="C139" s="331"/>
      <c r="D139" s="331"/>
      <c r="E139" s="331"/>
      <c r="F139" s="331"/>
      <c r="G139" s="331"/>
      <c r="H139" s="331"/>
      <c r="I139" s="331">
        <v>1680</v>
      </c>
      <c r="J139" s="331">
        <v>602</v>
      </c>
      <c r="K139" s="331">
        <v>2282</v>
      </c>
      <c r="L139" s="331">
        <v>678</v>
      </c>
      <c r="M139" s="331">
        <v>485</v>
      </c>
      <c r="N139" s="331">
        <v>1163</v>
      </c>
      <c r="O139" s="331">
        <v>3891</v>
      </c>
      <c r="P139" s="331">
        <v>3039</v>
      </c>
      <c r="Q139" s="331">
        <v>6930</v>
      </c>
      <c r="R139" s="331">
        <v>108</v>
      </c>
      <c r="S139" s="331">
        <v>96</v>
      </c>
      <c r="T139" s="331">
        <v>204</v>
      </c>
      <c r="U139" s="329">
        <v>6357</v>
      </c>
      <c r="V139" s="329">
        <v>4222</v>
      </c>
      <c r="W139" s="329">
        <v>10579</v>
      </c>
    </row>
    <row r="140" spans="2:23" hidden="1" outlineLevel="1" x14ac:dyDescent="0.25">
      <c r="B140" s="328">
        <v>42614</v>
      </c>
      <c r="C140" s="331"/>
      <c r="D140" s="331"/>
      <c r="E140" s="331"/>
      <c r="F140" s="331"/>
      <c r="G140" s="331"/>
      <c r="H140" s="331"/>
      <c r="I140" s="331">
        <v>1670</v>
      </c>
      <c r="J140" s="331">
        <v>584</v>
      </c>
      <c r="K140" s="331">
        <v>2254</v>
      </c>
      <c r="L140" s="331">
        <v>625</v>
      </c>
      <c r="M140" s="331">
        <v>424</v>
      </c>
      <c r="N140" s="331">
        <v>1049</v>
      </c>
      <c r="O140" s="331">
        <v>3573</v>
      </c>
      <c r="P140" s="331">
        <v>2597</v>
      </c>
      <c r="Q140" s="331">
        <v>6170</v>
      </c>
      <c r="R140" s="331">
        <v>91</v>
      </c>
      <c r="S140" s="331">
        <v>97</v>
      </c>
      <c r="T140" s="331">
        <v>188</v>
      </c>
      <c r="U140" s="329">
        <v>5959</v>
      </c>
      <c r="V140" s="329">
        <v>3702</v>
      </c>
      <c r="W140" s="329">
        <v>9661</v>
      </c>
    </row>
    <row r="141" spans="2:23" hidden="1" outlineLevel="1" x14ac:dyDescent="0.25">
      <c r="B141" s="328">
        <v>42644</v>
      </c>
      <c r="C141" s="331"/>
      <c r="D141" s="331"/>
      <c r="E141" s="331"/>
      <c r="F141" s="331"/>
      <c r="G141" s="331"/>
      <c r="H141" s="331"/>
      <c r="I141" s="331">
        <v>1395</v>
      </c>
      <c r="J141" s="331">
        <v>500</v>
      </c>
      <c r="K141" s="331">
        <v>1895</v>
      </c>
      <c r="L141" s="331">
        <v>548</v>
      </c>
      <c r="M141" s="331">
        <v>361</v>
      </c>
      <c r="N141" s="331">
        <v>909</v>
      </c>
      <c r="O141" s="331">
        <v>3029</v>
      </c>
      <c r="P141" s="331">
        <v>2324</v>
      </c>
      <c r="Q141" s="331">
        <v>5353</v>
      </c>
      <c r="R141" s="331">
        <v>92</v>
      </c>
      <c r="S141" s="331">
        <v>101</v>
      </c>
      <c r="T141" s="331">
        <v>193</v>
      </c>
      <c r="U141" s="329">
        <v>5064</v>
      </c>
      <c r="V141" s="329">
        <v>3286</v>
      </c>
      <c r="W141" s="329">
        <v>8350</v>
      </c>
    </row>
    <row r="142" spans="2:23" hidden="1" outlineLevel="1" x14ac:dyDescent="0.25">
      <c r="B142" s="328">
        <v>42675</v>
      </c>
      <c r="C142" s="331"/>
      <c r="D142" s="331"/>
      <c r="E142" s="331"/>
      <c r="F142" s="331"/>
      <c r="G142" s="331"/>
      <c r="H142" s="331"/>
      <c r="I142" s="331">
        <v>1566</v>
      </c>
      <c r="J142" s="331">
        <v>489</v>
      </c>
      <c r="K142" s="331">
        <v>2055</v>
      </c>
      <c r="L142" s="331">
        <v>504</v>
      </c>
      <c r="M142" s="331">
        <v>354</v>
      </c>
      <c r="N142" s="331">
        <v>858</v>
      </c>
      <c r="O142" s="331">
        <v>3181</v>
      </c>
      <c r="P142" s="331">
        <v>2313</v>
      </c>
      <c r="Q142" s="331">
        <v>5494</v>
      </c>
      <c r="R142" s="331">
        <v>104</v>
      </c>
      <c r="S142" s="331">
        <v>95</v>
      </c>
      <c r="T142" s="331">
        <v>199</v>
      </c>
      <c r="U142" s="329">
        <v>5355</v>
      </c>
      <c r="V142" s="329">
        <v>3251</v>
      </c>
      <c r="W142" s="329">
        <v>8606</v>
      </c>
    </row>
    <row r="143" spans="2:23" hidden="1" outlineLevel="1" x14ac:dyDescent="0.25">
      <c r="B143" s="328">
        <v>42705</v>
      </c>
      <c r="C143" s="331"/>
      <c r="D143" s="331"/>
      <c r="E143" s="331"/>
      <c r="F143" s="331"/>
      <c r="G143" s="331"/>
      <c r="H143" s="331"/>
      <c r="I143" s="331">
        <v>1516</v>
      </c>
      <c r="J143" s="331">
        <v>513</v>
      </c>
      <c r="K143" s="331">
        <v>2029</v>
      </c>
      <c r="L143" s="331">
        <v>599</v>
      </c>
      <c r="M143" s="331">
        <v>380</v>
      </c>
      <c r="N143" s="331">
        <v>979</v>
      </c>
      <c r="O143" s="331">
        <v>2967</v>
      </c>
      <c r="P143" s="331">
        <v>2185</v>
      </c>
      <c r="Q143" s="331">
        <v>5152</v>
      </c>
      <c r="R143" s="331">
        <v>97</v>
      </c>
      <c r="S143" s="331">
        <v>111</v>
      </c>
      <c r="T143" s="331">
        <v>208</v>
      </c>
      <c r="U143" s="329">
        <v>5179</v>
      </c>
      <c r="V143" s="329">
        <v>3189</v>
      </c>
      <c r="W143" s="329">
        <v>8368</v>
      </c>
    </row>
    <row r="144" spans="2:23" collapsed="1" x14ac:dyDescent="0.25">
      <c r="B144" s="330" t="s">
        <v>698</v>
      </c>
      <c r="C144" s="329" t="s">
        <v>781</v>
      </c>
      <c r="D144" s="329" t="s">
        <v>781</v>
      </c>
      <c r="E144" s="329" t="s">
        <v>781</v>
      </c>
      <c r="F144" s="329" t="s">
        <v>781</v>
      </c>
      <c r="G144" s="329" t="s">
        <v>781</v>
      </c>
      <c r="H144" s="329" t="s">
        <v>781</v>
      </c>
      <c r="I144" s="329">
        <v>1547</v>
      </c>
      <c r="J144" s="329">
        <v>533</v>
      </c>
      <c r="K144" s="329">
        <v>2080</v>
      </c>
      <c r="L144" s="329">
        <v>598</v>
      </c>
      <c r="M144" s="329">
        <v>386</v>
      </c>
      <c r="N144" s="329">
        <v>984</v>
      </c>
      <c r="O144" s="329">
        <v>3144</v>
      </c>
      <c r="P144" s="329">
        <v>2507</v>
      </c>
      <c r="Q144" s="329">
        <v>5651</v>
      </c>
      <c r="R144" s="329">
        <v>93</v>
      </c>
      <c r="S144" s="329">
        <v>92</v>
      </c>
      <c r="T144" s="329">
        <v>185</v>
      </c>
      <c r="U144" s="329">
        <v>5382</v>
      </c>
      <c r="V144" s="329">
        <v>3518</v>
      </c>
      <c r="W144" s="329">
        <v>8900</v>
      </c>
    </row>
    <row r="145" spans="2:23" hidden="1" outlineLevel="1" x14ac:dyDescent="0.25">
      <c r="B145" s="328">
        <v>42736</v>
      </c>
      <c r="C145" s="331"/>
      <c r="D145" s="331"/>
      <c r="E145" s="331"/>
      <c r="F145" s="331"/>
      <c r="G145" s="331"/>
      <c r="H145" s="331"/>
      <c r="I145" s="331">
        <v>1982</v>
      </c>
      <c r="J145" s="331">
        <v>666</v>
      </c>
      <c r="K145" s="331">
        <v>2648</v>
      </c>
      <c r="L145" s="331">
        <v>586</v>
      </c>
      <c r="M145" s="331">
        <v>410</v>
      </c>
      <c r="N145" s="331">
        <v>996</v>
      </c>
      <c r="O145" s="331">
        <v>3552</v>
      </c>
      <c r="P145" s="331">
        <v>2778</v>
      </c>
      <c r="Q145" s="331">
        <v>6330</v>
      </c>
      <c r="R145" s="331">
        <v>119</v>
      </c>
      <c r="S145" s="331">
        <v>106</v>
      </c>
      <c r="T145" s="331">
        <v>225</v>
      </c>
      <c r="U145" s="329">
        <v>6239</v>
      </c>
      <c r="V145" s="329">
        <v>3960</v>
      </c>
      <c r="W145" s="329">
        <v>10199</v>
      </c>
    </row>
    <row r="146" spans="2:23" hidden="1" outlineLevel="1" x14ac:dyDescent="0.25">
      <c r="B146" s="328">
        <v>42767</v>
      </c>
      <c r="C146" s="331"/>
      <c r="D146" s="331"/>
      <c r="E146" s="331"/>
      <c r="F146" s="331"/>
      <c r="G146" s="331"/>
      <c r="H146" s="331"/>
      <c r="I146" s="331">
        <v>1418</v>
      </c>
      <c r="J146" s="331">
        <v>503</v>
      </c>
      <c r="K146" s="331">
        <v>1921</v>
      </c>
      <c r="L146" s="331">
        <v>544</v>
      </c>
      <c r="M146" s="331">
        <v>366</v>
      </c>
      <c r="N146" s="331">
        <v>910</v>
      </c>
      <c r="O146" s="331">
        <v>3161</v>
      </c>
      <c r="P146" s="331">
        <v>2524</v>
      </c>
      <c r="Q146" s="331">
        <v>5685</v>
      </c>
      <c r="R146" s="331">
        <v>89</v>
      </c>
      <c r="S146" s="331">
        <v>95</v>
      </c>
      <c r="T146" s="331">
        <v>184</v>
      </c>
      <c r="U146" s="329">
        <v>5212</v>
      </c>
      <c r="V146" s="329">
        <v>3488</v>
      </c>
      <c r="W146" s="329">
        <v>8700</v>
      </c>
    </row>
    <row r="147" spans="2:23" hidden="1" outlineLevel="1" x14ac:dyDescent="0.25">
      <c r="B147" s="328">
        <v>42795</v>
      </c>
      <c r="C147" s="331"/>
      <c r="D147" s="331"/>
      <c r="E147" s="331"/>
      <c r="F147" s="331"/>
      <c r="G147" s="331"/>
      <c r="H147" s="331"/>
      <c r="I147" s="331">
        <v>1301</v>
      </c>
      <c r="J147" s="331">
        <v>481</v>
      </c>
      <c r="K147" s="331">
        <v>1782</v>
      </c>
      <c r="L147" s="331">
        <v>708</v>
      </c>
      <c r="M147" s="331">
        <v>436</v>
      </c>
      <c r="N147" s="331">
        <v>1144</v>
      </c>
      <c r="O147" s="331">
        <v>3761</v>
      </c>
      <c r="P147" s="331">
        <v>3205</v>
      </c>
      <c r="Q147" s="331">
        <v>6966</v>
      </c>
      <c r="R147" s="331">
        <v>99</v>
      </c>
      <c r="S147" s="331">
        <v>96</v>
      </c>
      <c r="T147" s="331">
        <v>195</v>
      </c>
      <c r="U147" s="329">
        <v>5869</v>
      </c>
      <c r="V147" s="329">
        <v>4218</v>
      </c>
      <c r="W147" s="329">
        <v>10087</v>
      </c>
    </row>
    <row r="148" spans="2:23" hidden="1" outlineLevel="1" x14ac:dyDescent="0.25">
      <c r="B148" s="328">
        <v>42826</v>
      </c>
      <c r="C148" s="331"/>
      <c r="D148" s="331"/>
      <c r="E148" s="331"/>
      <c r="F148" s="331"/>
      <c r="G148" s="331"/>
      <c r="H148" s="331"/>
      <c r="I148" s="331">
        <v>1398</v>
      </c>
      <c r="J148" s="331">
        <v>483</v>
      </c>
      <c r="K148" s="331">
        <v>1881</v>
      </c>
      <c r="L148" s="331">
        <v>571</v>
      </c>
      <c r="M148" s="331">
        <v>362</v>
      </c>
      <c r="N148" s="331">
        <v>933</v>
      </c>
      <c r="O148" s="331">
        <v>3006</v>
      </c>
      <c r="P148" s="331">
        <v>2517</v>
      </c>
      <c r="Q148" s="331">
        <v>5523</v>
      </c>
      <c r="R148" s="331">
        <v>94</v>
      </c>
      <c r="S148" s="331">
        <v>98</v>
      </c>
      <c r="T148" s="331">
        <v>192</v>
      </c>
      <c r="U148" s="329">
        <v>5069</v>
      </c>
      <c r="V148" s="329">
        <v>3460</v>
      </c>
      <c r="W148" s="329">
        <v>8529</v>
      </c>
    </row>
    <row r="149" spans="2:23" hidden="1" outlineLevel="1" x14ac:dyDescent="0.25">
      <c r="B149" s="328">
        <v>42856</v>
      </c>
      <c r="C149" s="331"/>
      <c r="D149" s="331"/>
      <c r="E149" s="331"/>
      <c r="F149" s="331"/>
      <c r="G149" s="331"/>
      <c r="H149" s="331"/>
      <c r="I149" s="331">
        <v>1666</v>
      </c>
      <c r="J149" s="331">
        <v>565</v>
      </c>
      <c r="K149" s="331">
        <v>2231</v>
      </c>
      <c r="L149" s="331">
        <v>621</v>
      </c>
      <c r="M149" s="331">
        <v>364</v>
      </c>
      <c r="N149" s="331">
        <v>985</v>
      </c>
      <c r="O149" s="331">
        <v>3774</v>
      </c>
      <c r="P149" s="331">
        <v>4029</v>
      </c>
      <c r="Q149" s="331">
        <v>7803</v>
      </c>
      <c r="R149" s="331">
        <v>101</v>
      </c>
      <c r="S149" s="331">
        <v>132</v>
      </c>
      <c r="T149" s="331">
        <v>233</v>
      </c>
      <c r="U149" s="329">
        <v>6162</v>
      </c>
      <c r="V149" s="329">
        <v>5090</v>
      </c>
      <c r="W149" s="329">
        <v>11252</v>
      </c>
    </row>
    <row r="150" spans="2:23" hidden="1" outlineLevel="1" x14ac:dyDescent="0.25">
      <c r="B150" s="328">
        <v>42887</v>
      </c>
      <c r="C150" s="331"/>
      <c r="D150" s="331"/>
      <c r="E150" s="331"/>
      <c r="F150" s="331"/>
      <c r="G150" s="331"/>
      <c r="H150" s="331"/>
      <c r="I150" s="331">
        <v>1485</v>
      </c>
      <c r="J150" s="331">
        <v>512</v>
      </c>
      <c r="K150" s="331">
        <v>1997</v>
      </c>
      <c r="L150" s="331">
        <v>526</v>
      </c>
      <c r="M150" s="331">
        <v>388</v>
      </c>
      <c r="N150" s="331">
        <v>914</v>
      </c>
      <c r="O150" s="331">
        <v>3208</v>
      </c>
      <c r="P150" s="331">
        <v>2915</v>
      </c>
      <c r="Q150" s="331">
        <v>6123</v>
      </c>
      <c r="R150" s="331">
        <v>83</v>
      </c>
      <c r="S150" s="331">
        <v>109</v>
      </c>
      <c r="T150" s="331">
        <v>192</v>
      </c>
      <c r="U150" s="329">
        <v>5302</v>
      </c>
      <c r="V150" s="329">
        <v>3924</v>
      </c>
      <c r="W150" s="329">
        <v>9226</v>
      </c>
    </row>
    <row r="151" spans="2:23" hidden="1" outlineLevel="1" x14ac:dyDescent="0.25">
      <c r="B151" s="328">
        <v>42917</v>
      </c>
      <c r="C151" s="331"/>
      <c r="D151" s="331"/>
      <c r="E151" s="331"/>
      <c r="F151" s="331"/>
      <c r="G151" s="331"/>
      <c r="H151" s="331"/>
      <c r="I151" s="331">
        <v>1637</v>
      </c>
      <c r="J151" s="331">
        <v>616</v>
      </c>
      <c r="K151" s="331">
        <v>2253</v>
      </c>
      <c r="L151" s="331">
        <v>638</v>
      </c>
      <c r="M151" s="331">
        <v>408</v>
      </c>
      <c r="N151" s="331">
        <v>1046</v>
      </c>
      <c r="O151" s="331">
        <v>4109</v>
      </c>
      <c r="P151" s="331">
        <v>3391</v>
      </c>
      <c r="Q151" s="331">
        <v>7500</v>
      </c>
      <c r="R151" s="331">
        <v>144</v>
      </c>
      <c r="S151" s="331">
        <v>114</v>
      </c>
      <c r="T151" s="331">
        <v>258</v>
      </c>
      <c r="U151" s="329">
        <v>6528</v>
      </c>
      <c r="V151" s="329">
        <v>4529</v>
      </c>
      <c r="W151" s="329">
        <v>11057</v>
      </c>
    </row>
    <row r="152" spans="2:23" hidden="1" outlineLevel="1" x14ac:dyDescent="0.25">
      <c r="B152" s="328">
        <v>42948</v>
      </c>
      <c r="C152" s="331"/>
      <c r="D152" s="331"/>
      <c r="E152" s="331"/>
      <c r="F152" s="331"/>
      <c r="G152" s="331"/>
      <c r="H152" s="331"/>
      <c r="I152" s="331">
        <v>1753</v>
      </c>
      <c r="J152" s="331">
        <v>602</v>
      </c>
      <c r="K152" s="331">
        <v>2355</v>
      </c>
      <c r="L152" s="331">
        <v>692</v>
      </c>
      <c r="M152" s="331">
        <v>408</v>
      </c>
      <c r="N152" s="331">
        <v>1100</v>
      </c>
      <c r="O152" s="331">
        <v>4217</v>
      </c>
      <c r="P152" s="331">
        <v>3463</v>
      </c>
      <c r="Q152" s="331">
        <v>7680</v>
      </c>
      <c r="R152" s="331">
        <v>126</v>
      </c>
      <c r="S152" s="331">
        <v>147</v>
      </c>
      <c r="T152" s="331">
        <v>273</v>
      </c>
      <c r="U152" s="329">
        <v>6788</v>
      </c>
      <c r="V152" s="329">
        <v>4620</v>
      </c>
      <c r="W152" s="329">
        <v>11408</v>
      </c>
    </row>
    <row r="153" spans="2:23" hidden="1" outlineLevel="1" x14ac:dyDescent="0.25">
      <c r="B153" s="328">
        <v>42979</v>
      </c>
      <c r="C153" s="331"/>
      <c r="D153" s="331"/>
      <c r="E153" s="331"/>
      <c r="F153" s="331"/>
      <c r="G153" s="331"/>
      <c r="H153" s="331"/>
      <c r="I153" s="331">
        <v>1620</v>
      </c>
      <c r="J153" s="331">
        <v>571</v>
      </c>
      <c r="K153" s="331">
        <v>2191</v>
      </c>
      <c r="L153" s="331">
        <v>544</v>
      </c>
      <c r="M153" s="331">
        <v>365</v>
      </c>
      <c r="N153" s="331">
        <v>909</v>
      </c>
      <c r="O153" s="331">
        <v>3488</v>
      </c>
      <c r="P153" s="331">
        <v>2945</v>
      </c>
      <c r="Q153" s="331">
        <v>6433</v>
      </c>
      <c r="R153" s="331">
        <v>119</v>
      </c>
      <c r="S153" s="331">
        <v>117</v>
      </c>
      <c r="T153" s="331">
        <v>236</v>
      </c>
      <c r="U153" s="329">
        <v>5771</v>
      </c>
      <c r="V153" s="329">
        <v>3998</v>
      </c>
      <c r="W153" s="329">
        <v>9769</v>
      </c>
    </row>
    <row r="154" spans="2:23" hidden="1" outlineLevel="1" x14ac:dyDescent="0.25">
      <c r="B154" s="328">
        <v>43009</v>
      </c>
      <c r="C154" s="331"/>
      <c r="D154" s="331"/>
      <c r="E154" s="331"/>
      <c r="F154" s="331"/>
      <c r="G154" s="331"/>
      <c r="H154" s="331"/>
      <c r="I154" s="331">
        <v>1861</v>
      </c>
      <c r="J154" s="331">
        <v>582</v>
      </c>
      <c r="K154" s="331">
        <v>2443</v>
      </c>
      <c r="L154" s="331">
        <v>583</v>
      </c>
      <c r="M154" s="331">
        <v>401</v>
      </c>
      <c r="N154" s="331">
        <v>984</v>
      </c>
      <c r="O154" s="331">
        <v>4268</v>
      </c>
      <c r="P154" s="331">
        <v>3504</v>
      </c>
      <c r="Q154" s="331">
        <v>7772</v>
      </c>
      <c r="R154" s="331">
        <v>139</v>
      </c>
      <c r="S154" s="331">
        <v>135</v>
      </c>
      <c r="T154" s="331">
        <v>274</v>
      </c>
      <c r="U154" s="329">
        <v>6851</v>
      </c>
      <c r="V154" s="329">
        <v>4622</v>
      </c>
      <c r="W154" s="329">
        <v>11473</v>
      </c>
    </row>
    <row r="155" spans="2:23" hidden="1" outlineLevel="1" x14ac:dyDescent="0.25">
      <c r="B155" s="328">
        <v>43040</v>
      </c>
      <c r="C155" s="331"/>
      <c r="D155" s="331"/>
      <c r="E155" s="331"/>
      <c r="F155" s="331"/>
      <c r="G155" s="331"/>
      <c r="H155" s="331"/>
      <c r="I155" s="331">
        <v>1686</v>
      </c>
      <c r="J155" s="331">
        <v>552</v>
      </c>
      <c r="K155" s="331">
        <v>2238</v>
      </c>
      <c r="L155" s="331">
        <v>681</v>
      </c>
      <c r="M155" s="331">
        <v>426</v>
      </c>
      <c r="N155" s="331">
        <v>1107</v>
      </c>
      <c r="O155" s="331">
        <v>4011</v>
      </c>
      <c r="P155" s="331">
        <v>3278</v>
      </c>
      <c r="Q155" s="331">
        <v>7289</v>
      </c>
      <c r="R155" s="331">
        <v>128</v>
      </c>
      <c r="S155" s="331">
        <v>160</v>
      </c>
      <c r="T155" s="331">
        <v>288</v>
      </c>
      <c r="U155" s="329">
        <v>6506</v>
      </c>
      <c r="V155" s="329">
        <v>4416</v>
      </c>
      <c r="W155" s="329">
        <v>10922</v>
      </c>
    </row>
    <row r="156" spans="2:23" hidden="1" outlineLevel="1" x14ac:dyDescent="0.25">
      <c r="B156" s="328">
        <v>43070</v>
      </c>
      <c r="C156" s="331"/>
      <c r="D156" s="331"/>
      <c r="E156" s="331"/>
      <c r="F156" s="331"/>
      <c r="G156" s="331"/>
      <c r="H156" s="331"/>
      <c r="I156" s="331">
        <v>1604</v>
      </c>
      <c r="J156" s="331">
        <v>572</v>
      </c>
      <c r="K156" s="331">
        <v>2176</v>
      </c>
      <c r="L156" s="331">
        <v>555</v>
      </c>
      <c r="M156" s="331">
        <v>327</v>
      </c>
      <c r="N156" s="331">
        <v>882</v>
      </c>
      <c r="O156" s="331">
        <v>3720</v>
      </c>
      <c r="P156" s="331">
        <v>3362</v>
      </c>
      <c r="Q156" s="331">
        <v>7082</v>
      </c>
      <c r="R156" s="331">
        <v>121</v>
      </c>
      <c r="S156" s="331">
        <v>131</v>
      </c>
      <c r="T156" s="331">
        <v>252</v>
      </c>
      <c r="U156" s="329">
        <v>6000</v>
      </c>
      <c r="V156" s="329">
        <v>4392</v>
      </c>
      <c r="W156" s="329">
        <v>10392</v>
      </c>
    </row>
    <row r="157" spans="2:23" collapsed="1" x14ac:dyDescent="0.25">
      <c r="B157" s="330" t="s">
        <v>699</v>
      </c>
      <c r="C157" s="329" t="s">
        <v>781</v>
      </c>
      <c r="D157" s="329" t="s">
        <v>781</v>
      </c>
      <c r="E157" s="329" t="s">
        <v>781</v>
      </c>
      <c r="F157" s="329" t="s">
        <v>781</v>
      </c>
      <c r="G157" s="329" t="s">
        <v>781</v>
      </c>
      <c r="H157" s="329" t="s">
        <v>781</v>
      </c>
      <c r="I157" s="329">
        <v>1618</v>
      </c>
      <c r="J157" s="329">
        <v>559</v>
      </c>
      <c r="K157" s="329">
        <v>2176</v>
      </c>
      <c r="L157" s="329">
        <v>604</v>
      </c>
      <c r="M157" s="329">
        <v>388</v>
      </c>
      <c r="N157" s="329">
        <v>993</v>
      </c>
      <c r="O157" s="329">
        <v>3690</v>
      </c>
      <c r="P157" s="329">
        <v>3159</v>
      </c>
      <c r="Q157" s="329">
        <v>6849</v>
      </c>
      <c r="R157" s="329">
        <v>114</v>
      </c>
      <c r="S157" s="329">
        <v>120</v>
      </c>
      <c r="T157" s="329">
        <v>234</v>
      </c>
      <c r="U157" s="329">
        <v>6025</v>
      </c>
      <c r="V157" s="329">
        <v>4226</v>
      </c>
      <c r="W157" s="329">
        <v>10251</v>
      </c>
    </row>
    <row r="158" spans="2:23" hidden="1" outlineLevel="1" x14ac:dyDescent="0.25">
      <c r="B158" s="328">
        <v>43101</v>
      </c>
      <c r="C158" s="331"/>
      <c r="D158" s="331"/>
      <c r="E158" s="331"/>
      <c r="F158" s="331"/>
      <c r="G158" s="331"/>
      <c r="H158" s="331"/>
      <c r="I158" s="331">
        <v>1864</v>
      </c>
      <c r="J158" s="331">
        <v>602</v>
      </c>
      <c r="K158" s="331">
        <v>2466</v>
      </c>
      <c r="L158" s="331">
        <v>568</v>
      </c>
      <c r="M158" s="331">
        <v>379</v>
      </c>
      <c r="N158" s="331">
        <v>947</v>
      </c>
      <c r="O158" s="331">
        <v>5739</v>
      </c>
      <c r="P158" s="331">
        <v>4471</v>
      </c>
      <c r="Q158" s="331">
        <v>10210</v>
      </c>
      <c r="R158" s="331">
        <v>183</v>
      </c>
      <c r="S158" s="331">
        <v>179</v>
      </c>
      <c r="T158" s="331">
        <v>362</v>
      </c>
      <c r="U158" s="329">
        <v>8354</v>
      </c>
      <c r="V158" s="329">
        <v>5631</v>
      </c>
      <c r="W158" s="329">
        <v>13985</v>
      </c>
    </row>
    <row r="159" spans="2:23" hidden="1" outlineLevel="1" x14ac:dyDescent="0.25">
      <c r="B159" s="328">
        <v>43132</v>
      </c>
      <c r="C159" s="331"/>
      <c r="D159" s="331"/>
      <c r="E159" s="331"/>
      <c r="F159" s="331"/>
      <c r="G159" s="331"/>
      <c r="H159" s="331"/>
      <c r="I159" s="331">
        <v>1558</v>
      </c>
      <c r="J159" s="331">
        <v>545</v>
      </c>
      <c r="K159" s="331">
        <v>2103</v>
      </c>
      <c r="L159" s="331">
        <v>434</v>
      </c>
      <c r="M159" s="331">
        <v>300</v>
      </c>
      <c r="N159" s="331">
        <v>734</v>
      </c>
      <c r="O159" s="331">
        <v>5959</v>
      </c>
      <c r="P159" s="331">
        <v>4201</v>
      </c>
      <c r="Q159" s="331">
        <v>10160</v>
      </c>
      <c r="R159" s="331">
        <v>377</v>
      </c>
      <c r="S159" s="331">
        <v>334</v>
      </c>
      <c r="T159" s="331">
        <v>711</v>
      </c>
      <c r="U159" s="329">
        <v>8328</v>
      </c>
      <c r="V159" s="329">
        <v>5380</v>
      </c>
      <c r="W159" s="329">
        <v>13708</v>
      </c>
    </row>
    <row r="160" spans="2:23" hidden="1" outlineLevel="1" x14ac:dyDescent="0.25">
      <c r="B160" s="328">
        <v>43160</v>
      </c>
      <c r="C160" s="331"/>
      <c r="D160" s="331"/>
      <c r="E160" s="331"/>
      <c r="F160" s="331"/>
      <c r="G160" s="331"/>
      <c r="H160" s="331"/>
      <c r="I160" s="331">
        <v>1716</v>
      </c>
      <c r="J160" s="331">
        <v>615</v>
      </c>
      <c r="K160" s="331">
        <v>2331</v>
      </c>
      <c r="L160" s="331">
        <v>589</v>
      </c>
      <c r="M160" s="331">
        <v>345</v>
      </c>
      <c r="N160" s="331">
        <v>934</v>
      </c>
      <c r="O160" s="331">
        <v>5221</v>
      </c>
      <c r="P160" s="331">
        <v>4220</v>
      </c>
      <c r="Q160" s="331">
        <v>9441</v>
      </c>
      <c r="R160" s="331">
        <v>443</v>
      </c>
      <c r="S160" s="331">
        <v>448</v>
      </c>
      <c r="T160" s="331">
        <v>891</v>
      </c>
      <c r="U160" s="329">
        <v>7969</v>
      </c>
      <c r="V160" s="329">
        <v>5628</v>
      </c>
      <c r="W160" s="329">
        <v>13597</v>
      </c>
    </row>
    <row r="161" spans="2:23" hidden="1" outlineLevel="1" x14ac:dyDescent="0.25">
      <c r="B161" s="328">
        <v>43191</v>
      </c>
      <c r="C161" s="331"/>
      <c r="D161" s="331"/>
      <c r="E161" s="331"/>
      <c r="F161" s="331"/>
      <c r="G161" s="331"/>
      <c r="H161" s="331"/>
      <c r="I161" s="331">
        <v>1753</v>
      </c>
      <c r="J161" s="331">
        <v>567</v>
      </c>
      <c r="K161" s="331">
        <v>2320</v>
      </c>
      <c r="L161" s="331">
        <v>585</v>
      </c>
      <c r="M161" s="331">
        <v>386</v>
      </c>
      <c r="N161" s="331">
        <v>971</v>
      </c>
      <c r="O161" s="331">
        <v>4664</v>
      </c>
      <c r="P161" s="331">
        <v>4163</v>
      </c>
      <c r="Q161" s="331">
        <v>8827</v>
      </c>
      <c r="R161" s="331">
        <v>404</v>
      </c>
      <c r="S161" s="331">
        <v>394</v>
      </c>
      <c r="T161" s="331">
        <v>798</v>
      </c>
      <c r="U161" s="329">
        <v>7406</v>
      </c>
      <c r="V161" s="329">
        <v>5510</v>
      </c>
      <c r="W161" s="329">
        <v>12916</v>
      </c>
    </row>
    <row r="162" spans="2:23" hidden="1" outlineLevel="1" x14ac:dyDescent="0.25">
      <c r="B162" s="328">
        <v>43221</v>
      </c>
      <c r="C162" s="331"/>
      <c r="D162" s="331"/>
      <c r="E162" s="331"/>
      <c r="F162" s="331"/>
      <c r="G162" s="331"/>
      <c r="H162" s="331"/>
      <c r="I162" s="331">
        <v>1870</v>
      </c>
      <c r="J162" s="331">
        <v>560</v>
      </c>
      <c r="K162" s="331">
        <v>2430</v>
      </c>
      <c r="L162" s="331">
        <v>587</v>
      </c>
      <c r="M162" s="331">
        <v>338</v>
      </c>
      <c r="N162" s="331">
        <v>925</v>
      </c>
      <c r="O162" s="331">
        <v>4982</v>
      </c>
      <c r="P162" s="331">
        <v>5226</v>
      </c>
      <c r="Q162" s="331">
        <v>10208</v>
      </c>
      <c r="R162" s="331">
        <v>237</v>
      </c>
      <c r="S162" s="331">
        <v>285</v>
      </c>
      <c r="T162" s="331">
        <v>522</v>
      </c>
      <c r="U162" s="329">
        <v>7676</v>
      </c>
      <c r="V162" s="329">
        <v>6409</v>
      </c>
      <c r="W162" s="329">
        <v>14085</v>
      </c>
    </row>
    <row r="163" spans="2:23" hidden="1" outlineLevel="1" x14ac:dyDescent="0.25">
      <c r="B163" s="328">
        <v>43252</v>
      </c>
      <c r="C163" s="331"/>
      <c r="D163" s="331"/>
      <c r="E163" s="331"/>
      <c r="F163" s="331"/>
      <c r="G163" s="331"/>
      <c r="H163" s="331"/>
      <c r="I163" s="331">
        <v>1705</v>
      </c>
      <c r="J163" s="331">
        <v>540</v>
      </c>
      <c r="K163" s="331">
        <v>2245</v>
      </c>
      <c r="L163" s="331">
        <v>556</v>
      </c>
      <c r="M163" s="331">
        <v>352</v>
      </c>
      <c r="N163" s="331">
        <v>908</v>
      </c>
      <c r="O163" s="331">
        <v>4633</v>
      </c>
      <c r="P163" s="331">
        <v>4250</v>
      </c>
      <c r="Q163" s="331">
        <v>8883</v>
      </c>
      <c r="R163" s="331">
        <v>215</v>
      </c>
      <c r="S163" s="331">
        <v>276</v>
      </c>
      <c r="T163" s="331">
        <v>491</v>
      </c>
      <c r="U163" s="329">
        <v>7109</v>
      </c>
      <c r="V163" s="329">
        <v>5418</v>
      </c>
      <c r="W163" s="329">
        <v>12527</v>
      </c>
    </row>
    <row r="164" spans="2:23" hidden="1" outlineLevel="1" x14ac:dyDescent="0.25">
      <c r="B164" s="328">
        <v>43282</v>
      </c>
      <c r="C164" s="331"/>
      <c r="D164" s="331"/>
      <c r="E164" s="331"/>
      <c r="F164" s="331"/>
      <c r="G164" s="331"/>
      <c r="H164" s="331"/>
      <c r="I164" s="331">
        <v>1872</v>
      </c>
      <c r="J164" s="331">
        <v>604</v>
      </c>
      <c r="K164" s="331">
        <v>2476</v>
      </c>
      <c r="L164" s="331">
        <v>586</v>
      </c>
      <c r="M164" s="331">
        <v>396</v>
      </c>
      <c r="N164" s="331">
        <v>982</v>
      </c>
      <c r="O164" s="331">
        <v>5007</v>
      </c>
      <c r="P164" s="331">
        <v>4397</v>
      </c>
      <c r="Q164" s="331">
        <v>9404</v>
      </c>
      <c r="R164" s="331">
        <v>210</v>
      </c>
      <c r="S164" s="331">
        <v>235</v>
      </c>
      <c r="T164" s="331">
        <v>445</v>
      </c>
      <c r="U164" s="329">
        <v>7675</v>
      </c>
      <c r="V164" s="329">
        <v>5632</v>
      </c>
      <c r="W164" s="329">
        <v>13307</v>
      </c>
    </row>
    <row r="165" spans="2:23" hidden="1" outlineLevel="1" x14ac:dyDescent="0.25">
      <c r="B165" s="328">
        <v>43313</v>
      </c>
      <c r="C165" s="331"/>
      <c r="D165" s="331"/>
      <c r="E165" s="331"/>
      <c r="F165" s="331"/>
      <c r="G165" s="331"/>
      <c r="H165" s="331"/>
      <c r="I165" s="331">
        <v>2036</v>
      </c>
      <c r="J165" s="331">
        <v>641</v>
      </c>
      <c r="K165" s="331">
        <v>2677</v>
      </c>
      <c r="L165" s="331">
        <v>615</v>
      </c>
      <c r="M165" s="331">
        <v>397</v>
      </c>
      <c r="N165" s="331">
        <v>1012</v>
      </c>
      <c r="O165" s="331">
        <v>5455</v>
      </c>
      <c r="P165" s="331">
        <v>4515</v>
      </c>
      <c r="Q165" s="331">
        <v>9970</v>
      </c>
      <c r="R165" s="331">
        <v>186</v>
      </c>
      <c r="S165" s="331">
        <v>202</v>
      </c>
      <c r="T165" s="331">
        <v>388</v>
      </c>
      <c r="U165" s="329">
        <v>8292</v>
      </c>
      <c r="V165" s="329">
        <v>5755</v>
      </c>
      <c r="W165" s="329">
        <v>14047</v>
      </c>
    </row>
    <row r="166" spans="2:23" hidden="1" outlineLevel="1" x14ac:dyDescent="0.25">
      <c r="B166" s="328">
        <v>43344</v>
      </c>
      <c r="C166" s="331"/>
      <c r="D166" s="331"/>
      <c r="E166" s="331"/>
      <c r="F166" s="331"/>
      <c r="G166" s="331"/>
      <c r="H166" s="331"/>
      <c r="I166" s="331">
        <v>1477</v>
      </c>
      <c r="J166" s="331">
        <v>422</v>
      </c>
      <c r="K166" s="331">
        <v>1899</v>
      </c>
      <c r="L166" s="331">
        <v>531</v>
      </c>
      <c r="M166" s="331">
        <v>301</v>
      </c>
      <c r="N166" s="331">
        <v>832</v>
      </c>
      <c r="O166" s="331">
        <v>4305</v>
      </c>
      <c r="P166" s="331">
        <v>3386</v>
      </c>
      <c r="Q166" s="331">
        <v>7691</v>
      </c>
      <c r="R166" s="331">
        <v>142</v>
      </c>
      <c r="S166" s="331">
        <v>169</v>
      </c>
      <c r="T166" s="331">
        <v>311</v>
      </c>
      <c r="U166" s="329">
        <v>6455</v>
      </c>
      <c r="V166" s="329">
        <v>4278</v>
      </c>
      <c r="W166" s="329">
        <v>10733</v>
      </c>
    </row>
    <row r="167" spans="2:23" hidden="1" outlineLevel="1" x14ac:dyDescent="0.25">
      <c r="B167" s="328">
        <v>43374</v>
      </c>
      <c r="C167" s="331"/>
      <c r="D167" s="331"/>
      <c r="E167" s="331"/>
      <c r="F167" s="331"/>
      <c r="G167" s="331"/>
      <c r="H167" s="331"/>
      <c r="I167" s="331">
        <v>2156</v>
      </c>
      <c r="J167" s="331">
        <v>680</v>
      </c>
      <c r="K167" s="331">
        <v>2836</v>
      </c>
      <c r="L167" s="331">
        <v>605</v>
      </c>
      <c r="M167" s="331">
        <v>356</v>
      </c>
      <c r="N167" s="331">
        <v>961</v>
      </c>
      <c r="O167" s="331">
        <v>5980</v>
      </c>
      <c r="P167" s="331">
        <v>4709</v>
      </c>
      <c r="Q167" s="331">
        <v>10689</v>
      </c>
      <c r="R167" s="331">
        <v>166</v>
      </c>
      <c r="S167" s="331">
        <v>208</v>
      </c>
      <c r="T167" s="331">
        <v>374</v>
      </c>
      <c r="U167" s="329">
        <v>8907</v>
      </c>
      <c r="V167" s="329">
        <v>5953</v>
      </c>
      <c r="W167" s="329">
        <v>14860</v>
      </c>
    </row>
    <row r="168" spans="2:23" hidden="1" outlineLevel="1" x14ac:dyDescent="0.25">
      <c r="B168" s="328">
        <v>43405</v>
      </c>
      <c r="C168" s="331"/>
      <c r="D168" s="331"/>
      <c r="E168" s="331"/>
      <c r="F168" s="331"/>
      <c r="G168" s="331"/>
      <c r="H168" s="331"/>
      <c r="I168" s="331">
        <v>1804</v>
      </c>
      <c r="J168" s="331">
        <v>581</v>
      </c>
      <c r="K168" s="331">
        <v>2385</v>
      </c>
      <c r="L168" s="331">
        <v>498</v>
      </c>
      <c r="M168" s="331">
        <v>377</v>
      </c>
      <c r="N168" s="331">
        <v>875</v>
      </c>
      <c r="O168" s="331">
        <v>4721</v>
      </c>
      <c r="P168" s="331">
        <v>3912</v>
      </c>
      <c r="Q168" s="331">
        <v>8633</v>
      </c>
      <c r="R168" s="331">
        <v>130</v>
      </c>
      <c r="S168" s="331">
        <v>145</v>
      </c>
      <c r="T168" s="331">
        <v>275</v>
      </c>
      <c r="U168" s="329">
        <v>7153</v>
      </c>
      <c r="V168" s="329">
        <v>5015</v>
      </c>
      <c r="W168" s="329">
        <v>12168</v>
      </c>
    </row>
    <row r="169" spans="2:23" hidden="1" outlineLevel="1" x14ac:dyDescent="0.25">
      <c r="B169" s="328">
        <v>43435</v>
      </c>
      <c r="C169" s="331"/>
      <c r="D169" s="331"/>
      <c r="E169" s="331"/>
      <c r="F169" s="331"/>
      <c r="G169" s="331"/>
      <c r="H169" s="331"/>
      <c r="I169" s="331">
        <v>1669</v>
      </c>
      <c r="J169" s="331">
        <v>514</v>
      </c>
      <c r="K169" s="331">
        <v>2183</v>
      </c>
      <c r="L169" s="331">
        <v>531</v>
      </c>
      <c r="M169" s="331">
        <v>378</v>
      </c>
      <c r="N169" s="331">
        <v>909</v>
      </c>
      <c r="O169" s="331">
        <v>4099</v>
      </c>
      <c r="P169" s="331">
        <v>3729</v>
      </c>
      <c r="Q169" s="331">
        <v>7828</v>
      </c>
      <c r="R169" s="331">
        <v>147</v>
      </c>
      <c r="S169" s="331">
        <v>149</v>
      </c>
      <c r="T169" s="331">
        <v>296</v>
      </c>
      <c r="U169" s="329">
        <v>6446</v>
      </c>
      <c r="V169" s="329">
        <v>4770</v>
      </c>
      <c r="W169" s="329">
        <v>11216</v>
      </c>
    </row>
    <row r="170" spans="2:23" collapsed="1" x14ac:dyDescent="0.25">
      <c r="B170" s="330" t="s">
        <v>700</v>
      </c>
      <c r="C170" s="329" t="s">
        <v>781</v>
      </c>
      <c r="D170" s="329" t="s">
        <v>781</v>
      </c>
      <c r="E170" s="329" t="s">
        <v>781</v>
      </c>
      <c r="F170" s="329" t="s">
        <v>781</v>
      </c>
      <c r="G170" s="329" t="s">
        <v>781</v>
      </c>
      <c r="H170" s="329" t="s">
        <v>781</v>
      </c>
      <c r="I170" s="329">
        <v>1790</v>
      </c>
      <c r="J170" s="329">
        <v>573</v>
      </c>
      <c r="K170" s="329">
        <v>2363</v>
      </c>
      <c r="L170" s="329">
        <v>557</v>
      </c>
      <c r="M170" s="329">
        <v>359</v>
      </c>
      <c r="N170" s="329">
        <v>916</v>
      </c>
      <c r="O170" s="329">
        <v>5064</v>
      </c>
      <c r="P170" s="329">
        <v>4265</v>
      </c>
      <c r="Q170" s="329">
        <v>9329</v>
      </c>
      <c r="R170" s="329">
        <v>237</v>
      </c>
      <c r="S170" s="329">
        <v>252</v>
      </c>
      <c r="T170" s="329">
        <v>489</v>
      </c>
      <c r="U170" s="329">
        <v>7648</v>
      </c>
      <c r="V170" s="329">
        <v>5448</v>
      </c>
      <c r="W170" s="329">
        <v>13096</v>
      </c>
    </row>
    <row r="171" spans="2:23" hidden="1" outlineLevel="1" x14ac:dyDescent="0.25">
      <c r="B171" s="328">
        <v>43466</v>
      </c>
      <c r="C171" s="331"/>
      <c r="D171" s="331"/>
      <c r="E171" s="331"/>
      <c r="F171" s="331"/>
      <c r="G171" s="331"/>
      <c r="H171" s="331"/>
      <c r="I171" s="331">
        <v>1881</v>
      </c>
      <c r="J171" s="331">
        <v>606</v>
      </c>
      <c r="K171" s="331">
        <v>2487</v>
      </c>
      <c r="L171" s="331">
        <v>573</v>
      </c>
      <c r="M171" s="331">
        <v>381</v>
      </c>
      <c r="N171" s="331">
        <v>954</v>
      </c>
      <c r="O171" s="331">
        <v>4979</v>
      </c>
      <c r="P171" s="331">
        <v>4286</v>
      </c>
      <c r="Q171" s="331">
        <v>9265</v>
      </c>
      <c r="R171" s="331">
        <v>246</v>
      </c>
      <c r="S171" s="331">
        <v>272</v>
      </c>
      <c r="T171" s="331">
        <v>518</v>
      </c>
      <c r="U171" s="329">
        <v>7679</v>
      </c>
      <c r="V171" s="329">
        <v>5545</v>
      </c>
      <c r="W171" s="329">
        <v>13224</v>
      </c>
    </row>
    <row r="172" spans="2:23" hidden="1" outlineLevel="1" x14ac:dyDescent="0.25">
      <c r="B172" s="328">
        <v>43497</v>
      </c>
      <c r="C172" s="331"/>
      <c r="D172" s="331"/>
      <c r="E172" s="331"/>
      <c r="F172" s="331"/>
      <c r="G172" s="331"/>
      <c r="H172" s="331"/>
      <c r="I172" s="331">
        <v>1474</v>
      </c>
      <c r="J172" s="331">
        <v>488</v>
      </c>
      <c r="K172" s="331">
        <v>1962</v>
      </c>
      <c r="L172" s="331">
        <v>499</v>
      </c>
      <c r="M172" s="331">
        <v>344</v>
      </c>
      <c r="N172" s="331">
        <v>843</v>
      </c>
      <c r="O172" s="331">
        <v>4129</v>
      </c>
      <c r="P172" s="331">
        <v>3658</v>
      </c>
      <c r="Q172" s="331">
        <v>7787</v>
      </c>
      <c r="R172" s="331">
        <v>348</v>
      </c>
      <c r="S172" s="331">
        <v>298</v>
      </c>
      <c r="T172" s="331">
        <v>646</v>
      </c>
      <c r="U172" s="329">
        <v>6450</v>
      </c>
      <c r="V172" s="329">
        <v>4788</v>
      </c>
      <c r="W172" s="329">
        <v>11238</v>
      </c>
    </row>
    <row r="173" spans="2:23" hidden="1" outlineLevel="1" x14ac:dyDescent="0.25">
      <c r="B173" s="328">
        <v>43525</v>
      </c>
      <c r="C173" s="331"/>
      <c r="D173" s="331"/>
      <c r="E173" s="331"/>
      <c r="F173" s="331"/>
      <c r="G173" s="331"/>
      <c r="H173" s="331"/>
      <c r="I173" s="331">
        <v>1653</v>
      </c>
      <c r="J173" s="331">
        <v>571</v>
      </c>
      <c r="K173" s="331">
        <v>2224</v>
      </c>
      <c r="L173" s="331">
        <v>597</v>
      </c>
      <c r="M173" s="331">
        <v>367</v>
      </c>
      <c r="N173" s="331">
        <v>964</v>
      </c>
      <c r="O173" s="331">
        <v>4515</v>
      </c>
      <c r="P173" s="331">
        <v>3964</v>
      </c>
      <c r="Q173" s="331">
        <v>8479</v>
      </c>
      <c r="R173" s="331">
        <v>302</v>
      </c>
      <c r="S173" s="331">
        <v>297</v>
      </c>
      <c r="T173" s="331">
        <v>599</v>
      </c>
      <c r="U173" s="329">
        <v>7067</v>
      </c>
      <c r="V173" s="329">
        <v>5199</v>
      </c>
      <c r="W173" s="329">
        <v>12266</v>
      </c>
    </row>
    <row r="174" spans="2:23" hidden="1" outlineLevel="1" x14ac:dyDescent="0.25">
      <c r="B174" s="328">
        <v>43556</v>
      </c>
      <c r="C174" s="331"/>
      <c r="D174" s="331"/>
      <c r="E174" s="331"/>
      <c r="F174" s="331"/>
      <c r="G174" s="331"/>
      <c r="H174" s="331"/>
      <c r="I174" s="331">
        <v>1589</v>
      </c>
      <c r="J174" s="331">
        <v>545</v>
      </c>
      <c r="K174" s="331">
        <v>2134</v>
      </c>
      <c r="L174" s="331">
        <v>637</v>
      </c>
      <c r="M174" s="331">
        <v>352</v>
      </c>
      <c r="N174" s="331">
        <v>989</v>
      </c>
      <c r="O174" s="331">
        <v>4369</v>
      </c>
      <c r="P174" s="331">
        <v>3936</v>
      </c>
      <c r="Q174" s="331">
        <v>8305</v>
      </c>
      <c r="R174" s="331">
        <v>252</v>
      </c>
      <c r="S174" s="331">
        <v>287</v>
      </c>
      <c r="T174" s="331">
        <v>539</v>
      </c>
      <c r="U174" s="329">
        <v>6847</v>
      </c>
      <c r="V174" s="329">
        <v>5120</v>
      </c>
      <c r="W174" s="329">
        <v>11967</v>
      </c>
    </row>
    <row r="175" spans="2:23" hidden="1" outlineLevel="1" x14ac:dyDescent="0.25">
      <c r="B175" s="328">
        <v>43586</v>
      </c>
      <c r="C175" s="331"/>
      <c r="D175" s="331"/>
      <c r="E175" s="331"/>
      <c r="F175" s="331"/>
      <c r="G175" s="331"/>
      <c r="H175" s="331"/>
      <c r="I175" s="331">
        <v>1643</v>
      </c>
      <c r="J175" s="331">
        <v>553</v>
      </c>
      <c r="K175" s="331">
        <v>2196</v>
      </c>
      <c r="L175" s="331">
        <v>525</v>
      </c>
      <c r="M175" s="331">
        <v>340</v>
      </c>
      <c r="N175" s="331">
        <v>865</v>
      </c>
      <c r="O175" s="331">
        <v>4286</v>
      </c>
      <c r="P175" s="331">
        <v>4248</v>
      </c>
      <c r="Q175" s="331">
        <v>8534</v>
      </c>
      <c r="R175" s="331">
        <v>215</v>
      </c>
      <c r="S175" s="331">
        <v>235</v>
      </c>
      <c r="T175" s="331">
        <v>450</v>
      </c>
      <c r="U175" s="329">
        <v>6669</v>
      </c>
      <c r="V175" s="329">
        <v>5376</v>
      </c>
      <c r="W175" s="329">
        <v>12045</v>
      </c>
    </row>
    <row r="176" spans="2:23" hidden="1" outlineLevel="1" x14ac:dyDescent="0.25">
      <c r="B176" s="328">
        <v>43617</v>
      </c>
      <c r="C176" s="331"/>
      <c r="D176" s="331"/>
      <c r="E176" s="331"/>
      <c r="F176" s="331"/>
      <c r="G176" s="331"/>
      <c r="H176" s="331"/>
      <c r="I176" s="331">
        <v>1491</v>
      </c>
      <c r="J176" s="331">
        <v>488</v>
      </c>
      <c r="K176" s="331">
        <v>1979</v>
      </c>
      <c r="L176" s="331">
        <v>532</v>
      </c>
      <c r="M176" s="331">
        <v>393</v>
      </c>
      <c r="N176" s="331">
        <v>925</v>
      </c>
      <c r="O176" s="331">
        <v>3727</v>
      </c>
      <c r="P176" s="331">
        <v>3552</v>
      </c>
      <c r="Q176" s="331">
        <v>7279</v>
      </c>
      <c r="R176" s="331">
        <v>180</v>
      </c>
      <c r="S176" s="331">
        <v>185</v>
      </c>
      <c r="T176" s="331">
        <v>365</v>
      </c>
      <c r="U176" s="329">
        <v>5930</v>
      </c>
      <c r="V176" s="329">
        <v>4618</v>
      </c>
      <c r="W176" s="329">
        <v>10548</v>
      </c>
    </row>
    <row r="177" spans="2:23" hidden="1" outlineLevel="1" x14ac:dyDescent="0.25">
      <c r="B177" s="328">
        <v>43647</v>
      </c>
      <c r="C177" s="331"/>
      <c r="D177" s="331"/>
      <c r="E177" s="331"/>
      <c r="F177" s="331"/>
      <c r="G177" s="331"/>
      <c r="H177" s="331"/>
      <c r="I177" s="331">
        <v>1782</v>
      </c>
      <c r="J177" s="331">
        <v>573</v>
      </c>
      <c r="K177" s="331">
        <v>2355</v>
      </c>
      <c r="L177" s="331">
        <v>636</v>
      </c>
      <c r="M177" s="331">
        <v>393</v>
      </c>
      <c r="N177" s="331">
        <v>1029</v>
      </c>
      <c r="O177" s="331">
        <v>4872</v>
      </c>
      <c r="P177" s="331">
        <v>4418</v>
      </c>
      <c r="Q177" s="331">
        <v>9290</v>
      </c>
      <c r="R177" s="331">
        <v>222</v>
      </c>
      <c r="S177" s="331">
        <v>226</v>
      </c>
      <c r="T177" s="331">
        <v>448</v>
      </c>
      <c r="U177" s="329">
        <v>7512</v>
      </c>
      <c r="V177" s="329">
        <v>5610</v>
      </c>
      <c r="W177" s="329">
        <v>13122</v>
      </c>
    </row>
    <row r="178" spans="2:23" hidden="1" outlineLevel="1" x14ac:dyDescent="0.25">
      <c r="B178" s="328">
        <v>43678</v>
      </c>
      <c r="C178" s="331"/>
      <c r="D178" s="331"/>
      <c r="E178" s="331"/>
      <c r="F178" s="331"/>
      <c r="G178" s="331"/>
      <c r="H178" s="331"/>
      <c r="I178" s="331">
        <v>1783</v>
      </c>
      <c r="J178" s="331">
        <v>529</v>
      </c>
      <c r="K178" s="331">
        <v>2312</v>
      </c>
      <c r="L178" s="331">
        <v>597</v>
      </c>
      <c r="M178" s="331">
        <v>362</v>
      </c>
      <c r="N178" s="331">
        <v>959</v>
      </c>
      <c r="O178" s="331">
        <v>4660</v>
      </c>
      <c r="P178" s="331">
        <v>4045</v>
      </c>
      <c r="Q178" s="331">
        <v>8705</v>
      </c>
      <c r="R178" s="331">
        <v>189</v>
      </c>
      <c r="S178" s="331">
        <v>199</v>
      </c>
      <c r="T178" s="331">
        <v>388</v>
      </c>
      <c r="U178" s="329">
        <v>7229</v>
      </c>
      <c r="V178" s="329">
        <v>5135</v>
      </c>
      <c r="W178" s="329">
        <v>12364</v>
      </c>
    </row>
    <row r="179" spans="2:23" hidden="1" outlineLevel="1" x14ac:dyDescent="0.25">
      <c r="B179" s="328">
        <v>43709</v>
      </c>
      <c r="C179" s="331"/>
      <c r="D179" s="331"/>
      <c r="E179" s="331"/>
      <c r="F179" s="331"/>
      <c r="G179" s="331"/>
      <c r="H179" s="331"/>
      <c r="I179" s="331">
        <v>1744</v>
      </c>
      <c r="J179" s="331">
        <v>500</v>
      </c>
      <c r="K179" s="331">
        <v>2244</v>
      </c>
      <c r="L179" s="331">
        <v>453</v>
      </c>
      <c r="M179" s="331">
        <v>328</v>
      </c>
      <c r="N179" s="331">
        <v>781</v>
      </c>
      <c r="O179" s="331">
        <v>4286</v>
      </c>
      <c r="P179" s="331">
        <v>3657</v>
      </c>
      <c r="Q179" s="331">
        <v>7943</v>
      </c>
      <c r="R179" s="331">
        <v>197</v>
      </c>
      <c r="S179" s="331">
        <v>225</v>
      </c>
      <c r="T179" s="331">
        <v>422</v>
      </c>
      <c r="U179" s="329">
        <v>6680</v>
      </c>
      <c r="V179" s="329">
        <v>4710</v>
      </c>
      <c r="W179" s="329">
        <v>11390</v>
      </c>
    </row>
    <row r="180" spans="2:23" hidden="1" outlineLevel="1" x14ac:dyDescent="0.25">
      <c r="B180" s="328">
        <v>43739</v>
      </c>
      <c r="C180" s="331"/>
      <c r="D180" s="331"/>
      <c r="E180" s="331"/>
      <c r="F180" s="331"/>
      <c r="G180" s="331"/>
      <c r="H180" s="331"/>
      <c r="I180" s="331">
        <v>1670</v>
      </c>
      <c r="J180" s="331">
        <v>488</v>
      </c>
      <c r="K180" s="331">
        <v>2158</v>
      </c>
      <c r="L180" s="331">
        <v>472</v>
      </c>
      <c r="M180" s="331">
        <v>261</v>
      </c>
      <c r="N180" s="331">
        <v>733</v>
      </c>
      <c r="O180" s="331">
        <v>3924</v>
      </c>
      <c r="P180" s="331">
        <v>3177</v>
      </c>
      <c r="Q180" s="331">
        <v>7101</v>
      </c>
      <c r="R180" s="331">
        <v>169</v>
      </c>
      <c r="S180" s="331">
        <v>167</v>
      </c>
      <c r="T180" s="331">
        <v>336</v>
      </c>
      <c r="U180" s="329">
        <v>6235</v>
      </c>
      <c r="V180" s="329">
        <v>4093</v>
      </c>
      <c r="W180" s="329">
        <v>10328</v>
      </c>
    </row>
    <row r="181" spans="2:23" hidden="1" outlineLevel="1" x14ac:dyDescent="0.25">
      <c r="B181" s="328">
        <v>43770</v>
      </c>
      <c r="C181" s="331"/>
      <c r="D181" s="331"/>
      <c r="E181" s="331"/>
      <c r="F181" s="331"/>
      <c r="G181" s="331"/>
      <c r="H181" s="331"/>
      <c r="I181" s="331">
        <v>1552</v>
      </c>
      <c r="J181" s="331">
        <v>544</v>
      </c>
      <c r="K181" s="331">
        <v>2096</v>
      </c>
      <c r="L181" s="331">
        <v>440</v>
      </c>
      <c r="M181" s="331">
        <v>253</v>
      </c>
      <c r="N181" s="331">
        <v>693</v>
      </c>
      <c r="O181" s="331">
        <v>3985</v>
      </c>
      <c r="P181" s="331">
        <v>3242</v>
      </c>
      <c r="Q181" s="331">
        <v>7227</v>
      </c>
      <c r="R181" s="331">
        <v>181</v>
      </c>
      <c r="S181" s="331">
        <v>180</v>
      </c>
      <c r="T181" s="331">
        <v>361</v>
      </c>
      <c r="U181" s="329">
        <v>6158</v>
      </c>
      <c r="V181" s="329">
        <v>4219</v>
      </c>
      <c r="W181" s="329">
        <v>10377</v>
      </c>
    </row>
    <row r="182" spans="2:23" hidden="1" outlineLevel="1" x14ac:dyDescent="0.25">
      <c r="B182" s="328">
        <v>43800</v>
      </c>
      <c r="C182" s="331"/>
      <c r="D182" s="331"/>
      <c r="E182" s="331"/>
      <c r="F182" s="331"/>
      <c r="G182" s="331"/>
      <c r="H182" s="331"/>
      <c r="I182" s="331">
        <v>2003</v>
      </c>
      <c r="J182" s="331">
        <v>606</v>
      </c>
      <c r="K182" s="331">
        <v>2609</v>
      </c>
      <c r="L182" s="331">
        <v>668</v>
      </c>
      <c r="M182" s="331">
        <v>399</v>
      </c>
      <c r="N182" s="331">
        <v>1067</v>
      </c>
      <c r="O182" s="331">
        <v>6326</v>
      </c>
      <c r="P182" s="331">
        <v>5781</v>
      </c>
      <c r="Q182" s="331">
        <v>12107</v>
      </c>
      <c r="R182" s="331">
        <v>256</v>
      </c>
      <c r="S182" s="331">
        <v>301</v>
      </c>
      <c r="T182" s="331">
        <v>557</v>
      </c>
      <c r="U182" s="329">
        <v>9253</v>
      </c>
      <c r="V182" s="329">
        <v>7087</v>
      </c>
      <c r="W182" s="329">
        <v>16340</v>
      </c>
    </row>
    <row r="183" spans="2:23" collapsed="1" x14ac:dyDescent="0.25">
      <c r="B183" s="330" t="s">
        <v>701</v>
      </c>
      <c r="C183" s="329" t="s">
        <v>781</v>
      </c>
      <c r="D183" s="329" t="s">
        <v>781</v>
      </c>
      <c r="E183" s="329" t="s">
        <v>781</v>
      </c>
      <c r="F183" s="329" t="s">
        <v>781</v>
      </c>
      <c r="G183" s="329" t="s">
        <v>781</v>
      </c>
      <c r="H183" s="329" t="s">
        <v>781</v>
      </c>
      <c r="I183" s="329">
        <v>1689</v>
      </c>
      <c r="J183" s="329">
        <v>541</v>
      </c>
      <c r="K183" s="329">
        <v>2230</v>
      </c>
      <c r="L183" s="329">
        <v>552</v>
      </c>
      <c r="M183" s="329">
        <v>348</v>
      </c>
      <c r="N183" s="329">
        <v>900</v>
      </c>
      <c r="O183" s="329">
        <v>4505</v>
      </c>
      <c r="P183" s="329">
        <v>3997</v>
      </c>
      <c r="Q183" s="329">
        <v>8502</v>
      </c>
      <c r="R183" s="329">
        <v>230</v>
      </c>
      <c r="S183" s="329">
        <v>239</v>
      </c>
      <c r="T183" s="329">
        <v>469</v>
      </c>
      <c r="U183" s="329">
        <v>6976</v>
      </c>
      <c r="V183" s="329">
        <v>5125</v>
      </c>
      <c r="W183" s="329">
        <v>12101</v>
      </c>
    </row>
    <row r="184" spans="2:23" hidden="1" outlineLevel="1" x14ac:dyDescent="0.25">
      <c r="B184" s="328">
        <v>43831</v>
      </c>
      <c r="C184" s="331"/>
      <c r="D184" s="331"/>
      <c r="E184" s="331"/>
      <c r="F184" s="331"/>
      <c r="G184" s="331"/>
      <c r="H184" s="331"/>
      <c r="I184" s="331">
        <v>2040</v>
      </c>
      <c r="J184" s="331">
        <v>641</v>
      </c>
      <c r="K184" s="331">
        <v>2681</v>
      </c>
      <c r="L184" s="331">
        <v>670</v>
      </c>
      <c r="M184" s="331">
        <v>439</v>
      </c>
      <c r="N184" s="331">
        <v>1109</v>
      </c>
      <c r="O184" s="331">
        <v>8906</v>
      </c>
      <c r="P184" s="331">
        <v>9035</v>
      </c>
      <c r="Q184" s="331">
        <v>17941</v>
      </c>
      <c r="R184" s="331">
        <v>333</v>
      </c>
      <c r="S184" s="331">
        <v>331</v>
      </c>
      <c r="T184" s="331">
        <v>664</v>
      </c>
      <c r="U184" s="329">
        <v>11949</v>
      </c>
      <c r="V184" s="329">
        <v>10446</v>
      </c>
      <c r="W184" s="329">
        <v>22395</v>
      </c>
    </row>
    <row r="185" spans="2:23" hidden="1" outlineLevel="1" x14ac:dyDescent="0.25">
      <c r="B185" s="328">
        <v>43862</v>
      </c>
      <c r="C185" s="331"/>
      <c r="D185" s="331"/>
      <c r="E185" s="331"/>
      <c r="F185" s="331"/>
      <c r="G185" s="331"/>
      <c r="H185" s="331"/>
      <c r="I185" s="331">
        <v>1657</v>
      </c>
      <c r="J185" s="331">
        <v>542</v>
      </c>
      <c r="K185" s="331">
        <v>2199</v>
      </c>
      <c r="L185" s="331">
        <v>618</v>
      </c>
      <c r="M185" s="331">
        <v>393</v>
      </c>
      <c r="N185" s="331">
        <v>1011</v>
      </c>
      <c r="O185" s="331">
        <v>10944</v>
      </c>
      <c r="P185" s="331">
        <v>10429</v>
      </c>
      <c r="Q185" s="331">
        <v>21373</v>
      </c>
      <c r="R185" s="331">
        <v>360</v>
      </c>
      <c r="S185" s="331">
        <v>430</v>
      </c>
      <c r="T185" s="331">
        <v>790</v>
      </c>
      <c r="U185" s="329">
        <v>13579</v>
      </c>
      <c r="V185" s="329">
        <v>11794</v>
      </c>
      <c r="W185" s="329">
        <v>25373</v>
      </c>
    </row>
    <row r="186" spans="2:23" hidden="1" outlineLevel="1" x14ac:dyDescent="0.25">
      <c r="B186" s="328">
        <v>43891</v>
      </c>
      <c r="C186" s="331"/>
      <c r="D186" s="331"/>
      <c r="E186" s="331"/>
      <c r="F186" s="331"/>
      <c r="G186" s="331"/>
      <c r="H186" s="331"/>
      <c r="I186" s="331">
        <v>1342</v>
      </c>
      <c r="J186" s="331">
        <v>454</v>
      </c>
      <c r="K186" s="331">
        <v>1796</v>
      </c>
      <c r="L186" s="331">
        <v>418</v>
      </c>
      <c r="M186" s="331">
        <v>320</v>
      </c>
      <c r="N186" s="331">
        <v>738</v>
      </c>
      <c r="O186" s="331">
        <v>5750</v>
      </c>
      <c r="P186" s="331">
        <v>5595</v>
      </c>
      <c r="Q186" s="331">
        <v>11345</v>
      </c>
      <c r="R186" s="331">
        <v>237</v>
      </c>
      <c r="S186" s="331">
        <v>244</v>
      </c>
      <c r="T186" s="331">
        <v>481</v>
      </c>
      <c r="U186" s="329">
        <v>7747</v>
      </c>
      <c r="V186" s="329">
        <v>6613</v>
      </c>
      <c r="W186" s="329">
        <v>14360</v>
      </c>
    </row>
    <row r="187" spans="2:23" hidden="1" outlineLevel="1" x14ac:dyDescent="0.25">
      <c r="B187" s="328">
        <v>43922</v>
      </c>
      <c r="C187" s="331"/>
      <c r="D187" s="331"/>
      <c r="E187" s="331"/>
      <c r="F187" s="331"/>
      <c r="G187" s="331"/>
      <c r="H187" s="331"/>
      <c r="I187" s="331">
        <v>937</v>
      </c>
      <c r="J187" s="331">
        <v>343</v>
      </c>
      <c r="K187" s="331">
        <v>1280</v>
      </c>
      <c r="L187" s="331">
        <v>229</v>
      </c>
      <c r="M187" s="331">
        <v>141</v>
      </c>
      <c r="N187" s="331">
        <v>370</v>
      </c>
      <c r="O187" s="331">
        <v>3089</v>
      </c>
      <c r="P187" s="331">
        <v>3223</v>
      </c>
      <c r="Q187" s="331">
        <v>6312</v>
      </c>
      <c r="R187" s="331">
        <v>220</v>
      </c>
      <c r="S187" s="331">
        <v>215</v>
      </c>
      <c r="T187" s="331">
        <v>435</v>
      </c>
      <c r="U187" s="329">
        <v>4475</v>
      </c>
      <c r="V187" s="329">
        <v>3922</v>
      </c>
      <c r="W187" s="329">
        <v>8397</v>
      </c>
    </row>
    <row r="188" spans="2:23" hidden="1" outlineLevel="1" x14ac:dyDescent="0.25">
      <c r="B188" s="328">
        <v>43952</v>
      </c>
      <c r="C188" s="331"/>
      <c r="D188" s="331"/>
      <c r="E188" s="331"/>
      <c r="F188" s="331"/>
      <c r="G188" s="331"/>
      <c r="H188" s="331"/>
      <c r="I188" s="331">
        <v>1434</v>
      </c>
      <c r="J188" s="331">
        <v>436</v>
      </c>
      <c r="K188" s="331">
        <v>1870</v>
      </c>
      <c r="L188" s="331">
        <v>383</v>
      </c>
      <c r="M188" s="331">
        <v>218</v>
      </c>
      <c r="N188" s="331">
        <v>601</v>
      </c>
      <c r="O188" s="331">
        <v>4805</v>
      </c>
      <c r="P188" s="331">
        <v>5269</v>
      </c>
      <c r="Q188" s="331">
        <v>10074</v>
      </c>
      <c r="R188" s="331">
        <v>359</v>
      </c>
      <c r="S188" s="331">
        <v>331</v>
      </c>
      <c r="T188" s="331">
        <v>690</v>
      </c>
      <c r="U188" s="329">
        <v>6981</v>
      </c>
      <c r="V188" s="329">
        <v>6254</v>
      </c>
      <c r="W188" s="329">
        <v>13235</v>
      </c>
    </row>
    <row r="189" spans="2:23" hidden="1" outlineLevel="1" x14ac:dyDescent="0.25">
      <c r="B189" s="328">
        <v>43983</v>
      </c>
      <c r="C189" s="331"/>
      <c r="D189" s="331"/>
      <c r="E189" s="331"/>
      <c r="F189" s="331"/>
      <c r="G189" s="331"/>
      <c r="H189" s="331"/>
      <c r="I189" s="331">
        <v>1305</v>
      </c>
      <c r="J189" s="331">
        <v>434</v>
      </c>
      <c r="K189" s="331">
        <v>1739</v>
      </c>
      <c r="L189" s="331">
        <v>329</v>
      </c>
      <c r="M189" s="331">
        <v>221</v>
      </c>
      <c r="N189" s="331">
        <v>550</v>
      </c>
      <c r="O189" s="331">
        <v>4281</v>
      </c>
      <c r="P189" s="331">
        <v>4405</v>
      </c>
      <c r="Q189" s="331">
        <v>8686</v>
      </c>
      <c r="R189" s="331">
        <v>291</v>
      </c>
      <c r="S189" s="331">
        <v>316</v>
      </c>
      <c r="T189" s="331">
        <v>607</v>
      </c>
      <c r="U189" s="329">
        <v>6206</v>
      </c>
      <c r="V189" s="329">
        <v>5376</v>
      </c>
      <c r="W189" s="329">
        <v>11582</v>
      </c>
    </row>
    <row r="190" spans="2:23" hidden="1" outlineLevel="1" x14ac:dyDescent="0.25">
      <c r="B190" s="328">
        <v>44013</v>
      </c>
      <c r="C190" s="331"/>
      <c r="D190" s="331"/>
      <c r="E190" s="331"/>
      <c r="F190" s="331"/>
      <c r="G190" s="331"/>
      <c r="H190" s="331"/>
      <c r="I190" s="331">
        <v>1914</v>
      </c>
      <c r="J190" s="331">
        <v>613</v>
      </c>
      <c r="K190" s="331">
        <v>2527</v>
      </c>
      <c r="L190" s="331">
        <v>378</v>
      </c>
      <c r="M190" s="331">
        <v>271</v>
      </c>
      <c r="N190" s="331">
        <v>649</v>
      </c>
      <c r="O190" s="331">
        <v>5509</v>
      </c>
      <c r="P190" s="331">
        <v>4762</v>
      </c>
      <c r="Q190" s="331">
        <v>10271</v>
      </c>
      <c r="R190" s="331">
        <v>229</v>
      </c>
      <c r="S190" s="331">
        <v>268</v>
      </c>
      <c r="T190" s="331">
        <v>497</v>
      </c>
      <c r="U190" s="329">
        <v>8030</v>
      </c>
      <c r="V190" s="329">
        <v>5914</v>
      </c>
      <c r="W190" s="329">
        <v>13944</v>
      </c>
    </row>
    <row r="191" spans="2:23" hidden="1" outlineLevel="1" x14ac:dyDescent="0.25">
      <c r="B191" s="328">
        <v>44044</v>
      </c>
      <c r="C191" s="331"/>
      <c r="D191" s="331"/>
      <c r="E191" s="331"/>
      <c r="F191" s="331"/>
      <c r="G191" s="331"/>
      <c r="H191" s="331"/>
      <c r="I191" s="331">
        <v>2049</v>
      </c>
      <c r="J191" s="331">
        <v>662</v>
      </c>
      <c r="K191" s="331">
        <v>2711</v>
      </c>
      <c r="L191" s="331">
        <v>471</v>
      </c>
      <c r="M191" s="331">
        <v>320</v>
      </c>
      <c r="N191" s="331">
        <v>791</v>
      </c>
      <c r="O191" s="331">
        <v>6887</v>
      </c>
      <c r="P191" s="331">
        <v>6199</v>
      </c>
      <c r="Q191" s="331">
        <v>13086</v>
      </c>
      <c r="R191" s="331">
        <v>277</v>
      </c>
      <c r="S191" s="331">
        <v>316</v>
      </c>
      <c r="T191" s="331">
        <v>593</v>
      </c>
      <c r="U191" s="329">
        <v>9684</v>
      </c>
      <c r="V191" s="329">
        <v>7497</v>
      </c>
      <c r="W191" s="329">
        <v>17181</v>
      </c>
    </row>
    <row r="192" spans="2:23" hidden="1" outlineLevel="1" x14ac:dyDescent="0.25">
      <c r="B192" s="328">
        <v>44075</v>
      </c>
      <c r="C192" s="331"/>
      <c r="D192" s="331"/>
      <c r="E192" s="331"/>
      <c r="F192" s="331"/>
      <c r="G192" s="331"/>
      <c r="H192" s="331"/>
      <c r="I192" s="331">
        <v>2067</v>
      </c>
      <c r="J192" s="331">
        <v>589</v>
      </c>
      <c r="K192" s="331">
        <v>2656</v>
      </c>
      <c r="L192" s="331">
        <v>502</v>
      </c>
      <c r="M192" s="331">
        <v>414</v>
      </c>
      <c r="N192" s="331">
        <v>916</v>
      </c>
      <c r="O192" s="331">
        <v>7180</v>
      </c>
      <c r="P192" s="331">
        <v>5679</v>
      </c>
      <c r="Q192" s="331">
        <v>12859</v>
      </c>
      <c r="R192" s="331">
        <v>306</v>
      </c>
      <c r="S192" s="331">
        <v>364</v>
      </c>
      <c r="T192" s="331">
        <v>670</v>
      </c>
      <c r="U192" s="329">
        <v>10055</v>
      </c>
      <c r="V192" s="329">
        <v>7046</v>
      </c>
      <c r="W192" s="329">
        <v>17101</v>
      </c>
    </row>
    <row r="193" spans="2:23" hidden="1" outlineLevel="1" x14ac:dyDescent="0.25">
      <c r="B193" s="328">
        <v>44105</v>
      </c>
      <c r="C193" s="331"/>
      <c r="D193" s="331"/>
      <c r="E193" s="331"/>
      <c r="F193" s="331"/>
      <c r="G193" s="331"/>
      <c r="H193" s="331"/>
      <c r="I193" s="331">
        <v>2137</v>
      </c>
      <c r="J193" s="331">
        <v>710</v>
      </c>
      <c r="K193" s="331">
        <v>2847</v>
      </c>
      <c r="L193" s="331">
        <v>672</v>
      </c>
      <c r="M193" s="331">
        <v>475</v>
      </c>
      <c r="N193" s="331">
        <v>1147</v>
      </c>
      <c r="O193" s="331">
        <v>7858</v>
      </c>
      <c r="P193" s="331">
        <v>6105</v>
      </c>
      <c r="Q193" s="331">
        <v>13963</v>
      </c>
      <c r="R193" s="331">
        <v>321</v>
      </c>
      <c r="S193" s="331">
        <v>441</v>
      </c>
      <c r="T193" s="331">
        <v>762</v>
      </c>
      <c r="U193" s="329">
        <v>10988</v>
      </c>
      <c r="V193" s="329">
        <v>7731</v>
      </c>
      <c r="W193" s="329">
        <v>18719</v>
      </c>
    </row>
    <row r="194" spans="2:23" hidden="1" outlineLevel="1" x14ac:dyDescent="0.25">
      <c r="B194" s="328">
        <v>44136</v>
      </c>
      <c r="C194" s="331"/>
      <c r="D194" s="331"/>
      <c r="E194" s="331"/>
      <c r="F194" s="331"/>
      <c r="G194" s="331"/>
      <c r="H194" s="331"/>
      <c r="I194" s="331">
        <v>1881</v>
      </c>
      <c r="J194" s="331">
        <v>649</v>
      </c>
      <c r="K194" s="331">
        <v>2530</v>
      </c>
      <c r="L194" s="331">
        <v>557</v>
      </c>
      <c r="M194" s="331">
        <v>409</v>
      </c>
      <c r="N194" s="331">
        <v>966</v>
      </c>
      <c r="O194" s="331">
        <v>6960</v>
      </c>
      <c r="P194" s="331">
        <v>5617</v>
      </c>
      <c r="Q194" s="331">
        <v>12577</v>
      </c>
      <c r="R194" s="331">
        <v>240</v>
      </c>
      <c r="S194" s="331">
        <v>289</v>
      </c>
      <c r="T194" s="331">
        <v>529</v>
      </c>
      <c r="U194" s="329">
        <v>9638</v>
      </c>
      <c r="V194" s="329">
        <v>6964</v>
      </c>
      <c r="W194" s="329">
        <v>16602</v>
      </c>
    </row>
    <row r="195" spans="2:23" hidden="1" outlineLevel="1" x14ac:dyDescent="0.25">
      <c r="B195" s="328">
        <v>44166</v>
      </c>
      <c r="C195" s="331"/>
      <c r="D195" s="331"/>
      <c r="E195" s="331"/>
      <c r="F195" s="331"/>
      <c r="G195" s="331"/>
      <c r="H195" s="331"/>
      <c r="I195" s="331">
        <v>1760</v>
      </c>
      <c r="J195" s="331">
        <v>532</v>
      </c>
      <c r="K195" s="331">
        <v>2292</v>
      </c>
      <c r="L195" s="331">
        <v>531</v>
      </c>
      <c r="M195" s="331">
        <v>414</v>
      </c>
      <c r="N195" s="331">
        <v>945</v>
      </c>
      <c r="O195" s="331">
        <v>6020</v>
      </c>
      <c r="P195" s="331">
        <v>5110</v>
      </c>
      <c r="Q195" s="331">
        <v>11130</v>
      </c>
      <c r="R195" s="331">
        <v>204</v>
      </c>
      <c r="S195" s="331">
        <v>233</v>
      </c>
      <c r="T195" s="331">
        <v>437</v>
      </c>
      <c r="U195" s="329">
        <v>8515</v>
      </c>
      <c r="V195" s="329">
        <v>6289</v>
      </c>
      <c r="W195" s="329">
        <v>14804</v>
      </c>
    </row>
    <row r="196" spans="2:23" collapsed="1" x14ac:dyDescent="0.25">
      <c r="B196" s="330" t="s">
        <v>702</v>
      </c>
      <c r="C196" s="329" t="s">
        <v>781</v>
      </c>
      <c r="D196" s="329" t="s">
        <v>781</v>
      </c>
      <c r="E196" s="329" t="s">
        <v>781</v>
      </c>
      <c r="F196" s="329" t="s">
        <v>781</v>
      </c>
      <c r="G196" s="329" t="s">
        <v>781</v>
      </c>
      <c r="H196" s="329" t="s">
        <v>781</v>
      </c>
      <c r="I196" s="329">
        <v>1710</v>
      </c>
      <c r="J196" s="329">
        <v>550</v>
      </c>
      <c r="K196" s="329">
        <v>2261</v>
      </c>
      <c r="L196" s="329">
        <v>480</v>
      </c>
      <c r="M196" s="329">
        <v>336</v>
      </c>
      <c r="N196" s="329">
        <v>816</v>
      </c>
      <c r="O196" s="329">
        <v>6516</v>
      </c>
      <c r="P196" s="329">
        <v>5952</v>
      </c>
      <c r="Q196" s="329">
        <v>12468</v>
      </c>
      <c r="R196" s="329">
        <v>281</v>
      </c>
      <c r="S196" s="329">
        <v>315</v>
      </c>
      <c r="T196" s="329">
        <v>596</v>
      </c>
      <c r="U196" s="329">
        <v>8987</v>
      </c>
      <c r="V196" s="329">
        <v>7154</v>
      </c>
      <c r="W196" s="329">
        <v>16141</v>
      </c>
    </row>
    <row r="197" spans="2:23" hidden="1" outlineLevel="1" x14ac:dyDescent="0.25">
      <c r="B197" s="328">
        <v>44197</v>
      </c>
      <c r="C197" s="331"/>
      <c r="D197" s="331"/>
      <c r="E197" s="331"/>
      <c r="F197" s="331"/>
      <c r="G197" s="331"/>
      <c r="H197" s="331"/>
      <c r="I197" s="331">
        <v>1713</v>
      </c>
      <c r="J197" s="331">
        <v>562</v>
      </c>
      <c r="K197" s="331">
        <v>2275</v>
      </c>
      <c r="L197" s="331">
        <v>673</v>
      </c>
      <c r="M197" s="331">
        <v>605</v>
      </c>
      <c r="N197" s="331">
        <v>1278</v>
      </c>
      <c r="O197" s="331">
        <v>6427</v>
      </c>
      <c r="P197" s="331">
        <v>4940</v>
      </c>
      <c r="Q197" s="331">
        <v>11367</v>
      </c>
      <c r="R197" s="331">
        <v>372</v>
      </c>
      <c r="S197" s="331">
        <v>493</v>
      </c>
      <c r="T197" s="331">
        <v>865</v>
      </c>
      <c r="U197" s="329">
        <v>9185</v>
      </c>
      <c r="V197" s="329">
        <v>6600</v>
      </c>
      <c r="W197" s="329">
        <v>15785</v>
      </c>
    </row>
    <row r="198" spans="2:23" hidden="1" outlineLevel="1" x14ac:dyDescent="0.25">
      <c r="B198" s="328">
        <v>44228</v>
      </c>
      <c r="C198" s="331"/>
      <c r="D198" s="331"/>
      <c r="E198" s="331"/>
      <c r="F198" s="331"/>
      <c r="G198" s="331"/>
      <c r="H198" s="331"/>
      <c r="I198" s="331">
        <v>1538</v>
      </c>
      <c r="J198" s="331">
        <v>476</v>
      </c>
      <c r="K198" s="331">
        <v>2014</v>
      </c>
      <c r="L198" s="331">
        <v>577</v>
      </c>
      <c r="M198" s="331">
        <v>483</v>
      </c>
      <c r="N198" s="331">
        <v>1060</v>
      </c>
      <c r="O198" s="331">
        <v>5955</v>
      </c>
      <c r="P198" s="331">
        <v>4909</v>
      </c>
      <c r="Q198" s="331">
        <v>10864</v>
      </c>
      <c r="R198" s="331">
        <v>353</v>
      </c>
      <c r="S198" s="331">
        <v>440</v>
      </c>
      <c r="T198" s="331">
        <v>793</v>
      </c>
      <c r="U198" s="329">
        <v>8423</v>
      </c>
      <c r="V198" s="329">
        <v>6308</v>
      </c>
      <c r="W198" s="329">
        <v>14731</v>
      </c>
    </row>
    <row r="199" spans="2:23" hidden="1" outlineLevel="1" x14ac:dyDescent="0.25">
      <c r="B199" s="328">
        <v>44256</v>
      </c>
      <c r="C199" s="331"/>
      <c r="D199" s="331"/>
      <c r="E199" s="331"/>
      <c r="F199" s="331"/>
      <c r="G199" s="331"/>
      <c r="H199" s="331"/>
      <c r="I199" s="331">
        <v>1712</v>
      </c>
      <c r="J199" s="331">
        <v>621</v>
      </c>
      <c r="K199" s="331">
        <v>2333</v>
      </c>
      <c r="L199" s="331">
        <v>667</v>
      </c>
      <c r="M199" s="331">
        <v>516</v>
      </c>
      <c r="N199" s="331">
        <v>1183</v>
      </c>
      <c r="O199" s="331">
        <v>6882</v>
      </c>
      <c r="P199" s="331">
        <v>6035</v>
      </c>
      <c r="Q199" s="331">
        <v>12917</v>
      </c>
      <c r="R199" s="331">
        <v>1165</v>
      </c>
      <c r="S199" s="331">
        <v>1562</v>
      </c>
      <c r="T199" s="331">
        <v>2727</v>
      </c>
      <c r="U199" s="329">
        <v>10426</v>
      </c>
      <c r="V199" s="329">
        <v>8734</v>
      </c>
      <c r="W199" s="329">
        <v>19160</v>
      </c>
    </row>
    <row r="200" spans="2:23" hidden="1" outlineLevel="1" x14ac:dyDescent="0.25">
      <c r="B200" s="328">
        <v>44287</v>
      </c>
      <c r="C200" s="331"/>
      <c r="D200" s="331"/>
      <c r="E200" s="331"/>
      <c r="F200" s="331"/>
      <c r="G200" s="331"/>
      <c r="H200" s="331"/>
      <c r="I200" s="331">
        <v>1873</v>
      </c>
      <c r="J200" s="331">
        <v>639</v>
      </c>
      <c r="K200" s="331">
        <v>2512</v>
      </c>
      <c r="L200" s="331">
        <v>714</v>
      </c>
      <c r="M200" s="331">
        <v>510</v>
      </c>
      <c r="N200" s="331">
        <v>1224</v>
      </c>
      <c r="O200" s="331">
        <v>6529</v>
      </c>
      <c r="P200" s="331">
        <v>5358</v>
      </c>
      <c r="Q200" s="331">
        <v>11887</v>
      </c>
      <c r="R200" s="331">
        <v>1299</v>
      </c>
      <c r="S200" s="331">
        <v>1663</v>
      </c>
      <c r="T200" s="331">
        <v>2962</v>
      </c>
      <c r="U200" s="329">
        <v>10415</v>
      </c>
      <c r="V200" s="329">
        <v>8170</v>
      </c>
      <c r="W200" s="329">
        <v>18585</v>
      </c>
    </row>
    <row r="201" spans="2:23" hidden="1" outlineLevel="1" x14ac:dyDescent="0.25">
      <c r="B201" s="328">
        <v>44317</v>
      </c>
      <c r="C201" s="331"/>
      <c r="D201" s="331"/>
      <c r="E201" s="331"/>
      <c r="F201" s="331"/>
      <c r="G201" s="331"/>
      <c r="H201" s="331"/>
      <c r="I201" s="331">
        <v>2052</v>
      </c>
      <c r="J201" s="331">
        <v>780</v>
      </c>
      <c r="K201" s="331">
        <v>2832</v>
      </c>
      <c r="L201" s="331">
        <v>778</v>
      </c>
      <c r="M201" s="331">
        <v>628</v>
      </c>
      <c r="N201" s="331">
        <v>1406</v>
      </c>
      <c r="O201" s="331">
        <v>6451</v>
      </c>
      <c r="P201" s="331">
        <v>5206</v>
      </c>
      <c r="Q201" s="331">
        <v>11657</v>
      </c>
      <c r="R201" s="331">
        <v>820</v>
      </c>
      <c r="S201" s="331">
        <v>1188</v>
      </c>
      <c r="T201" s="331">
        <v>2008</v>
      </c>
      <c r="U201" s="329">
        <v>10101</v>
      </c>
      <c r="V201" s="329">
        <v>7802</v>
      </c>
      <c r="W201" s="329">
        <v>17903</v>
      </c>
    </row>
    <row r="202" spans="2:23" hidden="1" outlineLevel="1" x14ac:dyDescent="0.25">
      <c r="B202" s="328">
        <v>44348</v>
      </c>
      <c r="C202" s="331"/>
      <c r="D202" s="331"/>
      <c r="E202" s="331"/>
      <c r="F202" s="331"/>
      <c r="G202" s="331"/>
      <c r="H202" s="331"/>
      <c r="I202" s="331">
        <v>2152</v>
      </c>
      <c r="J202" s="331">
        <v>840</v>
      </c>
      <c r="K202" s="331">
        <v>2992</v>
      </c>
      <c r="L202" s="331">
        <v>742</v>
      </c>
      <c r="M202" s="331">
        <v>540</v>
      </c>
      <c r="N202" s="331">
        <v>1282</v>
      </c>
      <c r="O202" s="331">
        <v>6407</v>
      </c>
      <c r="P202" s="331">
        <v>5163</v>
      </c>
      <c r="Q202" s="331">
        <v>11570</v>
      </c>
      <c r="R202" s="331">
        <v>622</v>
      </c>
      <c r="S202" s="331">
        <v>959</v>
      </c>
      <c r="T202" s="331">
        <v>1581</v>
      </c>
      <c r="U202" s="329">
        <v>9923</v>
      </c>
      <c r="V202" s="329">
        <v>7502</v>
      </c>
      <c r="W202" s="329">
        <v>17425</v>
      </c>
    </row>
    <row r="203" spans="2:23" hidden="1" outlineLevel="1" x14ac:dyDescent="0.25">
      <c r="B203" s="328">
        <v>44378</v>
      </c>
      <c r="C203" s="331"/>
      <c r="D203" s="331"/>
      <c r="E203" s="331"/>
      <c r="F203" s="331"/>
      <c r="G203" s="331"/>
      <c r="H203" s="331"/>
      <c r="I203" s="331">
        <v>2507</v>
      </c>
      <c r="J203" s="331">
        <v>1010</v>
      </c>
      <c r="K203" s="331">
        <v>3517</v>
      </c>
      <c r="L203" s="331">
        <v>827</v>
      </c>
      <c r="M203" s="331">
        <v>609</v>
      </c>
      <c r="N203" s="331">
        <v>1436</v>
      </c>
      <c r="O203" s="331">
        <v>7751</v>
      </c>
      <c r="P203" s="331">
        <v>6034</v>
      </c>
      <c r="Q203" s="331">
        <v>13785</v>
      </c>
      <c r="R203" s="331">
        <v>560</v>
      </c>
      <c r="S203" s="331">
        <v>911</v>
      </c>
      <c r="T203" s="331">
        <v>1471</v>
      </c>
      <c r="U203" s="329">
        <v>11645</v>
      </c>
      <c r="V203" s="329">
        <v>8564</v>
      </c>
      <c r="W203" s="329">
        <v>20209</v>
      </c>
    </row>
    <row r="204" spans="2:23" hidden="1" outlineLevel="1" x14ac:dyDescent="0.25">
      <c r="B204" s="328">
        <v>44409</v>
      </c>
      <c r="C204" s="331"/>
      <c r="D204" s="331"/>
      <c r="E204" s="331"/>
      <c r="F204" s="331"/>
      <c r="G204" s="331"/>
      <c r="H204" s="331"/>
      <c r="I204" s="331">
        <v>2542</v>
      </c>
      <c r="J204" s="331">
        <v>1114</v>
      </c>
      <c r="K204" s="331">
        <v>3656</v>
      </c>
      <c r="L204" s="331">
        <v>910</v>
      </c>
      <c r="M204" s="331">
        <v>664</v>
      </c>
      <c r="N204" s="331">
        <v>1574</v>
      </c>
      <c r="O204" s="331">
        <v>8570</v>
      </c>
      <c r="P204" s="331">
        <v>7206</v>
      </c>
      <c r="Q204" s="331">
        <v>15776</v>
      </c>
      <c r="R204" s="331">
        <v>565</v>
      </c>
      <c r="S204" s="331">
        <v>842</v>
      </c>
      <c r="T204" s="331">
        <v>1407</v>
      </c>
      <c r="U204" s="329">
        <v>12587</v>
      </c>
      <c r="V204" s="329">
        <v>9826</v>
      </c>
      <c r="W204" s="329">
        <v>22413</v>
      </c>
    </row>
    <row r="205" spans="2:23" hidden="1" outlineLevel="1" x14ac:dyDescent="0.25">
      <c r="B205" s="328">
        <v>44440</v>
      </c>
      <c r="C205" s="331"/>
      <c r="D205" s="331"/>
      <c r="E205" s="331"/>
      <c r="F205" s="331"/>
      <c r="G205" s="331"/>
      <c r="H205" s="331"/>
      <c r="I205" s="331">
        <v>2767</v>
      </c>
      <c r="J205" s="331">
        <v>1138</v>
      </c>
      <c r="K205" s="331">
        <v>3905</v>
      </c>
      <c r="L205" s="331">
        <v>823</v>
      </c>
      <c r="M205" s="331">
        <v>563</v>
      </c>
      <c r="N205" s="331">
        <v>1386</v>
      </c>
      <c r="O205" s="331">
        <v>9503</v>
      </c>
      <c r="P205" s="331">
        <v>7883</v>
      </c>
      <c r="Q205" s="331">
        <v>17386</v>
      </c>
      <c r="R205" s="331">
        <v>497</v>
      </c>
      <c r="S205" s="331">
        <v>768</v>
      </c>
      <c r="T205" s="331">
        <v>1265</v>
      </c>
      <c r="U205" s="329">
        <v>13590</v>
      </c>
      <c r="V205" s="329">
        <v>10352</v>
      </c>
      <c r="W205" s="329">
        <v>23942</v>
      </c>
    </row>
    <row r="206" spans="2:23" hidden="1" outlineLevel="1" x14ac:dyDescent="0.25">
      <c r="B206" s="328">
        <v>44470</v>
      </c>
      <c r="C206" s="331"/>
      <c r="D206" s="331"/>
      <c r="E206" s="331"/>
      <c r="F206" s="331"/>
      <c r="G206" s="331"/>
      <c r="H206" s="331"/>
      <c r="I206" s="331">
        <v>2027</v>
      </c>
      <c r="J206" s="331">
        <v>882</v>
      </c>
      <c r="K206" s="331">
        <v>2909</v>
      </c>
      <c r="L206" s="331">
        <v>836</v>
      </c>
      <c r="M206" s="331">
        <v>551</v>
      </c>
      <c r="N206" s="331">
        <v>1387</v>
      </c>
      <c r="O206" s="331">
        <v>8514</v>
      </c>
      <c r="P206" s="331">
        <v>7020</v>
      </c>
      <c r="Q206" s="331">
        <v>15534</v>
      </c>
      <c r="R206" s="331">
        <v>483</v>
      </c>
      <c r="S206" s="331">
        <v>824</v>
      </c>
      <c r="T206" s="331">
        <v>1307</v>
      </c>
      <c r="U206" s="329">
        <v>11860</v>
      </c>
      <c r="V206" s="329">
        <v>9277</v>
      </c>
      <c r="W206" s="329">
        <v>21137</v>
      </c>
    </row>
    <row r="207" spans="2:23" hidden="1" outlineLevel="1" x14ac:dyDescent="0.25">
      <c r="B207" s="328">
        <v>44501</v>
      </c>
      <c r="C207" s="331"/>
      <c r="D207" s="331"/>
      <c r="E207" s="331"/>
      <c r="F207" s="331"/>
      <c r="G207" s="331"/>
      <c r="H207" s="331"/>
      <c r="I207" s="331">
        <v>2421</v>
      </c>
      <c r="J207" s="331">
        <v>953</v>
      </c>
      <c r="K207" s="331">
        <v>3374</v>
      </c>
      <c r="L207" s="331">
        <v>918</v>
      </c>
      <c r="M207" s="331">
        <v>605</v>
      </c>
      <c r="N207" s="331">
        <v>1523</v>
      </c>
      <c r="O207" s="331">
        <v>9790</v>
      </c>
      <c r="P207" s="331">
        <v>7693</v>
      </c>
      <c r="Q207" s="331">
        <v>17483</v>
      </c>
      <c r="R207" s="331">
        <v>500</v>
      </c>
      <c r="S207" s="331">
        <v>856</v>
      </c>
      <c r="T207" s="331">
        <v>1356</v>
      </c>
      <c r="U207" s="329">
        <v>13629</v>
      </c>
      <c r="V207" s="329">
        <v>10107</v>
      </c>
      <c r="W207" s="329">
        <v>23736</v>
      </c>
    </row>
    <row r="208" spans="2:23" hidden="1" outlineLevel="1" x14ac:dyDescent="0.25">
      <c r="B208" s="328">
        <v>44531</v>
      </c>
      <c r="C208" s="331"/>
      <c r="D208" s="331"/>
      <c r="E208" s="331"/>
      <c r="F208" s="331"/>
      <c r="G208" s="331"/>
      <c r="H208" s="331"/>
      <c r="I208" s="331">
        <v>2222</v>
      </c>
      <c r="J208" s="331">
        <v>953</v>
      </c>
      <c r="K208" s="331">
        <v>3175</v>
      </c>
      <c r="L208" s="331">
        <v>829</v>
      </c>
      <c r="M208" s="331">
        <v>529</v>
      </c>
      <c r="N208" s="331">
        <v>1358</v>
      </c>
      <c r="O208" s="331">
        <v>8593</v>
      </c>
      <c r="P208" s="331">
        <v>7663</v>
      </c>
      <c r="Q208" s="331">
        <v>16256</v>
      </c>
      <c r="R208" s="331">
        <v>536</v>
      </c>
      <c r="S208" s="331">
        <v>792</v>
      </c>
      <c r="T208" s="331">
        <v>1328</v>
      </c>
      <c r="U208" s="329">
        <v>12180</v>
      </c>
      <c r="V208" s="329">
        <v>9937</v>
      </c>
      <c r="W208" s="329">
        <v>22117</v>
      </c>
    </row>
    <row r="209" spans="2:23" collapsed="1" x14ac:dyDescent="0.25">
      <c r="B209" s="330" t="s">
        <v>703</v>
      </c>
      <c r="C209" s="329" t="s">
        <v>781</v>
      </c>
      <c r="D209" s="329" t="s">
        <v>781</v>
      </c>
      <c r="E209" s="329" t="s">
        <v>781</v>
      </c>
      <c r="F209" s="329" t="s">
        <v>781</v>
      </c>
      <c r="G209" s="329" t="s">
        <v>781</v>
      </c>
      <c r="H209" s="329" t="s">
        <v>781</v>
      </c>
      <c r="I209" s="329">
        <v>2127</v>
      </c>
      <c r="J209" s="329">
        <v>831</v>
      </c>
      <c r="K209" s="329">
        <v>2958</v>
      </c>
      <c r="L209" s="329">
        <v>775</v>
      </c>
      <c r="M209" s="329">
        <v>567</v>
      </c>
      <c r="N209" s="329">
        <v>1341</v>
      </c>
      <c r="O209" s="329">
        <v>7614</v>
      </c>
      <c r="P209" s="329">
        <v>6259</v>
      </c>
      <c r="Q209" s="329">
        <v>13874</v>
      </c>
      <c r="R209" s="329">
        <v>648</v>
      </c>
      <c r="S209" s="329">
        <v>942</v>
      </c>
      <c r="T209" s="329">
        <v>1589</v>
      </c>
      <c r="U209" s="329">
        <v>11164</v>
      </c>
      <c r="V209" s="329">
        <v>8598</v>
      </c>
      <c r="W209" s="329">
        <v>19762</v>
      </c>
    </row>
    <row r="210" spans="2:23" hidden="1" outlineLevel="1" x14ac:dyDescent="0.25">
      <c r="B210" s="328">
        <v>44562</v>
      </c>
      <c r="C210" s="331"/>
      <c r="D210" s="331"/>
      <c r="E210" s="331"/>
      <c r="F210" s="331"/>
      <c r="G210" s="331"/>
      <c r="H210" s="331"/>
      <c r="I210" s="331">
        <v>3266</v>
      </c>
      <c r="J210" s="331">
        <v>1177</v>
      </c>
      <c r="K210" s="331">
        <v>4443</v>
      </c>
      <c r="L210" s="331">
        <v>1058</v>
      </c>
      <c r="M210" s="331">
        <v>655</v>
      </c>
      <c r="N210" s="331">
        <v>1713</v>
      </c>
      <c r="O210" s="331">
        <v>10969</v>
      </c>
      <c r="P210" s="331">
        <v>9766</v>
      </c>
      <c r="Q210" s="331">
        <v>20735</v>
      </c>
      <c r="R210" s="331">
        <v>580</v>
      </c>
      <c r="S210" s="331">
        <v>805</v>
      </c>
      <c r="T210" s="331">
        <v>1385</v>
      </c>
      <c r="U210" s="329">
        <v>15873</v>
      </c>
      <c r="V210" s="329">
        <v>12403</v>
      </c>
      <c r="W210" s="329">
        <v>28276</v>
      </c>
    </row>
    <row r="211" spans="2:23" hidden="1" outlineLevel="1" x14ac:dyDescent="0.25">
      <c r="B211" s="328">
        <v>44593</v>
      </c>
      <c r="C211" s="331">
        <v>5855</v>
      </c>
      <c r="D211" s="331">
        <v>1650</v>
      </c>
      <c r="E211" s="331">
        <v>7505</v>
      </c>
      <c r="F211" s="331">
        <v>58976</v>
      </c>
      <c r="G211" s="331">
        <v>60759</v>
      </c>
      <c r="H211" s="331">
        <v>119735</v>
      </c>
      <c r="I211" s="331"/>
      <c r="J211" s="331"/>
      <c r="K211" s="331"/>
      <c r="L211" s="331">
        <v>1032</v>
      </c>
      <c r="M211" s="331">
        <v>723</v>
      </c>
      <c r="N211" s="331">
        <v>1755</v>
      </c>
      <c r="O211" s="331"/>
      <c r="P211" s="331"/>
      <c r="Q211" s="331"/>
      <c r="R211" s="331">
        <v>1030</v>
      </c>
      <c r="S211" s="331">
        <v>1610</v>
      </c>
      <c r="T211" s="331">
        <v>2640</v>
      </c>
      <c r="U211" s="329">
        <v>66893</v>
      </c>
      <c r="V211" s="329">
        <v>64742</v>
      </c>
      <c r="W211" s="329">
        <v>131635</v>
      </c>
    </row>
    <row r="212" spans="2:23" hidden="1" outlineLevel="1" x14ac:dyDescent="0.25">
      <c r="B212" s="328">
        <v>44621</v>
      </c>
      <c r="C212" s="331">
        <v>1231</v>
      </c>
      <c r="D212" s="331">
        <v>382</v>
      </c>
      <c r="E212" s="331">
        <v>1613</v>
      </c>
      <c r="F212" s="331">
        <v>23834</v>
      </c>
      <c r="G212" s="331">
        <v>25879</v>
      </c>
      <c r="H212" s="331">
        <v>49713</v>
      </c>
      <c r="I212" s="331"/>
      <c r="J212" s="331"/>
      <c r="K212" s="331"/>
      <c r="L212" s="331">
        <v>1118</v>
      </c>
      <c r="M212" s="331">
        <v>764</v>
      </c>
      <c r="N212" s="331">
        <v>1882</v>
      </c>
      <c r="O212" s="331"/>
      <c r="P212" s="331"/>
      <c r="Q212" s="331"/>
      <c r="R212" s="331">
        <v>637</v>
      </c>
      <c r="S212" s="331">
        <v>1048</v>
      </c>
      <c r="T212" s="331">
        <v>1685</v>
      </c>
      <c r="U212" s="329">
        <v>26820</v>
      </c>
      <c r="V212" s="329">
        <v>28073</v>
      </c>
      <c r="W212" s="329">
        <v>54893</v>
      </c>
    </row>
    <row r="213" spans="2:23" hidden="1" outlineLevel="1" x14ac:dyDescent="0.25">
      <c r="B213" s="328">
        <v>44652</v>
      </c>
      <c r="C213" s="331">
        <v>1649</v>
      </c>
      <c r="D213" s="331">
        <v>698</v>
      </c>
      <c r="E213" s="331">
        <v>2347</v>
      </c>
      <c r="F213" s="331">
        <v>13977</v>
      </c>
      <c r="G213" s="331">
        <v>16277</v>
      </c>
      <c r="H213" s="331">
        <v>30254</v>
      </c>
      <c r="I213" s="331"/>
      <c r="J213" s="331"/>
      <c r="K213" s="331"/>
      <c r="L213" s="331">
        <v>1017</v>
      </c>
      <c r="M213" s="331">
        <v>664</v>
      </c>
      <c r="N213" s="331">
        <v>1681</v>
      </c>
      <c r="O213" s="331"/>
      <c r="P213" s="331"/>
      <c r="Q213" s="331"/>
      <c r="R213" s="331">
        <v>454</v>
      </c>
      <c r="S213" s="331">
        <v>709</v>
      </c>
      <c r="T213" s="331">
        <v>1163</v>
      </c>
      <c r="U213" s="329">
        <v>17097</v>
      </c>
      <c r="V213" s="329">
        <v>18348</v>
      </c>
      <c r="W213" s="329">
        <v>35445</v>
      </c>
    </row>
    <row r="214" spans="2:23" hidden="1" outlineLevel="1" x14ac:dyDescent="0.25">
      <c r="B214" s="328">
        <v>44682</v>
      </c>
      <c r="C214" s="331">
        <v>2478</v>
      </c>
      <c r="D214" s="331">
        <v>1200</v>
      </c>
      <c r="E214" s="331">
        <v>3678</v>
      </c>
      <c r="F214" s="331">
        <v>12406</v>
      </c>
      <c r="G214" s="331">
        <v>15250</v>
      </c>
      <c r="H214" s="331">
        <v>27656</v>
      </c>
      <c r="I214" s="331"/>
      <c r="J214" s="331"/>
      <c r="K214" s="331"/>
      <c r="L214" s="331">
        <v>1034</v>
      </c>
      <c r="M214" s="331">
        <v>633</v>
      </c>
      <c r="N214" s="331">
        <v>1667</v>
      </c>
      <c r="O214" s="331"/>
      <c r="P214" s="331"/>
      <c r="Q214" s="331"/>
      <c r="R214" s="331">
        <v>423</v>
      </c>
      <c r="S214" s="331">
        <v>714</v>
      </c>
      <c r="T214" s="331">
        <v>1137</v>
      </c>
      <c r="U214" s="329">
        <v>16341</v>
      </c>
      <c r="V214" s="329">
        <v>17797</v>
      </c>
      <c r="W214" s="329">
        <v>34138</v>
      </c>
    </row>
    <row r="215" spans="2:23" hidden="1" outlineLevel="1" x14ac:dyDescent="0.25">
      <c r="B215" s="328">
        <v>44713</v>
      </c>
      <c r="C215" s="331">
        <v>2442</v>
      </c>
      <c r="D215" s="331">
        <v>1204</v>
      </c>
      <c r="E215" s="331">
        <v>3646</v>
      </c>
      <c r="F215" s="331">
        <v>12493</v>
      </c>
      <c r="G215" s="331">
        <v>15202</v>
      </c>
      <c r="H215" s="331">
        <v>27695</v>
      </c>
      <c r="I215" s="331"/>
      <c r="J215" s="331"/>
      <c r="K215" s="331"/>
      <c r="L215" s="331">
        <v>856</v>
      </c>
      <c r="M215" s="331">
        <v>550</v>
      </c>
      <c r="N215" s="331">
        <v>1406</v>
      </c>
      <c r="O215" s="331"/>
      <c r="P215" s="331"/>
      <c r="Q215" s="331"/>
      <c r="R215" s="331">
        <v>416</v>
      </c>
      <c r="S215" s="331">
        <v>724</v>
      </c>
      <c r="T215" s="331">
        <v>1140</v>
      </c>
      <c r="U215" s="329">
        <v>16207</v>
      </c>
      <c r="V215" s="329">
        <v>17680</v>
      </c>
      <c r="W215" s="329">
        <v>33887</v>
      </c>
    </row>
    <row r="216" spans="2:23" hidden="1" outlineLevel="1" x14ac:dyDescent="0.25">
      <c r="B216" s="328">
        <v>44743</v>
      </c>
      <c r="C216" s="331">
        <v>2542</v>
      </c>
      <c r="D216" s="331">
        <v>1250</v>
      </c>
      <c r="E216" s="331">
        <v>3792</v>
      </c>
      <c r="F216" s="331">
        <v>13857</v>
      </c>
      <c r="G216" s="331">
        <v>15682</v>
      </c>
      <c r="H216" s="331">
        <v>29539</v>
      </c>
      <c r="I216" s="331"/>
      <c r="J216" s="331"/>
      <c r="K216" s="331"/>
      <c r="L216" s="331">
        <v>999</v>
      </c>
      <c r="M216" s="331">
        <v>614</v>
      </c>
      <c r="N216" s="331">
        <v>1613</v>
      </c>
      <c r="O216" s="331"/>
      <c r="P216" s="331"/>
      <c r="Q216" s="331"/>
      <c r="R216" s="331">
        <v>467</v>
      </c>
      <c r="S216" s="331">
        <v>853</v>
      </c>
      <c r="T216" s="331">
        <v>1320</v>
      </c>
      <c r="U216" s="329">
        <v>17865</v>
      </c>
      <c r="V216" s="329">
        <v>18399</v>
      </c>
      <c r="W216" s="329">
        <v>36264</v>
      </c>
    </row>
    <row r="217" spans="2:23" hidden="1" outlineLevel="1" x14ac:dyDescent="0.25">
      <c r="B217" s="328">
        <v>44774</v>
      </c>
      <c r="C217" s="331">
        <v>3303</v>
      </c>
      <c r="D217" s="331">
        <v>1455</v>
      </c>
      <c r="E217" s="331">
        <v>4758</v>
      </c>
      <c r="F217" s="331">
        <v>18803</v>
      </c>
      <c r="G217" s="331">
        <v>23162</v>
      </c>
      <c r="H217" s="331">
        <v>41965</v>
      </c>
      <c r="I217" s="331"/>
      <c r="J217" s="331"/>
      <c r="K217" s="331"/>
      <c r="L217" s="331">
        <v>1100</v>
      </c>
      <c r="M217" s="331">
        <v>680</v>
      </c>
      <c r="N217" s="331">
        <v>1780</v>
      </c>
      <c r="O217" s="331"/>
      <c r="P217" s="331"/>
      <c r="Q217" s="331"/>
      <c r="R217" s="331">
        <v>652</v>
      </c>
      <c r="S217" s="331">
        <v>1052</v>
      </c>
      <c r="T217" s="331">
        <v>1704</v>
      </c>
      <c r="U217" s="329">
        <v>23858</v>
      </c>
      <c r="V217" s="329">
        <v>26349</v>
      </c>
      <c r="W217" s="329">
        <v>50207</v>
      </c>
    </row>
    <row r="218" spans="2:23" hidden="1" outlineLevel="1" x14ac:dyDescent="0.25">
      <c r="B218" s="328">
        <v>44805</v>
      </c>
      <c r="C218" s="331">
        <v>2588</v>
      </c>
      <c r="D218" s="331">
        <v>937</v>
      </c>
      <c r="E218" s="331">
        <v>3525</v>
      </c>
      <c r="F218" s="331">
        <v>12202</v>
      </c>
      <c r="G218" s="331">
        <v>12759</v>
      </c>
      <c r="H218" s="331">
        <v>24961</v>
      </c>
      <c r="I218" s="331"/>
      <c r="J218" s="331"/>
      <c r="K218" s="331"/>
      <c r="L218" s="331">
        <v>870</v>
      </c>
      <c r="M218" s="331">
        <v>526</v>
      </c>
      <c r="N218" s="331">
        <v>1396</v>
      </c>
      <c r="O218" s="331"/>
      <c r="P218" s="331"/>
      <c r="Q218" s="331"/>
      <c r="R218" s="331">
        <v>396</v>
      </c>
      <c r="S218" s="331">
        <v>691</v>
      </c>
      <c r="T218" s="331">
        <v>1087</v>
      </c>
      <c r="U218" s="329">
        <v>16056</v>
      </c>
      <c r="V218" s="329">
        <v>14913</v>
      </c>
      <c r="W218" s="329">
        <v>30969</v>
      </c>
    </row>
    <row r="219" spans="2:23" hidden="1" outlineLevel="1" x14ac:dyDescent="0.25">
      <c r="B219" s="328">
        <v>44835</v>
      </c>
      <c r="C219" s="331">
        <v>2898</v>
      </c>
      <c r="D219" s="331">
        <v>866</v>
      </c>
      <c r="E219" s="331">
        <v>3764</v>
      </c>
      <c r="F219" s="331">
        <v>17417</v>
      </c>
      <c r="G219" s="331">
        <v>16944</v>
      </c>
      <c r="H219" s="331">
        <v>34361</v>
      </c>
      <c r="I219" s="331"/>
      <c r="J219" s="331"/>
      <c r="K219" s="331"/>
      <c r="L219" s="331">
        <v>847</v>
      </c>
      <c r="M219" s="331">
        <v>526</v>
      </c>
      <c r="N219" s="331">
        <v>1373</v>
      </c>
      <c r="O219" s="331"/>
      <c r="P219" s="331"/>
      <c r="Q219" s="331"/>
      <c r="R219" s="331">
        <v>398</v>
      </c>
      <c r="S219" s="331">
        <v>628</v>
      </c>
      <c r="T219" s="331">
        <v>1026</v>
      </c>
      <c r="U219" s="329">
        <v>21560</v>
      </c>
      <c r="V219" s="329">
        <v>18964</v>
      </c>
      <c r="W219" s="329">
        <v>40524</v>
      </c>
    </row>
    <row r="220" spans="2:23" hidden="1" outlineLevel="1" x14ac:dyDescent="0.25">
      <c r="B220" s="328">
        <v>44866</v>
      </c>
      <c r="C220" s="331">
        <v>3319</v>
      </c>
      <c r="D220" s="331">
        <v>845</v>
      </c>
      <c r="E220" s="331">
        <v>4164</v>
      </c>
      <c r="F220" s="331">
        <v>16564</v>
      </c>
      <c r="G220" s="331">
        <v>16849</v>
      </c>
      <c r="H220" s="331">
        <v>33413</v>
      </c>
      <c r="I220" s="331"/>
      <c r="J220" s="331"/>
      <c r="K220" s="331"/>
      <c r="L220" s="331">
        <v>1000</v>
      </c>
      <c r="M220" s="331">
        <v>597</v>
      </c>
      <c r="N220" s="331">
        <v>1597</v>
      </c>
      <c r="O220" s="331"/>
      <c r="P220" s="331"/>
      <c r="Q220" s="331"/>
      <c r="R220" s="331">
        <v>406</v>
      </c>
      <c r="S220" s="331">
        <v>728</v>
      </c>
      <c r="T220" s="331">
        <v>1134</v>
      </c>
      <c r="U220" s="329">
        <v>21289</v>
      </c>
      <c r="V220" s="329">
        <v>19019</v>
      </c>
      <c r="W220" s="329">
        <v>40308</v>
      </c>
    </row>
    <row r="221" spans="2:23" hidden="1" outlineLevel="1" x14ac:dyDescent="0.25">
      <c r="B221" s="328">
        <v>44896</v>
      </c>
      <c r="C221" s="331">
        <v>3082</v>
      </c>
      <c r="D221" s="331">
        <v>632</v>
      </c>
      <c r="E221" s="331">
        <v>3714</v>
      </c>
      <c r="F221" s="331">
        <v>13766</v>
      </c>
      <c r="G221" s="331">
        <v>14698</v>
      </c>
      <c r="H221" s="331">
        <v>28464</v>
      </c>
      <c r="I221" s="331"/>
      <c r="J221" s="331"/>
      <c r="K221" s="331"/>
      <c r="L221" s="331">
        <v>742</v>
      </c>
      <c r="M221" s="331">
        <v>469</v>
      </c>
      <c r="N221" s="331">
        <v>1211</v>
      </c>
      <c r="O221" s="331"/>
      <c r="P221" s="331"/>
      <c r="Q221" s="331"/>
      <c r="R221" s="331">
        <v>401</v>
      </c>
      <c r="S221" s="331">
        <v>651</v>
      </c>
      <c r="T221" s="331">
        <v>1052</v>
      </c>
      <c r="U221" s="329">
        <v>17991</v>
      </c>
      <c r="V221" s="329">
        <v>16450</v>
      </c>
      <c r="W221" s="329">
        <v>34441</v>
      </c>
    </row>
    <row r="222" spans="2:23" collapsed="1" x14ac:dyDescent="0.25">
      <c r="B222" s="330" t="s">
        <v>704</v>
      </c>
      <c r="C222" s="329">
        <v>2853</v>
      </c>
      <c r="D222" s="329">
        <v>1011</v>
      </c>
      <c r="E222" s="329">
        <v>3864</v>
      </c>
      <c r="F222" s="329">
        <v>19481</v>
      </c>
      <c r="G222" s="329">
        <v>21224</v>
      </c>
      <c r="H222" s="329">
        <v>40705</v>
      </c>
      <c r="I222" s="329">
        <v>3266</v>
      </c>
      <c r="J222" s="329">
        <v>1177</v>
      </c>
      <c r="K222" s="329">
        <v>4443</v>
      </c>
      <c r="L222" s="329">
        <v>973</v>
      </c>
      <c r="M222" s="329">
        <v>617</v>
      </c>
      <c r="N222" s="329">
        <v>1590</v>
      </c>
      <c r="O222" s="329">
        <v>10969</v>
      </c>
      <c r="P222" s="329">
        <v>9766</v>
      </c>
      <c r="Q222" s="329">
        <v>20735</v>
      </c>
      <c r="R222" s="329">
        <v>522</v>
      </c>
      <c r="S222" s="329">
        <v>851</v>
      </c>
      <c r="T222" s="329">
        <v>1373</v>
      </c>
      <c r="U222" s="329">
        <v>23154</v>
      </c>
      <c r="V222" s="329">
        <v>22761</v>
      </c>
      <c r="W222" s="329">
        <v>45916</v>
      </c>
    </row>
    <row r="223" spans="2:23" hidden="1" outlineLevel="1" x14ac:dyDescent="0.25">
      <c r="B223" s="328">
        <v>44927</v>
      </c>
      <c r="C223" s="331">
        <v>1230</v>
      </c>
      <c r="D223" s="331">
        <v>325</v>
      </c>
      <c r="E223" s="331">
        <v>1555</v>
      </c>
      <c r="F223" s="331">
        <v>13141</v>
      </c>
      <c r="G223" s="331">
        <v>12841</v>
      </c>
      <c r="H223" s="331">
        <v>25982</v>
      </c>
      <c r="I223" s="331"/>
      <c r="J223" s="331"/>
      <c r="K223" s="331"/>
      <c r="L223" s="331">
        <v>823</v>
      </c>
      <c r="M223" s="331">
        <v>577</v>
      </c>
      <c r="N223" s="331">
        <v>1400</v>
      </c>
      <c r="O223" s="331"/>
      <c r="P223" s="331"/>
      <c r="Q223" s="331"/>
      <c r="R223" s="331">
        <v>401</v>
      </c>
      <c r="S223" s="331">
        <v>722</v>
      </c>
      <c r="T223" s="331">
        <v>1123</v>
      </c>
      <c r="U223" s="329">
        <v>15595</v>
      </c>
      <c r="V223" s="329">
        <v>14465</v>
      </c>
      <c r="W223" s="329">
        <v>30060</v>
      </c>
    </row>
    <row r="224" spans="2:23" hidden="1" outlineLevel="1" x14ac:dyDescent="0.25">
      <c r="B224" s="328">
        <v>44958</v>
      </c>
      <c r="C224" s="331">
        <v>782</v>
      </c>
      <c r="D224" s="331">
        <v>177</v>
      </c>
      <c r="E224" s="331">
        <v>959</v>
      </c>
      <c r="F224" s="331">
        <v>10296</v>
      </c>
      <c r="G224" s="331">
        <v>9665</v>
      </c>
      <c r="H224" s="331">
        <v>19961</v>
      </c>
      <c r="I224" s="331"/>
      <c r="J224" s="331"/>
      <c r="K224" s="331"/>
      <c r="L224" s="331">
        <v>680</v>
      </c>
      <c r="M224" s="331">
        <v>470</v>
      </c>
      <c r="N224" s="331">
        <v>1150</v>
      </c>
      <c r="O224" s="331"/>
      <c r="P224" s="331"/>
      <c r="Q224" s="331"/>
      <c r="R224" s="331">
        <v>419</v>
      </c>
      <c r="S224" s="331">
        <v>623</v>
      </c>
      <c r="T224" s="331">
        <v>1042</v>
      </c>
      <c r="U224" s="329">
        <v>12177</v>
      </c>
      <c r="V224" s="329">
        <v>10935</v>
      </c>
      <c r="W224" s="329">
        <v>23112</v>
      </c>
    </row>
    <row r="225" spans="2:23" hidden="1" outlineLevel="1" x14ac:dyDescent="0.25">
      <c r="B225" s="328">
        <v>44986</v>
      </c>
      <c r="C225" s="331">
        <v>1066</v>
      </c>
      <c r="D225" s="331">
        <v>328</v>
      </c>
      <c r="E225" s="331">
        <v>1394</v>
      </c>
      <c r="F225" s="331">
        <v>10300</v>
      </c>
      <c r="G225" s="331">
        <v>9669</v>
      </c>
      <c r="H225" s="331">
        <v>19969</v>
      </c>
      <c r="I225" s="331"/>
      <c r="J225" s="331"/>
      <c r="K225" s="331"/>
      <c r="L225" s="331">
        <v>879</v>
      </c>
      <c r="M225" s="331">
        <v>547</v>
      </c>
      <c r="N225" s="331">
        <v>1426</v>
      </c>
      <c r="O225" s="331"/>
      <c r="P225" s="331"/>
      <c r="Q225" s="331"/>
      <c r="R225" s="331">
        <v>488</v>
      </c>
      <c r="S225" s="331">
        <v>699</v>
      </c>
      <c r="T225" s="331">
        <v>1187</v>
      </c>
      <c r="U225" s="329">
        <v>12733</v>
      </c>
      <c r="V225" s="329">
        <v>11243</v>
      </c>
      <c r="W225" s="329">
        <v>23976</v>
      </c>
    </row>
    <row r="226" spans="2:23" hidden="1" outlineLevel="1" x14ac:dyDescent="0.25">
      <c r="B226" s="328">
        <v>45017</v>
      </c>
      <c r="C226" s="331">
        <v>670</v>
      </c>
      <c r="D226" s="331">
        <v>187</v>
      </c>
      <c r="E226" s="331">
        <v>857</v>
      </c>
      <c r="F226" s="331">
        <v>8925</v>
      </c>
      <c r="G226" s="331">
        <v>8208</v>
      </c>
      <c r="H226" s="331">
        <v>17133</v>
      </c>
      <c r="I226" s="331"/>
      <c r="J226" s="331"/>
      <c r="K226" s="331"/>
      <c r="L226" s="331">
        <v>659</v>
      </c>
      <c r="M226" s="331">
        <v>405</v>
      </c>
      <c r="N226" s="331">
        <v>1064</v>
      </c>
      <c r="O226" s="331"/>
      <c r="P226" s="331"/>
      <c r="Q226" s="331"/>
      <c r="R226" s="331">
        <v>338</v>
      </c>
      <c r="S226" s="331">
        <v>591</v>
      </c>
      <c r="T226" s="331">
        <v>929</v>
      </c>
      <c r="U226" s="329">
        <v>10592</v>
      </c>
      <c r="V226" s="329">
        <v>9391</v>
      </c>
      <c r="W226" s="329">
        <v>19983</v>
      </c>
    </row>
    <row r="227" spans="2:23" hidden="1" outlineLevel="1" x14ac:dyDescent="0.25">
      <c r="B227" s="328">
        <v>45047</v>
      </c>
      <c r="C227" s="331">
        <v>815</v>
      </c>
      <c r="D227" s="331">
        <v>272</v>
      </c>
      <c r="E227" s="331">
        <v>1087</v>
      </c>
      <c r="F227" s="331">
        <v>8968</v>
      </c>
      <c r="G227" s="331">
        <v>8535</v>
      </c>
      <c r="H227" s="331">
        <v>17503</v>
      </c>
      <c r="I227" s="331"/>
      <c r="J227" s="331"/>
      <c r="K227" s="331"/>
      <c r="L227" s="331">
        <v>655</v>
      </c>
      <c r="M227" s="331">
        <v>418</v>
      </c>
      <c r="N227" s="331">
        <v>1073</v>
      </c>
      <c r="O227" s="331"/>
      <c r="P227" s="331"/>
      <c r="Q227" s="331"/>
      <c r="R227" s="331">
        <v>417</v>
      </c>
      <c r="S227" s="331">
        <v>701</v>
      </c>
      <c r="T227" s="331">
        <v>1118</v>
      </c>
      <c r="U227" s="329">
        <v>10855</v>
      </c>
      <c r="V227" s="329">
        <v>9926</v>
      </c>
      <c r="W227" s="329">
        <v>20781</v>
      </c>
    </row>
    <row r="228" spans="2:23" hidden="1" outlineLevel="1" x14ac:dyDescent="0.25">
      <c r="B228" s="328">
        <v>45078</v>
      </c>
      <c r="C228" s="331">
        <v>795</v>
      </c>
      <c r="D228" s="331">
        <v>299</v>
      </c>
      <c r="E228" s="331">
        <v>1094</v>
      </c>
      <c r="F228" s="331">
        <v>8588</v>
      </c>
      <c r="G228" s="331">
        <v>7410</v>
      </c>
      <c r="H228" s="331">
        <v>15998</v>
      </c>
      <c r="I228" s="331"/>
      <c r="J228" s="331"/>
      <c r="K228" s="331"/>
      <c r="L228" s="331">
        <v>456</v>
      </c>
      <c r="M228" s="331">
        <v>346</v>
      </c>
      <c r="N228" s="331">
        <v>802</v>
      </c>
      <c r="O228" s="331"/>
      <c r="P228" s="331"/>
      <c r="Q228" s="331"/>
      <c r="R228" s="331">
        <v>377</v>
      </c>
      <c r="S228" s="331">
        <v>622</v>
      </c>
      <c r="T228" s="331">
        <v>999</v>
      </c>
      <c r="U228" s="329">
        <v>10216</v>
      </c>
      <c r="V228" s="329">
        <v>8677</v>
      </c>
      <c r="W228" s="329">
        <v>18893</v>
      </c>
    </row>
    <row r="229" spans="2:23" hidden="1" outlineLevel="1" x14ac:dyDescent="0.25">
      <c r="B229" s="328">
        <v>45108</v>
      </c>
      <c r="C229" s="331">
        <v>988</v>
      </c>
      <c r="D229" s="331">
        <v>431</v>
      </c>
      <c r="E229" s="331">
        <v>1419</v>
      </c>
      <c r="F229" s="331">
        <v>10255</v>
      </c>
      <c r="G229" s="331">
        <v>8744</v>
      </c>
      <c r="H229" s="331">
        <v>18999</v>
      </c>
      <c r="I229" s="331"/>
      <c r="J229" s="331"/>
      <c r="K229" s="331"/>
      <c r="L229" s="331">
        <v>426</v>
      </c>
      <c r="M229" s="331">
        <v>278</v>
      </c>
      <c r="N229" s="331">
        <v>704</v>
      </c>
      <c r="O229" s="331"/>
      <c r="P229" s="331"/>
      <c r="Q229" s="331"/>
      <c r="R229" s="331">
        <v>370</v>
      </c>
      <c r="S229" s="331">
        <v>644</v>
      </c>
      <c r="T229" s="331">
        <v>1014</v>
      </c>
      <c r="U229" s="329">
        <v>12039</v>
      </c>
      <c r="V229" s="329">
        <v>10097</v>
      </c>
      <c r="W229" s="329">
        <v>22136</v>
      </c>
    </row>
    <row r="230" spans="2:23" hidden="1" outlineLevel="1" x14ac:dyDescent="0.25">
      <c r="B230" s="328">
        <v>45139</v>
      </c>
      <c r="C230" s="331">
        <v>804</v>
      </c>
      <c r="D230" s="331">
        <v>257</v>
      </c>
      <c r="E230" s="331">
        <v>1061</v>
      </c>
      <c r="F230" s="331">
        <v>9823</v>
      </c>
      <c r="G230" s="331">
        <v>8409</v>
      </c>
      <c r="H230" s="331">
        <v>18232</v>
      </c>
      <c r="I230" s="331"/>
      <c r="J230" s="331"/>
      <c r="K230" s="331"/>
      <c r="L230" s="331">
        <v>344</v>
      </c>
      <c r="M230" s="331">
        <v>229</v>
      </c>
      <c r="N230" s="331">
        <v>573</v>
      </c>
      <c r="O230" s="331"/>
      <c r="P230" s="331"/>
      <c r="Q230" s="331"/>
      <c r="R230" s="331">
        <v>386</v>
      </c>
      <c r="S230" s="331">
        <v>675</v>
      </c>
      <c r="T230" s="331">
        <v>1061</v>
      </c>
      <c r="U230" s="329">
        <v>11357</v>
      </c>
      <c r="V230" s="329">
        <v>9570</v>
      </c>
      <c r="W230" s="329">
        <v>20927</v>
      </c>
    </row>
    <row r="231" spans="2:23" hidden="1" outlineLevel="1" x14ac:dyDescent="0.25">
      <c r="B231" s="328">
        <v>45170</v>
      </c>
      <c r="C231" s="331">
        <v>515</v>
      </c>
      <c r="D231" s="331">
        <v>122</v>
      </c>
      <c r="E231" s="331">
        <v>637</v>
      </c>
      <c r="F231" s="331">
        <v>10367</v>
      </c>
      <c r="G231" s="331">
        <v>8238</v>
      </c>
      <c r="H231" s="331">
        <v>18605</v>
      </c>
      <c r="I231" s="331"/>
      <c r="J231" s="331"/>
      <c r="K231" s="331"/>
      <c r="L231" s="331">
        <v>223</v>
      </c>
      <c r="M231" s="331">
        <v>199</v>
      </c>
      <c r="N231" s="331">
        <v>422</v>
      </c>
      <c r="O231" s="331"/>
      <c r="P231" s="331"/>
      <c r="Q231" s="331"/>
      <c r="R231" s="331">
        <v>340</v>
      </c>
      <c r="S231" s="331">
        <v>593</v>
      </c>
      <c r="T231" s="331">
        <v>933</v>
      </c>
      <c r="U231" s="329">
        <v>11445</v>
      </c>
      <c r="V231" s="329">
        <v>9152</v>
      </c>
      <c r="W231" s="329">
        <v>20597</v>
      </c>
    </row>
    <row r="232" spans="2:23" hidden="1" outlineLevel="1" x14ac:dyDescent="0.25">
      <c r="B232" s="328">
        <v>45200</v>
      </c>
      <c r="C232" s="331">
        <v>220</v>
      </c>
      <c r="D232" s="331">
        <v>15</v>
      </c>
      <c r="E232" s="331">
        <v>235</v>
      </c>
      <c r="F232" s="331">
        <v>9632</v>
      </c>
      <c r="G232" s="331">
        <v>8347</v>
      </c>
      <c r="H232" s="331">
        <v>17979</v>
      </c>
      <c r="I232" s="331"/>
      <c r="J232" s="331"/>
      <c r="K232" s="331"/>
      <c r="L232" s="331">
        <v>250</v>
      </c>
      <c r="M232" s="331">
        <v>165</v>
      </c>
      <c r="N232" s="331">
        <v>415</v>
      </c>
      <c r="O232" s="331"/>
      <c r="P232" s="331"/>
      <c r="Q232" s="331"/>
      <c r="R232" s="331">
        <v>345</v>
      </c>
      <c r="S232" s="331">
        <v>604</v>
      </c>
      <c r="T232" s="331">
        <v>949</v>
      </c>
      <c r="U232" s="329">
        <v>10447</v>
      </c>
      <c r="V232" s="329">
        <v>9131</v>
      </c>
      <c r="W232" s="329">
        <v>19578</v>
      </c>
    </row>
    <row r="233" spans="2:23" hidden="1" outlineLevel="1" x14ac:dyDescent="0.25">
      <c r="B233" s="328">
        <v>45231</v>
      </c>
      <c r="C233" s="331">
        <v>185</v>
      </c>
      <c r="D233" s="331">
        <v>21</v>
      </c>
      <c r="E233" s="331">
        <v>206</v>
      </c>
      <c r="F233" s="331">
        <v>8056</v>
      </c>
      <c r="G233" s="331">
        <v>7415</v>
      </c>
      <c r="H233" s="331">
        <v>15471</v>
      </c>
      <c r="I233" s="331"/>
      <c r="J233" s="331"/>
      <c r="K233" s="331"/>
      <c r="L233" s="331">
        <v>34</v>
      </c>
      <c r="M233" s="331">
        <v>31</v>
      </c>
      <c r="N233" s="331">
        <v>65</v>
      </c>
      <c r="O233" s="331"/>
      <c r="P233" s="331"/>
      <c r="Q233" s="331"/>
      <c r="R233" s="331">
        <v>186</v>
      </c>
      <c r="S233" s="331">
        <v>324</v>
      </c>
      <c r="T233" s="331">
        <v>510</v>
      </c>
      <c r="U233" s="329">
        <v>8461</v>
      </c>
      <c r="V233" s="329">
        <v>7791</v>
      </c>
      <c r="W233" s="329">
        <v>16252</v>
      </c>
    </row>
    <row r="234" spans="2:23" hidden="1" outlineLevel="1" x14ac:dyDescent="0.25">
      <c r="B234" s="328">
        <v>45261</v>
      </c>
      <c r="C234" s="331">
        <v>48</v>
      </c>
      <c r="D234" s="331">
        <v>8</v>
      </c>
      <c r="E234" s="331">
        <v>56</v>
      </c>
      <c r="F234" s="331">
        <v>3217</v>
      </c>
      <c r="G234" s="331">
        <v>1941</v>
      </c>
      <c r="H234" s="331">
        <v>5158</v>
      </c>
      <c r="I234" s="331"/>
      <c r="J234" s="331"/>
      <c r="K234" s="331"/>
      <c r="L234" s="331">
        <v>2</v>
      </c>
      <c r="M234" s="331">
        <v>8</v>
      </c>
      <c r="N234" s="331">
        <v>10</v>
      </c>
      <c r="O234" s="331"/>
      <c r="P234" s="331"/>
      <c r="Q234" s="331"/>
      <c r="R234" s="331">
        <v>65</v>
      </c>
      <c r="S234" s="331">
        <v>93</v>
      </c>
      <c r="T234" s="331">
        <v>158</v>
      </c>
      <c r="U234" s="329">
        <v>3332</v>
      </c>
      <c r="V234" s="329">
        <v>2050</v>
      </c>
      <c r="W234" s="329">
        <v>5382</v>
      </c>
    </row>
    <row r="235" spans="2:23" collapsed="1" x14ac:dyDescent="0.25">
      <c r="B235" s="330" t="s">
        <v>869</v>
      </c>
      <c r="C235" s="329">
        <v>677</v>
      </c>
      <c r="D235" s="329">
        <v>204</v>
      </c>
      <c r="E235" s="329">
        <v>880</v>
      </c>
      <c r="F235" s="329">
        <v>9297</v>
      </c>
      <c r="G235" s="329">
        <v>8285</v>
      </c>
      <c r="H235" s="329">
        <v>17583</v>
      </c>
      <c r="I235" s="329" t="s">
        <v>781</v>
      </c>
      <c r="J235" s="329" t="s">
        <v>781</v>
      </c>
      <c r="K235" s="329" t="s">
        <v>781</v>
      </c>
      <c r="L235" s="329">
        <v>453</v>
      </c>
      <c r="M235" s="329">
        <v>306</v>
      </c>
      <c r="N235" s="329">
        <v>759</v>
      </c>
      <c r="O235" s="329" t="s">
        <v>781</v>
      </c>
      <c r="P235" s="329" t="s">
        <v>781</v>
      </c>
      <c r="Q235" s="329" t="s">
        <v>781</v>
      </c>
      <c r="R235" s="329">
        <v>344</v>
      </c>
      <c r="S235" s="329">
        <v>574</v>
      </c>
      <c r="T235" s="329">
        <v>919</v>
      </c>
      <c r="U235" s="329">
        <v>10771</v>
      </c>
      <c r="V235" s="329">
        <v>9369</v>
      </c>
      <c r="W235" s="329">
        <v>20140</v>
      </c>
    </row>
    <row r="236" spans="2:23" ht="32.25" x14ac:dyDescent="0.25">
      <c r="B236" s="330" t="s">
        <v>943</v>
      </c>
      <c r="C236" s="329">
        <v>39505</v>
      </c>
      <c r="D236" s="329">
        <v>13561</v>
      </c>
      <c r="E236" s="329">
        <v>53066</v>
      </c>
      <c r="F236" s="329">
        <v>325863</v>
      </c>
      <c r="G236" s="329">
        <v>332883</v>
      </c>
      <c r="H236" s="329">
        <v>658746</v>
      </c>
      <c r="I236" s="329">
        <v>377634</v>
      </c>
      <c r="J236" s="329">
        <v>121201</v>
      </c>
      <c r="K236" s="329">
        <v>498835</v>
      </c>
      <c r="L236" s="329">
        <v>131670</v>
      </c>
      <c r="M236" s="329">
        <v>75323</v>
      </c>
      <c r="N236" s="329">
        <v>206993</v>
      </c>
      <c r="O236" s="329">
        <v>845869</v>
      </c>
      <c r="P236" s="329">
        <v>689914</v>
      </c>
      <c r="Q236" s="329">
        <v>1535783</v>
      </c>
      <c r="R236" s="329">
        <v>57594</v>
      </c>
      <c r="S236" s="329">
        <v>63079</v>
      </c>
      <c r="T236" s="329">
        <v>120673</v>
      </c>
      <c r="U236" s="329">
        <v>1778135</v>
      </c>
      <c r="V236" s="329">
        <v>1295961</v>
      </c>
      <c r="W236" s="329">
        <v>3074096</v>
      </c>
    </row>
    <row r="237" spans="2:23" ht="70.5" customHeight="1" x14ac:dyDescent="0.25">
      <c r="B237" s="428" t="s">
        <v>938</v>
      </c>
      <c r="C237" s="428"/>
      <c r="D237" s="428"/>
      <c r="E237" s="428"/>
      <c r="F237" s="428"/>
      <c r="G237" s="428"/>
      <c r="H237" s="428"/>
      <c r="I237" s="428"/>
      <c r="J237" s="428"/>
      <c r="K237" s="428"/>
      <c r="L237" s="428"/>
      <c r="M237" s="428"/>
      <c r="N237" s="428"/>
      <c r="O237" s="428"/>
      <c r="P237" s="428"/>
      <c r="Q237" s="428"/>
      <c r="R237" s="428"/>
      <c r="S237" s="428"/>
      <c r="T237" s="428"/>
      <c r="U237" s="428"/>
      <c r="V237" s="428"/>
      <c r="W237" s="428"/>
    </row>
    <row r="238" spans="2:23" x14ac:dyDescent="0.25">
      <c r="B238" s="3"/>
      <c r="C238" s="3"/>
      <c r="D238" s="3"/>
      <c r="E238" s="3"/>
      <c r="F238" s="3"/>
      <c r="G238" s="3"/>
      <c r="H238" s="3"/>
    </row>
    <row r="239" spans="2:23" x14ac:dyDescent="0.25">
      <c r="B239" s="3"/>
      <c r="C239" s="3"/>
      <c r="D239" s="3"/>
      <c r="E239" s="3"/>
      <c r="F239" s="3"/>
      <c r="G239" s="3"/>
      <c r="H239" s="3"/>
    </row>
    <row r="240" spans="2:23" x14ac:dyDescent="0.25">
      <c r="B240" s="3"/>
      <c r="C240" s="3"/>
      <c r="D240" s="3"/>
      <c r="E240" s="3"/>
      <c r="F240" s="3"/>
      <c r="G240" s="3"/>
      <c r="H240" s="3"/>
    </row>
    <row r="241" spans="2:8" x14ac:dyDescent="0.25">
      <c r="B241" s="3"/>
      <c r="C241" s="3"/>
      <c r="D241" s="3"/>
      <c r="E241" s="3"/>
      <c r="F241" s="3"/>
      <c r="G241" s="3"/>
      <c r="H241" s="3"/>
    </row>
    <row r="242" spans="2:8" x14ac:dyDescent="0.25">
      <c r="B242" s="3"/>
      <c r="C242" s="3"/>
      <c r="D242" s="3"/>
      <c r="E242" s="3"/>
      <c r="F242" s="3"/>
      <c r="G242" s="3"/>
      <c r="H242" s="3"/>
    </row>
    <row r="243" spans="2:8" x14ac:dyDescent="0.25">
      <c r="B243" s="3"/>
      <c r="C243" s="3"/>
      <c r="D243" s="3"/>
      <c r="E243" s="3"/>
      <c r="F243" s="3"/>
      <c r="G243" s="3"/>
      <c r="H243" s="3"/>
    </row>
    <row r="244" spans="2:8" x14ac:dyDescent="0.25">
      <c r="B244" s="3"/>
      <c r="C244" s="3"/>
      <c r="D244" s="3"/>
      <c r="E244" s="3"/>
      <c r="F244" s="3"/>
      <c r="G244" s="3"/>
      <c r="H244" s="3"/>
    </row>
    <row r="245" spans="2:8" x14ac:dyDescent="0.25">
      <c r="B245" s="86"/>
      <c r="C245" s="3"/>
      <c r="D245" s="3"/>
      <c r="E245" s="3"/>
      <c r="F245" s="3"/>
      <c r="G245" s="3"/>
      <c r="H245" s="3"/>
    </row>
  </sheetData>
  <mergeCells count="19">
    <mergeCell ref="B17:H17"/>
    <mergeCell ref="B19:B20"/>
    <mergeCell ref="C19:E19"/>
    <mergeCell ref="B237:W237"/>
    <mergeCell ref="B5:H5"/>
    <mergeCell ref="C7:E7"/>
    <mergeCell ref="B7:B8"/>
    <mergeCell ref="C32:E32"/>
    <mergeCell ref="F32:H32"/>
    <mergeCell ref="I32:K32"/>
    <mergeCell ref="L32:N32"/>
    <mergeCell ref="O32:Q32"/>
    <mergeCell ref="B14:Q14"/>
    <mergeCell ref="B29:H29"/>
    <mergeCell ref="B31:B33"/>
    <mergeCell ref="R32:T32"/>
    <mergeCell ref="B26:Q26"/>
    <mergeCell ref="U31:W32"/>
    <mergeCell ref="C31:T31"/>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2BBF4-BF7C-4CE1-9044-C2A8A5A906AF}">
  <sheetPr>
    <tabColor rgb="FF00B0F0"/>
  </sheetPr>
  <dimension ref="A2:X581"/>
  <sheetViews>
    <sheetView showGridLines="0" workbookViewId="0"/>
  </sheetViews>
  <sheetFormatPr baseColWidth="10" defaultColWidth="11.42578125" defaultRowHeight="15" x14ac:dyDescent="0.25"/>
  <cols>
    <col min="1" max="1" width="5.5703125" style="7" customWidth="1"/>
    <col min="2" max="2" width="38.85546875" style="7" customWidth="1"/>
    <col min="3" max="3" width="12" style="7" bestFit="1" customWidth="1"/>
    <col min="4" max="4" width="14.5703125" style="7" customWidth="1"/>
    <col min="5" max="5" width="14.42578125" style="7" customWidth="1"/>
    <col min="6" max="6" width="13.42578125" style="7" customWidth="1"/>
    <col min="7" max="7" width="13.5703125" style="7" customWidth="1"/>
    <col min="8" max="8" width="10.5703125" style="7" customWidth="1"/>
    <col min="9" max="9" width="10" style="7" customWidth="1"/>
    <col min="10" max="10" width="10.5703125" style="7" customWidth="1"/>
    <col min="11" max="11" width="13" style="7" customWidth="1"/>
    <col min="12" max="12" width="11.42578125" style="7" customWidth="1"/>
    <col min="13" max="13" width="9.85546875" style="7" customWidth="1"/>
    <col min="14" max="14" width="8.5703125" style="7" bestFit="1" customWidth="1"/>
    <col min="15" max="15" width="9.5703125" style="7" bestFit="1" customWidth="1"/>
    <col min="16" max="16" width="15.5703125" style="7" customWidth="1"/>
    <col min="17" max="17" width="9.5703125" style="7" bestFit="1" customWidth="1"/>
    <col min="18" max="18" width="8.5703125" style="7" bestFit="1" customWidth="1"/>
    <col min="19" max="19" width="9.5703125" style="7" bestFit="1" customWidth="1"/>
    <col min="20" max="20" width="8.5703125" style="7" bestFit="1" customWidth="1"/>
    <col min="21" max="21" width="9.5703125" style="7" bestFit="1" customWidth="1"/>
    <col min="22" max="22" width="8.5703125" style="7" bestFit="1" customWidth="1"/>
    <col min="23" max="23" width="9.5703125" style="7" bestFit="1" customWidth="1"/>
    <col min="24" max="25" width="8.5703125" style="7" bestFit="1" customWidth="1"/>
    <col min="26" max="26" width="7.42578125" style="7" bestFit="1" customWidth="1"/>
    <col min="27" max="27" width="9.5703125" style="7" bestFit="1" customWidth="1"/>
    <col min="28" max="28" width="2.28515625" style="7" customWidth="1"/>
    <col min="29" max="29" width="11.140625" style="7" bestFit="1" customWidth="1"/>
    <col min="30" max="30" width="9.5703125" style="7" bestFit="1" customWidth="1"/>
    <col min="31" max="31" width="5.7109375" style="7" bestFit="1" customWidth="1"/>
    <col min="32" max="32" width="2.5703125" style="7" customWidth="1"/>
    <col min="33" max="34" width="9.5703125" style="7" bestFit="1" customWidth="1"/>
    <col min="35" max="35" width="5.7109375" style="7" bestFit="1" customWidth="1"/>
    <col min="36" max="16384" width="11.42578125" style="7"/>
  </cols>
  <sheetData>
    <row r="2" spans="2:23" ht="23.25" x14ac:dyDescent="0.25">
      <c r="B2" s="1" t="s">
        <v>860</v>
      </c>
    </row>
    <row r="4" spans="2:23" ht="15" customHeight="1" x14ac:dyDescent="0.3">
      <c r="B4" s="2" t="s">
        <v>763</v>
      </c>
      <c r="C4" s="2"/>
      <c r="D4" s="2"/>
      <c r="E4" s="2"/>
      <c r="F4" s="305"/>
      <c r="G4" s="13"/>
      <c r="H4" s="13"/>
      <c r="I4" s="13"/>
      <c r="J4" s="13"/>
      <c r="K4" s="13"/>
      <c r="L4" s="13"/>
      <c r="M4" s="13"/>
      <c r="N4" s="13"/>
      <c r="O4" s="13"/>
      <c r="P4" s="13"/>
      <c r="Q4" s="13"/>
      <c r="R4" s="13"/>
      <c r="S4" s="13"/>
      <c r="T4" s="13"/>
      <c r="U4" s="13"/>
      <c r="V4" s="13"/>
      <c r="W4" s="13"/>
    </row>
    <row r="5" spans="2:23" x14ac:dyDescent="0.25">
      <c r="B5" s="15" t="s">
        <v>866</v>
      </c>
      <c r="C5" s="13"/>
      <c r="D5" s="13"/>
      <c r="E5" s="13"/>
      <c r="F5" s="13"/>
      <c r="G5" s="13"/>
      <c r="H5" s="13"/>
      <c r="I5" s="13"/>
      <c r="J5" s="13"/>
      <c r="K5" s="13"/>
      <c r="L5" s="13"/>
      <c r="M5" s="13"/>
      <c r="N5" s="13"/>
      <c r="O5" s="13"/>
      <c r="P5" s="13"/>
      <c r="Q5" s="13"/>
      <c r="R5" s="13"/>
      <c r="S5" s="13"/>
      <c r="T5" s="13"/>
      <c r="U5" s="13"/>
      <c r="V5" s="13"/>
      <c r="W5" s="13"/>
    </row>
    <row r="6" spans="2:23" x14ac:dyDescent="0.25">
      <c r="B6" s="15"/>
      <c r="C6" s="13"/>
      <c r="D6" s="13"/>
      <c r="E6" s="13"/>
      <c r="F6" s="13"/>
      <c r="G6" s="13"/>
      <c r="H6" s="13"/>
      <c r="I6" s="13"/>
      <c r="J6" s="13"/>
      <c r="K6" s="13"/>
      <c r="L6" s="13"/>
      <c r="M6" s="13"/>
      <c r="N6" s="13"/>
      <c r="O6" s="13"/>
      <c r="P6" s="13"/>
      <c r="Q6" s="13"/>
      <c r="R6" s="13"/>
      <c r="S6" s="13"/>
      <c r="T6" s="13"/>
      <c r="U6" s="13"/>
      <c r="V6" s="13"/>
      <c r="W6" s="13"/>
    </row>
    <row r="7" spans="2:23" ht="15" customHeight="1" x14ac:dyDescent="0.25">
      <c r="B7" s="413" t="s">
        <v>521</v>
      </c>
      <c r="C7" s="414" t="s">
        <v>477</v>
      </c>
      <c r="D7" s="414"/>
      <c r="E7" s="414"/>
      <c r="F7" s="414"/>
      <c r="G7" s="414"/>
      <c r="H7" s="414"/>
      <c r="I7" s="414"/>
      <c r="J7" s="414"/>
      <c r="K7" s="414"/>
      <c r="L7" s="414"/>
      <c r="M7" s="414"/>
      <c r="N7" s="414"/>
      <c r="O7" s="447" t="s">
        <v>922</v>
      </c>
      <c r="P7" s="448"/>
      <c r="Q7" s="449"/>
      <c r="R7" s="13"/>
      <c r="S7" s="13"/>
      <c r="T7" s="13"/>
      <c r="U7" s="13"/>
      <c r="V7" s="13"/>
      <c r="W7" s="13"/>
    </row>
    <row r="8" spans="2:23" ht="15" customHeight="1" x14ac:dyDescent="0.25">
      <c r="B8" s="413"/>
      <c r="C8" s="414" t="s">
        <v>885</v>
      </c>
      <c r="D8" s="414"/>
      <c r="E8" s="414"/>
      <c r="F8" s="414" t="s">
        <v>886</v>
      </c>
      <c r="G8" s="414"/>
      <c r="H8" s="414"/>
      <c r="I8" s="414" t="s">
        <v>2</v>
      </c>
      <c r="J8" s="414"/>
      <c r="K8" s="414"/>
      <c r="L8" s="414" t="s">
        <v>3</v>
      </c>
      <c r="M8" s="414"/>
      <c r="N8" s="414"/>
      <c r="O8" s="450"/>
      <c r="P8" s="451"/>
      <c r="Q8" s="452"/>
      <c r="R8" s="13"/>
      <c r="S8" s="13"/>
      <c r="T8" s="13"/>
      <c r="U8" s="13"/>
      <c r="V8" s="13"/>
      <c r="W8" s="13"/>
    </row>
    <row r="9" spans="2:23" x14ac:dyDescent="0.25">
      <c r="B9" s="413"/>
      <c r="C9" s="161" t="s">
        <v>73</v>
      </c>
      <c r="D9" s="161" t="s">
        <v>74</v>
      </c>
      <c r="E9" s="161" t="s">
        <v>25</v>
      </c>
      <c r="F9" s="161" t="s">
        <v>73</v>
      </c>
      <c r="G9" s="161" t="s">
        <v>74</v>
      </c>
      <c r="H9" s="161" t="s">
        <v>25</v>
      </c>
      <c r="I9" s="161" t="s">
        <v>73</v>
      </c>
      <c r="J9" s="161" t="s">
        <v>74</v>
      </c>
      <c r="K9" s="161" t="s">
        <v>25</v>
      </c>
      <c r="L9" s="161" t="s">
        <v>73</v>
      </c>
      <c r="M9" s="161" t="s">
        <v>74</v>
      </c>
      <c r="N9" s="161" t="s">
        <v>25</v>
      </c>
      <c r="O9" s="299" t="s">
        <v>73</v>
      </c>
      <c r="P9" s="299" t="s">
        <v>74</v>
      </c>
      <c r="Q9" s="299" t="s">
        <v>25</v>
      </c>
      <c r="R9" s="13"/>
      <c r="S9" s="13"/>
      <c r="T9" s="13"/>
      <c r="U9" s="13"/>
      <c r="V9" s="13"/>
      <c r="W9" s="13"/>
    </row>
    <row r="10" spans="2:23" x14ac:dyDescent="0.25">
      <c r="B10" s="288" t="s">
        <v>519</v>
      </c>
      <c r="C10" s="269">
        <v>27</v>
      </c>
      <c r="D10" s="269">
        <v>32</v>
      </c>
      <c r="E10" s="290">
        <v>59</v>
      </c>
      <c r="F10" s="269">
        <v>309</v>
      </c>
      <c r="G10" s="269">
        <v>292</v>
      </c>
      <c r="H10" s="290">
        <v>601</v>
      </c>
      <c r="I10" s="269">
        <v>43</v>
      </c>
      <c r="J10" s="269">
        <v>34</v>
      </c>
      <c r="K10" s="290">
        <v>77</v>
      </c>
      <c r="L10" s="269">
        <v>14</v>
      </c>
      <c r="M10" s="269">
        <v>30</v>
      </c>
      <c r="N10" s="290">
        <v>44</v>
      </c>
      <c r="O10" s="368">
        <v>393</v>
      </c>
      <c r="P10" s="369">
        <v>388</v>
      </c>
      <c r="Q10" s="369">
        <v>781</v>
      </c>
      <c r="R10" s="13"/>
      <c r="S10" s="13"/>
      <c r="T10" s="13"/>
      <c r="U10" s="13"/>
      <c r="V10" s="13"/>
      <c r="W10" s="13"/>
    </row>
    <row r="11" spans="2:23" ht="15" customHeight="1" x14ac:dyDescent="0.25">
      <c r="B11" s="289" t="s">
        <v>505</v>
      </c>
      <c r="C11" s="269">
        <v>22</v>
      </c>
      <c r="D11" s="269">
        <v>48</v>
      </c>
      <c r="E11" s="290">
        <v>70</v>
      </c>
      <c r="F11" s="269">
        <v>364</v>
      </c>
      <c r="G11" s="269">
        <v>359</v>
      </c>
      <c r="H11" s="290">
        <v>723</v>
      </c>
      <c r="I11" s="269">
        <v>71</v>
      </c>
      <c r="J11" s="269">
        <v>40</v>
      </c>
      <c r="K11" s="290">
        <v>111</v>
      </c>
      <c r="L11" s="269">
        <v>14</v>
      </c>
      <c r="M11" s="269">
        <v>21</v>
      </c>
      <c r="N11" s="290">
        <v>35</v>
      </c>
      <c r="O11" s="368">
        <v>471</v>
      </c>
      <c r="P11" s="369">
        <v>468</v>
      </c>
      <c r="Q11" s="369">
        <v>939</v>
      </c>
      <c r="R11" s="13"/>
      <c r="S11" s="13"/>
      <c r="T11" s="13"/>
      <c r="U11" s="13"/>
      <c r="V11" s="13"/>
      <c r="W11" s="13"/>
    </row>
    <row r="12" spans="2:23" x14ac:dyDescent="0.25">
      <c r="B12" s="289" t="s">
        <v>506</v>
      </c>
      <c r="C12" s="269">
        <v>42</v>
      </c>
      <c r="D12" s="269">
        <v>63</v>
      </c>
      <c r="E12" s="290">
        <v>105</v>
      </c>
      <c r="F12" s="269">
        <v>679</v>
      </c>
      <c r="G12" s="269">
        <v>698</v>
      </c>
      <c r="H12" s="290">
        <v>1377</v>
      </c>
      <c r="I12" s="269">
        <v>113</v>
      </c>
      <c r="J12" s="269">
        <v>59</v>
      </c>
      <c r="K12" s="290">
        <v>172</v>
      </c>
      <c r="L12" s="269">
        <v>28</v>
      </c>
      <c r="M12" s="269">
        <v>37</v>
      </c>
      <c r="N12" s="290">
        <v>65</v>
      </c>
      <c r="O12" s="368">
        <v>862</v>
      </c>
      <c r="P12" s="369">
        <v>857</v>
      </c>
      <c r="Q12" s="369">
        <v>1719</v>
      </c>
      <c r="R12" s="13"/>
      <c r="S12" s="13"/>
      <c r="T12" s="13"/>
      <c r="U12" s="13"/>
      <c r="V12" s="13"/>
      <c r="W12" s="13"/>
    </row>
    <row r="13" spans="2:23" x14ac:dyDescent="0.25">
      <c r="B13" s="289" t="s">
        <v>507</v>
      </c>
      <c r="C13" s="269">
        <v>29</v>
      </c>
      <c r="D13" s="269">
        <v>49</v>
      </c>
      <c r="E13" s="290">
        <v>78</v>
      </c>
      <c r="F13" s="269">
        <v>425</v>
      </c>
      <c r="G13" s="269">
        <v>423</v>
      </c>
      <c r="H13" s="290">
        <v>848</v>
      </c>
      <c r="I13" s="269">
        <v>85</v>
      </c>
      <c r="J13" s="269">
        <v>43</v>
      </c>
      <c r="K13" s="290">
        <v>128</v>
      </c>
      <c r="L13" s="269">
        <v>11</v>
      </c>
      <c r="M13" s="269">
        <v>22</v>
      </c>
      <c r="N13" s="290">
        <v>33</v>
      </c>
      <c r="O13" s="368">
        <v>550</v>
      </c>
      <c r="P13" s="369">
        <v>537</v>
      </c>
      <c r="Q13" s="369">
        <v>1087</v>
      </c>
      <c r="R13" s="13"/>
      <c r="S13" s="13"/>
      <c r="T13" s="13"/>
      <c r="U13" s="13"/>
      <c r="V13" s="13"/>
      <c r="W13" s="13"/>
    </row>
    <row r="14" spans="2:23" ht="15" customHeight="1" x14ac:dyDescent="0.25">
      <c r="B14" s="289" t="s">
        <v>508</v>
      </c>
      <c r="C14" s="269">
        <v>69</v>
      </c>
      <c r="D14" s="269">
        <v>148</v>
      </c>
      <c r="E14" s="290">
        <v>217</v>
      </c>
      <c r="F14" s="269">
        <v>1220</v>
      </c>
      <c r="G14" s="269">
        <v>1212</v>
      </c>
      <c r="H14" s="290">
        <v>2432</v>
      </c>
      <c r="I14" s="269">
        <v>262</v>
      </c>
      <c r="J14" s="269">
        <v>124</v>
      </c>
      <c r="K14" s="290">
        <v>386</v>
      </c>
      <c r="L14" s="269">
        <v>84</v>
      </c>
      <c r="M14" s="269">
        <v>119</v>
      </c>
      <c r="N14" s="290">
        <v>203</v>
      </c>
      <c r="O14" s="368">
        <v>1635</v>
      </c>
      <c r="P14" s="369">
        <v>1603</v>
      </c>
      <c r="Q14" s="369">
        <v>3238</v>
      </c>
      <c r="R14" s="13"/>
      <c r="S14" s="13"/>
      <c r="T14" s="13"/>
      <c r="U14" s="13"/>
      <c r="V14" s="13"/>
      <c r="W14" s="13"/>
    </row>
    <row r="15" spans="2:23" x14ac:dyDescent="0.25">
      <c r="B15" s="289" t="s">
        <v>509</v>
      </c>
      <c r="C15" s="269">
        <v>226</v>
      </c>
      <c r="D15" s="269">
        <v>262</v>
      </c>
      <c r="E15" s="290">
        <v>488</v>
      </c>
      <c r="F15" s="269">
        <v>3173</v>
      </c>
      <c r="G15" s="269">
        <v>2789</v>
      </c>
      <c r="H15" s="290">
        <v>5962</v>
      </c>
      <c r="I15" s="269">
        <v>512</v>
      </c>
      <c r="J15" s="269">
        <v>229</v>
      </c>
      <c r="K15" s="290">
        <v>741</v>
      </c>
      <c r="L15" s="269">
        <v>168</v>
      </c>
      <c r="M15" s="269">
        <v>217</v>
      </c>
      <c r="N15" s="290">
        <v>385</v>
      </c>
      <c r="O15" s="368">
        <v>4079</v>
      </c>
      <c r="P15" s="369">
        <v>3497</v>
      </c>
      <c r="Q15" s="369">
        <v>7576</v>
      </c>
      <c r="R15" s="13"/>
      <c r="S15" s="13"/>
      <c r="T15" s="13"/>
      <c r="U15" s="13"/>
      <c r="V15" s="13"/>
      <c r="W15" s="13"/>
    </row>
    <row r="16" spans="2:23" x14ac:dyDescent="0.25">
      <c r="B16" s="289" t="s">
        <v>517</v>
      </c>
      <c r="C16" s="269">
        <v>745</v>
      </c>
      <c r="D16" s="269">
        <v>899</v>
      </c>
      <c r="E16" s="290">
        <v>1644</v>
      </c>
      <c r="F16" s="269">
        <v>10916</v>
      </c>
      <c r="G16" s="269">
        <v>9152</v>
      </c>
      <c r="H16" s="290">
        <v>20068</v>
      </c>
      <c r="I16" s="269">
        <v>1318</v>
      </c>
      <c r="J16" s="269">
        <v>677</v>
      </c>
      <c r="K16" s="290">
        <v>1995</v>
      </c>
      <c r="L16" s="269">
        <v>411</v>
      </c>
      <c r="M16" s="269">
        <v>578</v>
      </c>
      <c r="N16" s="290">
        <v>989</v>
      </c>
      <c r="O16" s="368">
        <v>13390</v>
      </c>
      <c r="P16" s="369">
        <v>11306</v>
      </c>
      <c r="Q16" s="369">
        <v>24696</v>
      </c>
      <c r="R16" s="13"/>
      <c r="S16" s="13"/>
      <c r="T16" s="13"/>
      <c r="U16" s="13"/>
      <c r="V16" s="13"/>
      <c r="W16" s="13"/>
    </row>
    <row r="17" spans="2:23" ht="15" customHeight="1" x14ac:dyDescent="0.25">
      <c r="B17" s="160" t="s">
        <v>510</v>
      </c>
      <c r="C17" s="269">
        <v>124</v>
      </c>
      <c r="D17" s="269">
        <v>157</v>
      </c>
      <c r="E17" s="290">
        <v>281</v>
      </c>
      <c r="F17" s="269">
        <v>1524</v>
      </c>
      <c r="G17" s="269">
        <v>1462</v>
      </c>
      <c r="H17" s="290">
        <v>2986</v>
      </c>
      <c r="I17" s="269">
        <v>342</v>
      </c>
      <c r="J17" s="269">
        <v>123</v>
      </c>
      <c r="K17" s="290">
        <v>465</v>
      </c>
      <c r="L17" s="269">
        <v>100</v>
      </c>
      <c r="M17" s="269">
        <v>140</v>
      </c>
      <c r="N17" s="290">
        <v>240</v>
      </c>
      <c r="O17" s="368">
        <v>2090</v>
      </c>
      <c r="P17" s="369">
        <v>1882</v>
      </c>
      <c r="Q17" s="369">
        <v>3972</v>
      </c>
      <c r="R17" s="13"/>
      <c r="S17" s="13"/>
      <c r="T17" s="13"/>
      <c r="U17" s="13"/>
      <c r="V17" s="13"/>
      <c r="W17" s="13"/>
    </row>
    <row r="18" spans="2:23" x14ac:dyDescent="0.25">
      <c r="B18" s="287" t="s">
        <v>511</v>
      </c>
      <c r="C18" s="269">
        <v>172</v>
      </c>
      <c r="D18" s="269">
        <v>179</v>
      </c>
      <c r="E18" s="290">
        <v>351</v>
      </c>
      <c r="F18" s="269">
        <v>1698</v>
      </c>
      <c r="G18" s="269">
        <v>1630</v>
      </c>
      <c r="H18" s="290">
        <v>3328</v>
      </c>
      <c r="I18" s="269">
        <v>411</v>
      </c>
      <c r="J18" s="269">
        <v>163</v>
      </c>
      <c r="K18" s="290">
        <v>574</v>
      </c>
      <c r="L18" s="269">
        <v>104</v>
      </c>
      <c r="M18" s="269">
        <v>157</v>
      </c>
      <c r="N18" s="290">
        <v>261</v>
      </c>
      <c r="O18" s="368">
        <v>2385</v>
      </c>
      <c r="P18" s="369">
        <v>2129</v>
      </c>
      <c r="Q18" s="369">
        <v>4514</v>
      </c>
      <c r="R18" s="13"/>
      <c r="S18" s="13"/>
      <c r="T18" s="13"/>
      <c r="U18" s="13"/>
      <c r="V18" s="13"/>
      <c r="W18" s="13"/>
    </row>
    <row r="19" spans="2:23" x14ac:dyDescent="0.25">
      <c r="B19" s="287" t="s">
        <v>813</v>
      </c>
      <c r="C19" s="269">
        <v>65</v>
      </c>
      <c r="D19" s="269">
        <v>99</v>
      </c>
      <c r="E19" s="290">
        <v>164</v>
      </c>
      <c r="F19" s="269">
        <v>877</v>
      </c>
      <c r="G19" s="269">
        <v>782</v>
      </c>
      <c r="H19" s="290">
        <v>1659</v>
      </c>
      <c r="I19" s="269">
        <v>350</v>
      </c>
      <c r="J19" s="269">
        <v>119</v>
      </c>
      <c r="K19" s="290">
        <v>469</v>
      </c>
      <c r="L19" s="269">
        <v>80</v>
      </c>
      <c r="M19" s="269">
        <v>108</v>
      </c>
      <c r="N19" s="290">
        <v>188</v>
      </c>
      <c r="O19" s="368">
        <v>1372</v>
      </c>
      <c r="P19" s="369">
        <v>1108</v>
      </c>
      <c r="Q19" s="369">
        <v>2480</v>
      </c>
      <c r="R19" s="13"/>
      <c r="S19" s="13"/>
      <c r="T19" s="13"/>
      <c r="U19" s="13"/>
      <c r="V19" s="13"/>
      <c r="W19" s="13"/>
    </row>
    <row r="20" spans="2:23" ht="15" customHeight="1" x14ac:dyDescent="0.25">
      <c r="B20" s="287" t="s">
        <v>512</v>
      </c>
      <c r="C20" s="269">
        <v>253</v>
      </c>
      <c r="D20" s="269">
        <v>247</v>
      </c>
      <c r="E20" s="290">
        <v>500</v>
      </c>
      <c r="F20" s="269">
        <v>2544</v>
      </c>
      <c r="G20" s="269">
        <v>2411</v>
      </c>
      <c r="H20" s="290">
        <v>4955</v>
      </c>
      <c r="I20" s="269">
        <v>691</v>
      </c>
      <c r="J20" s="269">
        <v>248</v>
      </c>
      <c r="K20" s="290">
        <v>939</v>
      </c>
      <c r="L20" s="269">
        <v>151</v>
      </c>
      <c r="M20" s="269">
        <v>229</v>
      </c>
      <c r="N20" s="290">
        <v>380</v>
      </c>
      <c r="O20" s="368">
        <v>3639</v>
      </c>
      <c r="P20" s="369">
        <v>3135</v>
      </c>
      <c r="Q20" s="369">
        <v>6774</v>
      </c>
      <c r="R20" s="13"/>
      <c r="S20" s="13"/>
      <c r="T20" s="13"/>
      <c r="U20" s="13"/>
      <c r="V20" s="13"/>
      <c r="W20" s="13"/>
    </row>
    <row r="21" spans="2:23" x14ac:dyDescent="0.25">
      <c r="B21" s="287" t="s">
        <v>513</v>
      </c>
      <c r="C21" s="269">
        <v>124</v>
      </c>
      <c r="D21" s="269">
        <v>190</v>
      </c>
      <c r="E21" s="290">
        <v>314</v>
      </c>
      <c r="F21" s="269">
        <v>1642</v>
      </c>
      <c r="G21" s="269">
        <v>1482</v>
      </c>
      <c r="H21" s="290">
        <v>3124</v>
      </c>
      <c r="I21" s="269">
        <v>487</v>
      </c>
      <c r="J21" s="269">
        <v>177</v>
      </c>
      <c r="K21" s="290">
        <v>664</v>
      </c>
      <c r="L21" s="269">
        <v>83</v>
      </c>
      <c r="M21" s="269">
        <v>154</v>
      </c>
      <c r="N21" s="290">
        <v>237</v>
      </c>
      <c r="O21" s="368">
        <v>2336</v>
      </c>
      <c r="P21" s="369">
        <v>2003</v>
      </c>
      <c r="Q21" s="369">
        <v>4339</v>
      </c>
      <c r="R21" s="13"/>
      <c r="S21" s="13"/>
      <c r="T21" s="13"/>
      <c r="U21" s="13"/>
      <c r="V21" s="13"/>
      <c r="W21" s="13"/>
    </row>
    <row r="22" spans="2:23" x14ac:dyDescent="0.25">
      <c r="B22" s="287" t="s">
        <v>518</v>
      </c>
      <c r="C22" s="269">
        <v>51</v>
      </c>
      <c r="D22" s="269">
        <v>81</v>
      </c>
      <c r="E22" s="290">
        <v>132</v>
      </c>
      <c r="F22" s="269">
        <v>666</v>
      </c>
      <c r="G22" s="269">
        <v>616</v>
      </c>
      <c r="H22" s="290">
        <v>1282</v>
      </c>
      <c r="I22" s="269">
        <v>144</v>
      </c>
      <c r="J22" s="269">
        <v>46</v>
      </c>
      <c r="K22" s="290">
        <v>190</v>
      </c>
      <c r="L22" s="269">
        <v>42</v>
      </c>
      <c r="M22" s="269">
        <v>71</v>
      </c>
      <c r="N22" s="290">
        <v>113</v>
      </c>
      <c r="O22" s="368">
        <v>903</v>
      </c>
      <c r="P22" s="369">
        <v>814</v>
      </c>
      <c r="Q22" s="369">
        <v>1717</v>
      </c>
      <c r="R22" s="13"/>
      <c r="S22" s="13"/>
      <c r="T22" s="13"/>
      <c r="U22" s="13"/>
      <c r="V22" s="13"/>
      <c r="W22" s="13"/>
    </row>
    <row r="23" spans="2:23" x14ac:dyDescent="0.25">
      <c r="B23" s="287" t="s">
        <v>514</v>
      </c>
      <c r="C23" s="269">
        <v>100</v>
      </c>
      <c r="D23" s="269">
        <v>141</v>
      </c>
      <c r="E23" s="290">
        <v>241</v>
      </c>
      <c r="F23" s="269">
        <v>1300</v>
      </c>
      <c r="G23" s="269">
        <v>1224</v>
      </c>
      <c r="H23" s="290">
        <v>2524</v>
      </c>
      <c r="I23" s="269">
        <v>316</v>
      </c>
      <c r="J23" s="269">
        <v>165</v>
      </c>
      <c r="K23" s="290">
        <v>481</v>
      </c>
      <c r="L23" s="269">
        <v>100</v>
      </c>
      <c r="M23" s="269">
        <v>174</v>
      </c>
      <c r="N23" s="290">
        <v>274</v>
      </c>
      <c r="O23" s="368">
        <v>1816</v>
      </c>
      <c r="P23" s="369">
        <v>1704</v>
      </c>
      <c r="Q23" s="369">
        <v>3520</v>
      </c>
      <c r="R23" s="13"/>
      <c r="S23" s="13"/>
      <c r="T23" s="13"/>
      <c r="U23" s="13"/>
      <c r="V23" s="13"/>
      <c r="W23" s="13"/>
    </row>
    <row r="24" spans="2:23" ht="30" x14ac:dyDescent="0.25">
      <c r="B24" s="160" t="s">
        <v>515</v>
      </c>
      <c r="C24" s="269">
        <v>11</v>
      </c>
      <c r="D24" s="269">
        <v>14</v>
      </c>
      <c r="E24" s="290">
        <v>25</v>
      </c>
      <c r="F24" s="269">
        <v>154</v>
      </c>
      <c r="G24" s="269">
        <v>167</v>
      </c>
      <c r="H24" s="290">
        <v>321</v>
      </c>
      <c r="I24" s="269">
        <v>24</v>
      </c>
      <c r="J24" s="269">
        <v>12</v>
      </c>
      <c r="K24" s="290">
        <v>36</v>
      </c>
      <c r="L24" s="269">
        <v>5</v>
      </c>
      <c r="M24" s="269">
        <v>11</v>
      </c>
      <c r="N24" s="290">
        <v>16</v>
      </c>
      <c r="O24" s="368">
        <v>194</v>
      </c>
      <c r="P24" s="369">
        <v>204</v>
      </c>
      <c r="Q24" s="369">
        <v>398</v>
      </c>
      <c r="R24" s="13"/>
      <c r="S24" s="13"/>
      <c r="T24" s="13"/>
      <c r="U24" s="13"/>
      <c r="V24" s="13"/>
      <c r="W24" s="13"/>
    </row>
    <row r="25" spans="2:23" x14ac:dyDescent="0.25">
      <c r="B25" s="287" t="s">
        <v>516</v>
      </c>
      <c r="C25" s="269">
        <v>19</v>
      </c>
      <c r="D25" s="269">
        <v>25</v>
      </c>
      <c r="E25" s="290">
        <v>44</v>
      </c>
      <c r="F25" s="269">
        <v>279</v>
      </c>
      <c r="G25" s="269">
        <v>244</v>
      </c>
      <c r="H25" s="290">
        <v>523</v>
      </c>
      <c r="I25" s="269">
        <v>28</v>
      </c>
      <c r="J25" s="269">
        <v>12</v>
      </c>
      <c r="K25" s="290">
        <v>40</v>
      </c>
      <c r="L25" s="269">
        <v>10</v>
      </c>
      <c r="M25" s="269">
        <v>20</v>
      </c>
      <c r="N25" s="290">
        <v>30</v>
      </c>
      <c r="O25" s="368">
        <v>336</v>
      </c>
      <c r="P25" s="369">
        <v>301</v>
      </c>
      <c r="Q25" s="369">
        <v>637</v>
      </c>
      <c r="R25" s="13"/>
      <c r="S25" s="13"/>
      <c r="T25" s="13"/>
      <c r="U25" s="13"/>
      <c r="V25" s="13"/>
      <c r="W25" s="13"/>
    </row>
    <row r="26" spans="2:23" ht="17.25" customHeight="1" x14ac:dyDescent="0.25">
      <c r="B26" s="350" t="s">
        <v>921</v>
      </c>
      <c r="C26" s="310">
        <v>2079</v>
      </c>
      <c r="D26" s="310">
        <v>2634</v>
      </c>
      <c r="E26" s="310">
        <v>4713</v>
      </c>
      <c r="F26" s="310">
        <v>27770</v>
      </c>
      <c r="G26" s="310">
        <v>24943</v>
      </c>
      <c r="H26" s="310">
        <v>52713</v>
      </c>
      <c r="I26" s="310">
        <v>5197</v>
      </c>
      <c r="J26" s="310">
        <v>2271</v>
      </c>
      <c r="K26" s="310">
        <v>7468</v>
      </c>
      <c r="L26" s="310">
        <v>1405</v>
      </c>
      <c r="M26" s="310">
        <v>2088</v>
      </c>
      <c r="N26" s="310">
        <v>3493</v>
      </c>
      <c r="O26" s="370">
        <v>36451</v>
      </c>
      <c r="P26" s="369">
        <v>31936</v>
      </c>
      <c r="Q26" s="369">
        <v>68387</v>
      </c>
      <c r="R26" s="13"/>
      <c r="S26" s="13"/>
      <c r="T26" s="13"/>
      <c r="U26" s="13"/>
      <c r="V26" s="13"/>
      <c r="W26" s="13"/>
    </row>
    <row r="27" spans="2:23" ht="81.75" customHeight="1" x14ac:dyDescent="0.25">
      <c r="B27" s="445" t="s">
        <v>938</v>
      </c>
      <c r="C27" s="445"/>
      <c r="D27" s="445"/>
      <c r="E27" s="445"/>
      <c r="F27" s="445"/>
      <c r="G27" s="445"/>
      <c r="H27" s="445"/>
      <c r="I27" s="445"/>
      <c r="J27" s="445"/>
      <c r="K27" s="445"/>
      <c r="L27" s="445"/>
      <c r="M27" s="445"/>
      <c r="N27" s="445"/>
      <c r="O27" s="445"/>
      <c r="P27" s="445"/>
      <c r="Q27" s="445"/>
      <c r="R27" s="13"/>
      <c r="S27" s="13"/>
      <c r="T27" s="13"/>
      <c r="U27" s="13"/>
      <c r="V27" s="13"/>
      <c r="W27" s="13"/>
    </row>
    <row r="28" spans="2:23" x14ac:dyDescent="0.25">
      <c r="C28" s="13"/>
      <c r="D28" s="13"/>
      <c r="E28" s="13"/>
      <c r="F28" s="13"/>
      <c r="G28" s="13"/>
      <c r="H28" s="13"/>
      <c r="I28" s="13"/>
      <c r="J28" s="13"/>
      <c r="K28" s="13"/>
      <c r="L28" s="13"/>
      <c r="M28" s="13"/>
      <c r="N28" s="13"/>
      <c r="O28" s="13"/>
      <c r="P28" s="13"/>
      <c r="Q28" s="13"/>
      <c r="R28" s="13"/>
      <c r="S28" s="13"/>
      <c r="T28" s="13"/>
      <c r="U28" s="13"/>
      <c r="V28" s="13"/>
      <c r="W28" s="13"/>
    </row>
    <row r="29" spans="2:23" ht="18.75" x14ac:dyDescent="0.3">
      <c r="B29" s="2" t="s">
        <v>856</v>
      </c>
      <c r="C29" s="2"/>
      <c r="D29" s="2"/>
      <c r="E29" s="2"/>
      <c r="F29" s="2"/>
      <c r="G29" s="243"/>
      <c r="H29" s="13"/>
      <c r="I29" s="13"/>
      <c r="J29" s="13"/>
      <c r="K29" s="13"/>
      <c r="L29" s="13"/>
      <c r="M29" s="13"/>
      <c r="N29" s="13"/>
      <c r="O29" s="13"/>
      <c r="P29" s="13"/>
      <c r="Q29" s="13"/>
      <c r="R29" s="13"/>
      <c r="S29" s="13"/>
      <c r="T29" s="13"/>
      <c r="U29" s="13"/>
      <c r="V29" s="13"/>
      <c r="W29" s="13"/>
    </row>
    <row r="30" spans="2:23" x14ac:dyDescent="0.25">
      <c r="B30" s="15" t="s">
        <v>867</v>
      </c>
      <c r="C30" s="13"/>
      <c r="D30" s="13"/>
      <c r="E30" s="13"/>
      <c r="F30" s="13"/>
      <c r="G30" s="13"/>
      <c r="H30" s="13"/>
      <c r="I30" s="13"/>
      <c r="J30" s="13"/>
      <c r="K30" s="13"/>
      <c r="L30" s="13"/>
      <c r="M30" s="13"/>
      <c r="N30" s="13"/>
      <c r="O30" s="13"/>
      <c r="P30" s="13"/>
      <c r="Q30" s="13"/>
      <c r="R30" s="13"/>
      <c r="S30" s="13"/>
      <c r="T30" s="13"/>
      <c r="U30" s="13"/>
      <c r="V30" s="13"/>
      <c r="W30" s="13"/>
    </row>
    <row r="31" spans="2:23" x14ac:dyDescent="0.25">
      <c r="C31" s="13"/>
      <c r="D31" s="13"/>
      <c r="E31" s="13"/>
      <c r="F31" s="13"/>
      <c r="G31" s="13"/>
      <c r="H31" s="13"/>
      <c r="I31" s="13"/>
      <c r="J31" s="13"/>
      <c r="K31" s="13"/>
      <c r="L31" s="13"/>
      <c r="M31" s="13"/>
      <c r="N31" s="13"/>
      <c r="O31" s="13"/>
      <c r="P31" s="13"/>
      <c r="Q31" s="13"/>
      <c r="R31" s="13"/>
      <c r="S31" s="13"/>
      <c r="T31" s="13"/>
      <c r="U31" s="13"/>
      <c r="V31" s="13"/>
      <c r="W31" s="13"/>
    </row>
    <row r="32" spans="2:23" ht="15" customHeight="1" x14ac:dyDescent="0.25">
      <c r="B32" s="413" t="s">
        <v>521</v>
      </c>
      <c r="C32" s="414" t="s">
        <v>477</v>
      </c>
      <c r="D32" s="414"/>
      <c r="E32" s="414"/>
      <c r="F32" s="414"/>
      <c r="G32" s="414"/>
      <c r="H32" s="414"/>
      <c r="I32" s="414"/>
      <c r="J32" s="414"/>
      <c r="K32" s="414"/>
      <c r="L32" s="414"/>
      <c r="M32" s="414"/>
      <c r="N32" s="414"/>
      <c r="O32" s="447" t="s">
        <v>922</v>
      </c>
      <c r="P32" s="448"/>
      <c r="Q32" s="449"/>
      <c r="R32" s="13"/>
      <c r="S32" s="13"/>
      <c r="T32" s="13"/>
      <c r="U32" s="13"/>
      <c r="V32" s="13"/>
      <c r="W32" s="13"/>
    </row>
    <row r="33" spans="2:23" ht="15" customHeight="1" x14ac:dyDescent="0.25">
      <c r="B33" s="413"/>
      <c r="C33" s="414" t="s">
        <v>885</v>
      </c>
      <c r="D33" s="414"/>
      <c r="E33" s="414"/>
      <c r="F33" s="414" t="s">
        <v>886</v>
      </c>
      <c r="G33" s="414"/>
      <c r="H33" s="414"/>
      <c r="I33" s="414" t="s">
        <v>2</v>
      </c>
      <c r="J33" s="414"/>
      <c r="K33" s="414"/>
      <c r="L33" s="414" t="s">
        <v>3</v>
      </c>
      <c r="M33" s="414"/>
      <c r="N33" s="414"/>
      <c r="O33" s="450"/>
      <c r="P33" s="451"/>
      <c r="Q33" s="452"/>
      <c r="R33" s="13"/>
      <c r="S33" s="13"/>
      <c r="T33" s="13"/>
      <c r="U33" s="13"/>
      <c r="V33" s="13"/>
      <c r="W33" s="13"/>
    </row>
    <row r="34" spans="2:23" x14ac:dyDescent="0.25">
      <c r="B34" s="413"/>
      <c r="C34" s="161" t="s">
        <v>73</v>
      </c>
      <c r="D34" s="161" t="s">
        <v>74</v>
      </c>
      <c r="E34" s="161" t="s">
        <v>25</v>
      </c>
      <c r="F34" s="161" t="s">
        <v>73</v>
      </c>
      <c r="G34" s="161" t="s">
        <v>74</v>
      </c>
      <c r="H34" s="161" t="s">
        <v>25</v>
      </c>
      <c r="I34" s="161" t="s">
        <v>73</v>
      </c>
      <c r="J34" s="161" t="s">
        <v>74</v>
      </c>
      <c r="K34" s="161" t="s">
        <v>25</v>
      </c>
      <c r="L34" s="161" t="s">
        <v>73</v>
      </c>
      <c r="M34" s="161" t="s">
        <v>74</v>
      </c>
      <c r="N34" s="161" t="s">
        <v>25</v>
      </c>
      <c r="O34" s="299" t="s">
        <v>73</v>
      </c>
      <c r="P34" s="299" t="s">
        <v>74</v>
      </c>
      <c r="Q34" s="299" t="s">
        <v>25</v>
      </c>
      <c r="R34" s="13"/>
      <c r="S34" s="13"/>
      <c r="T34" s="13"/>
      <c r="U34" s="13"/>
      <c r="V34" s="13"/>
      <c r="W34" s="13"/>
    </row>
    <row r="35" spans="2:23" x14ac:dyDescent="0.25">
      <c r="B35" s="288" t="s">
        <v>519</v>
      </c>
      <c r="C35" s="269">
        <v>166</v>
      </c>
      <c r="D35" s="269">
        <v>107</v>
      </c>
      <c r="E35" s="290">
        <v>273</v>
      </c>
      <c r="F35" s="269">
        <v>1524</v>
      </c>
      <c r="G35" s="269">
        <v>1431</v>
      </c>
      <c r="H35" s="290">
        <v>2955</v>
      </c>
      <c r="I35" s="269">
        <v>225</v>
      </c>
      <c r="J35" s="269">
        <v>144</v>
      </c>
      <c r="K35" s="290">
        <v>369</v>
      </c>
      <c r="L35" s="269">
        <v>76</v>
      </c>
      <c r="M35" s="269">
        <v>130</v>
      </c>
      <c r="N35" s="290">
        <v>206</v>
      </c>
      <c r="O35" s="368">
        <v>1991</v>
      </c>
      <c r="P35" s="369">
        <v>1812</v>
      </c>
      <c r="Q35" s="369">
        <v>3803</v>
      </c>
      <c r="R35" s="13"/>
      <c r="S35" s="13"/>
      <c r="T35" s="13"/>
      <c r="U35" s="13"/>
      <c r="V35" s="13"/>
      <c r="W35" s="13"/>
    </row>
    <row r="36" spans="2:23" x14ac:dyDescent="0.25">
      <c r="B36" s="289" t="s">
        <v>505</v>
      </c>
      <c r="C36" s="269">
        <v>187</v>
      </c>
      <c r="D36" s="269">
        <v>126</v>
      </c>
      <c r="E36" s="290">
        <v>313</v>
      </c>
      <c r="F36" s="269">
        <v>1707</v>
      </c>
      <c r="G36" s="269">
        <v>1804</v>
      </c>
      <c r="H36" s="290">
        <v>3511</v>
      </c>
      <c r="I36" s="269">
        <v>326</v>
      </c>
      <c r="J36" s="269">
        <v>155</v>
      </c>
      <c r="K36" s="290">
        <v>481</v>
      </c>
      <c r="L36" s="269">
        <v>93</v>
      </c>
      <c r="M36" s="269">
        <v>139</v>
      </c>
      <c r="N36" s="290">
        <v>232</v>
      </c>
      <c r="O36" s="368">
        <v>2313</v>
      </c>
      <c r="P36" s="369">
        <v>2224</v>
      </c>
      <c r="Q36" s="369">
        <v>4537</v>
      </c>
      <c r="R36" s="13"/>
      <c r="S36" s="13"/>
      <c r="T36" s="13"/>
      <c r="U36" s="13"/>
      <c r="V36" s="13"/>
      <c r="W36" s="13"/>
    </row>
    <row r="37" spans="2:23" x14ac:dyDescent="0.25">
      <c r="B37" s="289" t="s">
        <v>506</v>
      </c>
      <c r="C37" s="269">
        <v>280</v>
      </c>
      <c r="D37" s="269">
        <v>151</v>
      </c>
      <c r="E37" s="290">
        <v>431</v>
      </c>
      <c r="F37" s="269">
        <v>3742</v>
      </c>
      <c r="G37" s="269">
        <v>3684</v>
      </c>
      <c r="H37" s="290">
        <v>7426</v>
      </c>
      <c r="I37" s="269">
        <v>512</v>
      </c>
      <c r="J37" s="269">
        <v>221</v>
      </c>
      <c r="K37" s="290">
        <v>733</v>
      </c>
      <c r="L37" s="269">
        <v>105</v>
      </c>
      <c r="M37" s="269">
        <v>150</v>
      </c>
      <c r="N37" s="290">
        <v>255</v>
      </c>
      <c r="O37" s="368">
        <v>4639</v>
      </c>
      <c r="P37" s="369">
        <v>4206</v>
      </c>
      <c r="Q37" s="369">
        <v>8845</v>
      </c>
      <c r="R37" s="13"/>
      <c r="S37" s="13"/>
      <c r="T37" s="13"/>
      <c r="U37" s="13"/>
      <c r="V37" s="13"/>
      <c r="W37" s="13"/>
    </row>
    <row r="38" spans="2:23" x14ac:dyDescent="0.25">
      <c r="B38" s="289" t="s">
        <v>507</v>
      </c>
      <c r="C38" s="269">
        <v>169</v>
      </c>
      <c r="D38" s="269">
        <v>100</v>
      </c>
      <c r="E38" s="290">
        <v>269</v>
      </c>
      <c r="F38" s="269">
        <v>1991</v>
      </c>
      <c r="G38" s="269">
        <v>2209</v>
      </c>
      <c r="H38" s="290">
        <v>4200</v>
      </c>
      <c r="I38" s="269">
        <v>351</v>
      </c>
      <c r="J38" s="269">
        <v>139</v>
      </c>
      <c r="K38" s="290">
        <v>490</v>
      </c>
      <c r="L38" s="269">
        <v>68</v>
      </c>
      <c r="M38" s="269">
        <v>120</v>
      </c>
      <c r="N38" s="290">
        <v>188</v>
      </c>
      <c r="O38" s="368">
        <v>2579</v>
      </c>
      <c r="P38" s="369">
        <v>2568</v>
      </c>
      <c r="Q38" s="369">
        <v>5147</v>
      </c>
      <c r="R38" s="13"/>
      <c r="S38" s="13"/>
      <c r="T38" s="13"/>
      <c r="U38" s="13"/>
      <c r="V38" s="13"/>
      <c r="W38" s="13"/>
    </row>
    <row r="39" spans="2:23" x14ac:dyDescent="0.25">
      <c r="B39" s="289" t="s">
        <v>508</v>
      </c>
      <c r="C39" s="269">
        <v>440</v>
      </c>
      <c r="D39" s="269">
        <v>296</v>
      </c>
      <c r="E39" s="290">
        <v>736</v>
      </c>
      <c r="F39" s="269">
        <v>5622</v>
      </c>
      <c r="G39" s="269">
        <v>5635</v>
      </c>
      <c r="H39" s="290">
        <v>11257</v>
      </c>
      <c r="I39" s="269">
        <v>1156</v>
      </c>
      <c r="J39" s="269">
        <v>504</v>
      </c>
      <c r="K39" s="290">
        <v>1660</v>
      </c>
      <c r="L39" s="269">
        <v>297</v>
      </c>
      <c r="M39" s="269">
        <v>445</v>
      </c>
      <c r="N39" s="290">
        <v>742</v>
      </c>
      <c r="O39" s="368">
        <v>7515</v>
      </c>
      <c r="P39" s="369">
        <v>6880</v>
      </c>
      <c r="Q39" s="369">
        <v>14395</v>
      </c>
      <c r="R39" s="13"/>
      <c r="S39" s="13"/>
      <c r="T39" s="13"/>
      <c r="U39" s="13"/>
      <c r="V39" s="13"/>
      <c r="W39" s="13"/>
    </row>
    <row r="40" spans="2:23" x14ac:dyDescent="0.25">
      <c r="B40" s="289" t="s">
        <v>509</v>
      </c>
      <c r="C40" s="269">
        <v>1298</v>
      </c>
      <c r="D40" s="269">
        <v>634</v>
      </c>
      <c r="E40" s="290">
        <v>1932</v>
      </c>
      <c r="F40" s="269">
        <v>15773</v>
      </c>
      <c r="G40" s="269">
        <v>14134</v>
      </c>
      <c r="H40" s="290">
        <v>29907</v>
      </c>
      <c r="I40" s="269">
        <v>2230</v>
      </c>
      <c r="J40" s="269">
        <v>1005</v>
      </c>
      <c r="K40" s="290">
        <v>3235</v>
      </c>
      <c r="L40" s="269">
        <v>700</v>
      </c>
      <c r="M40" s="269">
        <v>997</v>
      </c>
      <c r="N40" s="290">
        <v>1697</v>
      </c>
      <c r="O40" s="368">
        <v>20001</v>
      </c>
      <c r="P40" s="369">
        <v>16770</v>
      </c>
      <c r="Q40" s="369">
        <v>36771</v>
      </c>
      <c r="R40" s="13"/>
      <c r="S40" s="13"/>
      <c r="T40" s="13"/>
      <c r="U40" s="13"/>
      <c r="V40" s="13"/>
      <c r="W40" s="13"/>
    </row>
    <row r="41" spans="2:23" x14ac:dyDescent="0.25">
      <c r="B41" s="289" t="s">
        <v>517</v>
      </c>
      <c r="C41" s="269">
        <v>4229</v>
      </c>
      <c r="D41" s="269">
        <v>2249</v>
      </c>
      <c r="E41" s="290">
        <v>6478</v>
      </c>
      <c r="F41" s="269">
        <v>51311</v>
      </c>
      <c r="G41" s="269">
        <v>45440</v>
      </c>
      <c r="H41" s="290">
        <v>96751</v>
      </c>
      <c r="I41" s="269">
        <v>5909</v>
      </c>
      <c r="J41" s="269">
        <v>2854</v>
      </c>
      <c r="K41" s="290">
        <v>8763</v>
      </c>
      <c r="L41" s="269">
        <v>1755</v>
      </c>
      <c r="M41" s="269">
        <v>2436</v>
      </c>
      <c r="N41" s="290">
        <v>4191</v>
      </c>
      <c r="O41" s="368">
        <v>63204</v>
      </c>
      <c r="P41" s="369">
        <v>52979</v>
      </c>
      <c r="Q41" s="369">
        <v>116183</v>
      </c>
      <c r="R41" s="13"/>
      <c r="S41" s="13"/>
      <c r="T41" s="13"/>
      <c r="U41" s="13"/>
      <c r="V41" s="13"/>
      <c r="W41" s="13"/>
    </row>
    <row r="42" spans="2:23" ht="30" x14ac:dyDescent="0.25">
      <c r="B42" s="160" t="s">
        <v>510</v>
      </c>
      <c r="C42" s="269">
        <v>696</v>
      </c>
      <c r="D42" s="269">
        <v>419</v>
      </c>
      <c r="E42" s="290">
        <v>1115</v>
      </c>
      <c r="F42" s="269">
        <v>7341</v>
      </c>
      <c r="G42" s="269">
        <v>7214</v>
      </c>
      <c r="H42" s="290">
        <v>14555</v>
      </c>
      <c r="I42" s="269">
        <v>1460</v>
      </c>
      <c r="J42" s="269">
        <v>508</v>
      </c>
      <c r="K42" s="290">
        <v>1968</v>
      </c>
      <c r="L42" s="269">
        <v>480</v>
      </c>
      <c r="M42" s="269">
        <v>682</v>
      </c>
      <c r="N42" s="290">
        <v>1162</v>
      </c>
      <c r="O42" s="368">
        <v>9977</v>
      </c>
      <c r="P42" s="369">
        <v>8823</v>
      </c>
      <c r="Q42" s="369">
        <v>18800</v>
      </c>
      <c r="R42" s="13"/>
      <c r="S42" s="13"/>
      <c r="T42" s="13"/>
      <c r="U42" s="13"/>
      <c r="V42" s="13"/>
      <c r="W42" s="13"/>
    </row>
    <row r="43" spans="2:23" x14ac:dyDescent="0.25">
      <c r="B43" s="287" t="s">
        <v>511</v>
      </c>
      <c r="C43" s="269">
        <v>863</v>
      </c>
      <c r="D43" s="269">
        <v>552</v>
      </c>
      <c r="E43" s="290">
        <v>1415</v>
      </c>
      <c r="F43" s="269">
        <v>7755</v>
      </c>
      <c r="G43" s="269">
        <v>7730</v>
      </c>
      <c r="H43" s="290">
        <v>15485</v>
      </c>
      <c r="I43" s="269">
        <v>1740</v>
      </c>
      <c r="J43" s="269">
        <v>675</v>
      </c>
      <c r="K43" s="290">
        <v>2415</v>
      </c>
      <c r="L43" s="269">
        <v>461</v>
      </c>
      <c r="M43" s="269">
        <v>676</v>
      </c>
      <c r="N43" s="290">
        <v>1137</v>
      </c>
      <c r="O43" s="368">
        <v>10819</v>
      </c>
      <c r="P43" s="369">
        <v>9633</v>
      </c>
      <c r="Q43" s="369">
        <v>20452</v>
      </c>
      <c r="R43" s="13"/>
      <c r="S43" s="13"/>
      <c r="T43" s="13"/>
      <c r="U43" s="13"/>
      <c r="V43" s="13"/>
      <c r="W43" s="13"/>
    </row>
    <row r="44" spans="2:23" x14ac:dyDescent="0.25">
      <c r="B44" s="287" t="s">
        <v>813</v>
      </c>
      <c r="C44" s="269">
        <v>426</v>
      </c>
      <c r="D44" s="269">
        <v>267</v>
      </c>
      <c r="E44" s="290">
        <v>693</v>
      </c>
      <c r="F44" s="269">
        <v>3752</v>
      </c>
      <c r="G44" s="269">
        <v>3477</v>
      </c>
      <c r="H44" s="290">
        <v>7229</v>
      </c>
      <c r="I44" s="269">
        <v>1535</v>
      </c>
      <c r="J44" s="269">
        <v>525</v>
      </c>
      <c r="K44" s="290">
        <v>2060</v>
      </c>
      <c r="L44" s="269">
        <v>312</v>
      </c>
      <c r="M44" s="269">
        <v>431</v>
      </c>
      <c r="N44" s="290">
        <v>743</v>
      </c>
      <c r="O44" s="368">
        <v>6025</v>
      </c>
      <c r="P44" s="369">
        <v>4700</v>
      </c>
      <c r="Q44" s="369">
        <v>10725</v>
      </c>
      <c r="R44" s="13"/>
      <c r="S44" s="13"/>
      <c r="T44" s="13"/>
      <c r="U44" s="13"/>
      <c r="V44" s="13"/>
      <c r="W44" s="13"/>
    </row>
    <row r="45" spans="2:23" x14ac:dyDescent="0.25">
      <c r="B45" s="287" t="s">
        <v>512</v>
      </c>
      <c r="C45" s="269">
        <v>1156</v>
      </c>
      <c r="D45" s="269">
        <v>626</v>
      </c>
      <c r="E45" s="290">
        <v>1782</v>
      </c>
      <c r="F45" s="269">
        <v>11757</v>
      </c>
      <c r="G45" s="269">
        <v>11050</v>
      </c>
      <c r="H45" s="290">
        <v>22807</v>
      </c>
      <c r="I45" s="269">
        <v>2816</v>
      </c>
      <c r="J45" s="269">
        <v>1035</v>
      </c>
      <c r="K45" s="290">
        <v>3851</v>
      </c>
      <c r="L45" s="269">
        <v>609</v>
      </c>
      <c r="M45" s="269">
        <v>920</v>
      </c>
      <c r="N45" s="290">
        <v>1529</v>
      </c>
      <c r="O45" s="368">
        <v>16338</v>
      </c>
      <c r="P45" s="369">
        <v>13631</v>
      </c>
      <c r="Q45" s="369">
        <v>29969</v>
      </c>
      <c r="R45" s="13"/>
      <c r="S45" s="13"/>
      <c r="T45" s="13"/>
      <c r="U45" s="13"/>
      <c r="V45" s="13"/>
      <c r="W45" s="13"/>
    </row>
    <row r="46" spans="2:23" x14ac:dyDescent="0.25">
      <c r="B46" s="287" t="s">
        <v>513</v>
      </c>
      <c r="C46" s="269">
        <v>644</v>
      </c>
      <c r="D46" s="269">
        <v>433</v>
      </c>
      <c r="E46" s="290">
        <v>1077</v>
      </c>
      <c r="F46" s="269">
        <v>6994</v>
      </c>
      <c r="G46" s="269">
        <v>6558</v>
      </c>
      <c r="H46" s="290">
        <v>13552</v>
      </c>
      <c r="I46" s="269">
        <v>1790</v>
      </c>
      <c r="J46" s="269">
        <v>805</v>
      </c>
      <c r="K46" s="290">
        <v>2595</v>
      </c>
      <c r="L46" s="269">
        <v>345</v>
      </c>
      <c r="M46" s="269">
        <v>586</v>
      </c>
      <c r="N46" s="290">
        <v>931</v>
      </c>
      <c r="O46" s="368">
        <v>9773</v>
      </c>
      <c r="P46" s="369">
        <v>8382</v>
      </c>
      <c r="Q46" s="369">
        <v>18155</v>
      </c>
      <c r="R46" s="13"/>
      <c r="S46" s="13"/>
      <c r="T46" s="13"/>
      <c r="U46" s="13"/>
      <c r="V46" s="13"/>
      <c r="W46" s="13"/>
    </row>
    <row r="47" spans="2:23" x14ac:dyDescent="0.25">
      <c r="B47" s="287" t="s">
        <v>518</v>
      </c>
      <c r="C47" s="269">
        <v>319</v>
      </c>
      <c r="D47" s="269">
        <v>189</v>
      </c>
      <c r="E47" s="290">
        <v>508</v>
      </c>
      <c r="F47" s="269">
        <v>2939</v>
      </c>
      <c r="G47" s="269">
        <v>2893</v>
      </c>
      <c r="H47" s="290">
        <v>5832</v>
      </c>
      <c r="I47" s="269">
        <v>686</v>
      </c>
      <c r="J47" s="269">
        <v>253</v>
      </c>
      <c r="K47" s="290">
        <v>939</v>
      </c>
      <c r="L47" s="269">
        <v>186</v>
      </c>
      <c r="M47" s="269">
        <v>348</v>
      </c>
      <c r="N47" s="290">
        <v>534</v>
      </c>
      <c r="O47" s="368">
        <v>4130</v>
      </c>
      <c r="P47" s="369">
        <v>3683</v>
      </c>
      <c r="Q47" s="369">
        <v>7813</v>
      </c>
      <c r="R47" s="13"/>
      <c r="S47" s="13"/>
      <c r="T47" s="13"/>
      <c r="U47" s="13"/>
      <c r="V47" s="13"/>
      <c r="W47" s="13"/>
    </row>
    <row r="48" spans="2:23" x14ac:dyDescent="0.25">
      <c r="B48" s="287" t="s">
        <v>514</v>
      </c>
      <c r="C48" s="269">
        <v>582</v>
      </c>
      <c r="D48" s="269">
        <v>319</v>
      </c>
      <c r="E48" s="290">
        <v>901</v>
      </c>
      <c r="F48" s="269">
        <v>5729</v>
      </c>
      <c r="G48" s="269">
        <v>5576</v>
      </c>
      <c r="H48" s="290">
        <v>11305</v>
      </c>
      <c r="I48" s="269">
        <v>1420</v>
      </c>
      <c r="J48" s="269">
        <v>679</v>
      </c>
      <c r="K48" s="290">
        <v>2099</v>
      </c>
      <c r="L48" s="269">
        <v>404</v>
      </c>
      <c r="M48" s="269">
        <v>623</v>
      </c>
      <c r="N48" s="290">
        <v>1027</v>
      </c>
      <c r="O48" s="368">
        <v>8135</v>
      </c>
      <c r="P48" s="369">
        <v>7197</v>
      </c>
      <c r="Q48" s="369">
        <v>15332</v>
      </c>
      <c r="R48" s="13"/>
      <c r="S48" s="13"/>
      <c r="T48" s="13"/>
      <c r="U48" s="13"/>
      <c r="V48" s="13"/>
      <c r="W48" s="13"/>
    </row>
    <row r="49" spans="2:24" ht="30" x14ac:dyDescent="0.25">
      <c r="B49" s="160" t="s">
        <v>515</v>
      </c>
      <c r="C49" s="269">
        <v>59</v>
      </c>
      <c r="D49" s="269">
        <v>29</v>
      </c>
      <c r="E49" s="290">
        <v>88</v>
      </c>
      <c r="F49" s="269">
        <v>729</v>
      </c>
      <c r="G49" s="269">
        <v>765</v>
      </c>
      <c r="H49" s="290">
        <v>1494</v>
      </c>
      <c r="I49" s="269">
        <v>124</v>
      </c>
      <c r="J49" s="269">
        <v>49</v>
      </c>
      <c r="K49" s="290">
        <v>173</v>
      </c>
      <c r="L49" s="269">
        <v>28</v>
      </c>
      <c r="M49" s="269">
        <v>56</v>
      </c>
      <c r="N49" s="290">
        <v>84</v>
      </c>
      <c r="O49" s="368">
        <v>940</v>
      </c>
      <c r="P49" s="369">
        <v>899</v>
      </c>
      <c r="Q49" s="369">
        <v>1839</v>
      </c>
      <c r="R49" s="13"/>
      <c r="S49" s="13"/>
      <c r="T49" s="13"/>
      <c r="U49" s="13"/>
      <c r="V49" s="13"/>
      <c r="W49" s="13"/>
    </row>
    <row r="50" spans="2:24" x14ac:dyDescent="0.25">
      <c r="B50" s="287" t="s">
        <v>516</v>
      </c>
      <c r="C50" s="269">
        <v>110</v>
      </c>
      <c r="D50" s="269">
        <v>54</v>
      </c>
      <c r="E50" s="290">
        <v>164</v>
      </c>
      <c r="F50" s="269">
        <v>1347</v>
      </c>
      <c r="G50" s="269">
        <v>1259</v>
      </c>
      <c r="H50" s="290">
        <v>2606</v>
      </c>
      <c r="I50" s="269">
        <v>131</v>
      </c>
      <c r="J50" s="269">
        <v>56</v>
      </c>
      <c r="K50" s="290">
        <v>187</v>
      </c>
      <c r="L50" s="269">
        <v>66</v>
      </c>
      <c r="M50" s="269">
        <v>76</v>
      </c>
      <c r="N50" s="290">
        <v>142</v>
      </c>
      <c r="O50" s="368">
        <v>1654</v>
      </c>
      <c r="P50" s="369">
        <v>1445</v>
      </c>
      <c r="Q50" s="369">
        <v>3099</v>
      </c>
      <c r="R50" s="13"/>
      <c r="S50" s="13"/>
      <c r="T50" s="13"/>
      <c r="U50" s="13"/>
      <c r="V50" s="13"/>
      <c r="W50" s="13"/>
    </row>
    <row r="51" spans="2:24" ht="15" customHeight="1" x14ac:dyDescent="0.25">
      <c r="B51" s="350" t="s">
        <v>921</v>
      </c>
      <c r="C51" s="310">
        <v>11624</v>
      </c>
      <c r="D51" s="310">
        <v>6551</v>
      </c>
      <c r="E51" s="310">
        <v>18175</v>
      </c>
      <c r="F51" s="310">
        <v>130013</v>
      </c>
      <c r="G51" s="310">
        <v>120859</v>
      </c>
      <c r="H51" s="310">
        <v>250872</v>
      </c>
      <c r="I51" s="310">
        <v>22411</v>
      </c>
      <c r="J51" s="310">
        <v>9607</v>
      </c>
      <c r="K51" s="310">
        <v>32018</v>
      </c>
      <c r="L51" s="310">
        <v>5985</v>
      </c>
      <c r="M51" s="310">
        <v>8815</v>
      </c>
      <c r="N51" s="310">
        <v>14800</v>
      </c>
      <c r="O51" s="370">
        <v>170033</v>
      </c>
      <c r="P51" s="369">
        <v>145832</v>
      </c>
      <c r="Q51" s="369">
        <v>315865</v>
      </c>
      <c r="R51" s="13"/>
      <c r="S51" s="13"/>
      <c r="T51" s="13"/>
      <c r="U51" s="13"/>
      <c r="V51" s="13"/>
      <c r="W51" s="13"/>
    </row>
    <row r="52" spans="2:24" ht="84" customHeight="1" x14ac:dyDescent="0.25">
      <c r="B52" s="445" t="s">
        <v>938</v>
      </c>
      <c r="C52" s="445"/>
      <c r="D52" s="445"/>
      <c r="E52" s="445"/>
      <c r="F52" s="445"/>
      <c r="G52" s="445"/>
      <c r="H52" s="445"/>
      <c r="I52" s="445"/>
      <c r="J52" s="445"/>
      <c r="K52" s="445"/>
      <c r="L52" s="445"/>
      <c r="M52" s="445"/>
      <c r="N52" s="445"/>
      <c r="O52" s="445"/>
      <c r="P52" s="445"/>
      <c r="Q52" s="445"/>
      <c r="R52" s="13"/>
      <c r="S52" s="13"/>
      <c r="T52" s="13"/>
      <c r="U52" s="13"/>
      <c r="V52" s="13"/>
      <c r="W52" s="13"/>
    </row>
    <row r="53" spans="2:24" x14ac:dyDescent="0.25">
      <c r="C53" s="13"/>
      <c r="D53" s="13"/>
      <c r="E53" s="13"/>
      <c r="F53" s="13"/>
      <c r="G53" s="13"/>
      <c r="H53" s="13"/>
      <c r="I53" s="13"/>
      <c r="J53" s="13"/>
      <c r="K53" s="13"/>
      <c r="L53" s="13"/>
      <c r="M53" s="13"/>
      <c r="N53" s="13"/>
      <c r="O53" s="13"/>
      <c r="P53" s="13"/>
      <c r="Q53" s="13"/>
      <c r="R53" s="13"/>
      <c r="S53" s="13"/>
      <c r="T53" s="13"/>
      <c r="U53" s="13"/>
      <c r="V53" s="13"/>
      <c r="W53" s="13"/>
    </row>
    <row r="54" spans="2:24" customFormat="1" ht="18.75" x14ac:dyDescent="0.3">
      <c r="B54" s="2" t="s">
        <v>758</v>
      </c>
      <c r="C54" s="2"/>
      <c r="D54" s="2"/>
      <c r="E54" s="2"/>
      <c r="H54" s="228"/>
      <c r="I54" s="453"/>
      <c r="J54" s="141"/>
      <c r="K54" s="142"/>
      <c r="L54" s="142"/>
      <c r="M54" s="142"/>
      <c r="N54" s="142"/>
      <c r="O54" s="142"/>
      <c r="P54" s="142"/>
      <c r="Q54" s="228"/>
      <c r="R54" s="228"/>
      <c r="S54" s="228"/>
      <c r="T54" s="228"/>
      <c r="U54" s="228"/>
      <c r="V54" s="228"/>
      <c r="W54" s="228"/>
    </row>
    <row r="55" spans="2:24" customFormat="1" x14ac:dyDescent="0.25">
      <c r="B55" s="15" t="s">
        <v>866</v>
      </c>
      <c r="H55" s="228"/>
      <c r="I55" s="453"/>
      <c r="J55" s="141"/>
      <c r="K55" s="142"/>
      <c r="L55" s="142"/>
      <c r="M55" s="142"/>
      <c r="N55" s="142"/>
      <c r="O55" s="142"/>
      <c r="P55" s="142"/>
      <c r="Q55" s="228"/>
      <c r="R55" s="228"/>
      <c r="S55" s="228"/>
      <c r="T55" s="228"/>
      <c r="U55" s="228"/>
      <c r="V55" s="228"/>
      <c r="W55" s="228"/>
    </row>
    <row r="56" spans="2:24" customFormat="1" x14ac:dyDescent="0.25">
      <c r="H56" s="228"/>
      <c r="I56" s="234"/>
      <c r="J56" s="141"/>
      <c r="K56" s="141"/>
      <c r="L56" s="141"/>
      <c r="M56" s="141"/>
      <c r="N56" s="141"/>
      <c r="O56" s="141"/>
      <c r="P56" s="142"/>
      <c r="Q56" s="228"/>
      <c r="R56" s="228"/>
      <c r="S56" s="228"/>
      <c r="T56" s="228"/>
      <c r="U56" s="228"/>
      <c r="V56" s="228"/>
      <c r="W56" s="228"/>
    </row>
    <row r="57" spans="2:24" x14ac:dyDescent="0.25">
      <c r="B57" s="187" t="s">
        <v>519</v>
      </c>
      <c r="C57"/>
      <c r="D57"/>
      <c r="E57"/>
      <c r="F57"/>
      <c r="G57"/>
      <c r="H57" s="13"/>
      <c r="I57" s="13"/>
      <c r="J57" s="13"/>
      <c r="K57" s="13"/>
      <c r="L57" s="13"/>
      <c r="M57" s="13"/>
      <c r="N57" s="13"/>
      <c r="O57" s="13"/>
      <c r="P57" s="13"/>
      <c r="Q57" s="13"/>
      <c r="R57" s="13"/>
      <c r="S57" s="13"/>
      <c r="T57" s="13"/>
      <c r="U57" s="13"/>
      <c r="V57" s="13"/>
      <c r="W57" s="13"/>
    </row>
    <row r="58" spans="2:24" x14ac:dyDescent="0.25">
      <c r="B58" s="187"/>
      <c r="C58"/>
      <c r="D58"/>
      <c r="E58"/>
      <c r="F58"/>
      <c r="G58"/>
      <c r="H58" s="13"/>
      <c r="I58" s="13"/>
      <c r="J58" s="13"/>
      <c r="K58" s="13"/>
      <c r="L58" s="13"/>
      <c r="M58" s="13"/>
      <c r="N58" s="13"/>
      <c r="O58" s="13"/>
      <c r="P58" s="13"/>
      <c r="Q58" s="13"/>
      <c r="R58" s="13"/>
      <c r="S58" s="13"/>
      <c r="T58" s="13"/>
      <c r="U58" s="13"/>
      <c r="V58" s="13"/>
      <c r="W58" s="13"/>
    </row>
    <row r="59" spans="2:24" ht="15" customHeight="1" x14ac:dyDescent="0.25">
      <c r="B59" s="413" t="s">
        <v>532</v>
      </c>
      <c r="C59" s="414" t="s">
        <v>477</v>
      </c>
      <c r="D59" s="414"/>
      <c r="E59" s="414"/>
      <c r="F59" s="414"/>
      <c r="G59" s="414"/>
      <c r="H59" s="414"/>
      <c r="I59" s="414"/>
      <c r="J59" s="414"/>
      <c r="K59" s="414"/>
      <c r="L59" s="414"/>
      <c r="M59" s="414"/>
      <c r="N59" s="414"/>
      <c r="O59" s="447" t="s">
        <v>922</v>
      </c>
      <c r="P59" s="448"/>
      <c r="Q59" s="449"/>
      <c r="R59" s="13"/>
      <c r="S59" s="13"/>
      <c r="T59" s="13"/>
      <c r="U59" s="13"/>
      <c r="V59" s="13"/>
      <c r="W59" s="13"/>
    </row>
    <row r="60" spans="2:24" ht="15" customHeight="1" x14ac:dyDescent="0.25">
      <c r="B60" s="413"/>
      <c r="C60" s="414" t="s">
        <v>885</v>
      </c>
      <c r="D60" s="414"/>
      <c r="E60" s="414"/>
      <c r="F60" s="414" t="s">
        <v>886</v>
      </c>
      <c r="G60" s="414"/>
      <c r="H60" s="414"/>
      <c r="I60" s="414" t="s">
        <v>2</v>
      </c>
      <c r="J60" s="414"/>
      <c r="K60" s="414"/>
      <c r="L60" s="414" t="s">
        <v>3</v>
      </c>
      <c r="M60" s="414"/>
      <c r="N60" s="414"/>
      <c r="O60" s="450"/>
      <c r="P60" s="451"/>
      <c r="Q60" s="452"/>
      <c r="R60" s="13"/>
      <c r="S60" s="13"/>
      <c r="T60" s="13"/>
      <c r="U60" s="13"/>
      <c r="V60" s="13"/>
      <c r="W60" s="13"/>
    </row>
    <row r="61" spans="2:24" x14ac:dyDescent="0.25">
      <c r="B61" s="413"/>
      <c r="C61" s="161" t="s">
        <v>73</v>
      </c>
      <c r="D61" s="161" t="s">
        <v>74</v>
      </c>
      <c r="E61" s="161" t="s">
        <v>25</v>
      </c>
      <c r="F61" s="161" t="s">
        <v>73</v>
      </c>
      <c r="G61" s="161" t="s">
        <v>74</v>
      </c>
      <c r="H61" s="161" t="s">
        <v>25</v>
      </c>
      <c r="I61" s="161" t="s">
        <v>73</v>
      </c>
      <c r="J61" s="161" t="s">
        <v>74</v>
      </c>
      <c r="K61" s="161" t="s">
        <v>25</v>
      </c>
      <c r="L61" s="161" t="s">
        <v>73</v>
      </c>
      <c r="M61" s="161" t="s">
        <v>74</v>
      </c>
      <c r="N61" s="161" t="s">
        <v>25</v>
      </c>
      <c r="O61" s="299" t="s">
        <v>73</v>
      </c>
      <c r="P61" s="299" t="s">
        <v>74</v>
      </c>
      <c r="Q61" s="299" t="s">
        <v>25</v>
      </c>
      <c r="R61" s="13"/>
      <c r="S61" s="13"/>
      <c r="T61" s="13"/>
      <c r="U61" s="13"/>
      <c r="V61" s="13"/>
      <c r="W61" s="13"/>
    </row>
    <row r="62" spans="2:24" x14ac:dyDescent="0.25">
      <c r="B62" s="157" t="s">
        <v>447</v>
      </c>
      <c r="C62" s="270">
        <v>27</v>
      </c>
      <c r="D62" s="270">
        <v>31</v>
      </c>
      <c r="E62" s="270">
        <v>58</v>
      </c>
      <c r="F62" s="270">
        <v>306</v>
      </c>
      <c r="G62" s="270">
        <v>290</v>
      </c>
      <c r="H62" s="270">
        <v>596</v>
      </c>
      <c r="I62" s="270">
        <v>43</v>
      </c>
      <c r="J62" s="270">
        <v>34</v>
      </c>
      <c r="K62" s="270">
        <v>77</v>
      </c>
      <c r="L62" s="270">
        <v>14</v>
      </c>
      <c r="M62" s="270">
        <v>30</v>
      </c>
      <c r="N62" s="270">
        <v>44</v>
      </c>
      <c r="O62" s="324">
        <v>390</v>
      </c>
      <c r="P62" s="324">
        <v>385</v>
      </c>
      <c r="Q62" s="324">
        <v>775</v>
      </c>
      <c r="R62" s="13"/>
      <c r="S62" s="13"/>
      <c r="T62" s="13"/>
      <c r="U62" s="13"/>
      <c r="V62" s="13"/>
      <c r="W62" s="13"/>
      <c r="X62" s="13"/>
    </row>
    <row r="63" spans="2:24" x14ac:dyDescent="0.25">
      <c r="B63" s="157" t="s">
        <v>448</v>
      </c>
      <c r="C63" s="270"/>
      <c r="D63" s="270"/>
      <c r="E63" s="270"/>
      <c r="F63" s="270">
        <v>1</v>
      </c>
      <c r="G63" s="270">
        <v>2</v>
      </c>
      <c r="H63" s="270">
        <v>3</v>
      </c>
      <c r="I63" s="270"/>
      <c r="J63" s="270"/>
      <c r="K63" s="270"/>
      <c r="L63" s="270"/>
      <c r="M63" s="270"/>
      <c r="N63" s="270"/>
      <c r="O63" s="324">
        <v>1</v>
      </c>
      <c r="P63" s="324">
        <v>2</v>
      </c>
      <c r="Q63" s="324">
        <v>3</v>
      </c>
      <c r="R63" s="13"/>
      <c r="S63" s="13"/>
      <c r="T63" s="13"/>
      <c r="U63" s="13"/>
      <c r="V63" s="13"/>
      <c r="W63" s="13"/>
      <c r="X63" s="13"/>
    </row>
    <row r="64" spans="2:24" x14ac:dyDescent="0.25">
      <c r="B64" s="136" t="s">
        <v>449</v>
      </c>
      <c r="C64" s="270"/>
      <c r="D64" s="270"/>
      <c r="E64" s="270"/>
      <c r="F64" s="270">
        <v>1</v>
      </c>
      <c r="G64" s="270"/>
      <c r="H64" s="270">
        <v>1</v>
      </c>
      <c r="I64" s="270"/>
      <c r="J64" s="270"/>
      <c r="K64" s="270"/>
      <c r="L64" s="270"/>
      <c r="M64" s="270"/>
      <c r="N64" s="270"/>
      <c r="O64" s="324">
        <v>1</v>
      </c>
      <c r="P64" s="324"/>
      <c r="Q64" s="324">
        <v>1</v>
      </c>
      <c r="R64" s="13"/>
      <c r="S64" s="13"/>
      <c r="T64" s="13"/>
      <c r="U64" s="13"/>
      <c r="V64" s="13"/>
      <c r="W64" s="13"/>
      <c r="X64" s="13"/>
    </row>
    <row r="65" spans="2:24" x14ac:dyDescent="0.25">
      <c r="B65" s="136" t="s">
        <v>450</v>
      </c>
      <c r="C65" s="270"/>
      <c r="D65" s="270">
        <v>1</v>
      </c>
      <c r="E65" s="270">
        <v>1</v>
      </c>
      <c r="F65" s="270">
        <v>1</v>
      </c>
      <c r="G65" s="270"/>
      <c r="H65" s="270">
        <v>1</v>
      </c>
      <c r="I65" s="270"/>
      <c r="J65" s="270"/>
      <c r="K65" s="270"/>
      <c r="L65" s="270"/>
      <c r="M65" s="270"/>
      <c r="N65" s="270"/>
      <c r="O65" s="324">
        <v>1</v>
      </c>
      <c r="P65" s="324">
        <v>1</v>
      </c>
      <c r="Q65" s="324">
        <v>2</v>
      </c>
      <c r="R65" s="13"/>
      <c r="S65" s="13"/>
      <c r="T65" s="13"/>
      <c r="U65" s="13"/>
      <c r="V65" s="13"/>
      <c r="W65" s="13"/>
      <c r="X65" s="13"/>
    </row>
    <row r="66" spans="2:24" x14ac:dyDescent="0.25">
      <c r="B66" s="371" t="s">
        <v>923</v>
      </c>
      <c r="C66" s="310">
        <v>27</v>
      </c>
      <c r="D66" s="310">
        <v>32</v>
      </c>
      <c r="E66" s="310">
        <v>59</v>
      </c>
      <c r="F66" s="310">
        <v>309</v>
      </c>
      <c r="G66" s="310">
        <v>292</v>
      </c>
      <c r="H66" s="294">
        <v>601</v>
      </c>
      <c r="I66" s="310">
        <v>43</v>
      </c>
      <c r="J66" s="294">
        <v>34</v>
      </c>
      <c r="K66" s="310">
        <v>77</v>
      </c>
      <c r="L66" s="294">
        <v>14</v>
      </c>
      <c r="M66" s="310">
        <v>30</v>
      </c>
      <c r="N66" s="294">
        <v>44</v>
      </c>
      <c r="O66" s="324">
        <v>393</v>
      </c>
      <c r="P66" s="324">
        <v>388</v>
      </c>
      <c r="Q66" s="324">
        <v>781</v>
      </c>
      <c r="R66" s="13"/>
      <c r="S66" s="13"/>
      <c r="T66" s="13"/>
      <c r="U66" s="13"/>
      <c r="V66" s="13"/>
      <c r="W66" s="13"/>
      <c r="X66" s="13"/>
    </row>
    <row r="67" spans="2:24" ht="83.25" customHeight="1" x14ac:dyDescent="0.25">
      <c r="B67" s="445" t="s">
        <v>938</v>
      </c>
      <c r="C67" s="445"/>
      <c r="D67" s="445"/>
      <c r="E67" s="445"/>
      <c r="F67" s="445"/>
      <c r="G67" s="445"/>
      <c r="H67" s="445"/>
      <c r="I67" s="445"/>
      <c r="J67" s="445"/>
      <c r="K67" s="445"/>
      <c r="L67" s="445"/>
      <c r="M67" s="445"/>
      <c r="N67" s="445"/>
      <c r="O67" s="445"/>
      <c r="P67" s="445"/>
      <c r="Q67" s="445"/>
      <c r="R67" s="13"/>
      <c r="S67" s="13"/>
      <c r="T67" s="13"/>
      <c r="U67" s="13"/>
      <c r="V67" s="13"/>
      <c r="W67" s="13"/>
    </row>
    <row r="68" spans="2:24" customFormat="1" x14ac:dyDescent="0.25">
      <c r="H68" s="228"/>
      <c r="I68" s="234"/>
      <c r="J68" s="141"/>
      <c r="K68" s="141"/>
      <c r="L68" s="141"/>
      <c r="M68" s="141"/>
      <c r="N68" s="141"/>
      <c r="O68" s="141"/>
      <c r="P68" s="142"/>
      <c r="Q68" s="228"/>
      <c r="R68" s="228"/>
      <c r="S68" s="228"/>
      <c r="T68" s="228"/>
      <c r="U68" s="228"/>
      <c r="V68" s="228"/>
      <c r="W68" s="228"/>
    </row>
    <row r="69" spans="2:24" customFormat="1" x14ac:dyDescent="0.25">
      <c r="B69" s="187" t="s">
        <v>505</v>
      </c>
      <c r="H69" s="228"/>
      <c r="I69" s="234"/>
      <c r="J69" s="141"/>
      <c r="K69" s="142"/>
      <c r="L69" s="142"/>
      <c r="M69" s="142"/>
      <c r="N69" s="142"/>
      <c r="O69" s="142"/>
      <c r="P69" s="142"/>
      <c r="Q69" s="228"/>
      <c r="R69" s="228"/>
      <c r="S69" s="228"/>
      <c r="T69" s="228"/>
      <c r="U69" s="228"/>
      <c r="V69" s="228"/>
      <c r="W69" s="228"/>
    </row>
    <row r="70" spans="2:24" customFormat="1" x14ac:dyDescent="0.25">
      <c r="B70" s="187"/>
      <c r="H70" s="228"/>
      <c r="I70" s="234"/>
      <c r="J70" s="141"/>
      <c r="K70" s="142"/>
      <c r="L70" s="142"/>
      <c r="M70" s="142"/>
      <c r="N70" s="142"/>
      <c r="O70" s="142"/>
      <c r="P70" s="142"/>
      <c r="Q70" s="228"/>
      <c r="R70" s="228"/>
      <c r="S70" s="228"/>
      <c r="T70" s="228"/>
      <c r="U70" s="228"/>
      <c r="V70" s="228"/>
      <c r="W70" s="228"/>
    </row>
    <row r="71" spans="2:24" customFormat="1" ht="15" customHeight="1" x14ac:dyDescent="0.25">
      <c r="B71" s="413" t="s">
        <v>532</v>
      </c>
      <c r="C71" s="414" t="s">
        <v>477</v>
      </c>
      <c r="D71" s="414"/>
      <c r="E71" s="414"/>
      <c r="F71" s="414"/>
      <c r="G71" s="414"/>
      <c r="H71" s="414"/>
      <c r="I71" s="414"/>
      <c r="J71" s="414"/>
      <c r="K71" s="414"/>
      <c r="L71" s="414"/>
      <c r="M71" s="414"/>
      <c r="N71" s="414"/>
      <c r="O71" s="447" t="s">
        <v>922</v>
      </c>
      <c r="P71" s="448"/>
      <c r="Q71" s="449"/>
      <c r="R71" s="228"/>
      <c r="S71" s="228"/>
      <c r="T71" s="228"/>
      <c r="U71" s="228"/>
      <c r="V71" s="228"/>
      <c r="W71" s="228"/>
    </row>
    <row r="72" spans="2:24" customFormat="1" ht="15" customHeight="1" x14ac:dyDescent="0.25">
      <c r="B72" s="413"/>
      <c r="C72" s="414" t="s">
        <v>885</v>
      </c>
      <c r="D72" s="414"/>
      <c r="E72" s="414"/>
      <c r="F72" s="414" t="s">
        <v>886</v>
      </c>
      <c r="G72" s="414"/>
      <c r="H72" s="414"/>
      <c r="I72" s="414" t="s">
        <v>2</v>
      </c>
      <c r="J72" s="414"/>
      <c r="K72" s="414"/>
      <c r="L72" s="414" t="s">
        <v>3</v>
      </c>
      <c r="M72" s="414"/>
      <c r="N72" s="414"/>
      <c r="O72" s="450"/>
      <c r="P72" s="451"/>
      <c r="Q72" s="452"/>
      <c r="R72" s="228"/>
      <c r="S72" s="228"/>
      <c r="T72" s="228"/>
      <c r="U72" s="228"/>
      <c r="V72" s="228"/>
      <c r="W72" s="228"/>
    </row>
    <row r="73" spans="2:24" customFormat="1" x14ac:dyDescent="0.25">
      <c r="B73" s="413"/>
      <c r="C73" s="161" t="s">
        <v>73</v>
      </c>
      <c r="D73" s="161" t="s">
        <v>74</v>
      </c>
      <c r="E73" s="161" t="s">
        <v>25</v>
      </c>
      <c r="F73" s="161" t="s">
        <v>73</v>
      </c>
      <c r="G73" s="161" t="s">
        <v>74</v>
      </c>
      <c r="H73" s="161" t="s">
        <v>25</v>
      </c>
      <c r="I73" s="161" t="s">
        <v>73</v>
      </c>
      <c r="J73" s="161" t="s">
        <v>74</v>
      </c>
      <c r="K73" s="161" t="s">
        <v>25</v>
      </c>
      <c r="L73" s="161" t="s">
        <v>73</v>
      </c>
      <c r="M73" s="161" t="s">
        <v>74</v>
      </c>
      <c r="N73" s="161" t="s">
        <v>25</v>
      </c>
      <c r="O73" s="299" t="s">
        <v>73</v>
      </c>
      <c r="P73" s="299" t="s">
        <v>74</v>
      </c>
      <c r="Q73" s="299" t="s">
        <v>25</v>
      </c>
      <c r="R73" s="228"/>
      <c r="S73" s="228"/>
      <c r="T73" s="228"/>
      <c r="U73" s="228"/>
      <c r="V73" s="228"/>
      <c r="W73" s="228"/>
      <c r="X73" s="228"/>
    </row>
    <row r="74" spans="2:24" customFormat="1" x14ac:dyDescent="0.25">
      <c r="B74" s="235" t="s">
        <v>131</v>
      </c>
      <c r="C74" s="269">
        <v>8</v>
      </c>
      <c r="D74" s="269">
        <v>11</v>
      </c>
      <c r="E74" s="269">
        <v>19</v>
      </c>
      <c r="F74" s="269">
        <v>109</v>
      </c>
      <c r="G74" s="269">
        <v>95</v>
      </c>
      <c r="H74" s="291">
        <v>204</v>
      </c>
      <c r="I74" s="269">
        <v>41</v>
      </c>
      <c r="J74" s="291">
        <v>17</v>
      </c>
      <c r="K74" s="269">
        <v>58</v>
      </c>
      <c r="L74" s="291">
        <v>5</v>
      </c>
      <c r="M74" s="269">
        <v>5</v>
      </c>
      <c r="N74" s="291">
        <v>10</v>
      </c>
      <c r="O74" s="324">
        <v>163</v>
      </c>
      <c r="P74" s="324">
        <v>128</v>
      </c>
      <c r="Q74" s="324">
        <v>291</v>
      </c>
      <c r="R74" s="228"/>
      <c r="S74" s="228"/>
      <c r="T74" s="228"/>
      <c r="U74" s="228"/>
      <c r="V74" s="228"/>
      <c r="W74" s="228"/>
      <c r="X74" s="228"/>
    </row>
    <row r="75" spans="2:24" customFormat="1" x14ac:dyDescent="0.25">
      <c r="B75" s="236" t="s">
        <v>137</v>
      </c>
      <c r="C75" s="269"/>
      <c r="D75" s="269">
        <v>1</v>
      </c>
      <c r="E75" s="269">
        <v>1</v>
      </c>
      <c r="F75" s="269">
        <v>3</v>
      </c>
      <c r="G75" s="269"/>
      <c r="H75" s="291">
        <v>3</v>
      </c>
      <c r="I75" s="269"/>
      <c r="J75" s="291"/>
      <c r="K75" s="269"/>
      <c r="L75" s="291"/>
      <c r="M75" s="269"/>
      <c r="N75" s="291"/>
      <c r="O75" s="324">
        <v>3</v>
      </c>
      <c r="P75" s="324">
        <v>1</v>
      </c>
      <c r="Q75" s="324">
        <v>4</v>
      </c>
      <c r="R75" s="228"/>
      <c r="S75" s="228"/>
      <c r="T75" s="228"/>
      <c r="U75" s="228"/>
      <c r="V75" s="228"/>
      <c r="W75" s="228"/>
      <c r="X75" s="228"/>
    </row>
    <row r="76" spans="2:24" customFormat="1" x14ac:dyDescent="0.25">
      <c r="B76" s="236" t="s">
        <v>132</v>
      </c>
      <c r="C76" s="269"/>
      <c r="D76" s="269"/>
      <c r="E76" s="269"/>
      <c r="F76" s="269">
        <v>4</v>
      </c>
      <c r="G76" s="269"/>
      <c r="H76" s="291">
        <v>4</v>
      </c>
      <c r="I76" s="269"/>
      <c r="J76" s="291"/>
      <c r="K76" s="269"/>
      <c r="L76" s="291"/>
      <c r="M76" s="269"/>
      <c r="N76" s="291"/>
      <c r="O76" s="324">
        <v>4</v>
      </c>
      <c r="P76" s="324"/>
      <c r="Q76" s="324">
        <v>4</v>
      </c>
      <c r="R76" s="228"/>
      <c r="S76" s="228"/>
      <c r="T76" s="228"/>
      <c r="U76" s="228"/>
      <c r="V76" s="228"/>
      <c r="W76" s="228"/>
      <c r="X76" s="228"/>
    </row>
    <row r="77" spans="2:24" customFormat="1" x14ac:dyDescent="0.25">
      <c r="B77" s="236" t="s">
        <v>133</v>
      </c>
      <c r="C77" s="269"/>
      <c r="D77" s="269">
        <v>1</v>
      </c>
      <c r="E77" s="269">
        <v>1</v>
      </c>
      <c r="F77" s="269">
        <v>3</v>
      </c>
      <c r="G77" s="269">
        <v>6</v>
      </c>
      <c r="H77" s="291">
        <v>9</v>
      </c>
      <c r="I77" s="269"/>
      <c r="J77" s="291">
        <v>1</v>
      </c>
      <c r="K77" s="269">
        <v>1</v>
      </c>
      <c r="L77" s="291"/>
      <c r="M77" s="269"/>
      <c r="N77" s="291"/>
      <c r="O77" s="324">
        <v>3</v>
      </c>
      <c r="P77" s="324">
        <v>8</v>
      </c>
      <c r="Q77" s="324">
        <v>11</v>
      </c>
      <c r="R77" s="228"/>
      <c r="S77" s="228"/>
      <c r="T77" s="228"/>
      <c r="U77" s="228"/>
      <c r="V77" s="228"/>
      <c r="W77" s="228"/>
      <c r="X77" s="228"/>
    </row>
    <row r="78" spans="2:24" customFormat="1" x14ac:dyDescent="0.25">
      <c r="B78" s="237" t="s">
        <v>134</v>
      </c>
      <c r="C78" s="269">
        <v>14</v>
      </c>
      <c r="D78" s="269">
        <v>33</v>
      </c>
      <c r="E78" s="269">
        <v>47</v>
      </c>
      <c r="F78" s="269">
        <v>222</v>
      </c>
      <c r="G78" s="269">
        <v>228</v>
      </c>
      <c r="H78" s="291">
        <v>450</v>
      </c>
      <c r="I78" s="269">
        <v>27</v>
      </c>
      <c r="J78" s="291">
        <v>22</v>
      </c>
      <c r="K78" s="269">
        <v>49</v>
      </c>
      <c r="L78" s="291">
        <v>9</v>
      </c>
      <c r="M78" s="269">
        <v>16</v>
      </c>
      <c r="N78" s="291">
        <v>25</v>
      </c>
      <c r="O78" s="324">
        <v>272</v>
      </c>
      <c r="P78" s="324">
        <v>299</v>
      </c>
      <c r="Q78" s="324">
        <v>571</v>
      </c>
      <c r="R78" s="228"/>
      <c r="S78" s="228"/>
      <c r="T78" s="228"/>
      <c r="U78" s="228"/>
      <c r="V78" s="228"/>
      <c r="W78" s="228"/>
      <c r="X78" s="228"/>
    </row>
    <row r="79" spans="2:24" customFormat="1" x14ac:dyDescent="0.25">
      <c r="B79" s="176" t="s">
        <v>135</v>
      </c>
      <c r="C79" s="269"/>
      <c r="D79" s="269">
        <v>1</v>
      </c>
      <c r="E79" s="269">
        <v>1</v>
      </c>
      <c r="F79" s="269">
        <v>4</v>
      </c>
      <c r="G79" s="269">
        <v>5</v>
      </c>
      <c r="H79" s="291">
        <v>9</v>
      </c>
      <c r="I79" s="269"/>
      <c r="J79" s="291"/>
      <c r="K79" s="269"/>
      <c r="L79" s="291"/>
      <c r="M79" s="269"/>
      <c r="N79" s="291"/>
      <c r="O79" s="324">
        <v>4</v>
      </c>
      <c r="P79" s="324">
        <v>6</v>
      </c>
      <c r="Q79" s="324">
        <v>10</v>
      </c>
      <c r="R79" s="228"/>
      <c r="S79" s="228"/>
      <c r="T79" s="228"/>
      <c r="U79" s="228"/>
      <c r="V79" s="228"/>
      <c r="W79" s="228"/>
      <c r="X79" s="228"/>
    </row>
    <row r="80" spans="2:24" customFormat="1" x14ac:dyDescent="0.25">
      <c r="B80" s="176" t="s">
        <v>136</v>
      </c>
      <c r="C80" s="269"/>
      <c r="D80" s="269">
        <v>1</v>
      </c>
      <c r="E80" s="269">
        <v>1</v>
      </c>
      <c r="F80" s="269">
        <v>19</v>
      </c>
      <c r="G80" s="269">
        <v>25</v>
      </c>
      <c r="H80" s="291">
        <v>44</v>
      </c>
      <c r="I80" s="269">
        <v>3</v>
      </c>
      <c r="J80" s="291"/>
      <c r="K80" s="269">
        <v>3</v>
      </c>
      <c r="L80" s="291"/>
      <c r="M80" s="269"/>
      <c r="N80" s="291"/>
      <c r="O80" s="324">
        <v>22</v>
      </c>
      <c r="P80" s="324">
        <v>26</v>
      </c>
      <c r="Q80" s="324">
        <v>48</v>
      </c>
      <c r="R80" s="228"/>
      <c r="S80" s="228"/>
      <c r="T80" s="228"/>
      <c r="U80" s="228"/>
      <c r="V80" s="228"/>
      <c r="W80" s="228"/>
      <c r="X80" s="228"/>
    </row>
    <row r="81" spans="2:24" customFormat="1" x14ac:dyDescent="0.25">
      <c r="B81" s="371" t="s">
        <v>923</v>
      </c>
      <c r="C81" s="310">
        <v>22</v>
      </c>
      <c r="D81" s="310">
        <v>48</v>
      </c>
      <c r="E81" s="310">
        <v>70</v>
      </c>
      <c r="F81" s="310">
        <v>364</v>
      </c>
      <c r="G81" s="310">
        <v>359</v>
      </c>
      <c r="H81" s="294">
        <v>723</v>
      </c>
      <c r="I81" s="310">
        <v>71</v>
      </c>
      <c r="J81" s="294">
        <v>40</v>
      </c>
      <c r="K81" s="310">
        <v>111</v>
      </c>
      <c r="L81" s="294">
        <v>14</v>
      </c>
      <c r="M81" s="310">
        <v>21</v>
      </c>
      <c r="N81" s="294">
        <v>35</v>
      </c>
      <c r="O81" s="324">
        <v>471</v>
      </c>
      <c r="P81" s="324">
        <v>468</v>
      </c>
      <c r="Q81" s="324">
        <v>939</v>
      </c>
      <c r="R81" s="228"/>
      <c r="S81" s="228"/>
      <c r="T81" s="228"/>
      <c r="U81" s="228"/>
      <c r="V81" s="228"/>
      <c r="W81" s="228"/>
      <c r="X81" s="228"/>
    </row>
    <row r="82" spans="2:24" customFormat="1" ht="84" customHeight="1" x14ac:dyDescent="0.25">
      <c r="B82" s="445" t="s">
        <v>938</v>
      </c>
      <c r="C82" s="445"/>
      <c r="D82" s="445"/>
      <c r="E82" s="445"/>
      <c r="F82" s="445"/>
      <c r="G82" s="445"/>
      <c r="H82" s="445"/>
      <c r="I82" s="445"/>
      <c r="J82" s="445"/>
      <c r="K82" s="445"/>
      <c r="L82" s="445"/>
      <c r="M82" s="445"/>
      <c r="N82" s="445"/>
      <c r="O82" s="445"/>
      <c r="P82" s="445"/>
      <c r="Q82" s="445"/>
      <c r="R82" s="228"/>
      <c r="S82" s="228"/>
      <c r="T82" s="228"/>
      <c r="U82" s="228"/>
      <c r="V82" s="228"/>
      <c r="W82" s="228"/>
    </row>
    <row r="83" spans="2:24" customFormat="1" x14ac:dyDescent="0.25">
      <c r="B83" s="158"/>
      <c r="C83" s="158"/>
      <c r="D83" s="158"/>
      <c r="H83" s="228"/>
      <c r="I83" s="228"/>
      <c r="J83" s="228"/>
      <c r="K83" s="228"/>
      <c r="L83" s="228"/>
      <c r="M83" s="228"/>
      <c r="N83" s="228"/>
      <c r="O83" s="228"/>
      <c r="P83" s="228"/>
      <c r="Q83" s="228"/>
      <c r="R83" s="228"/>
      <c r="S83" s="228"/>
      <c r="T83" s="228"/>
      <c r="U83" s="228"/>
      <c r="V83" s="228"/>
      <c r="W83" s="228"/>
    </row>
    <row r="84" spans="2:24" customFormat="1" x14ac:dyDescent="0.25">
      <c r="B84" s="187" t="s">
        <v>506</v>
      </c>
      <c r="H84" s="228"/>
      <c r="I84" s="228"/>
      <c r="J84" s="228"/>
      <c r="K84" s="228"/>
      <c r="L84" s="228"/>
      <c r="M84" s="228"/>
      <c r="N84" s="228"/>
      <c r="O84" s="228"/>
      <c r="P84" s="228"/>
      <c r="Q84" s="228"/>
      <c r="R84" s="228"/>
      <c r="S84" s="228"/>
      <c r="T84" s="228"/>
      <c r="U84" s="228"/>
      <c r="V84" s="228"/>
      <c r="W84" s="228"/>
    </row>
    <row r="85" spans="2:24" customFormat="1" x14ac:dyDescent="0.25">
      <c r="B85" s="187"/>
      <c r="H85" s="228"/>
      <c r="I85" s="228"/>
      <c r="J85" s="228"/>
      <c r="K85" s="228"/>
      <c r="L85" s="228"/>
      <c r="M85" s="228"/>
      <c r="N85" s="228"/>
      <c r="O85" s="228"/>
      <c r="P85" s="228"/>
      <c r="Q85" s="228"/>
      <c r="R85" s="228"/>
      <c r="S85" s="228"/>
      <c r="T85" s="228"/>
      <c r="U85" s="228"/>
      <c r="V85" s="228"/>
      <c r="W85" s="228"/>
    </row>
    <row r="86" spans="2:24" customFormat="1" ht="15" customHeight="1" x14ac:dyDescent="0.25">
      <c r="B86" s="413" t="s">
        <v>532</v>
      </c>
      <c r="C86" s="414" t="s">
        <v>477</v>
      </c>
      <c r="D86" s="414"/>
      <c r="E86" s="414"/>
      <c r="F86" s="414"/>
      <c r="G86" s="414"/>
      <c r="H86" s="414"/>
      <c r="I86" s="414"/>
      <c r="J86" s="414"/>
      <c r="K86" s="414"/>
      <c r="L86" s="414"/>
      <c r="M86" s="414"/>
      <c r="N86" s="414"/>
      <c r="O86" s="447" t="s">
        <v>922</v>
      </c>
      <c r="P86" s="448"/>
      <c r="Q86" s="449"/>
      <c r="R86" s="228"/>
      <c r="S86" s="228"/>
      <c r="T86" s="228"/>
      <c r="U86" s="228"/>
      <c r="V86" s="228"/>
      <c r="W86" s="228"/>
    </row>
    <row r="87" spans="2:24" customFormat="1" ht="15" customHeight="1" x14ac:dyDescent="0.25">
      <c r="B87" s="413"/>
      <c r="C87" s="414" t="s">
        <v>885</v>
      </c>
      <c r="D87" s="414"/>
      <c r="E87" s="414"/>
      <c r="F87" s="414" t="s">
        <v>886</v>
      </c>
      <c r="G87" s="414"/>
      <c r="H87" s="414"/>
      <c r="I87" s="414" t="s">
        <v>2</v>
      </c>
      <c r="J87" s="414"/>
      <c r="K87" s="414"/>
      <c r="L87" s="414" t="s">
        <v>3</v>
      </c>
      <c r="M87" s="414"/>
      <c r="N87" s="414"/>
      <c r="O87" s="450"/>
      <c r="P87" s="451"/>
      <c r="Q87" s="452"/>
      <c r="R87" s="228"/>
      <c r="S87" s="228"/>
      <c r="T87" s="228"/>
      <c r="U87" s="228"/>
      <c r="V87" s="228"/>
      <c r="W87" s="228"/>
    </row>
    <row r="88" spans="2:24" customFormat="1" x14ac:dyDescent="0.25">
      <c r="B88" s="413"/>
      <c r="C88" s="161" t="s">
        <v>73</v>
      </c>
      <c r="D88" s="161" t="s">
        <v>74</v>
      </c>
      <c r="E88" s="161" t="s">
        <v>25</v>
      </c>
      <c r="F88" s="161" t="s">
        <v>73</v>
      </c>
      <c r="G88" s="161" t="s">
        <v>74</v>
      </c>
      <c r="H88" s="161" t="s">
        <v>25</v>
      </c>
      <c r="I88" s="161" t="s">
        <v>73</v>
      </c>
      <c r="J88" s="161" t="s">
        <v>74</v>
      </c>
      <c r="K88" s="161" t="s">
        <v>25</v>
      </c>
      <c r="L88" s="161" t="s">
        <v>73</v>
      </c>
      <c r="M88" s="161" t="s">
        <v>74</v>
      </c>
      <c r="N88" s="161" t="s">
        <v>25</v>
      </c>
      <c r="O88" s="299" t="s">
        <v>73</v>
      </c>
      <c r="P88" s="299" t="s">
        <v>74</v>
      </c>
      <c r="Q88" s="299" t="s">
        <v>25</v>
      </c>
      <c r="R88" s="228"/>
      <c r="S88" s="228"/>
      <c r="T88" s="228"/>
      <c r="U88" s="228"/>
      <c r="V88" s="228"/>
      <c r="W88" s="228"/>
    </row>
    <row r="89" spans="2:24" customFormat="1" x14ac:dyDescent="0.25">
      <c r="B89" s="157" t="s">
        <v>139</v>
      </c>
      <c r="C89" s="270">
        <v>27</v>
      </c>
      <c r="D89" s="270">
        <v>42</v>
      </c>
      <c r="E89" s="270">
        <v>69</v>
      </c>
      <c r="F89" s="270">
        <v>408</v>
      </c>
      <c r="G89" s="270">
        <v>393</v>
      </c>
      <c r="H89" s="270">
        <v>801</v>
      </c>
      <c r="I89" s="270">
        <v>76</v>
      </c>
      <c r="J89" s="270">
        <v>38</v>
      </c>
      <c r="K89" s="270">
        <v>114</v>
      </c>
      <c r="L89" s="270">
        <v>23</v>
      </c>
      <c r="M89" s="270">
        <v>27</v>
      </c>
      <c r="N89" s="270">
        <v>50</v>
      </c>
      <c r="O89" s="324">
        <v>534</v>
      </c>
      <c r="P89" s="324">
        <v>500</v>
      </c>
      <c r="Q89" s="324">
        <v>1034</v>
      </c>
      <c r="R89" s="228"/>
      <c r="S89" s="228"/>
      <c r="T89" s="228"/>
      <c r="U89" s="228"/>
      <c r="V89" s="228"/>
      <c r="W89" s="228"/>
    </row>
    <row r="90" spans="2:24" customFormat="1" x14ac:dyDescent="0.25">
      <c r="B90" s="157" t="s">
        <v>140</v>
      </c>
      <c r="C90" s="270">
        <v>6</v>
      </c>
      <c r="D90" s="270">
        <v>8</v>
      </c>
      <c r="E90" s="270">
        <v>14</v>
      </c>
      <c r="F90" s="270">
        <v>172</v>
      </c>
      <c r="G90" s="270">
        <v>197</v>
      </c>
      <c r="H90" s="270">
        <v>369</v>
      </c>
      <c r="I90" s="270">
        <v>20</v>
      </c>
      <c r="J90" s="270">
        <v>13</v>
      </c>
      <c r="K90" s="270">
        <v>33</v>
      </c>
      <c r="L90" s="270">
        <v>4</v>
      </c>
      <c r="M90" s="270">
        <v>5</v>
      </c>
      <c r="N90" s="270">
        <v>9</v>
      </c>
      <c r="O90" s="324">
        <v>202</v>
      </c>
      <c r="P90" s="324">
        <v>223</v>
      </c>
      <c r="Q90" s="324">
        <v>425</v>
      </c>
      <c r="R90" s="228"/>
      <c r="S90" s="228"/>
      <c r="T90" s="228"/>
      <c r="U90" s="228"/>
      <c r="V90" s="228"/>
      <c r="W90" s="228"/>
    </row>
    <row r="91" spans="2:24" customFormat="1" x14ac:dyDescent="0.25">
      <c r="B91" s="136" t="s">
        <v>141</v>
      </c>
      <c r="C91" s="268"/>
      <c r="D91" s="268"/>
      <c r="E91" s="268"/>
      <c r="F91" s="268">
        <v>6</v>
      </c>
      <c r="G91" s="268">
        <v>10</v>
      </c>
      <c r="H91" s="268">
        <v>16</v>
      </c>
      <c r="I91" s="268"/>
      <c r="J91" s="268">
        <v>2</v>
      </c>
      <c r="K91" s="268">
        <v>2</v>
      </c>
      <c r="L91" s="268"/>
      <c r="M91" s="268">
        <v>1</v>
      </c>
      <c r="N91" s="268">
        <v>1</v>
      </c>
      <c r="O91" s="324">
        <v>6</v>
      </c>
      <c r="P91" s="324">
        <v>13</v>
      </c>
      <c r="Q91" s="324">
        <v>19</v>
      </c>
      <c r="R91" s="228"/>
      <c r="S91" s="228"/>
      <c r="T91" s="228"/>
      <c r="U91" s="228"/>
      <c r="V91" s="228"/>
      <c r="W91" s="228"/>
    </row>
    <row r="92" spans="2:24" customFormat="1" x14ac:dyDescent="0.25">
      <c r="B92" s="136" t="s">
        <v>142</v>
      </c>
      <c r="C92" s="268">
        <v>3</v>
      </c>
      <c r="D92" s="268">
        <v>3</v>
      </c>
      <c r="E92" s="268">
        <v>6</v>
      </c>
      <c r="F92" s="268">
        <v>24</v>
      </c>
      <c r="G92" s="268">
        <v>23</v>
      </c>
      <c r="H92" s="268">
        <v>47</v>
      </c>
      <c r="I92" s="268">
        <v>2</v>
      </c>
      <c r="J92" s="268">
        <v>1</v>
      </c>
      <c r="K92" s="268">
        <v>3</v>
      </c>
      <c r="L92" s="268">
        <v>1</v>
      </c>
      <c r="M92" s="268"/>
      <c r="N92" s="268">
        <v>1</v>
      </c>
      <c r="O92" s="324">
        <v>30</v>
      </c>
      <c r="P92" s="324">
        <v>27</v>
      </c>
      <c r="Q92" s="324">
        <v>57</v>
      </c>
      <c r="R92" s="228"/>
      <c r="S92" s="228"/>
      <c r="T92" s="228"/>
      <c r="U92" s="228"/>
      <c r="V92" s="228"/>
      <c r="W92" s="228"/>
    </row>
    <row r="93" spans="2:24" customFormat="1" x14ac:dyDescent="0.25">
      <c r="B93" s="136" t="s">
        <v>144</v>
      </c>
      <c r="C93" s="268">
        <v>2</v>
      </c>
      <c r="D93" s="268">
        <v>1</v>
      </c>
      <c r="E93" s="268">
        <v>3</v>
      </c>
      <c r="F93" s="268">
        <v>8</v>
      </c>
      <c r="G93" s="268">
        <v>9</v>
      </c>
      <c r="H93" s="268">
        <v>17</v>
      </c>
      <c r="I93" s="268">
        <v>2</v>
      </c>
      <c r="J93" s="268"/>
      <c r="K93" s="268">
        <v>2</v>
      </c>
      <c r="L93" s="268"/>
      <c r="M93" s="268"/>
      <c r="N93" s="268"/>
      <c r="O93" s="324">
        <v>12</v>
      </c>
      <c r="P93" s="324">
        <v>10</v>
      </c>
      <c r="Q93" s="324">
        <v>22</v>
      </c>
      <c r="R93" s="228"/>
      <c r="S93" s="228"/>
      <c r="T93" s="228"/>
      <c r="U93" s="228"/>
      <c r="V93" s="228"/>
      <c r="W93" s="228"/>
    </row>
    <row r="94" spans="2:24" x14ac:dyDescent="0.25">
      <c r="B94" s="136" t="s">
        <v>145</v>
      </c>
      <c r="C94" s="268"/>
      <c r="D94" s="268"/>
      <c r="E94" s="268"/>
      <c r="F94" s="268">
        <v>1</v>
      </c>
      <c r="G94" s="268">
        <v>1</v>
      </c>
      <c r="H94" s="268">
        <v>2</v>
      </c>
      <c r="I94" s="268"/>
      <c r="J94" s="268"/>
      <c r="K94" s="268"/>
      <c r="L94" s="268"/>
      <c r="M94" s="268"/>
      <c r="N94" s="268"/>
      <c r="O94" s="324">
        <v>1</v>
      </c>
      <c r="P94" s="324">
        <v>1</v>
      </c>
      <c r="Q94" s="324">
        <v>2</v>
      </c>
      <c r="R94" s="13"/>
      <c r="S94" s="13"/>
      <c r="T94" s="13"/>
      <c r="U94" s="13"/>
      <c r="V94" s="13"/>
      <c r="W94" s="13"/>
    </row>
    <row r="95" spans="2:24" x14ac:dyDescent="0.25">
      <c r="B95" s="136" t="s">
        <v>146</v>
      </c>
      <c r="C95" s="268"/>
      <c r="D95" s="268">
        <v>5</v>
      </c>
      <c r="E95" s="268">
        <v>5</v>
      </c>
      <c r="F95" s="268">
        <v>19</v>
      </c>
      <c r="G95" s="268">
        <v>27</v>
      </c>
      <c r="H95" s="268">
        <v>46</v>
      </c>
      <c r="I95" s="268">
        <v>5</v>
      </c>
      <c r="J95" s="268"/>
      <c r="K95" s="268">
        <v>5</v>
      </c>
      <c r="L95" s="268"/>
      <c r="M95" s="268"/>
      <c r="N95" s="268"/>
      <c r="O95" s="324">
        <v>24</v>
      </c>
      <c r="P95" s="324">
        <v>32</v>
      </c>
      <c r="Q95" s="324">
        <v>56</v>
      </c>
      <c r="R95" s="13"/>
      <c r="S95" s="13"/>
      <c r="T95" s="13"/>
      <c r="U95" s="13"/>
      <c r="V95" s="13"/>
      <c r="W95" s="13"/>
    </row>
    <row r="96" spans="2:24" x14ac:dyDescent="0.25">
      <c r="B96" s="136" t="s">
        <v>147</v>
      </c>
      <c r="C96" s="268">
        <v>4</v>
      </c>
      <c r="D96" s="268">
        <v>4</v>
      </c>
      <c r="E96" s="268">
        <v>8</v>
      </c>
      <c r="F96" s="268">
        <v>41</v>
      </c>
      <c r="G96" s="268">
        <v>38</v>
      </c>
      <c r="H96" s="268">
        <v>79</v>
      </c>
      <c r="I96" s="268">
        <v>8</v>
      </c>
      <c r="J96" s="268">
        <v>5</v>
      </c>
      <c r="K96" s="268">
        <v>13</v>
      </c>
      <c r="L96" s="268"/>
      <c r="M96" s="268">
        <v>4</v>
      </c>
      <c r="N96" s="268">
        <v>4</v>
      </c>
      <c r="O96" s="324">
        <v>53</v>
      </c>
      <c r="P96" s="324">
        <v>51</v>
      </c>
      <c r="Q96" s="324">
        <v>104</v>
      </c>
      <c r="R96" s="13"/>
      <c r="S96" s="13"/>
      <c r="T96" s="13"/>
      <c r="U96" s="13"/>
      <c r="V96" s="13"/>
      <c r="W96" s="13"/>
    </row>
    <row r="97" spans="2:23" x14ac:dyDescent="0.25">
      <c r="B97" s="371" t="s">
        <v>923</v>
      </c>
      <c r="C97" s="310">
        <v>42</v>
      </c>
      <c r="D97" s="310">
        <v>63</v>
      </c>
      <c r="E97" s="310">
        <v>105</v>
      </c>
      <c r="F97" s="310">
        <v>679</v>
      </c>
      <c r="G97" s="310">
        <v>698</v>
      </c>
      <c r="H97" s="294">
        <v>1377</v>
      </c>
      <c r="I97" s="310">
        <v>113</v>
      </c>
      <c r="J97" s="294">
        <v>59</v>
      </c>
      <c r="K97" s="310">
        <v>172</v>
      </c>
      <c r="L97" s="294">
        <v>28</v>
      </c>
      <c r="M97" s="310">
        <v>37</v>
      </c>
      <c r="N97" s="294">
        <v>65</v>
      </c>
      <c r="O97" s="324">
        <v>862</v>
      </c>
      <c r="P97" s="324">
        <v>857</v>
      </c>
      <c r="Q97" s="324">
        <v>1719</v>
      </c>
      <c r="R97" s="13"/>
      <c r="S97" s="13"/>
      <c r="T97" s="13"/>
      <c r="U97" s="13"/>
      <c r="V97" s="13"/>
      <c r="W97" s="13"/>
    </row>
    <row r="98" spans="2:23" ht="80.25" customHeight="1" x14ac:dyDescent="0.25">
      <c r="B98" s="445" t="s">
        <v>938</v>
      </c>
      <c r="C98" s="445"/>
      <c r="D98" s="445"/>
      <c r="E98" s="445"/>
      <c r="F98" s="445"/>
      <c r="G98" s="445"/>
      <c r="H98" s="445"/>
      <c r="I98" s="445"/>
      <c r="J98" s="445"/>
      <c r="K98" s="445"/>
      <c r="L98" s="445"/>
      <c r="M98" s="445"/>
      <c r="N98" s="445"/>
      <c r="O98" s="445"/>
      <c r="P98" s="445"/>
      <c r="Q98" s="445"/>
      <c r="R98" s="13"/>
      <c r="S98" s="13"/>
      <c r="T98" s="13"/>
      <c r="U98" s="13"/>
      <c r="V98" s="13"/>
      <c r="W98" s="13"/>
    </row>
    <row r="99" spans="2:23" x14ac:dyDescent="0.25">
      <c r="B99" s="158"/>
      <c r="C99" s="158"/>
      <c r="D99" s="158"/>
      <c r="E99"/>
      <c r="F99"/>
      <c r="G99"/>
      <c r="H99" s="13"/>
      <c r="I99" s="13"/>
      <c r="J99" s="13"/>
      <c r="K99" s="13"/>
      <c r="L99" s="13"/>
      <c r="M99" s="13"/>
      <c r="N99" s="13"/>
      <c r="O99" s="13"/>
      <c r="P99" s="13"/>
      <c r="Q99" s="13"/>
      <c r="R99" s="13"/>
      <c r="S99" s="13"/>
      <c r="T99" s="13"/>
      <c r="U99" s="13"/>
      <c r="V99" s="13"/>
      <c r="W99" s="13"/>
    </row>
    <row r="100" spans="2:23" x14ac:dyDescent="0.25">
      <c r="B100" s="187" t="s">
        <v>507</v>
      </c>
      <c r="C100"/>
      <c r="D100"/>
      <c r="E100"/>
      <c r="F100"/>
      <c r="G100"/>
      <c r="H100" s="13"/>
      <c r="I100" s="13"/>
      <c r="J100" s="13"/>
      <c r="K100" s="13"/>
      <c r="L100" s="13"/>
      <c r="M100" s="13"/>
      <c r="N100" s="13"/>
      <c r="O100" s="13"/>
      <c r="P100" s="13"/>
      <c r="Q100" s="13"/>
      <c r="R100" s="13"/>
      <c r="S100" s="13"/>
      <c r="T100" s="13"/>
      <c r="U100" s="13"/>
      <c r="V100" s="13"/>
      <c r="W100" s="13"/>
    </row>
    <row r="101" spans="2:23" x14ac:dyDescent="0.25">
      <c r="B101" s="187"/>
      <c r="C101"/>
      <c r="D101"/>
      <c r="E101"/>
      <c r="F101"/>
      <c r="G101"/>
      <c r="H101" s="13"/>
      <c r="I101" s="13"/>
      <c r="J101" s="13"/>
      <c r="K101" s="13"/>
      <c r="L101" s="13"/>
      <c r="M101" s="13"/>
      <c r="N101" s="13"/>
      <c r="O101" s="13"/>
      <c r="P101" s="13"/>
      <c r="Q101" s="13"/>
      <c r="R101" s="13"/>
      <c r="S101" s="13"/>
      <c r="T101" s="13"/>
      <c r="U101" s="13"/>
      <c r="V101" s="13"/>
      <c r="W101" s="13"/>
    </row>
    <row r="102" spans="2:23" ht="15" customHeight="1" x14ac:dyDescent="0.25">
      <c r="B102" s="413" t="s">
        <v>532</v>
      </c>
      <c r="C102" s="414" t="s">
        <v>477</v>
      </c>
      <c r="D102" s="414"/>
      <c r="E102" s="414"/>
      <c r="F102" s="414"/>
      <c r="G102" s="414"/>
      <c r="H102" s="414"/>
      <c r="I102" s="414"/>
      <c r="J102" s="414"/>
      <c r="K102" s="414"/>
      <c r="L102" s="414"/>
      <c r="M102" s="414"/>
      <c r="N102" s="414"/>
      <c r="O102" s="447" t="s">
        <v>922</v>
      </c>
      <c r="P102" s="448"/>
      <c r="Q102" s="449"/>
      <c r="R102" s="13"/>
      <c r="S102" s="13"/>
      <c r="T102" s="13"/>
      <c r="U102" s="13"/>
      <c r="V102" s="13"/>
      <c r="W102" s="13"/>
    </row>
    <row r="103" spans="2:23" ht="15" customHeight="1" x14ac:dyDescent="0.25">
      <c r="B103" s="413"/>
      <c r="C103" s="414" t="s">
        <v>885</v>
      </c>
      <c r="D103" s="414"/>
      <c r="E103" s="414"/>
      <c r="F103" s="414" t="s">
        <v>886</v>
      </c>
      <c r="G103" s="414"/>
      <c r="H103" s="414"/>
      <c r="I103" s="414" t="s">
        <v>2</v>
      </c>
      <c r="J103" s="414"/>
      <c r="K103" s="414"/>
      <c r="L103" s="414" t="s">
        <v>3</v>
      </c>
      <c r="M103" s="414"/>
      <c r="N103" s="414"/>
      <c r="O103" s="450"/>
      <c r="P103" s="451"/>
      <c r="Q103" s="452"/>
      <c r="R103" s="13"/>
      <c r="S103" s="13"/>
      <c r="T103" s="13"/>
      <c r="U103" s="13"/>
      <c r="V103" s="13"/>
      <c r="W103" s="13"/>
    </row>
    <row r="104" spans="2:23" x14ac:dyDescent="0.25">
      <c r="B104" s="413"/>
      <c r="C104" s="161" t="s">
        <v>73</v>
      </c>
      <c r="D104" s="161" t="s">
        <v>74</v>
      </c>
      <c r="E104" s="161" t="s">
        <v>25</v>
      </c>
      <c r="F104" s="161" t="s">
        <v>73</v>
      </c>
      <c r="G104" s="161" t="s">
        <v>74</v>
      </c>
      <c r="H104" s="161" t="s">
        <v>25</v>
      </c>
      <c r="I104" s="161" t="s">
        <v>73</v>
      </c>
      <c r="J104" s="161" t="s">
        <v>74</v>
      </c>
      <c r="K104" s="161" t="s">
        <v>25</v>
      </c>
      <c r="L104" s="161" t="s">
        <v>73</v>
      </c>
      <c r="M104" s="161" t="s">
        <v>74</v>
      </c>
      <c r="N104" s="161" t="s">
        <v>25</v>
      </c>
      <c r="O104" s="299" t="s">
        <v>73</v>
      </c>
      <c r="P104" s="299" t="s">
        <v>74</v>
      </c>
      <c r="Q104" s="299" t="s">
        <v>25</v>
      </c>
      <c r="R104" s="13"/>
      <c r="S104" s="13"/>
      <c r="T104" s="13"/>
      <c r="U104" s="13"/>
      <c r="V104" s="13"/>
      <c r="W104" s="13"/>
    </row>
    <row r="105" spans="2:23" x14ac:dyDescent="0.25">
      <c r="B105" s="136" t="s">
        <v>963</v>
      </c>
      <c r="C105" s="268"/>
      <c r="D105" s="268">
        <v>2</v>
      </c>
      <c r="E105" s="268">
        <v>2</v>
      </c>
      <c r="F105" s="268">
        <v>6</v>
      </c>
      <c r="G105" s="268">
        <v>5</v>
      </c>
      <c r="H105" s="268">
        <v>11</v>
      </c>
      <c r="I105" s="268">
        <v>2</v>
      </c>
      <c r="J105" s="268">
        <v>1</v>
      </c>
      <c r="K105" s="268">
        <v>3</v>
      </c>
      <c r="L105" s="268"/>
      <c r="M105" s="268"/>
      <c r="N105" s="268"/>
      <c r="O105" s="324">
        <v>8</v>
      </c>
      <c r="P105" s="324">
        <v>8</v>
      </c>
      <c r="Q105" s="324">
        <v>16</v>
      </c>
      <c r="R105" s="13"/>
      <c r="S105" s="13"/>
      <c r="T105" s="13"/>
      <c r="U105" s="13"/>
      <c r="V105" s="13"/>
      <c r="W105" s="13"/>
    </row>
    <row r="106" spans="2:23" x14ac:dyDescent="0.25">
      <c r="B106" s="136" t="s">
        <v>149</v>
      </c>
      <c r="C106" s="268">
        <v>1</v>
      </c>
      <c r="D106" s="268">
        <v>6</v>
      </c>
      <c r="E106" s="268">
        <v>7</v>
      </c>
      <c r="F106" s="268">
        <v>34</v>
      </c>
      <c r="G106" s="268">
        <v>30</v>
      </c>
      <c r="H106" s="268">
        <v>64</v>
      </c>
      <c r="I106" s="268">
        <v>6</v>
      </c>
      <c r="J106" s="268">
        <v>3</v>
      </c>
      <c r="K106" s="268">
        <v>9</v>
      </c>
      <c r="L106" s="268">
        <v>1</v>
      </c>
      <c r="M106" s="268">
        <v>3</v>
      </c>
      <c r="N106" s="268">
        <v>4</v>
      </c>
      <c r="O106" s="324">
        <v>42</v>
      </c>
      <c r="P106" s="324">
        <v>42</v>
      </c>
      <c r="Q106" s="324">
        <v>84</v>
      </c>
      <c r="R106" s="13"/>
      <c r="S106" s="13"/>
      <c r="T106" s="13"/>
      <c r="U106" s="13"/>
      <c r="V106" s="13"/>
      <c r="W106" s="13"/>
    </row>
    <row r="107" spans="2:23" x14ac:dyDescent="0.25">
      <c r="B107" s="136" t="s">
        <v>490</v>
      </c>
      <c r="C107" s="268">
        <v>4</v>
      </c>
      <c r="D107" s="268">
        <v>2</v>
      </c>
      <c r="E107" s="268">
        <v>6</v>
      </c>
      <c r="F107" s="268">
        <v>16</v>
      </c>
      <c r="G107" s="268">
        <v>17</v>
      </c>
      <c r="H107" s="268">
        <v>33</v>
      </c>
      <c r="I107" s="268">
        <v>2</v>
      </c>
      <c r="J107" s="268">
        <v>4</v>
      </c>
      <c r="K107" s="268">
        <v>6</v>
      </c>
      <c r="L107" s="268"/>
      <c r="M107" s="268"/>
      <c r="N107" s="268"/>
      <c r="O107" s="324">
        <v>22</v>
      </c>
      <c r="P107" s="324">
        <v>23</v>
      </c>
      <c r="Q107" s="324">
        <v>45</v>
      </c>
      <c r="R107" s="13"/>
      <c r="S107" s="13"/>
      <c r="T107" s="13"/>
      <c r="U107" s="13"/>
      <c r="V107" s="13"/>
      <c r="W107" s="13"/>
    </row>
    <row r="108" spans="2:23" x14ac:dyDescent="0.25">
      <c r="B108" s="136" t="s">
        <v>150</v>
      </c>
      <c r="C108" s="268">
        <v>17</v>
      </c>
      <c r="D108" s="268">
        <v>23</v>
      </c>
      <c r="E108" s="268">
        <v>40</v>
      </c>
      <c r="F108" s="268">
        <v>203</v>
      </c>
      <c r="G108" s="268">
        <v>227</v>
      </c>
      <c r="H108" s="268">
        <v>430</v>
      </c>
      <c r="I108" s="268">
        <v>52</v>
      </c>
      <c r="J108" s="268">
        <v>19</v>
      </c>
      <c r="K108" s="268">
        <v>71</v>
      </c>
      <c r="L108" s="268">
        <v>4</v>
      </c>
      <c r="M108" s="268">
        <v>9</v>
      </c>
      <c r="N108" s="268">
        <v>13</v>
      </c>
      <c r="O108" s="324">
        <v>276</v>
      </c>
      <c r="P108" s="324">
        <v>278</v>
      </c>
      <c r="Q108" s="324">
        <v>554</v>
      </c>
      <c r="R108" s="13"/>
      <c r="S108" s="13"/>
      <c r="T108" s="13"/>
      <c r="U108" s="13"/>
      <c r="V108" s="13"/>
      <c r="W108" s="13"/>
    </row>
    <row r="109" spans="2:23" x14ac:dyDescent="0.25">
      <c r="B109" s="136" t="s">
        <v>151</v>
      </c>
      <c r="C109" s="268"/>
      <c r="D109" s="268">
        <v>1</v>
      </c>
      <c r="E109" s="268">
        <v>1</v>
      </c>
      <c r="F109" s="268">
        <v>11</v>
      </c>
      <c r="G109" s="268">
        <v>20</v>
      </c>
      <c r="H109" s="268">
        <v>31</v>
      </c>
      <c r="I109" s="268">
        <v>1</v>
      </c>
      <c r="J109" s="268">
        <v>1</v>
      </c>
      <c r="K109" s="268">
        <v>2</v>
      </c>
      <c r="L109" s="268"/>
      <c r="M109" s="268">
        <v>1</v>
      </c>
      <c r="N109" s="268">
        <v>1</v>
      </c>
      <c r="O109" s="324">
        <v>12</v>
      </c>
      <c r="P109" s="324">
        <v>23</v>
      </c>
      <c r="Q109" s="324">
        <v>35</v>
      </c>
      <c r="R109" s="13"/>
      <c r="S109" s="13"/>
      <c r="T109" s="13"/>
      <c r="U109" s="13"/>
      <c r="V109" s="13"/>
      <c r="W109" s="13"/>
    </row>
    <row r="110" spans="2:23" x14ac:dyDescent="0.25">
      <c r="B110" s="136" t="s">
        <v>152</v>
      </c>
      <c r="C110" s="268">
        <v>2</v>
      </c>
      <c r="D110" s="268"/>
      <c r="E110" s="268">
        <v>2</v>
      </c>
      <c r="F110" s="268">
        <v>13</v>
      </c>
      <c r="G110" s="268">
        <v>10</v>
      </c>
      <c r="H110" s="268">
        <v>23</v>
      </c>
      <c r="I110" s="268">
        <v>1</v>
      </c>
      <c r="J110" s="268">
        <v>3</v>
      </c>
      <c r="K110" s="268">
        <v>4</v>
      </c>
      <c r="L110" s="268"/>
      <c r="M110" s="268"/>
      <c r="N110" s="268"/>
      <c r="O110" s="324">
        <v>16</v>
      </c>
      <c r="P110" s="324">
        <v>13</v>
      </c>
      <c r="Q110" s="324">
        <v>29</v>
      </c>
      <c r="R110" s="13"/>
      <c r="S110" s="13"/>
      <c r="T110" s="13"/>
      <c r="U110" s="13"/>
      <c r="V110" s="13"/>
      <c r="W110" s="13"/>
    </row>
    <row r="111" spans="2:23" x14ac:dyDescent="0.25">
      <c r="B111" s="136" t="s">
        <v>153</v>
      </c>
      <c r="C111" s="268"/>
      <c r="D111" s="268">
        <v>2</v>
      </c>
      <c r="E111" s="268">
        <v>2</v>
      </c>
      <c r="F111" s="268">
        <v>24</v>
      </c>
      <c r="G111" s="268">
        <v>21</v>
      </c>
      <c r="H111" s="268">
        <v>45</v>
      </c>
      <c r="I111" s="268">
        <v>2</v>
      </c>
      <c r="J111" s="268">
        <v>5</v>
      </c>
      <c r="K111" s="268">
        <v>7</v>
      </c>
      <c r="L111" s="268"/>
      <c r="M111" s="268">
        <v>1</v>
      </c>
      <c r="N111" s="268">
        <v>1</v>
      </c>
      <c r="O111" s="324">
        <v>26</v>
      </c>
      <c r="P111" s="324">
        <v>29</v>
      </c>
      <c r="Q111" s="324">
        <v>55</v>
      </c>
      <c r="R111" s="13"/>
      <c r="S111" s="13"/>
      <c r="T111" s="13"/>
      <c r="U111" s="13"/>
      <c r="V111" s="13"/>
      <c r="W111" s="13"/>
    </row>
    <row r="112" spans="2:23" x14ac:dyDescent="0.25">
      <c r="B112" s="136" t="s">
        <v>154</v>
      </c>
      <c r="C112" s="268">
        <v>1</v>
      </c>
      <c r="D112" s="268">
        <v>4</v>
      </c>
      <c r="E112" s="268">
        <v>5</v>
      </c>
      <c r="F112" s="268">
        <v>12</v>
      </c>
      <c r="G112" s="268">
        <v>15</v>
      </c>
      <c r="H112" s="268">
        <v>27</v>
      </c>
      <c r="I112" s="268">
        <v>1</v>
      </c>
      <c r="J112" s="268"/>
      <c r="K112" s="268">
        <v>1</v>
      </c>
      <c r="L112" s="268">
        <v>1</v>
      </c>
      <c r="M112" s="268"/>
      <c r="N112" s="268">
        <v>1</v>
      </c>
      <c r="O112" s="324">
        <v>15</v>
      </c>
      <c r="P112" s="324">
        <v>19</v>
      </c>
      <c r="Q112" s="324">
        <v>34</v>
      </c>
      <c r="R112" s="13"/>
      <c r="S112" s="13"/>
      <c r="T112" s="13"/>
      <c r="U112" s="13"/>
      <c r="V112" s="13"/>
      <c r="W112" s="13"/>
    </row>
    <row r="113" spans="2:23" x14ac:dyDescent="0.25">
      <c r="B113" s="156" t="s">
        <v>155</v>
      </c>
      <c r="C113" s="271">
        <v>4</v>
      </c>
      <c r="D113" s="271">
        <v>9</v>
      </c>
      <c r="E113" s="271">
        <v>13</v>
      </c>
      <c r="F113" s="271">
        <v>106</v>
      </c>
      <c r="G113" s="271">
        <v>78</v>
      </c>
      <c r="H113" s="271">
        <v>184</v>
      </c>
      <c r="I113" s="271">
        <v>18</v>
      </c>
      <c r="J113" s="271">
        <v>7</v>
      </c>
      <c r="K113" s="271">
        <v>25</v>
      </c>
      <c r="L113" s="271">
        <v>5</v>
      </c>
      <c r="M113" s="271">
        <v>8</v>
      </c>
      <c r="N113" s="271">
        <v>13</v>
      </c>
      <c r="O113" s="324">
        <v>133</v>
      </c>
      <c r="P113" s="324">
        <v>102</v>
      </c>
      <c r="Q113" s="324">
        <v>235</v>
      </c>
      <c r="R113" s="13"/>
      <c r="S113" s="13"/>
      <c r="T113" s="13"/>
      <c r="U113" s="13"/>
      <c r="V113" s="13"/>
      <c r="W113" s="13"/>
    </row>
    <row r="114" spans="2:23" x14ac:dyDescent="0.25">
      <c r="B114" s="371" t="s">
        <v>923</v>
      </c>
      <c r="C114" s="310">
        <v>29</v>
      </c>
      <c r="D114" s="310">
        <v>49</v>
      </c>
      <c r="E114" s="310">
        <v>78</v>
      </c>
      <c r="F114" s="310">
        <v>425</v>
      </c>
      <c r="G114" s="310">
        <v>423</v>
      </c>
      <c r="H114" s="294">
        <v>848</v>
      </c>
      <c r="I114" s="310">
        <v>85</v>
      </c>
      <c r="J114" s="294">
        <v>43</v>
      </c>
      <c r="K114" s="310">
        <v>128</v>
      </c>
      <c r="L114" s="294">
        <v>11</v>
      </c>
      <c r="M114" s="310">
        <v>22</v>
      </c>
      <c r="N114" s="294">
        <v>33</v>
      </c>
      <c r="O114" s="324">
        <v>550</v>
      </c>
      <c r="P114" s="324">
        <v>537</v>
      </c>
      <c r="Q114" s="324">
        <v>1087</v>
      </c>
      <c r="R114" s="13"/>
      <c r="S114" s="13"/>
      <c r="T114" s="13"/>
      <c r="U114" s="13"/>
      <c r="V114" s="13"/>
      <c r="W114" s="13"/>
    </row>
    <row r="115" spans="2:23" ht="84" customHeight="1" x14ac:dyDescent="0.25">
      <c r="B115" s="445" t="s">
        <v>938</v>
      </c>
      <c r="C115" s="445"/>
      <c r="D115" s="445"/>
      <c r="E115" s="445"/>
      <c r="F115" s="445"/>
      <c r="G115" s="445"/>
      <c r="H115" s="445"/>
      <c r="I115" s="445"/>
      <c r="J115" s="445"/>
      <c r="K115" s="445"/>
      <c r="L115" s="445"/>
      <c r="M115" s="445"/>
      <c r="N115" s="445"/>
      <c r="O115" s="445"/>
      <c r="P115" s="445"/>
      <c r="Q115" s="445"/>
      <c r="R115" s="13"/>
      <c r="S115" s="13"/>
      <c r="T115" s="13"/>
      <c r="U115" s="13"/>
      <c r="V115" s="13"/>
      <c r="W115" s="13"/>
    </row>
    <row r="116" spans="2:23" x14ac:dyDescent="0.25">
      <c r="B116" s="158"/>
      <c r="C116" s="158"/>
      <c r="D116" s="158"/>
      <c r="E116"/>
      <c r="F116"/>
      <c r="G116"/>
      <c r="H116" s="13"/>
      <c r="I116" s="13"/>
      <c r="J116" s="13"/>
      <c r="K116" s="13"/>
      <c r="L116" s="13"/>
      <c r="M116" s="13"/>
      <c r="N116" s="13"/>
      <c r="O116" s="13"/>
      <c r="P116" s="13"/>
      <c r="Q116" s="13"/>
      <c r="R116" s="13"/>
      <c r="S116" s="13"/>
      <c r="T116" s="13"/>
      <c r="U116" s="13"/>
      <c r="V116" s="13"/>
      <c r="W116" s="13"/>
    </row>
    <row r="117" spans="2:23" x14ac:dyDescent="0.25">
      <c r="B117" s="187" t="s">
        <v>508</v>
      </c>
      <c r="C117"/>
      <c r="D117"/>
      <c r="E117"/>
      <c r="F117"/>
      <c r="G117"/>
      <c r="H117" s="13"/>
      <c r="I117" s="13"/>
      <c r="J117" s="13"/>
      <c r="K117" s="13"/>
      <c r="L117" s="13"/>
      <c r="M117" s="13"/>
      <c r="N117" s="13"/>
      <c r="O117" s="13"/>
      <c r="P117" s="13"/>
      <c r="Q117" s="13"/>
      <c r="R117" s="13"/>
      <c r="S117" s="13"/>
      <c r="T117" s="13"/>
      <c r="U117" s="13"/>
      <c r="V117" s="13"/>
      <c r="W117" s="13"/>
    </row>
    <row r="118" spans="2:23" x14ac:dyDescent="0.25">
      <c r="B118" s="187"/>
      <c r="C118"/>
      <c r="D118"/>
      <c r="E118"/>
      <c r="F118"/>
      <c r="G118"/>
      <c r="H118" s="13"/>
      <c r="I118" s="13"/>
      <c r="J118" s="13"/>
      <c r="K118" s="13"/>
      <c r="L118" s="13"/>
      <c r="M118" s="13"/>
      <c r="N118" s="13"/>
      <c r="O118" s="13"/>
      <c r="P118" s="13"/>
      <c r="Q118" s="13"/>
      <c r="R118" s="13"/>
      <c r="S118" s="13"/>
      <c r="T118" s="13"/>
      <c r="U118" s="13"/>
      <c r="V118" s="13"/>
      <c r="W118" s="13"/>
    </row>
    <row r="119" spans="2:23" ht="15" customHeight="1" x14ac:dyDescent="0.25">
      <c r="B119" s="413" t="s">
        <v>532</v>
      </c>
      <c r="C119" s="414" t="s">
        <v>477</v>
      </c>
      <c r="D119" s="414"/>
      <c r="E119" s="414"/>
      <c r="F119" s="414"/>
      <c r="G119" s="414"/>
      <c r="H119" s="414"/>
      <c r="I119" s="414"/>
      <c r="J119" s="414"/>
      <c r="K119" s="414"/>
      <c r="L119" s="414"/>
      <c r="M119" s="414"/>
      <c r="N119" s="414"/>
      <c r="O119" s="447" t="s">
        <v>922</v>
      </c>
      <c r="P119" s="448"/>
      <c r="Q119" s="449"/>
      <c r="R119" s="13"/>
      <c r="S119" s="13"/>
      <c r="T119" s="13"/>
      <c r="U119" s="13"/>
      <c r="V119" s="13"/>
      <c r="W119" s="13"/>
    </row>
    <row r="120" spans="2:23" ht="15" customHeight="1" x14ac:dyDescent="0.25">
      <c r="B120" s="413"/>
      <c r="C120" s="414" t="s">
        <v>885</v>
      </c>
      <c r="D120" s="414"/>
      <c r="E120" s="414"/>
      <c r="F120" s="414" t="s">
        <v>886</v>
      </c>
      <c r="G120" s="414"/>
      <c r="H120" s="414"/>
      <c r="I120" s="414" t="s">
        <v>2</v>
      </c>
      <c r="J120" s="414"/>
      <c r="K120" s="414"/>
      <c r="L120" s="414" t="s">
        <v>3</v>
      </c>
      <c r="M120" s="414"/>
      <c r="N120" s="414"/>
      <c r="O120" s="450"/>
      <c r="P120" s="451"/>
      <c r="Q120" s="452"/>
      <c r="R120" s="13"/>
      <c r="S120" s="13"/>
      <c r="T120" s="13"/>
      <c r="U120" s="13"/>
      <c r="V120" s="13"/>
      <c r="W120" s="13"/>
    </row>
    <row r="121" spans="2:23" x14ac:dyDescent="0.25">
      <c r="B121" s="413"/>
      <c r="C121" s="161" t="s">
        <v>73</v>
      </c>
      <c r="D121" s="161" t="s">
        <v>74</v>
      </c>
      <c r="E121" s="161" t="s">
        <v>25</v>
      </c>
      <c r="F121" s="161" t="s">
        <v>73</v>
      </c>
      <c r="G121" s="161" t="s">
        <v>74</v>
      </c>
      <c r="H121" s="161" t="s">
        <v>25</v>
      </c>
      <c r="I121" s="161" t="s">
        <v>73</v>
      </c>
      <c r="J121" s="161" t="s">
        <v>74</v>
      </c>
      <c r="K121" s="161" t="s">
        <v>25</v>
      </c>
      <c r="L121" s="161" t="s">
        <v>73</v>
      </c>
      <c r="M121" s="161" t="s">
        <v>74</v>
      </c>
      <c r="N121" s="161" t="s">
        <v>25</v>
      </c>
      <c r="O121" s="299" t="s">
        <v>73</v>
      </c>
      <c r="P121" s="299" t="s">
        <v>74</v>
      </c>
      <c r="Q121" s="299" t="s">
        <v>25</v>
      </c>
      <c r="R121" s="13"/>
      <c r="S121" s="13"/>
      <c r="T121" s="13"/>
      <c r="U121" s="13"/>
      <c r="V121" s="13"/>
      <c r="W121" s="13"/>
    </row>
    <row r="122" spans="2:23" x14ac:dyDescent="0.25">
      <c r="B122" s="157" t="s">
        <v>156</v>
      </c>
      <c r="C122" s="270">
        <v>1</v>
      </c>
      <c r="D122" s="270">
        <v>1</v>
      </c>
      <c r="E122" s="270">
        <v>2</v>
      </c>
      <c r="F122" s="270">
        <v>11</v>
      </c>
      <c r="G122" s="270">
        <v>15</v>
      </c>
      <c r="H122" s="270">
        <v>26</v>
      </c>
      <c r="I122" s="270">
        <v>6</v>
      </c>
      <c r="J122" s="270">
        <v>1</v>
      </c>
      <c r="K122" s="270">
        <v>7</v>
      </c>
      <c r="L122" s="270">
        <v>1</v>
      </c>
      <c r="M122" s="270">
        <v>1</v>
      </c>
      <c r="N122" s="270">
        <v>2</v>
      </c>
      <c r="O122" s="324">
        <v>19</v>
      </c>
      <c r="P122" s="324">
        <v>18</v>
      </c>
      <c r="Q122" s="324">
        <v>37</v>
      </c>
      <c r="R122" s="13"/>
      <c r="S122" s="13"/>
      <c r="T122" s="13"/>
      <c r="U122" s="13"/>
      <c r="V122" s="13"/>
      <c r="W122" s="13"/>
    </row>
    <row r="123" spans="2:23" x14ac:dyDescent="0.25">
      <c r="B123" s="136" t="s">
        <v>157</v>
      </c>
      <c r="C123" s="268"/>
      <c r="D123" s="268">
        <v>5</v>
      </c>
      <c r="E123" s="268">
        <v>5</v>
      </c>
      <c r="F123" s="268">
        <v>23</v>
      </c>
      <c r="G123" s="268">
        <v>19</v>
      </c>
      <c r="H123" s="268">
        <v>42</v>
      </c>
      <c r="I123" s="268">
        <v>4</v>
      </c>
      <c r="J123" s="268">
        <v>2</v>
      </c>
      <c r="K123" s="268">
        <v>6</v>
      </c>
      <c r="L123" s="268"/>
      <c r="M123" s="268">
        <v>1</v>
      </c>
      <c r="N123" s="268">
        <v>1</v>
      </c>
      <c r="O123" s="324">
        <v>27</v>
      </c>
      <c r="P123" s="324">
        <v>27</v>
      </c>
      <c r="Q123" s="324">
        <v>54</v>
      </c>
      <c r="R123" s="13"/>
      <c r="S123" s="13"/>
      <c r="T123" s="13"/>
      <c r="U123" s="13"/>
      <c r="V123" s="13"/>
      <c r="W123" s="13"/>
    </row>
    <row r="124" spans="2:23" x14ac:dyDescent="0.25">
      <c r="B124" s="136" t="s">
        <v>158</v>
      </c>
      <c r="C124" s="268">
        <v>2</v>
      </c>
      <c r="D124" s="268">
        <v>4</v>
      </c>
      <c r="E124" s="268">
        <v>6</v>
      </c>
      <c r="F124" s="268">
        <v>29</v>
      </c>
      <c r="G124" s="268">
        <v>22</v>
      </c>
      <c r="H124" s="268">
        <v>51</v>
      </c>
      <c r="I124" s="268">
        <v>4</v>
      </c>
      <c r="J124" s="268">
        <v>1</v>
      </c>
      <c r="K124" s="268">
        <v>5</v>
      </c>
      <c r="L124" s="268"/>
      <c r="M124" s="268">
        <v>4</v>
      </c>
      <c r="N124" s="268">
        <v>4</v>
      </c>
      <c r="O124" s="324">
        <v>35</v>
      </c>
      <c r="P124" s="324">
        <v>31</v>
      </c>
      <c r="Q124" s="324">
        <v>66</v>
      </c>
      <c r="R124" s="13"/>
      <c r="S124" s="13"/>
      <c r="T124" s="13"/>
      <c r="U124" s="13"/>
      <c r="V124" s="13"/>
      <c r="W124" s="13"/>
    </row>
    <row r="125" spans="2:23" x14ac:dyDescent="0.25">
      <c r="B125" s="136" t="s">
        <v>159</v>
      </c>
      <c r="C125" s="268">
        <v>21</v>
      </c>
      <c r="D125" s="268">
        <v>46</v>
      </c>
      <c r="E125" s="268">
        <v>67</v>
      </c>
      <c r="F125" s="268">
        <v>321</v>
      </c>
      <c r="G125" s="268">
        <v>311</v>
      </c>
      <c r="H125" s="268">
        <v>632</v>
      </c>
      <c r="I125" s="268">
        <v>87</v>
      </c>
      <c r="J125" s="268">
        <v>43</v>
      </c>
      <c r="K125" s="268">
        <v>130</v>
      </c>
      <c r="L125" s="268">
        <v>26</v>
      </c>
      <c r="M125" s="268">
        <v>35</v>
      </c>
      <c r="N125" s="268">
        <v>61</v>
      </c>
      <c r="O125" s="324">
        <v>455</v>
      </c>
      <c r="P125" s="324">
        <v>435</v>
      </c>
      <c r="Q125" s="324">
        <v>890</v>
      </c>
      <c r="R125" s="13"/>
      <c r="S125" s="13"/>
      <c r="T125" s="13"/>
      <c r="U125" s="13"/>
      <c r="V125" s="13"/>
      <c r="W125" s="13"/>
    </row>
    <row r="126" spans="2:23" x14ac:dyDescent="0.25">
      <c r="B126" s="136" t="s">
        <v>160</v>
      </c>
      <c r="C126" s="268">
        <v>4</v>
      </c>
      <c r="D126" s="268">
        <v>11</v>
      </c>
      <c r="E126" s="268">
        <v>15</v>
      </c>
      <c r="F126" s="268">
        <v>49</v>
      </c>
      <c r="G126" s="268">
        <v>57</v>
      </c>
      <c r="H126" s="268">
        <v>106</v>
      </c>
      <c r="I126" s="268">
        <v>15</v>
      </c>
      <c r="J126" s="268">
        <v>4</v>
      </c>
      <c r="K126" s="268">
        <v>19</v>
      </c>
      <c r="L126" s="268"/>
      <c r="M126" s="268">
        <v>3</v>
      </c>
      <c r="N126" s="268">
        <v>3</v>
      </c>
      <c r="O126" s="324">
        <v>68</v>
      </c>
      <c r="P126" s="324">
        <v>75</v>
      </c>
      <c r="Q126" s="324">
        <v>143</v>
      </c>
      <c r="R126" s="13"/>
      <c r="S126" s="13"/>
      <c r="T126" s="13"/>
      <c r="U126" s="13"/>
      <c r="V126" s="13"/>
      <c r="W126" s="13"/>
    </row>
    <row r="127" spans="2:23" x14ac:dyDescent="0.25">
      <c r="B127" s="136" t="s">
        <v>161</v>
      </c>
      <c r="C127" s="268"/>
      <c r="D127" s="268">
        <v>1</v>
      </c>
      <c r="E127" s="268">
        <v>1</v>
      </c>
      <c r="F127" s="268">
        <v>7</v>
      </c>
      <c r="G127" s="268">
        <v>12</v>
      </c>
      <c r="H127" s="268">
        <v>19</v>
      </c>
      <c r="I127" s="268">
        <v>2</v>
      </c>
      <c r="J127" s="268">
        <v>1</v>
      </c>
      <c r="K127" s="268">
        <v>3</v>
      </c>
      <c r="L127" s="268"/>
      <c r="M127" s="268"/>
      <c r="N127" s="268"/>
      <c r="O127" s="324">
        <v>9</v>
      </c>
      <c r="P127" s="324">
        <v>14</v>
      </c>
      <c r="Q127" s="324">
        <v>23</v>
      </c>
      <c r="R127" s="13"/>
      <c r="S127" s="13"/>
      <c r="T127" s="13"/>
      <c r="U127" s="13"/>
      <c r="V127" s="13"/>
      <c r="W127" s="13"/>
    </row>
    <row r="128" spans="2:23" x14ac:dyDescent="0.25">
      <c r="B128" s="136" t="s">
        <v>162</v>
      </c>
      <c r="C128" s="268">
        <v>22</v>
      </c>
      <c r="D128" s="268">
        <v>29</v>
      </c>
      <c r="E128" s="268">
        <v>51</v>
      </c>
      <c r="F128" s="268">
        <v>373</v>
      </c>
      <c r="G128" s="268">
        <v>361</v>
      </c>
      <c r="H128" s="268">
        <v>734</v>
      </c>
      <c r="I128" s="268">
        <v>59</v>
      </c>
      <c r="J128" s="268">
        <v>34</v>
      </c>
      <c r="K128" s="268">
        <v>93</v>
      </c>
      <c r="L128" s="268">
        <v>23</v>
      </c>
      <c r="M128" s="268">
        <v>39</v>
      </c>
      <c r="N128" s="268">
        <v>62</v>
      </c>
      <c r="O128" s="324">
        <v>477</v>
      </c>
      <c r="P128" s="324">
        <v>463</v>
      </c>
      <c r="Q128" s="324">
        <v>940</v>
      </c>
      <c r="R128" s="13"/>
      <c r="S128" s="13"/>
      <c r="T128" s="13"/>
      <c r="U128" s="13"/>
      <c r="V128" s="13"/>
      <c r="W128" s="13"/>
    </row>
    <row r="129" spans="2:23" x14ac:dyDescent="0.25">
      <c r="B129" s="136" t="s">
        <v>163</v>
      </c>
      <c r="C129" s="268">
        <v>2</v>
      </c>
      <c r="D129" s="268">
        <v>9</v>
      </c>
      <c r="E129" s="268">
        <v>11</v>
      </c>
      <c r="F129" s="268">
        <v>36</v>
      </c>
      <c r="G129" s="268">
        <v>33</v>
      </c>
      <c r="H129" s="268">
        <v>69</v>
      </c>
      <c r="I129" s="268">
        <v>3</v>
      </c>
      <c r="J129" s="268">
        <v>5</v>
      </c>
      <c r="K129" s="268">
        <v>8</v>
      </c>
      <c r="L129" s="268">
        <v>3</v>
      </c>
      <c r="M129" s="268">
        <v>3</v>
      </c>
      <c r="N129" s="268">
        <v>6</v>
      </c>
      <c r="O129" s="324">
        <v>44</v>
      </c>
      <c r="P129" s="324">
        <v>50</v>
      </c>
      <c r="Q129" s="324">
        <v>94</v>
      </c>
      <c r="R129" s="13"/>
      <c r="S129" s="13"/>
      <c r="T129" s="13"/>
      <c r="U129" s="13"/>
      <c r="V129" s="13"/>
      <c r="W129" s="13"/>
    </row>
    <row r="130" spans="2:23" x14ac:dyDescent="0.25">
      <c r="B130" s="136" t="s">
        <v>164</v>
      </c>
      <c r="C130" s="268">
        <v>4</v>
      </c>
      <c r="D130" s="268">
        <v>7</v>
      </c>
      <c r="E130" s="268">
        <v>11</v>
      </c>
      <c r="F130" s="268">
        <v>44</v>
      </c>
      <c r="G130" s="268">
        <v>47</v>
      </c>
      <c r="H130" s="268">
        <v>91</v>
      </c>
      <c r="I130" s="268">
        <v>11</v>
      </c>
      <c r="J130" s="268">
        <v>4</v>
      </c>
      <c r="K130" s="268">
        <v>15</v>
      </c>
      <c r="L130" s="268">
        <v>2</v>
      </c>
      <c r="M130" s="268">
        <v>4</v>
      </c>
      <c r="N130" s="268">
        <v>6</v>
      </c>
      <c r="O130" s="324">
        <v>61</v>
      </c>
      <c r="P130" s="324">
        <v>62</v>
      </c>
      <c r="Q130" s="324">
        <v>123</v>
      </c>
      <c r="R130" s="13"/>
      <c r="S130" s="13"/>
      <c r="T130" s="13"/>
      <c r="U130" s="13"/>
      <c r="V130" s="13"/>
      <c r="W130" s="13"/>
    </row>
    <row r="131" spans="2:23" x14ac:dyDescent="0.25">
      <c r="B131" s="136" t="s">
        <v>165</v>
      </c>
      <c r="C131" s="268">
        <v>9</v>
      </c>
      <c r="D131" s="268">
        <v>18</v>
      </c>
      <c r="E131" s="268">
        <v>27</v>
      </c>
      <c r="F131" s="268">
        <v>209</v>
      </c>
      <c r="G131" s="268">
        <v>201</v>
      </c>
      <c r="H131" s="268">
        <v>410</v>
      </c>
      <c r="I131" s="268">
        <v>37</v>
      </c>
      <c r="J131" s="268">
        <v>15</v>
      </c>
      <c r="K131" s="268">
        <v>52</v>
      </c>
      <c r="L131" s="268">
        <v>15</v>
      </c>
      <c r="M131" s="268">
        <v>14</v>
      </c>
      <c r="N131" s="268">
        <v>29</v>
      </c>
      <c r="O131" s="324">
        <v>270</v>
      </c>
      <c r="P131" s="324">
        <v>248</v>
      </c>
      <c r="Q131" s="324">
        <v>518</v>
      </c>
      <c r="R131" s="13"/>
      <c r="S131" s="13"/>
      <c r="T131" s="13"/>
      <c r="U131" s="13"/>
      <c r="V131" s="13"/>
      <c r="W131" s="13"/>
    </row>
    <row r="132" spans="2:23" x14ac:dyDescent="0.25">
      <c r="B132" s="136" t="s">
        <v>166</v>
      </c>
      <c r="C132" s="268"/>
      <c r="D132" s="268">
        <v>1</v>
      </c>
      <c r="E132" s="268">
        <v>1</v>
      </c>
      <c r="F132" s="268">
        <v>6</v>
      </c>
      <c r="G132" s="268">
        <v>9</v>
      </c>
      <c r="H132" s="268">
        <v>15</v>
      </c>
      <c r="I132" s="268">
        <v>2</v>
      </c>
      <c r="J132" s="268"/>
      <c r="K132" s="268">
        <v>2</v>
      </c>
      <c r="L132" s="268">
        <v>1</v>
      </c>
      <c r="M132" s="268"/>
      <c r="N132" s="268">
        <v>1</v>
      </c>
      <c r="O132" s="324">
        <v>9</v>
      </c>
      <c r="P132" s="324">
        <v>10</v>
      </c>
      <c r="Q132" s="324">
        <v>19</v>
      </c>
      <c r="R132" s="13"/>
      <c r="S132" s="13"/>
      <c r="T132" s="13"/>
      <c r="U132" s="13"/>
      <c r="V132" s="13"/>
      <c r="W132" s="13"/>
    </row>
    <row r="133" spans="2:23" x14ac:dyDescent="0.25">
      <c r="B133" s="136" t="s">
        <v>167</v>
      </c>
      <c r="C133" s="268"/>
      <c r="D133" s="268">
        <v>1</v>
      </c>
      <c r="E133" s="268">
        <v>1</v>
      </c>
      <c r="F133" s="268">
        <v>18</v>
      </c>
      <c r="G133" s="268">
        <v>14</v>
      </c>
      <c r="H133" s="268">
        <v>32</v>
      </c>
      <c r="I133" s="268">
        <v>7</v>
      </c>
      <c r="J133" s="268">
        <v>2</v>
      </c>
      <c r="K133" s="268">
        <v>9</v>
      </c>
      <c r="L133" s="268">
        <v>2</v>
      </c>
      <c r="M133" s="268">
        <v>3</v>
      </c>
      <c r="N133" s="268">
        <v>5</v>
      </c>
      <c r="O133" s="324">
        <v>27</v>
      </c>
      <c r="P133" s="324">
        <v>20</v>
      </c>
      <c r="Q133" s="324">
        <v>47</v>
      </c>
      <c r="R133" s="13"/>
      <c r="S133" s="13"/>
      <c r="T133" s="13"/>
      <c r="U133" s="13"/>
      <c r="V133" s="13"/>
      <c r="W133" s="13"/>
    </row>
    <row r="134" spans="2:23" x14ac:dyDescent="0.25">
      <c r="B134" s="136" t="s">
        <v>168</v>
      </c>
      <c r="C134" s="268"/>
      <c r="D134" s="268">
        <v>2</v>
      </c>
      <c r="E134" s="268">
        <v>2</v>
      </c>
      <c r="F134" s="268">
        <v>6</v>
      </c>
      <c r="G134" s="268">
        <v>13</v>
      </c>
      <c r="H134" s="268">
        <v>19</v>
      </c>
      <c r="I134" s="268"/>
      <c r="J134" s="268">
        <v>1</v>
      </c>
      <c r="K134" s="268">
        <v>1</v>
      </c>
      <c r="L134" s="268">
        <v>2</v>
      </c>
      <c r="M134" s="268"/>
      <c r="N134" s="268">
        <v>2</v>
      </c>
      <c r="O134" s="324">
        <v>8</v>
      </c>
      <c r="P134" s="324">
        <v>16</v>
      </c>
      <c r="Q134" s="324">
        <v>24</v>
      </c>
      <c r="R134" s="13"/>
      <c r="S134" s="13"/>
      <c r="T134" s="13"/>
      <c r="U134" s="13"/>
      <c r="V134" s="13"/>
      <c r="W134" s="13"/>
    </row>
    <row r="135" spans="2:23" x14ac:dyDescent="0.25">
      <c r="B135" s="156" t="s">
        <v>169</v>
      </c>
      <c r="C135" s="271">
        <v>3</v>
      </c>
      <c r="D135" s="271">
        <v>9</v>
      </c>
      <c r="E135" s="271">
        <v>12</v>
      </c>
      <c r="F135" s="271">
        <v>37</v>
      </c>
      <c r="G135" s="271">
        <v>39</v>
      </c>
      <c r="H135" s="271">
        <v>76</v>
      </c>
      <c r="I135" s="271">
        <v>15</v>
      </c>
      <c r="J135" s="271">
        <v>8</v>
      </c>
      <c r="K135" s="271">
        <v>23</v>
      </c>
      <c r="L135" s="271">
        <v>2</v>
      </c>
      <c r="M135" s="271">
        <v>5</v>
      </c>
      <c r="N135" s="271">
        <v>7</v>
      </c>
      <c r="O135" s="324">
        <v>57</v>
      </c>
      <c r="P135" s="324">
        <v>61</v>
      </c>
      <c r="Q135" s="324">
        <v>118</v>
      </c>
      <c r="R135" s="13"/>
      <c r="S135" s="13"/>
      <c r="T135" s="13"/>
      <c r="U135" s="13"/>
      <c r="V135" s="13"/>
      <c r="W135" s="13"/>
    </row>
    <row r="136" spans="2:23" x14ac:dyDescent="0.25">
      <c r="B136" s="159" t="s">
        <v>491</v>
      </c>
      <c r="C136" s="269">
        <v>1</v>
      </c>
      <c r="D136" s="269">
        <v>4</v>
      </c>
      <c r="E136" s="269">
        <v>5</v>
      </c>
      <c r="F136" s="269">
        <v>51</v>
      </c>
      <c r="G136" s="269">
        <v>59</v>
      </c>
      <c r="H136" s="269">
        <v>110</v>
      </c>
      <c r="I136" s="269">
        <v>10</v>
      </c>
      <c r="J136" s="269">
        <v>3</v>
      </c>
      <c r="K136" s="269">
        <v>13</v>
      </c>
      <c r="L136" s="269">
        <v>7</v>
      </c>
      <c r="M136" s="269">
        <v>7</v>
      </c>
      <c r="N136" s="269">
        <v>14</v>
      </c>
      <c r="O136" s="324">
        <v>69</v>
      </c>
      <c r="P136" s="324">
        <v>73</v>
      </c>
      <c r="Q136" s="324">
        <v>142</v>
      </c>
      <c r="R136" s="13"/>
      <c r="S136" s="13"/>
      <c r="T136" s="13"/>
      <c r="U136" s="13"/>
      <c r="V136" s="13"/>
      <c r="W136" s="13"/>
    </row>
    <row r="137" spans="2:23" x14ac:dyDescent="0.25">
      <c r="B137" s="371" t="s">
        <v>923</v>
      </c>
      <c r="C137" s="310">
        <v>69</v>
      </c>
      <c r="D137" s="310">
        <v>148</v>
      </c>
      <c r="E137" s="310">
        <v>217</v>
      </c>
      <c r="F137" s="310">
        <v>1220</v>
      </c>
      <c r="G137" s="310">
        <v>1212</v>
      </c>
      <c r="H137" s="294">
        <v>2432</v>
      </c>
      <c r="I137" s="310">
        <v>262</v>
      </c>
      <c r="J137" s="294">
        <v>124</v>
      </c>
      <c r="K137" s="310">
        <v>386</v>
      </c>
      <c r="L137" s="294">
        <v>84</v>
      </c>
      <c r="M137" s="310">
        <v>119</v>
      </c>
      <c r="N137" s="294">
        <v>203</v>
      </c>
      <c r="O137" s="324">
        <v>1635</v>
      </c>
      <c r="P137" s="324">
        <v>1603</v>
      </c>
      <c r="Q137" s="324">
        <v>3238</v>
      </c>
      <c r="R137" s="13"/>
      <c r="S137" s="13"/>
      <c r="T137" s="13"/>
      <c r="U137" s="13"/>
      <c r="V137" s="13"/>
      <c r="W137" s="13"/>
    </row>
    <row r="138" spans="2:23" ht="82.5" customHeight="1" x14ac:dyDescent="0.25">
      <c r="B138" s="445" t="s">
        <v>938</v>
      </c>
      <c r="C138" s="445"/>
      <c r="D138" s="445"/>
      <c r="E138" s="445"/>
      <c r="F138" s="445"/>
      <c r="G138" s="445"/>
      <c r="H138" s="445"/>
      <c r="I138" s="445"/>
      <c r="J138" s="445"/>
      <c r="K138" s="445"/>
      <c r="L138" s="445"/>
      <c r="M138" s="445"/>
      <c r="N138" s="445"/>
      <c r="O138" s="445"/>
      <c r="P138" s="445"/>
      <c r="Q138" s="445"/>
      <c r="R138" s="13"/>
      <c r="S138" s="13"/>
      <c r="T138" s="13"/>
      <c r="U138" s="13"/>
      <c r="V138" s="13"/>
      <c r="W138" s="13"/>
    </row>
    <row r="139" spans="2:23" x14ac:dyDescent="0.25">
      <c r="B139" s="158"/>
      <c r="C139" s="190"/>
      <c r="D139" s="190"/>
      <c r="E139" s="190"/>
      <c r="F139" s="190"/>
      <c r="G139"/>
      <c r="H139" s="13"/>
      <c r="I139" s="13"/>
      <c r="J139" s="13"/>
      <c r="K139" s="13"/>
      <c r="L139" s="13"/>
      <c r="M139" s="13"/>
      <c r="N139" s="13"/>
      <c r="O139" s="13"/>
      <c r="P139" s="13"/>
      <c r="Q139" s="13"/>
      <c r="R139" s="13"/>
      <c r="S139" s="13"/>
      <c r="T139" s="13"/>
      <c r="U139" s="13"/>
      <c r="V139" s="13"/>
      <c r="W139" s="13"/>
    </row>
    <row r="140" spans="2:23" x14ac:dyDescent="0.25">
      <c r="B140" s="187" t="s">
        <v>509</v>
      </c>
      <c r="C140"/>
      <c r="D140"/>
      <c r="E140"/>
      <c r="F140"/>
      <c r="G140"/>
      <c r="H140" s="13"/>
      <c r="I140" s="13"/>
      <c r="J140" s="13"/>
      <c r="K140" s="13"/>
      <c r="L140" s="13"/>
      <c r="M140" s="13"/>
      <c r="N140" s="13"/>
      <c r="O140" s="13"/>
      <c r="P140" s="13"/>
      <c r="Q140" s="13"/>
      <c r="R140" s="13"/>
      <c r="S140" s="13"/>
      <c r="T140" s="13"/>
      <c r="U140" s="13"/>
      <c r="V140" s="13"/>
      <c r="W140" s="13"/>
    </row>
    <row r="141" spans="2:23" x14ac:dyDescent="0.25">
      <c r="B141" s="187"/>
      <c r="C141"/>
      <c r="D141"/>
      <c r="E141"/>
      <c r="F141"/>
      <c r="G141"/>
      <c r="H141" s="13"/>
      <c r="I141" s="13"/>
      <c r="J141" s="13"/>
      <c r="K141" s="13"/>
      <c r="L141" s="13"/>
      <c r="M141" s="13"/>
      <c r="N141" s="13"/>
      <c r="O141" s="13"/>
      <c r="P141" s="13"/>
      <c r="Q141" s="13"/>
      <c r="R141" s="13"/>
      <c r="S141" s="13"/>
      <c r="T141" s="13"/>
      <c r="U141" s="13"/>
      <c r="V141" s="13"/>
      <c r="W141" s="13"/>
    </row>
    <row r="142" spans="2:23" ht="15" customHeight="1" x14ac:dyDescent="0.25">
      <c r="B142" s="413" t="s">
        <v>532</v>
      </c>
      <c r="C142" s="414" t="s">
        <v>477</v>
      </c>
      <c r="D142" s="414"/>
      <c r="E142" s="414"/>
      <c r="F142" s="414"/>
      <c r="G142" s="414"/>
      <c r="H142" s="414"/>
      <c r="I142" s="414"/>
      <c r="J142" s="414"/>
      <c r="K142" s="414"/>
      <c r="L142" s="414"/>
      <c r="M142" s="414"/>
      <c r="N142" s="414"/>
      <c r="O142" s="447" t="s">
        <v>922</v>
      </c>
      <c r="P142" s="448"/>
      <c r="Q142" s="449"/>
      <c r="R142" s="13"/>
      <c r="S142" s="13"/>
      <c r="T142" s="13"/>
      <c r="U142" s="13"/>
      <c r="V142" s="13"/>
      <c r="W142" s="13"/>
    </row>
    <row r="143" spans="2:23" ht="15" customHeight="1" x14ac:dyDescent="0.25">
      <c r="B143" s="413"/>
      <c r="C143" s="414" t="s">
        <v>885</v>
      </c>
      <c r="D143" s="414"/>
      <c r="E143" s="414"/>
      <c r="F143" s="414" t="s">
        <v>886</v>
      </c>
      <c r="G143" s="414"/>
      <c r="H143" s="414"/>
      <c r="I143" s="414" t="s">
        <v>2</v>
      </c>
      <c r="J143" s="414"/>
      <c r="K143" s="414"/>
      <c r="L143" s="414" t="s">
        <v>3</v>
      </c>
      <c r="M143" s="414"/>
      <c r="N143" s="414"/>
      <c r="O143" s="450"/>
      <c r="P143" s="451"/>
      <c r="Q143" s="452"/>
      <c r="R143" s="13"/>
      <c r="S143" s="13"/>
      <c r="T143" s="13"/>
      <c r="U143" s="13"/>
      <c r="V143" s="13"/>
      <c r="W143" s="13"/>
    </row>
    <row r="144" spans="2:23" x14ac:dyDescent="0.25">
      <c r="B144" s="413"/>
      <c r="C144" s="161" t="s">
        <v>73</v>
      </c>
      <c r="D144" s="161" t="s">
        <v>74</v>
      </c>
      <c r="E144" s="161" t="s">
        <v>25</v>
      </c>
      <c r="F144" s="161" t="s">
        <v>73</v>
      </c>
      <c r="G144" s="161" t="s">
        <v>74</v>
      </c>
      <c r="H144" s="161" t="s">
        <v>25</v>
      </c>
      <c r="I144" s="161" t="s">
        <v>73</v>
      </c>
      <c r="J144" s="161" t="s">
        <v>74</v>
      </c>
      <c r="K144" s="161" t="s">
        <v>25</v>
      </c>
      <c r="L144" s="161" t="s">
        <v>73</v>
      </c>
      <c r="M144" s="161" t="s">
        <v>74</v>
      </c>
      <c r="N144" s="161" t="s">
        <v>25</v>
      </c>
      <c r="O144" s="299" t="s">
        <v>73</v>
      </c>
      <c r="P144" s="299" t="s">
        <v>74</v>
      </c>
      <c r="Q144" s="299" t="s">
        <v>25</v>
      </c>
      <c r="R144" s="13"/>
      <c r="S144" s="13"/>
      <c r="T144" s="13"/>
      <c r="U144" s="13"/>
      <c r="V144" s="13"/>
      <c r="W144" s="13"/>
    </row>
    <row r="145" spans="2:24" x14ac:dyDescent="0.25">
      <c r="B145" s="136" t="s">
        <v>170</v>
      </c>
      <c r="C145" s="268">
        <v>1</v>
      </c>
      <c r="D145" s="268">
        <v>5</v>
      </c>
      <c r="E145" s="268">
        <v>6</v>
      </c>
      <c r="F145" s="268">
        <v>46</v>
      </c>
      <c r="G145" s="268">
        <v>24</v>
      </c>
      <c r="H145" s="268">
        <v>70</v>
      </c>
      <c r="I145" s="268">
        <v>4</v>
      </c>
      <c r="J145" s="268">
        <v>2</v>
      </c>
      <c r="K145" s="268">
        <v>6</v>
      </c>
      <c r="L145" s="268">
        <v>2</v>
      </c>
      <c r="M145" s="268">
        <v>1</v>
      </c>
      <c r="N145" s="268">
        <v>3</v>
      </c>
      <c r="O145" s="310">
        <v>53</v>
      </c>
      <c r="P145" s="310">
        <v>32</v>
      </c>
      <c r="Q145" s="310">
        <v>85</v>
      </c>
      <c r="R145" s="13"/>
      <c r="S145" s="13"/>
      <c r="T145" s="13"/>
      <c r="U145" s="13"/>
      <c r="V145" s="13"/>
      <c r="W145" s="13"/>
      <c r="X145" s="13"/>
    </row>
    <row r="146" spans="2:24" x14ac:dyDescent="0.25">
      <c r="B146" s="136" t="s">
        <v>171</v>
      </c>
      <c r="C146" s="268">
        <v>2</v>
      </c>
      <c r="D146" s="268"/>
      <c r="E146" s="268">
        <v>2</v>
      </c>
      <c r="F146" s="268">
        <v>36</v>
      </c>
      <c r="G146" s="268">
        <v>41</v>
      </c>
      <c r="H146" s="268">
        <v>77</v>
      </c>
      <c r="I146" s="268">
        <v>16</v>
      </c>
      <c r="J146" s="268">
        <v>3</v>
      </c>
      <c r="K146" s="268">
        <v>19</v>
      </c>
      <c r="L146" s="268"/>
      <c r="M146" s="268">
        <v>5</v>
      </c>
      <c r="N146" s="268">
        <v>5</v>
      </c>
      <c r="O146" s="310">
        <v>54</v>
      </c>
      <c r="P146" s="310">
        <v>49</v>
      </c>
      <c r="Q146" s="310">
        <v>103</v>
      </c>
      <c r="R146" s="13"/>
      <c r="S146" s="13"/>
      <c r="T146" s="13"/>
      <c r="U146" s="13"/>
      <c r="V146" s="13"/>
      <c r="W146" s="13"/>
      <c r="X146" s="13"/>
    </row>
    <row r="147" spans="2:24" x14ac:dyDescent="0.25">
      <c r="B147" s="136" t="s">
        <v>172</v>
      </c>
      <c r="C147" s="268">
        <v>2</v>
      </c>
      <c r="D147" s="268">
        <v>3</v>
      </c>
      <c r="E147" s="268">
        <v>5</v>
      </c>
      <c r="F147" s="268">
        <v>28</v>
      </c>
      <c r="G147" s="268">
        <v>14</v>
      </c>
      <c r="H147" s="268">
        <v>42</v>
      </c>
      <c r="I147" s="268">
        <v>2</v>
      </c>
      <c r="J147" s="268"/>
      <c r="K147" s="268">
        <v>2</v>
      </c>
      <c r="L147" s="268">
        <v>2</v>
      </c>
      <c r="M147" s="268"/>
      <c r="N147" s="268">
        <v>2</v>
      </c>
      <c r="O147" s="310">
        <v>34</v>
      </c>
      <c r="P147" s="310">
        <v>17</v>
      </c>
      <c r="Q147" s="310">
        <v>51</v>
      </c>
      <c r="R147" s="13"/>
      <c r="S147" s="13"/>
      <c r="T147" s="13"/>
      <c r="U147" s="13"/>
      <c r="V147" s="13"/>
      <c r="W147" s="13"/>
      <c r="X147" s="13"/>
    </row>
    <row r="148" spans="2:24" x14ac:dyDescent="0.25">
      <c r="B148" s="136" t="s">
        <v>173</v>
      </c>
      <c r="C148" s="268">
        <v>5</v>
      </c>
      <c r="D148" s="268">
        <v>4</v>
      </c>
      <c r="E148" s="268">
        <v>9</v>
      </c>
      <c r="F148" s="268">
        <v>33</v>
      </c>
      <c r="G148" s="268">
        <v>44</v>
      </c>
      <c r="H148" s="268">
        <v>77</v>
      </c>
      <c r="I148" s="268">
        <v>10</v>
      </c>
      <c r="J148" s="268">
        <v>5</v>
      </c>
      <c r="K148" s="268">
        <v>15</v>
      </c>
      <c r="L148" s="268">
        <v>2</v>
      </c>
      <c r="M148" s="268">
        <v>3</v>
      </c>
      <c r="N148" s="268">
        <v>5</v>
      </c>
      <c r="O148" s="310">
        <v>50</v>
      </c>
      <c r="P148" s="310">
        <v>56</v>
      </c>
      <c r="Q148" s="310">
        <v>106</v>
      </c>
      <c r="R148" s="13"/>
      <c r="S148" s="13"/>
      <c r="T148" s="13"/>
      <c r="U148" s="13"/>
      <c r="V148" s="13"/>
      <c r="W148" s="13"/>
      <c r="X148" s="13"/>
    </row>
    <row r="149" spans="2:24" x14ac:dyDescent="0.25">
      <c r="B149" s="136" t="s">
        <v>174</v>
      </c>
      <c r="C149" s="268">
        <v>2</v>
      </c>
      <c r="D149" s="268">
        <v>3</v>
      </c>
      <c r="E149" s="268">
        <v>5</v>
      </c>
      <c r="F149" s="268">
        <v>55</v>
      </c>
      <c r="G149" s="268">
        <v>39</v>
      </c>
      <c r="H149" s="268">
        <v>94</v>
      </c>
      <c r="I149" s="268">
        <v>9</v>
      </c>
      <c r="J149" s="268">
        <v>4</v>
      </c>
      <c r="K149" s="268">
        <v>13</v>
      </c>
      <c r="L149" s="268">
        <v>3</v>
      </c>
      <c r="M149" s="268">
        <v>4</v>
      </c>
      <c r="N149" s="268">
        <v>7</v>
      </c>
      <c r="O149" s="310">
        <v>69</v>
      </c>
      <c r="P149" s="310">
        <v>50</v>
      </c>
      <c r="Q149" s="310">
        <v>119</v>
      </c>
      <c r="R149" s="13"/>
      <c r="S149" s="13"/>
      <c r="T149" s="13"/>
      <c r="U149" s="13"/>
      <c r="V149" s="13"/>
      <c r="W149" s="13"/>
      <c r="X149" s="13"/>
    </row>
    <row r="150" spans="2:24" x14ac:dyDescent="0.25">
      <c r="B150" s="136" t="s">
        <v>175</v>
      </c>
      <c r="C150" s="268"/>
      <c r="D150" s="268">
        <v>3</v>
      </c>
      <c r="E150" s="268">
        <v>3</v>
      </c>
      <c r="F150" s="268">
        <v>24</v>
      </c>
      <c r="G150" s="268">
        <v>21</v>
      </c>
      <c r="H150" s="268">
        <v>45</v>
      </c>
      <c r="I150" s="268">
        <v>8</v>
      </c>
      <c r="J150" s="268">
        <v>1</v>
      </c>
      <c r="K150" s="268">
        <v>9</v>
      </c>
      <c r="L150" s="268"/>
      <c r="M150" s="268">
        <v>1</v>
      </c>
      <c r="N150" s="268">
        <v>1</v>
      </c>
      <c r="O150" s="310">
        <v>32</v>
      </c>
      <c r="P150" s="310">
        <v>26</v>
      </c>
      <c r="Q150" s="310">
        <v>58</v>
      </c>
      <c r="R150" s="13"/>
      <c r="S150" s="13"/>
      <c r="T150" s="13"/>
      <c r="U150" s="13"/>
      <c r="V150" s="13"/>
      <c r="W150" s="13"/>
      <c r="X150" s="13"/>
    </row>
    <row r="151" spans="2:24" x14ac:dyDescent="0.25">
      <c r="B151" s="136" t="s">
        <v>176</v>
      </c>
      <c r="C151" s="268">
        <v>2</v>
      </c>
      <c r="D151" s="268">
        <v>4</v>
      </c>
      <c r="E151" s="268">
        <v>6</v>
      </c>
      <c r="F151" s="268">
        <v>78</v>
      </c>
      <c r="G151" s="268">
        <v>54</v>
      </c>
      <c r="H151" s="268">
        <v>132</v>
      </c>
      <c r="I151" s="268">
        <v>3</v>
      </c>
      <c r="J151" s="268"/>
      <c r="K151" s="268">
        <v>3</v>
      </c>
      <c r="L151" s="268">
        <v>5</v>
      </c>
      <c r="M151" s="268">
        <v>4</v>
      </c>
      <c r="N151" s="268">
        <v>9</v>
      </c>
      <c r="O151" s="310">
        <v>88</v>
      </c>
      <c r="P151" s="310">
        <v>62</v>
      </c>
      <c r="Q151" s="310">
        <v>150</v>
      </c>
      <c r="R151" s="13"/>
      <c r="S151" s="13"/>
      <c r="T151" s="13"/>
      <c r="U151" s="13"/>
      <c r="V151" s="13"/>
      <c r="W151" s="13"/>
      <c r="X151" s="13"/>
    </row>
    <row r="152" spans="2:24" x14ac:dyDescent="0.25">
      <c r="B152" s="136" t="s">
        <v>177</v>
      </c>
      <c r="C152" s="268">
        <v>4</v>
      </c>
      <c r="D152" s="268">
        <v>7</v>
      </c>
      <c r="E152" s="268">
        <v>11</v>
      </c>
      <c r="F152" s="268">
        <v>48</v>
      </c>
      <c r="G152" s="268">
        <v>53</v>
      </c>
      <c r="H152" s="268">
        <v>101</v>
      </c>
      <c r="I152" s="268">
        <v>2</v>
      </c>
      <c r="J152" s="268">
        <v>6</v>
      </c>
      <c r="K152" s="268">
        <v>8</v>
      </c>
      <c r="L152" s="268">
        <v>6</v>
      </c>
      <c r="M152" s="268"/>
      <c r="N152" s="268">
        <v>6</v>
      </c>
      <c r="O152" s="310">
        <v>60</v>
      </c>
      <c r="P152" s="310">
        <v>66</v>
      </c>
      <c r="Q152" s="310">
        <v>126</v>
      </c>
      <c r="R152" s="13"/>
      <c r="S152" s="13"/>
      <c r="T152" s="13"/>
      <c r="U152" s="13"/>
      <c r="V152" s="13"/>
      <c r="W152" s="13"/>
      <c r="X152" s="13"/>
    </row>
    <row r="153" spans="2:24" x14ac:dyDescent="0.25">
      <c r="B153" s="136" t="s">
        <v>178</v>
      </c>
      <c r="C153" s="268">
        <v>3</v>
      </c>
      <c r="D153" s="268">
        <v>6</v>
      </c>
      <c r="E153" s="268">
        <v>9</v>
      </c>
      <c r="F153" s="268">
        <v>30</v>
      </c>
      <c r="G153" s="268">
        <v>25</v>
      </c>
      <c r="H153" s="268">
        <v>55</v>
      </c>
      <c r="I153" s="268">
        <v>4</v>
      </c>
      <c r="J153" s="268">
        <v>4</v>
      </c>
      <c r="K153" s="268">
        <v>8</v>
      </c>
      <c r="L153" s="268">
        <v>3</v>
      </c>
      <c r="M153" s="268">
        <v>4</v>
      </c>
      <c r="N153" s="268">
        <v>7</v>
      </c>
      <c r="O153" s="310">
        <v>40</v>
      </c>
      <c r="P153" s="310">
        <v>39</v>
      </c>
      <c r="Q153" s="310">
        <v>79</v>
      </c>
      <c r="R153" s="13"/>
      <c r="S153" s="13"/>
      <c r="T153" s="13"/>
      <c r="U153" s="13"/>
      <c r="V153" s="13"/>
      <c r="W153" s="13"/>
      <c r="X153" s="13"/>
    </row>
    <row r="154" spans="2:24" x14ac:dyDescent="0.25">
      <c r="B154" s="136" t="s">
        <v>179</v>
      </c>
      <c r="C154" s="268">
        <v>4</v>
      </c>
      <c r="D154" s="268">
        <v>6</v>
      </c>
      <c r="E154" s="268">
        <v>10</v>
      </c>
      <c r="F154" s="268">
        <v>27</v>
      </c>
      <c r="G154" s="268">
        <v>27</v>
      </c>
      <c r="H154" s="268">
        <v>54</v>
      </c>
      <c r="I154" s="268">
        <v>7</v>
      </c>
      <c r="J154" s="268">
        <v>3</v>
      </c>
      <c r="K154" s="268">
        <v>10</v>
      </c>
      <c r="L154" s="268">
        <v>3</v>
      </c>
      <c r="M154" s="268">
        <v>4</v>
      </c>
      <c r="N154" s="268">
        <v>7</v>
      </c>
      <c r="O154" s="310">
        <v>41</v>
      </c>
      <c r="P154" s="310">
        <v>40</v>
      </c>
      <c r="Q154" s="310">
        <v>81</v>
      </c>
      <c r="R154" s="13"/>
      <c r="S154" s="13"/>
      <c r="T154" s="13"/>
      <c r="U154" s="13"/>
      <c r="V154" s="13"/>
      <c r="W154" s="13"/>
      <c r="X154" s="13"/>
    </row>
    <row r="155" spans="2:24" x14ac:dyDescent="0.25">
      <c r="B155" s="136" t="s">
        <v>180</v>
      </c>
      <c r="C155" s="268">
        <v>1</v>
      </c>
      <c r="D155" s="268"/>
      <c r="E155" s="268">
        <v>1</v>
      </c>
      <c r="F155" s="268">
        <v>12</v>
      </c>
      <c r="G155" s="268">
        <v>4</v>
      </c>
      <c r="H155" s="268">
        <v>16</v>
      </c>
      <c r="I155" s="268">
        <v>1</v>
      </c>
      <c r="J155" s="268">
        <v>1</v>
      </c>
      <c r="K155" s="268">
        <v>2</v>
      </c>
      <c r="L155" s="268"/>
      <c r="M155" s="268">
        <v>1</v>
      </c>
      <c r="N155" s="268">
        <v>1</v>
      </c>
      <c r="O155" s="310">
        <v>14</v>
      </c>
      <c r="P155" s="310">
        <v>6</v>
      </c>
      <c r="Q155" s="310">
        <v>20</v>
      </c>
      <c r="R155" s="13"/>
      <c r="S155" s="13"/>
      <c r="T155" s="13"/>
      <c r="U155" s="13"/>
      <c r="V155" s="13"/>
      <c r="W155" s="13"/>
      <c r="X155" s="13"/>
    </row>
    <row r="156" spans="2:24" x14ac:dyDescent="0.25">
      <c r="B156" s="136" t="s">
        <v>181</v>
      </c>
      <c r="C156" s="268"/>
      <c r="D156" s="268"/>
      <c r="E156" s="268"/>
      <c r="F156" s="268">
        <v>3</v>
      </c>
      <c r="G156" s="268">
        <v>1</v>
      </c>
      <c r="H156" s="268">
        <v>4</v>
      </c>
      <c r="I156" s="268"/>
      <c r="J156" s="268"/>
      <c r="K156" s="268"/>
      <c r="L156" s="268"/>
      <c r="M156" s="268"/>
      <c r="N156" s="268"/>
      <c r="O156" s="310">
        <v>3</v>
      </c>
      <c r="P156" s="310">
        <v>1</v>
      </c>
      <c r="Q156" s="310">
        <v>4</v>
      </c>
      <c r="R156" s="13"/>
      <c r="S156" s="13"/>
      <c r="T156" s="13"/>
      <c r="U156" s="13"/>
      <c r="V156" s="13"/>
      <c r="W156" s="13"/>
      <c r="X156" s="13"/>
    </row>
    <row r="157" spans="2:24" x14ac:dyDescent="0.25">
      <c r="B157" s="136" t="s">
        <v>182</v>
      </c>
      <c r="C157" s="268">
        <v>4</v>
      </c>
      <c r="D157" s="268">
        <v>8</v>
      </c>
      <c r="E157" s="268">
        <v>12</v>
      </c>
      <c r="F157" s="268">
        <v>76</v>
      </c>
      <c r="G157" s="268">
        <v>77</v>
      </c>
      <c r="H157" s="268">
        <v>153</v>
      </c>
      <c r="I157" s="268">
        <v>17</v>
      </c>
      <c r="J157" s="268">
        <v>6</v>
      </c>
      <c r="K157" s="268">
        <v>23</v>
      </c>
      <c r="L157" s="268">
        <v>3</v>
      </c>
      <c r="M157" s="268">
        <v>5</v>
      </c>
      <c r="N157" s="268">
        <v>8</v>
      </c>
      <c r="O157" s="310">
        <v>100</v>
      </c>
      <c r="P157" s="310">
        <v>96</v>
      </c>
      <c r="Q157" s="310">
        <v>196</v>
      </c>
      <c r="R157" s="13"/>
      <c r="S157" s="13"/>
      <c r="T157" s="13"/>
      <c r="U157" s="13"/>
      <c r="V157" s="13"/>
      <c r="W157" s="13"/>
      <c r="X157" s="13"/>
    </row>
    <row r="158" spans="2:24" x14ac:dyDescent="0.25">
      <c r="B158" s="136" t="s">
        <v>183</v>
      </c>
      <c r="C158" s="268">
        <v>2</v>
      </c>
      <c r="D158" s="268">
        <v>2</v>
      </c>
      <c r="E158" s="268">
        <v>4</v>
      </c>
      <c r="F158" s="268">
        <v>37</v>
      </c>
      <c r="G158" s="268">
        <v>32</v>
      </c>
      <c r="H158" s="268">
        <v>69</v>
      </c>
      <c r="I158" s="268">
        <v>4</v>
      </c>
      <c r="J158" s="268">
        <v>5</v>
      </c>
      <c r="K158" s="268">
        <v>9</v>
      </c>
      <c r="L158" s="268">
        <v>2</v>
      </c>
      <c r="M158" s="268">
        <v>2</v>
      </c>
      <c r="N158" s="268">
        <v>4</v>
      </c>
      <c r="O158" s="310">
        <v>45</v>
      </c>
      <c r="P158" s="310">
        <v>41</v>
      </c>
      <c r="Q158" s="310">
        <v>86</v>
      </c>
      <c r="R158" s="13"/>
      <c r="S158" s="13"/>
      <c r="T158" s="13"/>
      <c r="U158" s="13"/>
      <c r="V158" s="13"/>
      <c r="W158" s="13"/>
      <c r="X158" s="13"/>
    </row>
    <row r="159" spans="2:24" x14ac:dyDescent="0.25">
      <c r="B159" s="136" t="s">
        <v>184</v>
      </c>
      <c r="C159" s="268">
        <v>1</v>
      </c>
      <c r="D159" s="268">
        <v>5</v>
      </c>
      <c r="E159" s="268">
        <v>6</v>
      </c>
      <c r="F159" s="268">
        <v>53</v>
      </c>
      <c r="G159" s="268">
        <v>75</v>
      </c>
      <c r="H159" s="268">
        <v>128</v>
      </c>
      <c r="I159" s="268">
        <v>9</v>
      </c>
      <c r="J159" s="268">
        <v>5</v>
      </c>
      <c r="K159" s="268">
        <v>14</v>
      </c>
      <c r="L159" s="268">
        <v>5</v>
      </c>
      <c r="M159" s="268">
        <v>3</v>
      </c>
      <c r="N159" s="268">
        <v>8</v>
      </c>
      <c r="O159" s="310">
        <v>68</v>
      </c>
      <c r="P159" s="310">
        <v>88</v>
      </c>
      <c r="Q159" s="310">
        <v>156</v>
      </c>
      <c r="R159" s="13"/>
      <c r="S159" s="13"/>
      <c r="T159" s="13"/>
      <c r="U159" s="13"/>
      <c r="V159" s="13"/>
      <c r="W159" s="13"/>
      <c r="X159" s="13"/>
    </row>
    <row r="160" spans="2:24" x14ac:dyDescent="0.25">
      <c r="B160" s="136" t="s">
        <v>185</v>
      </c>
      <c r="C160" s="268">
        <v>14</v>
      </c>
      <c r="D160" s="268">
        <v>8</v>
      </c>
      <c r="E160" s="268">
        <v>22</v>
      </c>
      <c r="F160" s="268">
        <v>77</v>
      </c>
      <c r="G160" s="268">
        <v>77</v>
      </c>
      <c r="H160" s="268">
        <v>154</v>
      </c>
      <c r="I160" s="268">
        <v>14</v>
      </c>
      <c r="J160" s="268">
        <v>1</v>
      </c>
      <c r="K160" s="268">
        <v>15</v>
      </c>
      <c r="L160" s="268">
        <v>4</v>
      </c>
      <c r="M160" s="268">
        <v>9</v>
      </c>
      <c r="N160" s="268">
        <v>13</v>
      </c>
      <c r="O160" s="310">
        <v>109</v>
      </c>
      <c r="P160" s="310">
        <v>95</v>
      </c>
      <c r="Q160" s="310">
        <v>204</v>
      </c>
      <c r="R160" s="13"/>
      <c r="S160" s="13"/>
      <c r="T160" s="13"/>
      <c r="U160" s="13"/>
      <c r="V160" s="13"/>
      <c r="W160" s="13"/>
      <c r="X160" s="13"/>
    </row>
    <row r="161" spans="2:24" x14ac:dyDescent="0.25">
      <c r="B161" s="136" t="s">
        <v>186</v>
      </c>
      <c r="C161" s="268">
        <v>1</v>
      </c>
      <c r="D161" s="268">
        <v>5</v>
      </c>
      <c r="E161" s="268">
        <v>6</v>
      </c>
      <c r="F161" s="268">
        <v>34</v>
      </c>
      <c r="G161" s="268">
        <v>26</v>
      </c>
      <c r="H161" s="268">
        <v>60</v>
      </c>
      <c r="I161" s="268">
        <v>10</v>
      </c>
      <c r="J161" s="268">
        <v>2</v>
      </c>
      <c r="K161" s="268">
        <v>12</v>
      </c>
      <c r="L161" s="268">
        <v>2</v>
      </c>
      <c r="M161" s="268">
        <v>6</v>
      </c>
      <c r="N161" s="268">
        <v>8</v>
      </c>
      <c r="O161" s="310">
        <v>47</v>
      </c>
      <c r="P161" s="310">
        <v>39</v>
      </c>
      <c r="Q161" s="310">
        <v>86</v>
      </c>
      <c r="R161" s="13"/>
      <c r="S161" s="13"/>
      <c r="T161" s="13"/>
      <c r="U161" s="13"/>
      <c r="V161" s="13"/>
      <c r="W161" s="13"/>
      <c r="X161" s="13"/>
    </row>
    <row r="162" spans="2:24" x14ac:dyDescent="0.25">
      <c r="B162" s="136" t="s">
        <v>187</v>
      </c>
      <c r="C162" s="268">
        <v>12</v>
      </c>
      <c r="D162" s="268">
        <v>9</v>
      </c>
      <c r="E162" s="268">
        <v>21</v>
      </c>
      <c r="F162" s="268">
        <v>97</v>
      </c>
      <c r="G162" s="268">
        <v>98</v>
      </c>
      <c r="H162" s="268">
        <v>195</v>
      </c>
      <c r="I162" s="268">
        <v>25</v>
      </c>
      <c r="J162" s="268">
        <v>5</v>
      </c>
      <c r="K162" s="268">
        <v>30</v>
      </c>
      <c r="L162" s="268">
        <v>3</v>
      </c>
      <c r="M162" s="268">
        <v>11</v>
      </c>
      <c r="N162" s="268">
        <v>14</v>
      </c>
      <c r="O162" s="310">
        <v>137</v>
      </c>
      <c r="P162" s="310">
        <v>123</v>
      </c>
      <c r="Q162" s="310">
        <v>260</v>
      </c>
      <c r="R162" s="13"/>
      <c r="S162" s="13"/>
      <c r="T162" s="13"/>
      <c r="U162" s="13"/>
      <c r="V162" s="13"/>
      <c r="W162" s="13"/>
      <c r="X162" s="13"/>
    </row>
    <row r="163" spans="2:24" x14ac:dyDescent="0.25">
      <c r="B163" s="136" t="s">
        <v>188</v>
      </c>
      <c r="C163" s="268">
        <v>3</v>
      </c>
      <c r="D163" s="268">
        <v>4</v>
      </c>
      <c r="E163" s="268">
        <v>7</v>
      </c>
      <c r="F163" s="268">
        <v>32</v>
      </c>
      <c r="G163" s="268">
        <v>35</v>
      </c>
      <c r="H163" s="268">
        <v>67</v>
      </c>
      <c r="I163" s="268">
        <v>10</v>
      </c>
      <c r="J163" s="268">
        <v>2</v>
      </c>
      <c r="K163" s="268">
        <v>12</v>
      </c>
      <c r="L163" s="268">
        <v>2</v>
      </c>
      <c r="M163" s="268"/>
      <c r="N163" s="268">
        <v>2</v>
      </c>
      <c r="O163" s="310">
        <v>47</v>
      </c>
      <c r="P163" s="310">
        <v>41</v>
      </c>
      <c r="Q163" s="310">
        <v>88</v>
      </c>
      <c r="R163" s="13"/>
      <c r="S163" s="13"/>
      <c r="T163" s="13"/>
      <c r="U163" s="13"/>
      <c r="V163" s="13"/>
      <c r="W163" s="13"/>
      <c r="X163" s="13"/>
    </row>
    <row r="164" spans="2:24" x14ac:dyDescent="0.25">
      <c r="B164" s="136" t="s">
        <v>189</v>
      </c>
      <c r="C164" s="268">
        <v>3</v>
      </c>
      <c r="D164" s="268"/>
      <c r="E164" s="268">
        <v>3</v>
      </c>
      <c r="F164" s="268">
        <v>45</v>
      </c>
      <c r="G164" s="268">
        <v>42</v>
      </c>
      <c r="H164" s="268">
        <v>87</v>
      </c>
      <c r="I164" s="268">
        <v>6</v>
      </c>
      <c r="J164" s="268">
        <v>4</v>
      </c>
      <c r="K164" s="268">
        <v>10</v>
      </c>
      <c r="L164" s="268">
        <v>5</v>
      </c>
      <c r="M164" s="268">
        <v>5</v>
      </c>
      <c r="N164" s="268">
        <v>10</v>
      </c>
      <c r="O164" s="310">
        <v>59</v>
      </c>
      <c r="P164" s="310">
        <v>51</v>
      </c>
      <c r="Q164" s="310">
        <v>110</v>
      </c>
      <c r="R164" s="13"/>
      <c r="S164" s="13"/>
      <c r="T164" s="13"/>
      <c r="U164" s="13"/>
      <c r="V164" s="13"/>
      <c r="W164" s="13"/>
      <c r="X164" s="13"/>
    </row>
    <row r="165" spans="2:24" x14ac:dyDescent="0.25">
      <c r="B165" s="136" t="s">
        <v>190</v>
      </c>
      <c r="C165" s="268"/>
      <c r="D165" s="268"/>
      <c r="E165" s="268"/>
      <c r="F165" s="268">
        <v>12</v>
      </c>
      <c r="G165" s="268">
        <v>7</v>
      </c>
      <c r="H165" s="268">
        <v>19</v>
      </c>
      <c r="I165" s="268">
        <v>2</v>
      </c>
      <c r="J165" s="268">
        <v>1</v>
      </c>
      <c r="K165" s="268">
        <v>3</v>
      </c>
      <c r="L165" s="268"/>
      <c r="M165" s="268">
        <v>1</v>
      </c>
      <c r="N165" s="268">
        <v>1</v>
      </c>
      <c r="O165" s="310">
        <v>14</v>
      </c>
      <c r="P165" s="310">
        <v>9</v>
      </c>
      <c r="Q165" s="310">
        <v>23</v>
      </c>
      <c r="R165" s="13"/>
      <c r="S165" s="13"/>
      <c r="T165" s="13"/>
      <c r="U165" s="13"/>
      <c r="V165" s="13"/>
      <c r="W165" s="13"/>
      <c r="X165" s="13"/>
    </row>
    <row r="166" spans="2:24" x14ac:dyDescent="0.25">
      <c r="B166" s="136" t="s">
        <v>191</v>
      </c>
      <c r="C166" s="268">
        <v>1</v>
      </c>
      <c r="D166" s="268">
        <v>1</v>
      </c>
      <c r="E166" s="268">
        <v>2</v>
      </c>
      <c r="F166" s="268">
        <v>11</v>
      </c>
      <c r="G166" s="268">
        <v>15</v>
      </c>
      <c r="H166" s="268">
        <v>26</v>
      </c>
      <c r="I166" s="268"/>
      <c r="J166" s="268"/>
      <c r="K166" s="268"/>
      <c r="L166" s="268"/>
      <c r="M166" s="268"/>
      <c r="N166" s="268"/>
      <c r="O166" s="310">
        <v>12</v>
      </c>
      <c r="P166" s="310">
        <v>16</v>
      </c>
      <c r="Q166" s="310">
        <v>28</v>
      </c>
      <c r="R166" s="13"/>
      <c r="S166" s="13"/>
      <c r="T166" s="13"/>
      <c r="U166" s="13"/>
      <c r="V166" s="13"/>
      <c r="W166" s="13"/>
      <c r="X166" s="13"/>
    </row>
    <row r="167" spans="2:24" x14ac:dyDescent="0.25">
      <c r="B167" s="136" t="s">
        <v>192</v>
      </c>
      <c r="C167" s="268">
        <v>1</v>
      </c>
      <c r="D167" s="268">
        <v>2</v>
      </c>
      <c r="E167" s="268">
        <v>3</v>
      </c>
      <c r="F167" s="268">
        <v>11</v>
      </c>
      <c r="G167" s="268">
        <v>12</v>
      </c>
      <c r="H167" s="268">
        <v>23</v>
      </c>
      <c r="I167" s="268">
        <v>5</v>
      </c>
      <c r="J167" s="268">
        <v>2</v>
      </c>
      <c r="K167" s="268">
        <v>7</v>
      </c>
      <c r="L167" s="268">
        <v>2</v>
      </c>
      <c r="M167" s="268">
        <v>2</v>
      </c>
      <c r="N167" s="268">
        <v>4</v>
      </c>
      <c r="O167" s="310">
        <v>19</v>
      </c>
      <c r="P167" s="310">
        <v>18</v>
      </c>
      <c r="Q167" s="310">
        <v>37</v>
      </c>
      <c r="R167" s="13"/>
      <c r="S167" s="13"/>
      <c r="T167" s="13"/>
      <c r="U167" s="13"/>
      <c r="V167" s="13"/>
      <c r="W167" s="13"/>
      <c r="X167" s="13"/>
    </row>
    <row r="168" spans="2:24" x14ac:dyDescent="0.25">
      <c r="B168" s="136" t="s">
        <v>193</v>
      </c>
      <c r="C168" s="268">
        <v>6</v>
      </c>
      <c r="D168" s="268">
        <v>5</v>
      </c>
      <c r="E168" s="268">
        <v>11</v>
      </c>
      <c r="F168" s="268">
        <v>47</v>
      </c>
      <c r="G168" s="268">
        <v>51</v>
      </c>
      <c r="H168" s="268">
        <v>98</v>
      </c>
      <c r="I168" s="268">
        <v>15</v>
      </c>
      <c r="J168" s="268">
        <v>6</v>
      </c>
      <c r="K168" s="268">
        <v>21</v>
      </c>
      <c r="L168" s="268"/>
      <c r="M168" s="268">
        <v>1</v>
      </c>
      <c r="N168" s="268">
        <v>1</v>
      </c>
      <c r="O168" s="310">
        <v>68</v>
      </c>
      <c r="P168" s="310">
        <v>63</v>
      </c>
      <c r="Q168" s="310">
        <v>131</v>
      </c>
      <c r="R168" s="13"/>
      <c r="S168" s="13"/>
      <c r="T168" s="13"/>
      <c r="U168" s="13"/>
      <c r="V168" s="13"/>
      <c r="W168" s="13"/>
      <c r="X168" s="13"/>
    </row>
    <row r="169" spans="2:24" x14ac:dyDescent="0.25">
      <c r="B169" s="136" t="s">
        <v>194</v>
      </c>
      <c r="C169" s="268"/>
      <c r="D169" s="268">
        <v>1</v>
      </c>
      <c r="E169" s="268">
        <v>1</v>
      </c>
      <c r="F169" s="268">
        <v>24</v>
      </c>
      <c r="G169" s="268">
        <v>29</v>
      </c>
      <c r="H169" s="268">
        <v>53</v>
      </c>
      <c r="I169" s="268">
        <v>12</v>
      </c>
      <c r="J169" s="268">
        <v>5</v>
      </c>
      <c r="K169" s="268">
        <v>17</v>
      </c>
      <c r="L169" s="268">
        <v>2</v>
      </c>
      <c r="M169" s="268">
        <v>4</v>
      </c>
      <c r="N169" s="268">
        <v>6</v>
      </c>
      <c r="O169" s="310">
        <v>38</v>
      </c>
      <c r="P169" s="310">
        <v>39</v>
      </c>
      <c r="Q169" s="310">
        <v>77</v>
      </c>
      <c r="R169" s="13"/>
      <c r="S169" s="13"/>
      <c r="T169" s="13"/>
      <c r="U169" s="13"/>
      <c r="V169" s="13"/>
      <c r="W169" s="13"/>
      <c r="X169" s="13"/>
    </row>
    <row r="170" spans="2:24" x14ac:dyDescent="0.25">
      <c r="B170" s="136" t="s">
        <v>195</v>
      </c>
      <c r="C170" s="268">
        <v>10</v>
      </c>
      <c r="D170" s="268">
        <v>7</v>
      </c>
      <c r="E170" s="268">
        <v>17</v>
      </c>
      <c r="F170" s="268">
        <v>148</v>
      </c>
      <c r="G170" s="268">
        <v>143</v>
      </c>
      <c r="H170" s="268">
        <v>291</v>
      </c>
      <c r="I170" s="268">
        <v>24</v>
      </c>
      <c r="J170" s="268">
        <v>11</v>
      </c>
      <c r="K170" s="268">
        <v>35</v>
      </c>
      <c r="L170" s="268">
        <v>9</v>
      </c>
      <c r="M170" s="268">
        <v>12</v>
      </c>
      <c r="N170" s="268">
        <v>21</v>
      </c>
      <c r="O170" s="310">
        <v>191</v>
      </c>
      <c r="P170" s="310">
        <v>173</v>
      </c>
      <c r="Q170" s="310">
        <v>364</v>
      </c>
      <c r="R170" s="13"/>
      <c r="S170" s="13"/>
      <c r="T170" s="13"/>
      <c r="U170" s="13"/>
      <c r="V170" s="13"/>
      <c r="W170" s="13"/>
      <c r="X170" s="13"/>
    </row>
    <row r="171" spans="2:24" x14ac:dyDescent="0.25">
      <c r="B171" s="136" t="s">
        <v>196</v>
      </c>
      <c r="C171" s="268">
        <v>27</v>
      </c>
      <c r="D171" s="268">
        <v>9</v>
      </c>
      <c r="E171" s="268">
        <v>36</v>
      </c>
      <c r="F171" s="268">
        <v>272</v>
      </c>
      <c r="G171" s="268">
        <v>216</v>
      </c>
      <c r="H171" s="268">
        <v>488</v>
      </c>
      <c r="I171" s="268">
        <v>32</v>
      </c>
      <c r="J171" s="268">
        <v>16</v>
      </c>
      <c r="K171" s="268">
        <v>48</v>
      </c>
      <c r="L171" s="268">
        <v>9</v>
      </c>
      <c r="M171" s="268">
        <v>19</v>
      </c>
      <c r="N171" s="268">
        <v>28</v>
      </c>
      <c r="O171" s="310">
        <v>340</v>
      </c>
      <c r="P171" s="310">
        <v>260</v>
      </c>
      <c r="Q171" s="310">
        <v>600</v>
      </c>
      <c r="R171" s="13"/>
      <c r="S171" s="13"/>
      <c r="T171" s="13"/>
      <c r="U171" s="13"/>
      <c r="V171" s="13"/>
      <c r="W171" s="13"/>
      <c r="X171" s="13"/>
    </row>
    <row r="172" spans="2:24" x14ac:dyDescent="0.25">
      <c r="B172" s="136" t="s">
        <v>197</v>
      </c>
      <c r="C172" s="268">
        <v>3</v>
      </c>
      <c r="D172" s="268">
        <v>6</v>
      </c>
      <c r="E172" s="268">
        <v>9</v>
      </c>
      <c r="F172" s="268">
        <v>75</v>
      </c>
      <c r="G172" s="268">
        <v>48</v>
      </c>
      <c r="H172" s="268">
        <v>123</v>
      </c>
      <c r="I172" s="268">
        <v>12</v>
      </c>
      <c r="J172" s="268">
        <v>5</v>
      </c>
      <c r="K172" s="268">
        <v>17</v>
      </c>
      <c r="L172" s="268">
        <v>5</v>
      </c>
      <c r="M172" s="268">
        <v>8</v>
      </c>
      <c r="N172" s="268">
        <v>13</v>
      </c>
      <c r="O172" s="310">
        <v>95</v>
      </c>
      <c r="P172" s="310">
        <v>67</v>
      </c>
      <c r="Q172" s="310">
        <v>162</v>
      </c>
      <c r="R172" s="13"/>
      <c r="S172" s="13"/>
      <c r="T172" s="13"/>
      <c r="U172" s="13"/>
      <c r="V172" s="13"/>
      <c r="W172" s="13"/>
      <c r="X172" s="13"/>
    </row>
    <row r="173" spans="2:24" x14ac:dyDescent="0.25">
      <c r="B173" s="136" t="s">
        <v>198</v>
      </c>
      <c r="C173" s="268">
        <v>1</v>
      </c>
      <c r="D173" s="268">
        <v>3</v>
      </c>
      <c r="E173" s="268">
        <v>4</v>
      </c>
      <c r="F173" s="268">
        <v>15</v>
      </c>
      <c r="G173" s="268">
        <v>13</v>
      </c>
      <c r="H173" s="268">
        <v>28</v>
      </c>
      <c r="I173" s="268">
        <v>6</v>
      </c>
      <c r="J173" s="268">
        <v>1</v>
      </c>
      <c r="K173" s="268">
        <v>7</v>
      </c>
      <c r="L173" s="268">
        <v>1</v>
      </c>
      <c r="M173" s="268">
        <v>1</v>
      </c>
      <c r="N173" s="268">
        <v>2</v>
      </c>
      <c r="O173" s="310">
        <v>23</v>
      </c>
      <c r="P173" s="310">
        <v>18</v>
      </c>
      <c r="Q173" s="310">
        <v>41</v>
      </c>
      <c r="R173" s="13"/>
      <c r="S173" s="13"/>
      <c r="T173" s="13"/>
      <c r="U173" s="13"/>
      <c r="V173" s="13"/>
      <c r="W173" s="13"/>
      <c r="X173" s="13"/>
    </row>
    <row r="174" spans="2:24" x14ac:dyDescent="0.25">
      <c r="B174" s="136" t="s">
        <v>199</v>
      </c>
      <c r="C174" s="268">
        <v>11</v>
      </c>
      <c r="D174" s="268">
        <v>17</v>
      </c>
      <c r="E174" s="268">
        <v>28</v>
      </c>
      <c r="F174" s="268">
        <v>152</v>
      </c>
      <c r="G174" s="268">
        <v>168</v>
      </c>
      <c r="H174" s="268">
        <v>320</v>
      </c>
      <c r="I174" s="268">
        <v>45</v>
      </c>
      <c r="J174" s="268">
        <v>17</v>
      </c>
      <c r="K174" s="268">
        <v>62</v>
      </c>
      <c r="L174" s="268">
        <v>11</v>
      </c>
      <c r="M174" s="268">
        <v>20</v>
      </c>
      <c r="N174" s="268">
        <v>31</v>
      </c>
      <c r="O174" s="310">
        <v>219</v>
      </c>
      <c r="P174" s="310">
        <v>222</v>
      </c>
      <c r="Q174" s="310">
        <v>441</v>
      </c>
      <c r="R174" s="13"/>
      <c r="S174" s="13"/>
      <c r="T174" s="13"/>
      <c r="U174" s="13"/>
      <c r="V174" s="13"/>
      <c r="W174" s="13"/>
      <c r="X174" s="13"/>
    </row>
    <row r="175" spans="2:24" x14ac:dyDescent="0.25">
      <c r="B175" s="136" t="s">
        <v>200</v>
      </c>
      <c r="C175" s="268"/>
      <c r="D175" s="268">
        <v>2</v>
      </c>
      <c r="E175" s="268">
        <v>2</v>
      </c>
      <c r="F175" s="268">
        <v>26</v>
      </c>
      <c r="G175" s="268">
        <v>26</v>
      </c>
      <c r="H175" s="268">
        <v>52</v>
      </c>
      <c r="I175" s="268">
        <v>6</v>
      </c>
      <c r="J175" s="268">
        <v>1</v>
      </c>
      <c r="K175" s="268">
        <v>7</v>
      </c>
      <c r="L175" s="268"/>
      <c r="M175" s="268">
        <v>2</v>
      </c>
      <c r="N175" s="268">
        <v>2</v>
      </c>
      <c r="O175" s="310">
        <v>32</v>
      </c>
      <c r="P175" s="310">
        <v>31</v>
      </c>
      <c r="Q175" s="310">
        <v>63</v>
      </c>
      <c r="R175" s="13"/>
      <c r="S175" s="13"/>
      <c r="T175" s="13"/>
      <c r="U175" s="13"/>
      <c r="V175" s="13"/>
      <c r="W175" s="13"/>
      <c r="X175" s="13"/>
    </row>
    <row r="176" spans="2:24" x14ac:dyDescent="0.25">
      <c r="B176" s="136" t="s">
        <v>201</v>
      </c>
      <c r="C176" s="268">
        <v>7</v>
      </c>
      <c r="D176" s="268">
        <v>12</v>
      </c>
      <c r="E176" s="268">
        <v>19</v>
      </c>
      <c r="F176" s="268">
        <v>124</v>
      </c>
      <c r="G176" s="268">
        <v>111</v>
      </c>
      <c r="H176" s="268">
        <v>235</v>
      </c>
      <c r="I176" s="268">
        <v>19</v>
      </c>
      <c r="J176" s="268">
        <v>10</v>
      </c>
      <c r="K176" s="268">
        <v>29</v>
      </c>
      <c r="L176" s="268">
        <v>6</v>
      </c>
      <c r="M176" s="268">
        <v>9</v>
      </c>
      <c r="N176" s="268">
        <v>15</v>
      </c>
      <c r="O176" s="310">
        <v>156</v>
      </c>
      <c r="P176" s="310">
        <v>142</v>
      </c>
      <c r="Q176" s="310">
        <v>298</v>
      </c>
      <c r="R176" s="13"/>
      <c r="S176" s="13"/>
      <c r="T176" s="13"/>
      <c r="U176" s="13"/>
      <c r="V176" s="13"/>
      <c r="W176" s="13"/>
      <c r="X176" s="13"/>
    </row>
    <row r="177" spans="2:24" x14ac:dyDescent="0.25">
      <c r="B177" s="136" t="s">
        <v>202</v>
      </c>
      <c r="C177" s="268">
        <v>4</v>
      </c>
      <c r="D177" s="268">
        <v>4</v>
      </c>
      <c r="E177" s="268">
        <v>8</v>
      </c>
      <c r="F177" s="268">
        <v>26</v>
      </c>
      <c r="G177" s="268">
        <v>30</v>
      </c>
      <c r="H177" s="268">
        <v>56</v>
      </c>
      <c r="I177" s="268">
        <v>3</v>
      </c>
      <c r="J177" s="268">
        <v>3</v>
      </c>
      <c r="K177" s="268">
        <v>6</v>
      </c>
      <c r="L177" s="268">
        <v>2</v>
      </c>
      <c r="M177" s="268">
        <v>1</v>
      </c>
      <c r="N177" s="268">
        <v>3</v>
      </c>
      <c r="O177" s="310">
        <v>35</v>
      </c>
      <c r="P177" s="310">
        <v>38</v>
      </c>
      <c r="Q177" s="310">
        <v>73</v>
      </c>
      <c r="R177" s="13"/>
      <c r="S177" s="13"/>
      <c r="T177" s="13"/>
      <c r="U177" s="13"/>
      <c r="V177" s="13"/>
      <c r="W177" s="13"/>
      <c r="X177" s="13"/>
    </row>
    <row r="178" spans="2:24" x14ac:dyDescent="0.25">
      <c r="B178" s="136" t="s">
        <v>203</v>
      </c>
      <c r="C178" s="268">
        <v>1</v>
      </c>
      <c r="D178" s="268">
        <v>1</v>
      </c>
      <c r="E178" s="268">
        <v>2</v>
      </c>
      <c r="F178" s="268">
        <v>18</v>
      </c>
      <c r="G178" s="268">
        <v>18</v>
      </c>
      <c r="H178" s="268">
        <v>36</v>
      </c>
      <c r="I178" s="268">
        <v>3</v>
      </c>
      <c r="J178" s="268">
        <v>1</v>
      </c>
      <c r="K178" s="268">
        <v>4</v>
      </c>
      <c r="L178" s="268">
        <v>1</v>
      </c>
      <c r="M178" s="268">
        <v>1</v>
      </c>
      <c r="N178" s="268">
        <v>2</v>
      </c>
      <c r="O178" s="310">
        <v>23</v>
      </c>
      <c r="P178" s="310">
        <v>21</v>
      </c>
      <c r="Q178" s="310">
        <v>44</v>
      </c>
      <c r="R178" s="13"/>
      <c r="S178" s="13"/>
      <c r="T178" s="13"/>
      <c r="U178" s="13"/>
      <c r="V178" s="13"/>
      <c r="W178" s="13"/>
      <c r="X178" s="13"/>
    </row>
    <row r="179" spans="2:24" x14ac:dyDescent="0.25">
      <c r="B179" s="136" t="s">
        <v>204</v>
      </c>
      <c r="C179" s="268">
        <v>28</v>
      </c>
      <c r="D179" s="268">
        <v>46</v>
      </c>
      <c r="E179" s="268">
        <v>74</v>
      </c>
      <c r="F179" s="268">
        <v>481</v>
      </c>
      <c r="G179" s="268">
        <v>433</v>
      </c>
      <c r="H179" s="268">
        <v>914</v>
      </c>
      <c r="I179" s="268">
        <v>75</v>
      </c>
      <c r="J179" s="268">
        <v>35</v>
      </c>
      <c r="K179" s="268">
        <v>110</v>
      </c>
      <c r="L179" s="268">
        <v>21</v>
      </c>
      <c r="M179" s="268">
        <v>31</v>
      </c>
      <c r="N179" s="268">
        <v>52</v>
      </c>
      <c r="O179" s="310">
        <v>605</v>
      </c>
      <c r="P179" s="310">
        <v>545</v>
      </c>
      <c r="Q179" s="310">
        <v>1150</v>
      </c>
      <c r="R179" s="13"/>
      <c r="S179" s="13"/>
      <c r="T179" s="13"/>
      <c r="U179" s="13"/>
      <c r="V179" s="13"/>
      <c r="W179" s="13"/>
      <c r="X179" s="13"/>
    </row>
    <row r="180" spans="2:24" x14ac:dyDescent="0.25">
      <c r="B180" s="136" t="s">
        <v>205</v>
      </c>
      <c r="C180" s="268">
        <v>19</v>
      </c>
      <c r="D180" s="268">
        <v>15</v>
      </c>
      <c r="E180" s="268">
        <v>34</v>
      </c>
      <c r="F180" s="268">
        <v>237</v>
      </c>
      <c r="G180" s="268">
        <v>171</v>
      </c>
      <c r="H180" s="268">
        <v>408</v>
      </c>
      <c r="I180" s="268">
        <v>29</v>
      </c>
      <c r="J180" s="268">
        <v>17</v>
      </c>
      <c r="K180" s="268">
        <v>46</v>
      </c>
      <c r="L180" s="268">
        <v>11</v>
      </c>
      <c r="M180" s="268">
        <v>7</v>
      </c>
      <c r="N180" s="268">
        <v>18</v>
      </c>
      <c r="O180" s="310">
        <v>296</v>
      </c>
      <c r="P180" s="310">
        <v>210</v>
      </c>
      <c r="Q180" s="310">
        <v>506</v>
      </c>
      <c r="R180" s="13"/>
      <c r="S180" s="13"/>
      <c r="T180" s="13"/>
      <c r="U180" s="13"/>
      <c r="V180" s="13"/>
      <c r="W180" s="13"/>
      <c r="X180" s="13"/>
    </row>
    <row r="181" spans="2:24" x14ac:dyDescent="0.25">
      <c r="B181" s="156" t="s">
        <v>492</v>
      </c>
      <c r="C181" s="271">
        <v>39</v>
      </c>
      <c r="D181" s="271">
        <v>47</v>
      </c>
      <c r="E181" s="271">
        <v>86</v>
      </c>
      <c r="F181" s="271">
        <v>615</v>
      </c>
      <c r="G181" s="271">
        <v>468</v>
      </c>
      <c r="H181" s="271">
        <v>1083</v>
      </c>
      <c r="I181" s="271">
        <v>63</v>
      </c>
      <c r="J181" s="271">
        <v>39</v>
      </c>
      <c r="K181" s="271">
        <v>102</v>
      </c>
      <c r="L181" s="271">
        <v>36</v>
      </c>
      <c r="M181" s="271">
        <v>30</v>
      </c>
      <c r="N181" s="271">
        <v>66</v>
      </c>
      <c r="O181" s="310">
        <v>753</v>
      </c>
      <c r="P181" s="310">
        <v>584</v>
      </c>
      <c r="Q181" s="310">
        <v>1337</v>
      </c>
      <c r="R181" s="13"/>
      <c r="S181" s="13"/>
      <c r="T181" s="13"/>
      <c r="U181" s="13"/>
      <c r="V181" s="13"/>
      <c r="W181" s="13"/>
      <c r="X181" s="13"/>
    </row>
    <row r="182" spans="2:24" x14ac:dyDescent="0.25">
      <c r="B182" s="159" t="s">
        <v>206</v>
      </c>
      <c r="C182" s="269">
        <v>2</v>
      </c>
      <c r="D182" s="269">
        <v>2</v>
      </c>
      <c r="E182" s="269">
        <v>4</v>
      </c>
      <c r="F182" s="269">
        <v>8</v>
      </c>
      <c r="G182" s="269">
        <v>21</v>
      </c>
      <c r="H182" s="269">
        <v>29</v>
      </c>
      <c r="I182" s="269"/>
      <c r="J182" s="269"/>
      <c r="K182" s="269"/>
      <c r="L182" s="269"/>
      <c r="M182" s="269"/>
      <c r="N182" s="269"/>
      <c r="O182" s="310">
        <v>10</v>
      </c>
      <c r="P182" s="310">
        <v>23</v>
      </c>
      <c r="Q182" s="310">
        <v>33</v>
      </c>
      <c r="R182" s="13"/>
      <c r="S182" s="13"/>
      <c r="T182" s="13"/>
      <c r="U182" s="13"/>
      <c r="V182" s="13"/>
      <c r="W182" s="13"/>
      <c r="X182" s="13"/>
    </row>
    <row r="183" spans="2:24" x14ac:dyDescent="0.25">
      <c r="B183" s="371" t="s">
        <v>923</v>
      </c>
      <c r="C183" s="310">
        <v>226</v>
      </c>
      <c r="D183" s="310">
        <v>262</v>
      </c>
      <c r="E183" s="310">
        <v>488</v>
      </c>
      <c r="F183" s="310">
        <v>3173</v>
      </c>
      <c r="G183" s="310">
        <v>2789</v>
      </c>
      <c r="H183" s="294">
        <v>5962</v>
      </c>
      <c r="I183" s="310">
        <v>512</v>
      </c>
      <c r="J183" s="294">
        <v>229</v>
      </c>
      <c r="K183" s="310">
        <v>741</v>
      </c>
      <c r="L183" s="294">
        <v>168</v>
      </c>
      <c r="M183" s="310">
        <v>217</v>
      </c>
      <c r="N183" s="294">
        <v>385</v>
      </c>
      <c r="O183" s="324">
        <v>4079</v>
      </c>
      <c r="P183" s="324">
        <v>3497</v>
      </c>
      <c r="Q183" s="324">
        <v>7576</v>
      </c>
      <c r="R183" s="13"/>
      <c r="S183" s="13"/>
      <c r="T183" s="13"/>
      <c r="U183" s="13"/>
      <c r="V183" s="13"/>
      <c r="W183" s="13"/>
      <c r="X183" s="13"/>
    </row>
    <row r="184" spans="2:24" ht="85.5" customHeight="1" x14ac:dyDescent="0.25">
      <c r="B184" s="445" t="s">
        <v>938</v>
      </c>
      <c r="C184" s="445"/>
      <c r="D184" s="445"/>
      <c r="E184" s="445"/>
      <c r="F184" s="445"/>
      <c r="G184" s="445"/>
      <c r="H184" s="445"/>
      <c r="I184" s="445"/>
      <c r="J184" s="445"/>
      <c r="K184" s="445"/>
      <c r="L184" s="445"/>
      <c r="M184" s="445"/>
      <c r="N184" s="445"/>
      <c r="O184" s="445"/>
      <c r="P184" s="445"/>
      <c r="Q184" s="445"/>
      <c r="R184" s="13"/>
      <c r="S184" s="13"/>
      <c r="T184" s="13"/>
      <c r="U184" s="13"/>
      <c r="V184" s="13"/>
      <c r="W184" s="13"/>
    </row>
    <row r="185" spans="2:24" x14ac:dyDescent="0.25">
      <c r="B185" s="158"/>
      <c r="C185" s="158"/>
      <c r="D185" s="158"/>
      <c r="E185" s="158"/>
      <c r="F185" s="158"/>
      <c r="G185"/>
      <c r="H185" s="13"/>
      <c r="I185" s="13"/>
      <c r="J185" s="13"/>
      <c r="K185" s="13"/>
      <c r="L185" s="13"/>
      <c r="M185" s="13"/>
      <c r="N185" s="13"/>
      <c r="O185" s="13"/>
      <c r="P185" s="13"/>
      <c r="Q185" s="13"/>
      <c r="R185" s="13"/>
      <c r="S185" s="13"/>
      <c r="T185" s="13"/>
      <c r="U185" s="13"/>
      <c r="V185" s="13"/>
      <c r="W185" s="13"/>
    </row>
    <row r="186" spans="2:24" x14ac:dyDescent="0.25">
      <c r="B186" s="187" t="s">
        <v>517</v>
      </c>
      <c r="C186"/>
      <c r="D186"/>
      <c r="E186"/>
      <c r="F186"/>
      <c r="G186"/>
      <c r="H186" s="13"/>
      <c r="I186" s="13"/>
      <c r="J186" s="13"/>
      <c r="K186" s="13"/>
      <c r="L186" s="13"/>
      <c r="M186" s="13"/>
      <c r="N186" s="13"/>
      <c r="O186" s="13"/>
      <c r="P186" s="13"/>
      <c r="Q186" s="13"/>
      <c r="R186" s="13"/>
      <c r="S186" s="13"/>
      <c r="T186" s="13"/>
      <c r="U186" s="13"/>
      <c r="V186" s="13"/>
      <c r="W186" s="13"/>
    </row>
    <row r="187" spans="2:24" x14ac:dyDescent="0.25">
      <c r="B187" s="187"/>
      <c r="C187"/>
      <c r="D187"/>
      <c r="E187"/>
      <c r="F187"/>
      <c r="G187"/>
      <c r="H187" s="13"/>
      <c r="I187" s="13"/>
      <c r="J187" s="13"/>
      <c r="K187" s="13"/>
      <c r="L187" s="13"/>
      <c r="M187" s="13"/>
      <c r="N187" s="13"/>
      <c r="O187" s="13"/>
      <c r="P187" s="13"/>
      <c r="Q187" s="13"/>
      <c r="R187" s="13"/>
      <c r="S187" s="13"/>
      <c r="T187" s="13"/>
      <c r="U187" s="13"/>
      <c r="V187" s="13"/>
      <c r="W187" s="13"/>
    </row>
    <row r="188" spans="2:24" ht="15" customHeight="1" x14ac:dyDescent="0.25">
      <c r="B188" s="413" t="s">
        <v>532</v>
      </c>
      <c r="C188" s="414" t="s">
        <v>477</v>
      </c>
      <c r="D188" s="414"/>
      <c r="E188" s="414"/>
      <c r="F188" s="414"/>
      <c r="G188" s="414"/>
      <c r="H188" s="414"/>
      <c r="I188" s="414"/>
      <c r="J188" s="414"/>
      <c r="K188" s="414"/>
      <c r="L188" s="414"/>
      <c r="M188" s="414"/>
      <c r="N188" s="414"/>
      <c r="O188" s="447" t="s">
        <v>922</v>
      </c>
      <c r="P188" s="448"/>
      <c r="Q188" s="449"/>
      <c r="R188" s="13"/>
      <c r="S188" s="13"/>
      <c r="T188" s="13"/>
      <c r="U188" s="13"/>
      <c r="V188" s="13"/>
      <c r="W188" s="13"/>
    </row>
    <row r="189" spans="2:24" ht="15" customHeight="1" x14ac:dyDescent="0.25">
      <c r="B189" s="413"/>
      <c r="C189" s="414" t="s">
        <v>885</v>
      </c>
      <c r="D189" s="414"/>
      <c r="E189" s="414"/>
      <c r="F189" s="414" t="s">
        <v>886</v>
      </c>
      <c r="G189" s="414"/>
      <c r="H189" s="414"/>
      <c r="I189" s="414" t="s">
        <v>2</v>
      </c>
      <c r="J189" s="414"/>
      <c r="K189" s="414"/>
      <c r="L189" s="414" t="s">
        <v>3</v>
      </c>
      <c r="M189" s="414"/>
      <c r="N189" s="414"/>
      <c r="O189" s="450"/>
      <c r="P189" s="451"/>
      <c r="Q189" s="452"/>
      <c r="R189" s="13"/>
      <c r="S189" s="13"/>
      <c r="T189" s="13"/>
      <c r="U189" s="13"/>
      <c r="V189" s="13"/>
      <c r="W189" s="13"/>
    </row>
    <row r="190" spans="2:24" ht="15" customHeight="1" x14ac:dyDescent="0.25">
      <c r="B190" s="413"/>
      <c r="C190" s="161" t="s">
        <v>73</v>
      </c>
      <c r="D190" s="161" t="s">
        <v>74</v>
      </c>
      <c r="E190" s="161" t="s">
        <v>25</v>
      </c>
      <c r="F190" s="161" t="s">
        <v>73</v>
      </c>
      <c r="G190" s="161" t="s">
        <v>74</v>
      </c>
      <c r="H190" s="161" t="s">
        <v>25</v>
      </c>
      <c r="I190" s="161" t="s">
        <v>73</v>
      </c>
      <c r="J190" s="161" t="s">
        <v>74</v>
      </c>
      <c r="K190" s="161" t="s">
        <v>25</v>
      </c>
      <c r="L190" s="161" t="s">
        <v>73</v>
      </c>
      <c r="M190" s="161" t="s">
        <v>74</v>
      </c>
      <c r="N190" s="161" t="s">
        <v>25</v>
      </c>
      <c r="O190" s="299" t="s">
        <v>73</v>
      </c>
      <c r="P190" s="299" t="s">
        <v>74</v>
      </c>
      <c r="Q190" s="299" t="s">
        <v>25</v>
      </c>
      <c r="R190" s="13"/>
      <c r="S190" s="13"/>
      <c r="T190" s="13"/>
      <c r="U190" s="13"/>
      <c r="V190" s="13"/>
      <c r="W190" s="13"/>
    </row>
    <row r="191" spans="2:24" x14ac:dyDescent="0.25">
      <c r="B191" s="157" t="s">
        <v>964</v>
      </c>
      <c r="C191" s="270"/>
      <c r="D191" s="270">
        <v>1</v>
      </c>
      <c r="E191" s="270">
        <v>1</v>
      </c>
      <c r="F191" s="270">
        <v>11</v>
      </c>
      <c r="G191" s="270">
        <v>4</v>
      </c>
      <c r="H191" s="270">
        <v>15</v>
      </c>
      <c r="I191" s="270">
        <v>3</v>
      </c>
      <c r="J191" s="270">
        <v>1</v>
      </c>
      <c r="K191" s="270">
        <v>4</v>
      </c>
      <c r="L191" s="270"/>
      <c r="M191" s="270">
        <v>1</v>
      </c>
      <c r="N191" s="270">
        <v>1</v>
      </c>
      <c r="O191" s="324">
        <v>14</v>
      </c>
      <c r="P191" s="324">
        <v>7</v>
      </c>
      <c r="Q191" s="324">
        <v>21</v>
      </c>
      <c r="R191" s="13"/>
      <c r="S191" s="13"/>
      <c r="T191" s="13"/>
      <c r="U191" s="13"/>
      <c r="V191" s="13"/>
      <c r="W191" s="13"/>
      <c r="X191" s="13"/>
    </row>
    <row r="192" spans="2:24" x14ac:dyDescent="0.25">
      <c r="B192" s="136" t="s">
        <v>386</v>
      </c>
      <c r="C192" s="268">
        <v>7</v>
      </c>
      <c r="D192" s="268">
        <v>15</v>
      </c>
      <c r="E192" s="268">
        <v>22</v>
      </c>
      <c r="F192" s="268">
        <v>145</v>
      </c>
      <c r="G192" s="268">
        <v>136</v>
      </c>
      <c r="H192" s="268">
        <v>281</v>
      </c>
      <c r="I192" s="268">
        <v>28</v>
      </c>
      <c r="J192" s="268">
        <v>14</v>
      </c>
      <c r="K192" s="268">
        <v>42</v>
      </c>
      <c r="L192" s="268">
        <v>11</v>
      </c>
      <c r="M192" s="268">
        <v>10</v>
      </c>
      <c r="N192" s="268">
        <v>21</v>
      </c>
      <c r="O192" s="324">
        <v>191</v>
      </c>
      <c r="P192" s="324">
        <v>175</v>
      </c>
      <c r="Q192" s="324">
        <v>366</v>
      </c>
      <c r="R192" s="13"/>
      <c r="S192" s="13"/>
      <c r="T192" s="13"/>
      <c r="U192" s="13"/>
      <c r="V192" s="13"/>
      <c r="W192" s="13"/>
      <c r="X192" s="13"/>
    </row>
    <row r="193" spans="2:24" x14ac:dyDescent="0.25">
      <c r="B193" s="136" t="s">
        <v>387</v>
      </c>
      <c r="C193" s="268">
        <v>2</v>
      </c>
      <c r="D193" s="268">
        <v>5</v>
      </c>
      <c r="E193" s="268">
        <v>7</v>
      </c>
      <c r="F193" s="268">
        <v>40</v>
      </c>
      <c r="G193" s="268">
        <v>29</v>
      </c>
      <c r="H193" s="268">
        <v>69</v>
      </c>
      <c r="I193" s="268">
        <v>6</v>
      </c>
      <c r="J193" s="268">
        <v>7</v>
      </c>
      <c r="K193" s="268">
        <v>13</v>
      </c>
      <c r="L193" s="268">
        <v>3</v>
      </c>
      <c r="M193" s="268">
        <v>6</v>
      </c>
      <c r="N193" s="268">
        <v>9</v>
      </c>
      <c r="O193" s="324">
        <v>51</v>
      </c>
      <c r="P193" s="324">
        <v>47</v>
      </c>
      <c r="Q193" s="324">
        <v>98</v>
      </c>
      <c r="R193" s="13"/>
      <c r="S193" s="13"/>
      <c r="T193" s="13"/>
      <c r="U193" s="13"/>
      <c r="V193" s="13"/>
      <c r="W193" s="13"/>
      <c r="X193" s="13"/>
    </row>
    <row r="194" spans="2:24" x14ac:dyDescent="0.25">
      <c r="B194" s="136" t="s">
        <v>388</v>
      </c>
      <c r="C194" s="268">
        <v>9</v>
      </c>
      <c r="D194" s="268">
        <v>8</v>
      </c>
      <c r="E194" s="268">
        <v>17</v>
      </c>
      <c r="F194" s="268">
        <v>116</v>
      </c>
      <c r="G194" s="268">
        <v>96</v>
      </c>
      <c r="H194" s="268">
        <v>212</v>
      </c>
      <c r="I194" s="268">
        <v>11</v>
      </c>
      <c r="J194" s="268">
        <v>6</v>
      </c>
      <c r="K194" s="268">
        <v>17</v>
      </c>
      <c r="L194" s="268">
        <v>8</v>
      </c>
      <c r="M194" s="268">
        <v>5</v>
      </c>
      <c r="N194" s="268">
        <v>13</v>
      </c>
      <c r="O194" s="324">
        <v>144</v>
      </c>
      <c r="P194" s="324">
        <v>115</v>
      </c>
      <c r="Q194" s="324">
        <v>259</v>
      </c>
      <c r="R194" s="13"/>
      <c r="S194" s="13"/>
      <c r="T194" s="13"/>
      <c r="U194" s="13"/>
      <c r="V194" s="13"/>
      <c r="W194" s="13"/>
      <c r="X194" s="13"/>
    </row>
    <row r="195" spans="2:24" x14ac:dyDescent="0.25">
      <c r="B195" s="136" t="s">
        <v>389</v>
      </c>
      <c r="C195" s="268">
        <v>14</v>
      </c>
      <c r="D195" s="268">
        <v>29</v>
      </c>
      <c r="E195" s="268">
        <v>43</v>
      </c>
      <c r="F195" s="268">
        <v>182</v>
      </c>
      <c r="G195" s="268">
        <v>167</v>
      </c>
      <c r="H195" s="268">
        <v>349</v>
      </c>
      <c r="I195" s="268">
        <v>32</v>
      </c>
      <c r="J195" s="268">
        <v>22</v>
      </c>
      <c r="K195" s="268">
        <v>54</v>
      </c>
      <c r="L195" s="268">
        <v>8</v>
      </c>
      <c r="M195" s="268">
        <v>14</v>
      </c>
      <c r="N195" s="268">
        <v>22</v>
      </c>
      <c r="O195" s="324">
        <v>236</v>
      </c>
      <c r="P195" s="324">
        <v>232</v>
      </c>
      <c r="Q195" s="324">
        <v>468</v>
      </c>
      <c r="R195" s="13"/>
      <c r="S195" s="13"/>
      <c r="T195" s="13"/>
      <c r="U195" s="13"/>
      <c r="V195" s="13"/>
      <c r="W195" s="13"/>
      <c r="X195" s="13"/>
    </row>
    <row r="196" spans="2:24" x14ac:dyDescent="0.25">
      <c r="B196" s="136" t="s">
        <v>390</v>
      </c>
      <c r="C196" s="268">
        <v>8</v>
      </c>
      <c r="D196" s="268">
        <v>17</v>
      </c>
      <c r="E196" s="268">
        <v>25</v>
      </c>
      <c r="F196" s="268">
        <v>155</v>
      </c>
      <c r="G196" s="268">
        <v>118</v>
      </c>
      <c r="H196" s="268">
        <v>273</v>
      </c>
      <c r="I196" s="268">
        <v>26</v>
      </c>
      <c r="J196" s="268">
        <v>11</v>
      </c>
      <c r="K196" s="268">
        <v>37</v>
      </c>
      <c r="L196" s="268">
        <v>7</v>
      </c>
      <c r="M196" s="268">
        <v>9</v>
      </c>
      <c r="N196" s="268">
        <v>16</v>
      </c>
      <c r="O196" s="324">
        <v>196</v>
      </c>
      <c r="P196" s="324">
        <v>155</v>
      </c>
      <c r="Q196" s="324">
        <v>351</v>
      </c>
      <c r="R196" s="13"/>
      <c r="S196" s="13"/>
      <c r="T196" s="13"/>
      <c r="U196" s="13"/>
      <c r="V196" s="13"/>
      <c r="W196" s="13"/>
      <c r="X196" s="13"/>
    </row>
    <row r="197" spans="2:24" x14ac:dyDescent="0.25">
      <c r="B197" s="136" t="s">
        <v>391</v>
      </c>
      <c r="C197" s="268">
        <v>17</v>
      </c>
      <c r="D197" s="268">
        <v>17</v>
      </c>
      <c r="E197" s="268">
        <v>34</v>
      </c>
      <c r="F197" s="268">
        <v>185</v>
      </c>
      <c r="G197" s="268">
        <v>186</v>
      </c>
      <c r="H197" s="268">
        <v>371</v>
      </c>
      <c r="I197" s="268">
        <v>33</v>
      </c>
      <c r="J197" s="268">
        <v>7</v>
      </c>
      <c r="K197" s="268">
        <v>40</v>
      </c>
      <c r="L197" s="268">
        <v>12</v>
      </c>
      <c r="M197" s="268">
        <v>9</v>
      </c>
      <c r="N197" s="268">
        <v>21</v>
      </c>
      <c r="O197" s="324">
        <v>247</v>
      </c>
      <c r="P197" s="324">
        <v>219</v>
      </c>
      <c r="Q197" s="324">
        <v>466</v>
      </c>
      <c r="R197" s="13"/>
      <c r="S197" s="13"/>
      <c r="T197" s="13"/>
      <c r="U197" s="13"/>
      <c r="V197" s="13"/>
      <c r="W197" s="13"/>
      <c r="X197" s="13"/>
    </row>
    <row r="198" spans="2:24" x14ac:dyDescent="0.25">
      <c r="B198" s="136" t="s">
        <v>392</v>
      </c>
      <c r="C198" s="268">
        <v>4</v>
      </c>
      <c r="D198" s="268">
        <v>3</v>
      </c>
      <c r="E198" s="268">
        <v>7</v>
      </c>
      <c r="F198" s="268">
        <v>53</v>
      </c>
      <c r="G198" s="268">
        <v>50</v>
      </c>
      <c r="H198" s="268">
        <v>103</v>
      </c>
      <c r="I198" s="268">
        <v>8</v>
      </c>
      <c r="J198" s="268">
        <v>4</v>
      </c>
      <c r="K198" s="268">
        <v>12</v>
      </c>
      <c r="L198" s="268">
        <v>2</v>
      </c>
      <c r="M198" s="268">
        <v>4</v>
      </c>
      <c r="N198" s="268">
        <v>6</v>
      </c>
      <c r="O198" s="324">
        <v>67</v>
      </c>
      <c r="P198" s="324">
        <v>61</v>
      </c>
      <c r="Q198" s="324">
        <v>128</v>
      </c>
      <c r="R198" s="13"/>
      <c r="S198" s="13"/>
      <c r="T198" s="13"/>
      <c r="U198" s="13"/>
      <c r="V198" s="13"/>
      <c r="W198" s="13"/>
      <c r="X198" s="13"/>
    </row>
    <row r="199" spans="2:24" x14ac:dyDescent="0.25">
      <c r="B199" s="136" t="s">
        <v>393</v>
      </c>
      <c r="C199" s="268">
        <v>11</v>
      </c>
      <c r="D199" s="268">
        <v>28</v>
      </c>
      <c r="E199" s="268">
        <v>39</v>
      </c>
      <c r="F199" s="268">
        <v>248</v>
      </c>
      <c r="G199" s="268">
        <v>193</v>
      </c>
      <c r="H199" s="268">
        <v>441</v>
      </c>
      <c r="I199" s="268">
        <v>33</v>
      </c>
      <c r="J199" s="268">
        <v>18</v>
      </c>
      <c r="K199" s="268">
        <v>51</v>
      </c>
      <c r="L199" s="268">
        <v>15</v>
      </c>
      <c r="M199" s="268">
        <v>19</v>
      </c>
      <c r="N199" s="268">
        <v>34</v>
      </c>
      <c r="O199" s="324">
        <v>307</v>
      </c>
      <c r="P199" s="324">
        <v>258</v>
      </c>
      <c r="Q199" s="324">
        <v>565</v>
      </c>
      <c r="R199" s="13"/>
      <c r="S199" s="13"/>
      <c r="T199" s="13"/>
      <c r="U199" s="13"/>
      <c r="V199" s="13"/>
      <c r="W199" s="13"/>
      <c r="X199" s="13"/>
    </row>
    <row r="200" spans="2:24" x14ac:dyDescent="0.25">
      <c r="B200" s="136" t="s">
        <v>394</v>
      </c>
      <c r="C200" s="268">
        <v>8</v>
      </c>
      <c r="D200" s="268">
        <v>14</v>
      </c>
      <c r="E200" s="268">
        <v>22</v>
      </c>
      <c r="F200" s="268">
        <v>58</v>
      </c>
      <c r="G200" s="268">
        <v>39</v>
      </c>
      <c r="H200" s="268">
        <v>97</v>
      </c>
      <c r="I200" s="268">
        <v>9</v>
      </c>
      <c r="J200" s="268">
        <v>9</v>
      </c>
      <c r="K200" s="268">
        <v>18</v>
      </c>
      <c r="L200" s="268">
        <v>2</v>
      </c>
      <c r="M200" s="268">
        <v>2</v>
      </c>
      <c r="N200" s="268">
        <v>4</v>
      </c>
      <c r="O200" s="324">
        <v>77</v>
      </c>
      <c r="P200" s="324">
        <v>64</v>
      </c>
      <c r="Q200" s="324">
        <v>141</v>
      </c>
      <c r="R200" s="13"/>
      <c r="S200" s="13"/>
      <c r="T200" s="13"/>
      <c r="U200" s="13"/>
      <c r="V200" s="13"/>
      <c r="W200" s="13"/>
      <c r="X200" s="13"/>
    </row>
    <row r="201" spans="2:24" x14ac:dyDescent="0.25">
      <c r="B201" s="136" t="s">
        <v>395</v>
      </c>
      <c r="C201" s="268">
        <v>13</v>
      </c>
      <c r="D201" s="268">
        <v>14</v>
      </c>
      <c r="E201" s="268">
        <v>27</v>
      </c>
      <c r="F201" s="268">
        <v>188</v>
      </c>
      <c r="G201" s="268">
        <v>178</v>
      </c>
      <c r="H201" s="268">
        <v>366</v>
      </c>
      <c r="I201" s="268">
        <v>25</v>
      </c>
      <c r="J201" s="268">
        <v>17</v>
      </c>
      <c r="K201" s="268">
        <v>42</v>
      </c>
      <c r="L201" s="268">
        <v>7</v>
      </c>
      <c r="M201" s="268">
        <v>15</v>
      </c>
      <c r="N201" s="268">
        <v>22</v>
      </c>
      <c r="O201" s="324">
        <v>233</v>
      </c>
      <c r="P201" s="324">
        <v>224</v>
      </c>
      <c r="Q201" s="324">
        <v>457</v>
      </c>
      <c r="R201" s="13"/>
      <c r="S201" s="13"/>
      <c r="T201" s="13"/>
      <c r="U201" s="13"/>
      <c r="V201" s="13"/>
      <c r="W201" s="13"/>
      <c r="X201" s="13"/>
    </row>
    <row r="202" spans="2:24" x14ac:dyDescent="0.25">
      <c r="B202" s="136" t="s">
        <v>396</v>
      </c>
      <c r="C202" s="268">
        <v>6</v>
      </c>
      <c r="D202" s="268">
        <v>9</v>
      </c>
      <c r="E202" s="268">
        <v>15</v>
      </c>
      <c r="F202" s="268">
        <v>106</v>
      </c>
      <c r="G202" s="268">
        <v>91</v>
      </c>
      <c r="H202" s="268">
        <v>197</v>
      </c>
      <c r="I202" s="268">
        <v>19</v>
      </c>
      <c r="J202" s="268">
        <v>11</v>
      </c>
      <c r="K202" s="268">
        <v>30</v>
      </c>
      <c r="L202" s="268">
        <v>8</v>
      </c>
      <c r="M202" s="268">
        <v>19</v>
      </c>
      <c r="N202" s="268">
        <v>27</v>
      </c>
      <c r="O202" s="324">
        <v>139</v>
      </c>
      <c r="P202" s="324">
        <v>130</v>
      </c>
      <c r="Q202" s="324">
        <v>269</v>
      </c>
      <c r="R202" s="13"/>
      <c r="S202" s="13"/>
      <c r="T202" s="13"/>
      <c r="U202" s="13"/>
      <c r="V202" s="13"/>
      <c r="W202" s="13"/>
      <c r="X202" s="13"/>
    </row>
    <row r="203" spans="2:24" x14ac:dyDescent="0.25">
      <c r="B203" s="136" t="s">
        <v>397</v>
      </c>
      <c r="C203" s="268">
        <v>13</v>
      </c>
      <c r="D203" s="268">
        <v>14</v>
      </c>
      <c r="E203" s="268">
        <v>27</v>
      </c>
      <c r="F203" s="268">
        <v>130</v>
      </c>
      <c r="G203" s="268">
        <v>101</v>
      </c>
      <c r="H203" s="268">
        <v>231</v>
      </c>
      <c r="I203" s="268">
        <v>16</v>
      </c>
      <c r="J203" s="268">
        <v>8</v>
      </c>
      <c r="K203" s="268">
        <v>24</v>
      </c>
      <c r="L203" s="268">
        <v>5</v>
      </c>
      <c r="M203" s="268">
        <v>7</v>
      </c>
      <c r="N203" s="268">
        <v>12</v>
      </c>
      <c r="O203" s="324">
        <v>164</v>
      </c>
      <c r="P203" s="324">
        <v>130</v>
      </c>
      <c r="Q203" s="324">
        <v>294</v>
      </c>
      <c r="R203" s="13"/>
      <c r="S203" s="13"/>
      <c r="T203" s="13"/>
      <c r="U203" s="13"/>
      <c r="V203" s="13"/>
      <c r="W203" s="13"/>
      <c r="X203" s="13"/>
    </row>
    <row r="204" spans="2:24" x14ac:dyDescent="0.25">
      <c r="B204" s="136" t="s">
        <v>398</v>
      </c>
      <c r="C204" s="268">
        <v>3</v>
      </c>
      <c r="D204" s="268">
        <v>4</v>
      </c>
      <c r="E204" s="268">
        <v>7</v>
      </c>
      <c r="F204" s="268">
        <v>65</v>
      </c>
      <c r="G204" s="268">
        <v>59</v>
      </c>
      <c r="H204" s="268">
        <v>124</v>
      </c>
      <c r="I204" s="268">
        <v>9</v>
      </c>
      <c r="J204" s="268">
        <v>3</v>
      </c>
      <c r="K204" s="268">
        <v>12</v>
      </c>
      <c r="L204" s="268">
        <v>3</v>
      </c>
      <c r="M204" s="268">
        <v>1</v>
      </c>
      <c r="N204" s="268">
        <v>4</v>
      </c>
      <c r="O204" s="324">
        <v>80</v>
      </c>
      <c r="P204" s="324">
        <v>67</v>
      </c>
      <c r="Q204" s="324">
        <v>147</v>
      </c>
      <c r="R204" s="13"/>
      <c r="S204" s="13"/>
      <c r="T204" s="13"/>
      <c r="U204" s="13"/>
      <c r="V204" s="13"/>
      <c r="W204" s="13"/>
      <c r="X204" s="13"/>
    </row>
    <row r="205" spans="2:24" x14ac:dyDescent="0.25">
      <c r="B205" s="136" t="s">
        <v>399</v>
      </c>
      <c r="C205" s="268">
        <v>10</v>
      </c>
      <c r="D205" s="268">
        <v>9</v>
      </c>
      <c r="E205" s="268">
        <v>19</v>
      </c>
      <c r="F205" s="268">
        <v>152</v>
      </c>
      <c r="G205" s="268">
        <v>144</v>
      </c>
      <c r="H205" s="268">
        <v>296</v>
      </c>
      <c r="I205" s="268">
        <v>15</v>
      </c>
      <c r="J205" s="268">
        <v>8</v>
      </c>
      <c r="K205" s="268">
        <v>23</v>
      </c>
      <c r="L205" s="268">
        <v>4</v>
      </c>
      <c r="M205" s="268">
        <v>11</v>
      </c>
      <c r="N205" s="268">
        <v>15</v>
      </c>
      <c r="O205" s="324">
        <v>181</v>
      </c>
      <c r="P205" s="324">
        <v>172</v>
      </c>
      <c r="Q205" s="324">
        <v>353</v>
      </c>
      <c r="R205" s="13"/>
      <c r="S205" s="13"/>
      <c r="T205" s="13"/>
      <c r="U205" s="13"/>
      <c r="V205" s="13"/>
      <c r="W205" s="13"/>
      <c r="X205" s="13"/>
    </row>
    <row r="206" spans="2:24" x14ac:dyDescent="0.25">
      <c r="B206" s="136" t="s">
        <v>400</v>
      </c>
      <c r="C206" s="268">
        <v>35</v>
      </c>
      <c r="D206" s="268">
        <v>51</v>
      </c>
      <c r="E206" s="268">
        <v>86</v>
      </c>
      <c r="F206" s="268">
        <v>648</v>
      </c>
      <c r="G206" s="268">
        <v>538</v>
      </c>
      <c r="H206" s="268">
        <v>1186</v>
      </c>
      <c r="I206" s="268">
        <v>60</v>
      </c>
      <c r="J206" s="268">
        <v>43</v>
      </c>
      <c r="K206" s="268">
        <v>103</v>
      </c>
      <c r="L206" s="268">
        <v>17</v>
      </c>
      <c r="M206" s="268">
        <v>18</v>
      </c>
      <c r="N206" s="268">
        <v>35</v>
      </c>
      <c r="O206" s="324">
        <v>760</v>
      </c>
      <c r="P206" s="324">
        <v>650</v>
      </c>
      <c r="Q206" s="324">
        <v>1410</v>
      </c>
      <c r="R206" s="13"/>
      <c r="S206" s="13"/>
      <c r="T206" s="13"/>
      <c r="U206" s="13"/>
      <c r="V206" s="13"/>
      <c r="W206" s="13"/>
      <c r="X206" s="13"/>
    </row>
    <row r="207" spans="2:24" x14ac:dyDescent="0.25">
      <c r="B207" s="136" t="s">
        <v>401</v>
      </c>
      <c r="C207" s="268">
        <v>21</v>
      </c>
      <c r="D207" s="268">
        <v>24</v>
      </c>
      <c r="E207" s="268">
        <v>45</v>
      </c>
      <c r="F207" s="268">
        <v>206</v>
      </c>
      <c r="G207" s="268">
        <v>201</v>
      </c>
      <c r="H207" s="268">
        <v>407</v>
      </c>
      <c r="I207" s="268">
        <v>24</v>
      </c>
      <c r="J207" s="268">
        <v>15</v>
      </c>
      <c r="K207" s="268">
        <v>39</v>
      </c>
      <c r="L207" s="268">
        <v>11</v>
      </c>
      <c r="M207" s="268">
        <v>14</v>
      </c>
      <c r="N207" s="268">
        <v>25</v>
      </c>
      <c r="O207" s="324">
        <v>262</v>
      </c>
      <c r="P207" s="324">
        <v>254</v>
      </c>
      <c r="Q207" s="324">
        <v>516</v>
      </c>
      <c r="R207" s="13"/>
      <c r="S207" s="13"/>
      <c r="T207" s="13"/>
      <c r="U207" s="13"/>
      <c r="V207" s="13"/>
      <c r="W207" s="13"/>
      <c r="X207" s="13"/>
    </row>
    <row r="208" spans="2:24" x14ac:dyDescent="0.25">
      <c r="B208" s="136" t="s">
        <v>402</v>
      </c>
      <c r="C208" s="268">
        <v>16</v>
      </c>
      <c r="D208" s="268">
        <v>21</v>
      </c>
      <c r="E208" s="268">
        <v>37</v>
      </c>
      <c r="F208" s="268">
        <v>231</v>
      </c>
      <c r="G208" s="268">
        <v>227</v>
      </c>
      <c r="H208" s="268">
        <v>458</v>
      </c>
      <c r="I208" s="268">
        <v>61</v>
      </c>
      <c r="J208" s="268">
        <v>29</v>
      </c>
      <c r="K208" s="268">
        <v>90</v>
      </c>
      <c r="L208" s="268">
        <v>15</v>
      </c>
      <c r="M208" s="268">
        <v>11</v>
      </c>
      <c r="N208" s="268">
        <v>26</v>
      </c>
      <c r="O208" s="324">
        <v>323</v>
      </c>
      <c r="P208" s="324">
        <v>288</v>
      </c>
      <c r="Q208" s="324">
        <v>611</v>
      </c>
      <c r="R208" s="13"/>
      <c r="S208" s="13"/>
      <c r="T208" s="13"/>
      <c r="U208" s="13"/>
      <c r="V208" s="13"/>
      <c r="W208" s="13"/>
      <c r="X208" s="13"/>
    </row>
    <row r="209" spans="2:24" x14ac:dyDescent="0.25">
      <c r="B209" s="136" t="s">
        <v>403</v>
      </c>
      <c r="C209" s="268">
        <v>8</v>
      </c>
      <c r="D209" s="268">
        <v>7</v>
      </c>
      <c r="E209" s="268">
        <v>15</v>
      </c>
      <c r="F209" s="268">
        <v>170</v>
      </c>
      <c r="G209" s="268">
        <v>98</v>
      </c>
      <c r="H209" s="268">
        <v>268</v>
      </c>
      <c r="I209" s="268">
        <v>3</v>
      </c>
      <c r="J209" s="268">
        <v>6</v>
      </c>
      <c r="K209" s="268">
        <v>9</v>
      </c>
      <c r="L209" s="268">
        <v>1</v>
      </c>
      <c r="M209" s="268">
        <v>2</v>
      </c>
      <c r="N209" s="268">
        <v>3</v>
      </c>
      <c r="O209" s="324">
        <v>182</v>
      </c>
      <c r="P209" s="324">
        <v>113</v>
      </c>
      <c r="Q209" s="324">
        <v>295</v>
      </c>
      <c r="R209" s="13"/>
      <c r="S209" s="13"/>
      <c r="T209" s="13"/>
      <c r="U209" s="13"/>
      <c r="V209" s="13"/>
      <c r="W209" s="13"/>
      <c r="X209" s="13"/>
    </row>
    <row r="210" spans="2:24" x14ac:dyDescent="0.25">
      <c r="B210" s="136" t="s">
        <v>404</v>
      </c>
      <c r="C210" s="268">
        <v>15</v>
      </c>
      <c r="D210" s="268">
        <v>8</v>
      </c>
      <c r="E210" s="268">
        <v>23</v>
      </c>
      <c r="F210" s="268">
        <v>119</v>
      </c>
      <c r="G210" s="268">
        <v>103</v>
      </c>
      <c r="H210" s="268">
        <v>222</v>
      </c>
      <c r="I210" s="268">
        <v>23</v>
      </c>
      <c r="J210" s="268">
        <v>17</v>
      </c>
      <c r="K210" s="268">
        <v>40</v>
      </c>
      <c r="L210" s="268">
        <v>8</v>
      </c>
      <c r="M210" s="268">
        <v>3</v>
      </c>
      <c r="N210" s="268">
        <v>11</v>
      </c>
      <c r="O210" s="324">
        <v>165</v>
      </c>
      <c r="P210" s="324">
        <v>131</v>
      </c>
      <c r="Q210" s="324">
        <v>296</v>
      </c>
      <c r="R210" s="13"/>
      <c r="S210" s="13"/>
      <c r="T210" s="13"/>
      <c r="U210" s="13"/>
      <c r="V210" s="13"/>
      <c r="W210" s="13"/>
      <c r="X210" s="13"/>
    </row>
    <row r="211" spans="2:24" x14ac:dyDescent="0.25">
      <c r="B211" s="136" t="s">
        <v>405</v>
      </c>
      <c r="C211" s="268">
        <v>22</v>
      </c>
      <c r="D211" s="268">
        <v>14</v>
      </c>
      <c r="E211" s="268">
        <v>36</v>
      </c>
      <c r="F211" s="268">
        <v>547</v>
      </c>
      <c r="G211" s="268">
        <v>247</v>
      </c>
      <c r="H211" s="268">
        <v>794</v>
      </c>
      <c r="I211" s="268">
        <v>10</v>
      </c>
      <c r="J211" s="268">
        <v>12</v>
      </c>
      <c r="K211" s="268">
        <v>22</v>
      </c>
      <c r="L211" s="268">
        <v>9</v>
      </c>
      <c r="M211" s="268">
        <v>6</v>
      </c>
      <c r="N211" s="268">
        <v>15</v>
      </c>
      <c r="O211" s="324">
        <v>588</v>
      </c>
      <c r="P211" s="324">
        <v>279</v>
      </c>
      <c r="Q211" s="324">
        <v>867</v>
      </c>
      <c r="R211" s="13"/>
      <c r="S211" s="13"/>
      <c r="T211" s="13"/>
      <c r="U211" s="13"/>
      <c r="V211" s="13"/>
      <c r="W211" s="13"/>
      <c r="X211" s="13"/>
    </row>
    <row r="212" spans="2:24" x14ac:dyDescent="0.25">
      <c r="B212" s="136" t="s">
        <v>406</v>
      </c>
      <c r="C212" s="268">
        <v>5</v>
      </c>
      <c r="D212" s="268">
        <v>5</v>
      </c>
      <c r="E212" s="268">
        <v>10</v>
      </c>
      <c r="F212" s="268">
        <v>112</v>
      </c>
      <c r="G212" s="268">
        <v>59</v>
      </c>
      <c r="H212" s="268">
        <v>171</v>
      </c>
      <c r="I212" s="268">
        <v>7</v>
      </c>
      <c r="J212" s="268">
        <v>1</v>
      </c>
      <c r="K212" s="268">
        <v>8</v>
      </c>
      <c r="L212" s="268">
        <v>2</v>
      </c>
      <c r="M212" s="268">
        <v>3</v>
      </c>
      <c r="N212" s="268">
        <v>5</v>
      </c>
      <c r="O212" s="324">
        <v>126</v>
      </c>
      <c r="P212" s="324">
        <v>68</v>
      </c>
      <c r="Q212" s="324">
        <v>194</v>
      </c>
      <c r="R212" s="13"/>
      <c r="S212" s="13"/>
      <c r="T212" s="13"/>
      <c r="U212" s="13"/>
      <c r="V212" s="13"/>
      <c r="W212" s="13"/>
      <c r="X212" s="13"/>
    </row>
    <row r="213" spans="2:24" x14ac:dyDescent="0.25">
      <c r="B213" s="136" t="s">
        <v>407</v>
      </c>
      <c r="C213" s="268">
        <v>13</v>
      </c>
      <c r="D213" s="268">
        <v>15</v>
      </c>
      <c r="E213" s="268">
        <v>28</v>
      </c>
      <c r="F213" s="268">
        <v>162</v>
      </c>
      <c r="G213" s="268">
        <v>169</v>
      </c>
      <c r="H213" s="268">
        <v>331</v>
      </c>
      <c r="I213" s="268">
        <v>22</v>
      </c>
      <c r="J213" s="268">
        <v>15</v>
      </c>
      <c r="K213" s="268">
        <v>37</v>
      </c>
      <c r="L213" s="268">
        <v>9</v>
      </c>
      <c r="M213" s="268">
        <v>13</v>
      </c>
      <c r="N213" s="268">
        <v>22</v>
      </c>
      <c r="O213" s="324">
        <v>206</v>
      </c>
      <c r="P213" s="324">
        <v>212</v>
      </c>
      <c r="Q213" s="324">
        <v>418</v>
      </c>
      <c r="R213" s="13"/>
      <c r="S213" s="13"/>
      <c r="T213" s="13"/>
      <c r="U213" s="13"/>
      <c r="V213" s="13"/>
      <c r="W213" s="13"/>
      <c r="X213" s="13"/>
    </row>
    <row r="214" spans="2:24" x14ac:dyDescent="0.25">
      <c r="B214" s="136" t="s">
        <v>408</v>
      </c>
      <c r="C214" s="268">
        <v>15</v>
      </c>
      <c r="D214" s="268">
        <v>14</v>
      </c>
      <c r="E214" s="268">
        <v>29</v>
      </c>
      <c r="F214" s="268">
        <v>152</v>
      </c>
      <c r="G214" s="268">
        <v>130</v>
      </c>
      <c r="H214" s="268">
        <v>282</v>
      </c>
      <c r="I214" s="268">
        <v>20</v>
      </c>
      <c r="J214" s="268">
        <v>9</v>
      </c>
      <c r="K214" s="268">
        <v>29</v>
      </c>
      <c r="L214" s="268">
        <v>10</v>
      </c>
      <c r="M214" s="268">
        <v>10</v>
      </c>
      <c r="N214" s="268">
        <v>20</v>
      </c>
      <c r="O214" s="324">
        <v>197</v>
      </c>
      <c r="P214" s="324">
        <v>163</v>
      </c>
      <c r="Q214" s="324">
        <v>360</v>
      </c>
      <c r="R214" s="13"/>
      <c r="S214" s="13"/>
      <c r="T214" s="13"/>
      <c r="U214" s="13"/>
      <c r="V214" s="13"/>
      <c r="W214" s="13"/>
      <c r="X214" s="13"/>
    </row>
    <row r="215" spans="2:24" x14ac:dyDescent="0.25">
      <c r="B215" s="136" t="s">
        <v>409</v>
      </c>
      <c r="C215" s="268">
        <v>15</v>
      </c>
      <c r="D215" s="268">
        <v>12</v>
      </c>
      <c r="E215" s="268">
        <v>27</v>
      </c>
      <c r="F215" s="268">
        <v>197</v>
      </c>
      <c r="G215" s="268">
        <v>153</v>
      </c>
      <c r="H215" s="268">
        <v>350</v>
      </c>
      <c r="I215" s="268">
        <v>14</v>
      </c>
      <c r="J215" s="268">
        <v>8</v>
      </c>
      <c r="K215" s="268">
        <v>22</v>
      </c>
      <c r="L215" s="268">
        <v>7</v>
      </c>
      <c r="M215" s="268">
        <v>9</v>
      </c>
      <c r="N215" s="268">
        <v>16</v>
      </c>
      <c r="O215" s="324">
        <v>233</v>
      </c>
      <c r="P215" s="324">
        <v>182</v>
      </c>
      <c r="Q215" s="324">
        <v>415</v>
      </c>
      <c r="R215" s="13"/>
      <c r="S215" s="13"/>
      <c r="T215" s="13"/>
      <c r="U215" s="13"/>
      <c r="V215" s="13"/>
      <c r="W215" s="13"/>
      <c r="X215" s="13"/>
    </row>
    <row r="216" spans="2:24" x14ac:dyDescent="0.25">
      <c r="B216" s="136" t="s">
        <v>410</v>
      </c>
      <c r="C216" s="268">
        <v>55</v>
      </c>
      <c r="D216" s="268">
        <v>77</v>
      </c>
      <c r="E216" s="268">
        <v>132</v>
      </c>
      <c r="F216" s="268">
        <v>862</v>
      </c>
      <c r="G216" s="268">
        <v>782</v>
      </c>
      <c r="H216" s="268">
        <v>1644</v>
      </c>
      <c r="I216" s="268">
        <v>82</v>
      </c>
      <c r="J216" s="268">
        <v>39</v>
      </c>
      <c r="K216" s="268">
        <v>121</v>
      </c>
      <c r="L216" s="268">
        <v>19</v>
      </c>
      <c r="M216" s="268">
        <v>34</v>
      </c>
      <c r="N216" s="268">
        <v>53</v>
      </c>
      <c r="O216" s="324">
        <v>1018</v>
      </c>
      <c r="P216" s="324">
        <v>932</v>
      </c>
      <c r="Q216" s="324">
        <v>1950</v>
      </c>
      <c r="R216" s="13"/>
      <c r="S216" s="13"/>
      <c r="T216" s="13"/>
      <c r="U216" s="13"/>
      <c r="V216" s="13"/>
      <c r="W216" s="13"/>
      <c r="X216" s="13"/>
    </row>
    <row r="217" spans="2:24" x14ac:dyDescent="0.25">
      <c r="B217" s="136" t="s">
        <v>411</v>
      </c>
      <c r="C217" s="268">
        <v>1</v>
      </c>
      <c r="D217" s="268">
        <v>1</v>
      </c>
      <c r="E217" s="268">
        <v>2</v>
      </c>
      <c r="F217" s="268">
        <v>26</v>
      </c>
      <c r="G217" s="268">
        <v>15</v>
      </c>
      <c r="H217" s="268">
        <v>41</v>
      </c>
      <c r="I217" s="268">
        <v>10</v>
      </c>
      <c r="J217" s="268">
        <v>1</v>
      </c>
      <c r="K217" s="268">
        <v>11</v>
      </c>
      <c r="L217" s="268">
        <v>1</v>
      </c>
      <c r="M217" s="268">
        <v>1</v>
      </c>
      <c r="N217" s="268">
        <v>2</v>
      </c>
      <c r="O217" s="324">
        <v>38</v>
      </c>
      <c r="P217" s="324">
        <v>18</v>
      </c>
      <c r="Q217" s="324">
        <v>56</v>
      </c>
      <c r="R217" s="13"/>
      <c r="S217" s="13"/>
      <c r="T217" s="13"/>
      <c r="U217" s="13"/>
      <c r="V217" s="13"/>
      <c r="W217" s="13"/>
      <c r="X217" s="13"/>
    </row>
    <row r="218" spans="2:24" x14ac:dyDescent="0.25">
      <c r="B218" s="136" t="s">
        <v>412</v>
      </c>
      <c r="C218" s="268">
        <v>23</v>
      </c>
      <c r="D218" s="268">
        <v>26</v>
      </c>
      <c r="E218" s="268">
        <v>49</v>
      </c>
      <c r="F218" s="268">
        <v>203</v>
      </c>
      <c r="G218" s="268">
        <v>197</v>
      </c>
      <c r="H218" s="268">
        <v>400</v>
      </c>
      <c r="I218" s="268">
        <v>61</v>
      </c>
      <c r="J218" s="268">
        <v>18</v>
      </c>
      <c r="K218" s="268">
        <v>79</v>
      </c>
      <c r="L218" s="268">
        <v>6</v>
      </c>
      <c r="M218" s="268">
        <v>13</v>
      </c>
      <c r="N218" s="268">
        <v>19</v>
      </c>
      <c r="O218" s="324">
        <v>293</v>
      </c>
      <c r="P218" s="324">
        <v>254</v>
      </c>
      <c r="Q218" s="324">
        <v>547</v>
      </c>
      <c r="R218" s="13"/>
      <c r="S218" s="13"/>
      <c r="T218" s="13"/>
      <c r="U218" s="13"/>
      <c r="V218" s="13"/>
      <c r="W218" s="13"/>
      <c r="X218" s="13"/>
    </row>
    <row r="219" spans="2:24" x14ac:dyDescent="0.25">
      <c r="B219" s="136" t="s">
        <v>413</v>
      </c>
      <c r="C219" s="268">
        <v>7</v>
      </c>
      <c r="D219" s="268">
        <v>7</v>
      </c>
      <c r="E219" s="268">
        <v>14</v>
      </c>
      <c r="F219" s="268">
        <v>103</v>
      </c>
      <c r="G219" s="268">
        <v>79</v>
      </c>
      <c r="H219" s="268">
        <v>182</v>
      </c>
      <c r="I219" s="268">
        <v>14</v>
      </c>
      <c r="J219" s="268">
        <v>3</v>
      </c>
      <c r="K219" s="268">
        <v>17</v>
      </c>
      <c r="L219" s="268">
        <v>5</v>
      </c>
      <c r="M219" s="268">
        <v>6</v>
      </c>
      <c r="N219" s="268">
        <v>11</v>
      </c>
      <c r="O219" s="324">
        <v>129</v>
      </c>
      <c r="P219" s="324">
        <v>95</v>
      </c>
      <c r="Q219" s="324">
        <v>224</v>
      </c>
      <c r="R219" s="13"/>
      <c r="S219" s="13"/>
      <c r="T219" s="13"/>
      <c r="U219" s="13"/>
      <c r="V219" s="13"/>
      <c r="W219" s="13"/>
      <c r="X219" s="13"/>
    </row>
    <row r="220" spans="2:24" x14ac:dyDescent="0.25">
      <c r="B220" s="136" t="s">
        <v>414</v>
      </c>
      <c r="C220" s="268">
        <v>9</v>
      </c>
      <c r="D220" s="268">
        <v>12</v>
      </c>
      <c r="E220" s="268">
        <v>21</v>
      </c>
      <c r="F220" s="268">
        <v>127</v>
      </c>
      <c r="G220" s="268">
        <v>107</v>
      </c>
      <c r="H220" s="268">
        <v>234</v>
      </c>
      <c r="I220" s="268">
        <v>11</v>
      </c>
      <c r="J220" s="268">
        <v>4</v>
      </c>
      <c r="K220" s="268">
        <v>15</v>
      </c>
      <c r="L220" s="268">
        <v>5</v>
      </c>
      <c r="M220" s="268">
        <v>8</v>
      </c>
      <c r="N220" s="268">
        <v>13</v>
      </c>
      <c r="O220" s="324">
        <v>152</v>
      </c>
      <c r="P220" s="324">
        <v>131</v>
      </c>
      <c r="Q220" s="324">
        <v>283</v>
      </c>
      <c r="R220" s="13"/>
      <c r="S220" s="13"/>
      <c r="T220" s="13"/>
      <c r="U220" s="13"/>
      <c r="V220" s="13"/>
      <c r="W220" s="13"/>
      <c r="X220" s="13"/>
    </row>
    <row r="221" spans="2:24" x14ac:dyDescent="0.25">
      <c r="B221" s="136" t="s">
        <v>415</v>
      </c>
      <c r="C221" s="268">
        <v>24</v>
      </c>
      <c r="D221" s="268">
        <v>16</v>
      </c>
      <c r="E221" s="268">
        <v>40</v>
      </c>
      <c r="F221" s="268">
        <v>177</v>
      </c>
      <c r="G221" s="268">
        <v>179</v>
      </c>
      <c r="H221" s="268">
        <v>356</v>
      </c>
      <c r="I221" s="268">
        <v>32</v>
      </c>
      <c r="J221" s="268">
        <v>15</v>
      </c>
      <c r="K221" s="268">
        <v>47</v>
      </c>
      <c r="L221" s="268">
        <v>11</v>
      </c>
      <c r="M221" s="268">
        <v>16</v>
      </c>
      <c r="N221" s="268">
        <v>27</v>
      </c>
      <c r="O221" s="324">
        <v>244</v>
      </c>
      <c r="P221" s="324">
        <v>226</v>
      </c>
      <c r="Q221" s="324">
        <v>470</v>
      </c>
      <c r="R221" s="13"/>
      <c r="S221" s="13"/>
      <c r="T221" s="13"/>
      <c r="U221" s="13"/>
      <c r="V221" s="13"/>
      <c r="W221" s="13"/>
      <c r="X221" s="13"/>
    </row>
    <row r="222" spans="2:24" x14ac:dyDescent="0.25">
      <c r="B222" s="136" t="s">
        <v>497</v>
      </c>
      <c r="C222" s="268">
        <v>13</v>
      </c>
      <c r="D222" s="268">
        <v>10</v>
      </c>
      <c r="E222" s="268">
        <v>23</v>
      </c>
      <c r="F222" s="268">
        <v>117</v>
      </c>
      <c r="G222" s="268">
        <v>112</v>
      </c>
      <c r="H222" s="268">
        <v>229</v>
      </c>
      <c r="I222" s="268">
        <v>12</v>
      </c>
      <c r="J222" s="268">
        <v>8</v>
      </c>
      <c r="K222" s="268">
        <v>20</v>
      </c>
      <c r="L222" s="268">
        <v>7</v>
      </c>
      <c r="M222" s="268">
        <v>11</v>
      </c>
      <c r="N222" s="268">
        <v>18</v>
      </c>
      <c r="O222" s="324">
        <v>149</v>
      </c>
      <c r="P222" s="324">
        <v>141</v>
      </c>
      <c r="Q222" s="324">
        <v>290</v>
      </c>
      <c r="R222" s="13"/>
      <c r="S222" s="13"/>
      <c r="T222" s="13"/>
      <c r="U222" s="13"/>
      <c r="V222" s="13"/>
      <c r="W222" s="13"/>
      <c r="X222" s="13"/>
    </row>
    <row r="223" spans="2:24" x14ac:dyDescent="0.25">
      <c r="B223" s="136" t="s">
        <v>498</v>
      </c>
      <c r="C223" s="268">
        <v>13</v>
      </c>
      <c r="D223" s="268">
        <v>29</v>
      </c>
      <c r="E223" s="268">
        <v>42</v>
      </c>
      <c r="F223" s="268">
        <v>312</v>
      </c>
      <c r="G223" s="268">
        <v>233</v>
      </c>
      <c r="H223" s="268">
        <v>545</v>
      </c>
      <c r="I223" s="268">
        <v>48</v>
      </c>
      <c r="J223" s="268">
        <v>21</v>
      </c>
      <c r="K223" s="268">
        <v>69</v>
      </c>
      <c r="L223" s="268">
        <v>14</v>
      </c>
      <c r="M223" s="268">
        <v>23</v>
      </c>
      <c r="N223" s="268">
        <v>37</v>
      </c>
      <c r="O223" s="324">
        <v>387</v>
      </c>
      <c r="P223" s="324">
        <v>306</v>
      </c>
      <c r="Q223" s="324">
        <v>693</v>
      </c>
      <c r="R223" s="13"/>
      <c r="S223" s="13"/>
      <c r="T223" s="13"/>
      <c r="U223" s="13"/>
      <c r="V223" s="13"/>
      <c r="W223" s="13"/>
      <c r="X223" s="13"/>
    </row>
    <row r="224" spans="2:24" x14ac:dyDescent="0.25">
      <c r="B224" s="136" t="s">
        <v>416</v>
      </c>
      <c r="C224" s="268">
        <v>3</v>
      </c>
      <c r="D224" s="268">
        <v>4</v>
      </c>
      <c r="E224" s="268">
        <v>7</v>
      </c>
      <c r="F224" s="268">
        <v>49</v>
      </c>
      <c r="G224" s="268">
        <v>46</v>
      </c>
      <c r="H224" s="268">
        <v>95</v>
      </c>
      <c r="I224" s="268">
        <v>3</v>
      </c>
      <c r="J224" s="268"/>
      <c r="K224" s="268">
        <v>3</v>
      </c>
      <c r="L224" s="268">
        <v>1</v>
      </c>
      <c r="M224" s="268">
        <v>2</v>
      </c>
      <c r="N224" s="268">
        <v>3</v>
      </c>
      <c r="O224" s="324">
        <v>56</v>
      </c>
      <c r="P224" s="324">
        <v>52</v>
      </c>
      <c r="Q224" s="324">
        <v>108</v>
      </c>
      <c r="R224" s="13"/>
      <c r="S224" s="13"/>
      <c r="T224" s="13"/>
      <c r="U224" s="13"/>
      <c r="V224" s="13"/>
      <c r="W224" s="13"/>
      <c r="X224" s="13"/>
    </row>
    <row r="225" spans="2:24" x14ac:dyDescent="0.25">
      <c r="B225" s="136" t="s">
        <v>417</v>
      </c>
      <c r="C225" s="268">
        <v>17</v>
      </c>
      <c r="D225" s="268">
        <v>7</v>
      </c>
      <c r="E225" s="268">
        <v>24</v>
      </c>
      <c r="F225" s="268">
        <v>250</v>
      </c>
      <c r="G225" s="268">
        <v>127</v>
      </c>
      <c r="H225" s="268">
        <v>377</v>
      </c>
      <c r="I225" s="268">
        <v>6</v>
      </c>
      <c r="J225" s="268">
        <v>5</v>
      </c>
      <c r="K225" s="268">
        <v>11</v>
      </c>
      <c r="L225" s="268">
        <v>5</v>
      </c>
      <c r="M225" s="268">
        <v>2</v>
      </c>
      <c r="N225" s="268">
        <v>7</v>
      </c>
      <c r="O225" s="324">
        <v>278</v>
      </c>
      <c r="P225" s="324">
        <v>141</v>
      </c>
      <c r="Q225" s="324">
        <v>419</v>
      </c>
      <c r="R225" s="13"/>
      <c r="S225" s="13"/>
      <c r="T225" s="13"/>
      <c r="U225" s="13"/>
      <c r="V225" s="13"/>
      <c r="W225" s="13"/>
      <c r="X225" s="13"/>
    </row>
    <row r="226" spans="2:24" x14ac:dyDescent="0.25">
      <c r="B226" s="136" t="s">
        <v>418</v>
      </c>
      <c r="C226" s="268">
        <v>20</v>
      </c>
      <c r="D226" s="268">
        <v>36</v>
      </c>
      <c r="E226" s="268">
        <v>56</v>
      </c>
      <c r="F226" s="268">
        <v>335</v>
      </c>
      <c r="G226" s="268">
        <v>331</v>
      </c>
      <c r="H226" s="268">
        <v>666</v>
      </c>
      <c r="I226" s="268">
        <v>69</v>
      </c>
      <c r="J226" s="268">
        <v>24</v>
      </c>
      <c r="K226" s="268">
        <v>93</v>
      </c>
      <c r="L226" s="268">
        <v>15</v>
      </c>
      <c r="M226" s="268">
        <v>24</v>
      </c>
      <c r="N226" s="268">
        <v>39</v>
      </c>
      <c r="O226" s="324">
        <v>439</v>
      </c>
      <c r="P226" s="324">
        <v>415</v>
      </c>
      <c r="Q226" s="324">
        <v>854</v>
      </c>
      <c r="R226" s="13"/>
      <c r="S226" s="13"/>
      <c r="T226" s="13"/>
      <c r="U226" s="13"/>
      <c r="V226" s="13"/>
      <c r="W226" s="13"/>
      <c r="X226" s="13"/>
    </row>
    <row r="227" spans="2:24" x14ac:dyDescent="0.25">
      <c r="B227" s="136" t="s">
        <v>419</v>
      </c>
      <c r="C227" s="268">
        <v>57</v>
      </c>
      <c r="D227" s="268">
        <v>69</v>
      </c>
      <c r="E227" s="268">
        <v>126</v>
      </c>
      <c r="F227" s="268">
        <v>905</v>
      </c>
      <c r="G227" s="268">
        <v>811</v>
      </c>
      <c r="H227" s="268">
        <v>1716</v>
      </c>
      <c r="I227" s="268">
        <v>133</v>
      </c>
      <c r="J227" s="268">
        <v>51</v>
      </c>
      <c r="K227" s="268">
        <v>184</v>
      </c>
      <c r="L227" s="268">
        <v>32</v>
      </c>
      <c r="M227" s="268">
        <v>56</v>
      </c>
      <c r="N227" s="268">
        <v>88</v>
      </c>
      <c r="O227" s="324">
        <v>1127</v>
      </c>
      <c r="P227" s="324">
        <v>987</v>
      </c>
      <c r="Q227" s="324">
        <v>2114</v>
      </c>
      <c r="R227" s="13"/>
      <c r="S227" s="13"/>
      <c r="T227" s="13"/>
      <c r="U227" s="13"/>
      <c r="V227" s="13"/>
      <c r="W227" s="13"/>
      <c r="X227" s="13"/>
    </row>
    <row r="228" spans="2:24" x14ac:dyDescent="0.25">
      <c r="B228" s="136" t="s">
        <v>420</v>
      </c>
      <c r="C228" s="268">
        <v>20</v>
      </c>
      <c r="D228" s="268">
        <v>23</v>
      </c>
      <c r="E228" s="268">
        <v>43</v>
      </c>
      <c r="F228" s="268">
        <v>256</v>
      </c>
      <c r="G228" s="268">
        <v>210</v>
      </c>
      <c r="H228" s="268">
        <v>466</v>
      </c>
      <c r="I228" s="268">
        <v>32</v>
      </c>
      <c r="J228" s="268">
        <v>12</v>
      </c>
      <c r="K228" s="268">
        <v>44</v>
      </c>
      <c r="L228" s="268">
        <v>10</v>
      </c>
      <c r="M228" s="268">
        <v>13</v>
      </c>
      <c r="N228" s="268">
        <v>23</v>
      </c>
      <c r="O228" s="324">
        <v>318</v>
      </c>
      <c r="P228" s="324">
        <v>258</v>
      </c>
      <c r="Q228" s="324">
        <v>576</v>
      </c>
      <c r="R228" s="13"/>
      <c r="S228" s="13"/>
      <c r="T228" s="13"/>
      <c r="U228" s="13"/>
      <c r="V228" s="13"/>
      <c r="W228" s="13"/>
      <c r="X228" s="13"/>
    </row>
    <row r="229" spans="2:24" x14ac:dyDescent="0.25">
      <c r="B229" s="136" t="s">
        <v>421</v>
      </c>
      <c r="C229" s="268">
        <v>13</v>
      </c>
      <c r="D229" s="268">
        <v>21</v>
      </c>
      <c r="E229" s="268">
        <v>34</v>
      </c>
      <c r="F229" s="268">
        <v>163</v>
      </c>
      <c r="G229" s="268">
        <v>156</v>
      </c>
      <c r="H229" s="268">
        <v>319</v>
      </c>
      <c r="I229" s="268">
        <v>21</v>
      </c>
      <c r="J229" s="268">
        <v>10</v>
      </c>
      <c r="K229" s="268">
        <v>31</v>
      </c>
      <c r="L229" s="268">
        <v>8</v>
      </c>
      <c r="M229" s="268">
        <v>14</v>
      </c>
      <c r="N229" s="268">
        <v>22</v>
      </c>
      <c r="O229" s="324">
        <v>205</v>
      </c>
      <c r="P229" s="324">
        <v>201</v>
      </c>
      <c r="Q229" s="324">
        <v>406</v>
      </c>
      <c r="R229" s="13"/>
      <c r="S229" s="13"/>
      <c r="T229" s="13"/>
      <c r="U229" s="13"/>
      <c r="V229" s="13"/>
      <c r="W229" s="13"/>
      <c r="X229" s="13"/>
    </row>
    <row r="230" spans="2:24" x14ac:dyDescent="0.25">
      <c r="B230" s="136" t="s">
        <v>422</v>
      </c>
      <c r="C230" s="268">
        <v>21</v>
      </c>
      <c r="D230" s="268">
        <v>21</v>
      </c>
      <c r="E230" s="268">
        <v>42</v>
      </c>
      <c r="F230" s="268">
        <v>218</v>
      </c>
      <c r="G230" s="268">
        <v>238</v>
      </c>
      <c r="H230" s="268">
        <v>456</v>
      </c>
      <c r="I230" s="268">
        <v>22</v>
      </c>
      <c r="J230" s="268">
        <v>9</v>
      </c>
      <c r="K230" s="268">
        <v>31</v>
      </c>
      <c r="L230" s="268">
        <v>11</v>
      </c>
      <c r="M230" s="268">
        <v>17</v>
      </c>
      <c r="N230" s="268">
        <v>28</v>
      </c>
      <c r="O230" s="324">
        <v>272</v>
      </c>
      <c r="P230" s="324">
        <v>285</v>
      </c>
      <c r="Q230" s="324">
        <v>557</v>
      </c>
      <c r="R230" s="13"/>
      <c r="S230" s="13"/>
      <c r="T230" s="13"/>
      <c r="U230" s="13"/>
      <c r="V230" s="13"/>
      <c r="W230" s="13"/>
      <c r="X230" s="13"/>
    </row>
    <row r="231" spans="2:24" x14ac:dyDescent="0.25">
      <c r="B231" s="136" t="s">
        <v>423</v>
      </c>
      <c r="C231" s="268">
        <v>18</v>
      </c>
      <c r="D231" s="268">
        <v>11</v>
      </c>
      <c r="E231" s="268">
        <v>29</v>
      </c>
      <c r="F231" s="268">
        <v>205</v>
      </c>
      <c r="G231" s="268">
        <v>184</v>
      </c>
      <c r="H231" s="268">
        <v>389</v>
      </c>
      <c r="I231" s="268">
        <v>28</v>
      </c>
      <c r="J231" s="268">
        <v>25</v>
      </c>
      <c r="K231" s="268">
        <v>53</v>
      </c>
      <c r="L231" s="268">
        <v>17</v>
      </c>
      <c r="M231" s="268">
        <v>13</v>
      </c>
      <c r="N231" s="268">
        <v>30</v>
      </c>
      <c r="O231" s="324">
        <v>268</v>
      </c>
      <c r="P231" s="324">
        <v>233</v>
      </c>
      <c r="Q231" s="324">
        <v>501</v>
      </c>
      <c r="R231" s="13"/>
      <c r="S231" s="13"/>
      <c r="T231" s="13"/>
      <c r="U231" s="13"/>
      <c r="V231" s="13"/>
      <c r="W231" s="13"/>
      <c r="X231" s="13"/>
    </row>
    <row r="232" spans="2:24" x14ac:dyDescent="0.25">
      <c r="B232" s="136" t="s">
        <v>424</v>
      </c>
      <c r="C232" s="268">
        <v>19</v>
      </c>
      <c r="D232" s="268">
        <v>36</v>
      </c>
      <c r="E232" s="268">
        <v>55</v>
      </c>
      <c r="F232" s="268">
        <v>439</v>
      </c>
      <c r="G232" s="268">
        <v>390</v>
      </c>
      <c r="H232" s="268">
        <v>829</v>
      </c>
      <c r="I232" s="268">
        <v>71</v>
      </c>
      <c r="J232" s="268">
        <v>36</v>
      </c>
      <c r="K232" s="268">
        <v>107</v>
      </c>
      <c r="L232" s="268">
        <v>18</v>
      </c>
      <c r="M232" s="268">
        <v>30</v>
      </c>
      <c r="N232" s="268">
        <v>48</v>
      </c>
      <c r="O232" s="324">
        <v>547</v>
      </c>
      <c r="P232" s="324">
        <v>492</v>
      </c>
      <c r="Q232" s="324">
        <v>1039</v>
      </c>
      <c r="R232" s="13"/>
      <c r="S232" s="13"/>
      <c r="T232" s="13"/>
      <c r="U232" s="13"/>
      <c r="V232" s="13"/>
      <c r="W232" s="13"/>
      <c r="X232" s="13"/>
    </row>
    <row r="233" spans="2:24" x14ac:dyDescent="0.25">
      <c r="B233" s="136" t="s">
        <v>425</v>
      </c>
      <c r="C233" s="268">
        <v>17</v>
      </c>
      <c r="D233" s="268">
        <v>16</v>
      </c>
      <c r="E233" s="268">
        <v>33</v>
      </c>
      <c r="F233" s="268">
        <v>145</v>
      </c>
      <c r="G233" s="268">
        <v>141</v>
      </c>
      <c r="H233" s="268">
        <v>286</v>
      </c>
      <c r="I233" s="268">
        <v>25</v>
      </c>
      <c r="J233" s="268">
        <v>13</v>
      </c>
      <c r="K233" s="268">
        <v>38</v>
      </c>
      <c r="L233" s="268">
        <v>4</v>
      </c>
      <c r="M233" s="268">
        <v>9</v>
      </c>
      <c r="N233" s="268">
        <v>13</v>
      </c>
      <c r="O233" s="324">
        <v>191</v>
      </c>
      <c r="P233" s="324">
        <v>179</v>
      </c>
      <c r="Q233" s="324">
        <v>370</v>
      </c>
      <c r="R233" s="13"/>
      <c r="S233" s="13"/>
      <c r="T233" s="13"/>
      <c r="U233" s="13"/>
      <c r="V233" s="13"/>
      <c r="W233" s="13"/>
      <c r="X233" s="13"/>
    </row>
    <row r="234" spans="2:24" x14ac:dyDescent="0.25">
      <c r="B234" s="136" t="s">
        <v>426</v>
      </c>
      <c r="C234" s="268">
        <v>5</v>
      </c>
      <c r="D234" s="268">
        <v>2</v>
      </c>
      <c r="E234" s="268">
        <v>7</v>
      </c>
      <c r="F234" s="268">
        <v>34</v>
      </c>
      <c r="G234" s="268">
        <v>22</v>
      </c>
      <c r="H234" s="268">
        <v>56</v>
      </c>
      <c r="I234" s="268">
        <v>5</v>
      </c>
      <c r="J234" s="268">
        <v>1</v>
      </c>
      <c r="K234" s="268">
        <v>6</v>
      </c>
      <c r="L234" s="268">
        <v>1</v>
      </c>
      <c r="M234" s="268">
        <v>2</v>
      </c>
      <c r="N234" s="268">
        <v>3</v>
      </c>
      <c r="O234" s="324">
        <v>45</v>
      </c>
      <c r="P234" s="324">
        <v>27</v>
      </c>
      <c r="Q234" s="324">
        <v>72</v>
      </c>
      <c r="R234" s="13"/>
      <c r="S234" s="13"/>
      <c r="T234" s="13"/>
      <c r="U234" s="13"/>
      <c r="V234" s="13"/>
      <c r="W234" s="13"/>
      <c r="X234" s="13"/>
    </row>
    <row r="235" spans="2:24" x14ac:dyDescent="0.25">
      <c r="B235" s="136" t="s">
        <v>427</v>
      </c>
      <c r="C235" s="268">
        <v>12</v>
      </c>
      <c r="D235" s="268">
        <v>18</v>
      </c>
      <c r="E235" s="268">
        <v>30</v>
      </c>
      <c r="F235" s="268">
        <v>178</v>
      </c>
      <c r="G235" s="268">
        <v>155</v>
      </c>
      <c r="H235" s="268">
        <v>333</v>
      </c>
      <c r="I235" s="268">
        <v>12</v>
      </c>
      <c r="J235" s="268">
        <v>15</v>
      </c>
      <c r="K235" s="268">
        <v>27</v>
      </c>
      <c r="L235" s="268">
        <v>7</v>
      </c>
      <c r="M235" s="268">
        <v>9</v>
      </c>
      <c r="N235" s="268">
        <v>16</v>
      </c>
      <c r="O235" s="324">
        <v>209</v>
      </c>
      <c r="P235" s="324">
        <v>197</v>
      </c>
      <c r="Q235" s="324">
        <v>406</v>
      </c>
      <c r="R235" s="13"/>
      <c r="S235" s="13"/>
      <c r="T235" s="13"/>
      <c r="U235" s="13"/>
      <c r="V235" s="13"/>
      <c r="W235" s="13"/>
      <c r="X235" s="13"/>
    </row>
    <row r="236" spans="2:24" x14ac:dyDescent="0.25">
      <c r="B236" s="136" t="s">
        <v>428</v>
      </c>
      <c r="C236" s="268"/>
      <c r="D236" s="268">
        <v>1</v>
      </c>
      <c r="E236" s="268">
        <v>1</v>
      </c>
      <c r="F236" s="268">
        <v>12</v>
      </c>
      <c r="G236" s="268">
        <v>17</v>
      </c>
      <c r="H236" s="268">
        <v>29</v>
      </c>
      <c r="I236" s="268">
        <v>4</v>
      </c>
      <c r="J236" s="268">
        <v>1</v>
      </c>
      <c r="K236" s="268">
        <v>5</v>
      </c>
      <c r="L236" s="268"/>
      <c r="M236" s="268">
        <v>4</v>
      </c>
      <c r="N236" s="268">
        <v>4</v>
      </c>
      <c r="O236" s="324">
        <v>16</v>
      </c>
      <c r="P236" s="324">
        <v>23</v>
      </c>
      <c r="Q236" s="324">
        <v>39</v>
      </c>
      <c r="R236" s="13"/>
      <c r="S236" s="13"/>
      <c r="T236" s="13"/>
      <c r="U236" s="13"/>
      <c r="V236" s="13"/>
      <c r="W236" s="13"/>
      <c r="X236" s="13"/>
    </row>
    <row r="237" spans="2:24" x14ac:dyDescent="0.25">
      <c r="B237" s="136" t="s">
        <v>429</v>
      </c>
      <c r="C237" s="268">
        <v>14</v>
      </c>
      <c r="D237" s="268">
        <v>14</v>
      </c>
      <c r="E237" s="268">
        <v>28</v>
      </c>
      <c r="F237" s="268">
        <v>122</v>
      </c>
      <c r="G237" s="268">
        <v>101</v>
      </c>
      <c r="H237" s="268">
        <v>223</v>
      </c>
      <c r="I237" s="268">
        <v>27</v>
      </c>
      <c r="J237" s="268">
        <v>12</v>
      </c>
      <c r="K237" s="268">
        <v>39</v>
      </c>
      <c r="L237" s="268">
        <v>9</v>
      </c>
      <c r="M237" s="268">
        <v>13</v>
      </c>
      <c r="N237" s="268">
        <v>22</v>
      </c>
      <c r="O237" s="324">
        <v>172</v>
      </c>
      <c r="P237" s="324">
        <v>140</v>
      </c>
      <c r="Q237" s="324">
        <v>312</v>
      </c>
      <c r="R237" s="13"/>
      <c r="S237" s="13"/>
      <c r="T237" s="13"/>
      <c r="U237" s="13"/>
      <c r="V237" s="13"/>
      <c r="W237" s="13"/>
      <c r="X237" s="13"/>
    </row>
    <row r="238" spans="2:24" x14ac:dyDescent="0.25">
      <c r="B238" s="136" t="s">
        <v>430</v>
      </c>
      <c r="C238" s="268">
        <v>44</v>
      </c>
      <c r="D238" s="268">
        <v>61</v>
      </c>
      <c r="E238" s="268">
        <v>105</v>
      </c>
      <c r="F238" s="268">
        <v>622</v>
      </c>
      <c r="G238" s="268">
        <v>571</v>
      </c>
      <c r="H238" s="268">
        <v>1193</v>
      </c>
      <c r="I238" s="268">
        <v>38</v>
      </c>
      <c r="J238" s="268">
        <v>33</v>
      </c>
      <c r="K238" s="268">
        <v>71</v>
      </c>
      <c r="L238" s="268">
        <v>6</v>
      </c>
      <c r="M238" s="268">
        <v>22</v>
      </c>
      <c r="N238" s="268">
        <v>28</v>
      </c>
      <c r="O238" s="324">
        <v>710</v>
      </c>
      <c r="P238" s="324">
        <v>687</v>
      </c>
      <c r="Q238" s="324">
        <v>1397</v>
      </c>
      <c r="R238" s="13"/>
      <c r="S238" s="13"/>
      <c r="T238" s="13"/>
      <c r="U238" s="13"/>
      <c r="V238" s="13"/>
      <c r="W238" s="13"/>
      <c r="X238" s="13"/>
    </row>
    <row r="239" spans="2:24" x14ac:dyDescent="0.25">
      <c r="B239" s="136" t="s">
        <v>431</v>
      </c>
      <c r="C239" s="268">
        <v>7</v>
      </c>
      <c r="D239" s="268">
        <v>9</v>
      </c>
      <c r="E239" s="268">
        <v>16</v>
      </c>
      <c r="F239" s="268">
        <v>107</v>
      </c>
      <c r="G239" s="268">
        <v>115</v>
      </c>
      <c r="H239" s="268">
        <v>222</v>
      </c>
      <c r="I239" s="268">
        <v>12</v>
      </c>
      <c r="J239" s="268">
        <v>5</v>
      </c>
      <c r="K239" s="268">
        <v>17</v>
      </c>
      <c r="L239" s="268">
        <v>5</v>
      </c>
      <c r="M239" s="268">
        <v>8</v>
      </c>
      <c r="N239" s="268">
        <v>13</v>
      </c>
      <c r="O239" s="324">
        <v>131</v>
      </c>
      <c r="P239" s="324">
        <v>137</v>
      </c>
      <c r="Q239" s="324">
        <v>268</v>
      </c>
      <c r="R239" s="13"/>
      <c r="S239" s="13"/>
      <c r="T239" s="13"/>
      <c r="U239" s="13"/>
      <c r="V239" s="13"/>
      <c r="W239" s="13"/>
      <c r="X239" s="13"/>
    </row>
    <row r="240" spans="2:24" x14ac:dyDescent="0.25">
      <c r="B240" s="136" t="s">
        <v>432</v>
      </c>
      <c r="C240" s="268">
        <v>1</v>
      </c>
      <c r="D240" s="268">
        <v>3</v>
      </c>
      <c r="E240" s="268">
        <v>4</v>
      </c>
      <c r="F240" s="268">
        <v>26</v>
      </c>
      <c r="G240" s="268">
        <v>23</v>
      </c>
      <c r="H240" s="268">
        <v>49</v>
      </c>
      <c r="I240" s="268">
        <v>3</v>
      </c>
      <c r="J240" s="268">
        <v>2</v>
      </c>
      <c r="K240" s="268">
        <v>5</v>
      </c>
      <c r="L240" s="268">
        <v>1</v>
      </c>
      <c r="M240" s="268">
        <v>1</v>
      </c>
      <c r="N240" s="268">
        <v>2</v>
      </c>
      <c r="O240" s="324">
        <v>31</v>
      </c>
      <c r="P240" s="324">
        <v>29</v>
      </c>
      <c r="Q240" s="324">
        <v>60</v>
      </c>
      <c r="R240" s="13"/>
      <c r="S240" s="13"/>
      <c r="T240" s="13"/>
      <c r="U240" s="13"/>
      <c r="V240" s="13"/>
      <c r="W240" s="13"/>
      <c r="X240" s="13"/>
    </row>
    <row r="241" spans="2:24" x14ac:dyDescent="0.25">
      <c r="B241" s="136" t="s">
        <v>433</v>
      </c>
      <c r="C241" s="268">
        <v>1</v>
      </c>
      <c r="D241" s="268">
        <v>2</v>
      </c>
      <c r="E241" s="268">
        <v>3</v>
      </c>
      <c r="F241" s="268">
        <v>143</v>
      </c>
      <c r="G241" s="268">
        <v>53</v>
      </c>
      <c r="H241" s="268">
        <v>196</v>
      </c>
      <c r="I241" s="268">
        <v>7</v>
      </c>
      <c r="J241" s="268">
        <v>2</v>
      </c>
      <c r="K241" s="268">
        <v>9</v>
      </c>
      <c r="L241" s="268"/>
      <c r="M241" s="268"/>
      <c r="N241" s="268"/>
      <c r="O241" s="324">
        <v>151</v>
      </c>
      <c r="P241" s="324">
        <v>57</v>
      </c>
      <c r="Q241" s="324">
        <v>208</v>
      </c>
      <c r="R241" s="13"/>
      <c r="S241" s="13"/>
      <c r="T241" s="13"/>
      <c r="U241" s="13"/>
      <c r="V241" s="13"/>
      <c r="W241" s="13"/>
      <c r="X241" s="13"/>
    </row>
    <row r="242" spans="2:24" x14ac:dyDescent="0.25">
      <c r="B242" s="136" t="s">
        <v>499</v>
      </c>
      <c r="C242" s="268">
        <v>21</v>
      </c>
      <c r="D242" s="268">
        <v>9</v>
      </c>
      <c r="E242" s="268">
        <v>30</v>
      </c>
      <c r="F242" s="268">
        <v>402</v>
      </c>
      <c r="G242" s="268">
        <v>241</v>
      </c>
      <c r="H242" s="268">
        <v>643</v>
      </c>
      <c r="I242" s="268">
        <v>13</v>
      </c>
      <c r="J242" s="268">
        <v>11</v>
      </c>
      <c r="K242" s="268">
        <v>24</v>
      </c>
      <c r="L242" s="268">
        <v>9</v>
      </c>
      <c r="M242" s="268">
        <v>6</v>
      </c>
      <c r="N242" s="268">
        <v>15</v>
      </c>
      <c r="O242" s="324">
        <v>445</v>
      </c>
      <c r="P242" s="324">
        <v>267</v>
      </c>
      <c r="Q242" s="324">
        <v>712</v>
      </c>
      <c r="R242" s="13"/>
      <c r="S242" s="13"/>
      <c r="T242" s="13"/>
      <c r="U242" s="13"/>
      <c r="V242" s="13"/>
      <c r="W242" s="13"/>
      <c r="X242" s="13"/>
    </row>
    <row r="243" spans="2:24" x14ac:dyDescent="0.25">
      <c r="B243" s="371" t="s">
        <v>923</v>
      </c>
      <c r="C243" s="310">
        <v>745</v>
      </c>
      <c r="D243" s="310">
        <v>899</v>
      </c>
      <c r="E243" s="310">
        <v>1644</v>
      </c>
      <c r="F243" s="310">
        <v>10916</v>
      </c>
      <c r="G243" s="310">
        <v>9152</v>
      </c>
      <c r="H243" s="294">
        <v>20068</v>
      </c>
      <c r="I243" s="310">
        <v>1318</v>
      </c>
      <c r="J243" s="294">
        <v>677</v>
      </c>
      <c r="K243" s="310">
        <v>1995</v>
      </c>
      <c r="L243" s="294">
        <v>411</v>
      </c>
      <c r="M243" s="310">
        <v>578</v>
      </c>
      <c r="N243" s="294">
        <v>989</v>
      </c>
      <c r="O243" s="324">
        <v>13390</v>
      </c>
      <c r="P243" s="324">
        <v>11306</v>
      </c>
      <c r="Q243" s="324">
        <v>24696</v>
      </c>
      <c r="R243" s="13"/>
      <c r="S243" s="13"/>
      <c r="T243" s="13"/>
      <c r="U243" s="13"/>
      <c r="V243" s="13"/>
      <c r="W243" s="13"/>
      <c r="X243" s="13"/>
    </row>
    <row r="244" spans="2:24" ht="83.25" customHeight="1" x14ac:dyDescent="0.25">
      <c r="B244" s="445" t="s">
        <v>938</v>
      </c>
      <c r="C244" s="445"/>
      <c r="D244" s="445"/>
      <c r="E244" s="445"/>
      <c r="F244" s="445"/>
      <c r="G244" s="445"/>
      <c r="H244" s="445"/>
      <c r="I244" s="445"/>
      <c r="J244" s="445"/>
      <c r="K244" s="445"/>
      <c r="L244" s="445"/>
      <c r="M244" s="445"/>
      <c r="N244" s="445"/>
      <c r="O244" s="445"/>
      <c r="P244" s="445"/>
      <c r="Q244" s="445"/>
      <c r="R244" s="13"/>
      <c r="S244" s="13"/>
      <c r="T244" s="13"/>
      <c r="U244" s="13"/>
      <c r="V244" s="13"/>
      <c r="W244" s="13"/>
    </row>
    <row r="245" spans="2:24" x14ac:dyDescent="0.25">
      <c r="B245" s="158"/>
      <c r="C245" s="158"/>
      <c r="D245" s="158"/>
      <c r="E245" s="158"/>
      <c r="F245" s="158"/>
      <c r="G245"/>
      <c r="H245" s="13"/>
      <c r="I245" s="13"/>
      <c r="J245" s="13"/>
      <c r="K245" s="13"/>
      <c r="L245" s="13"/>
      <c r="M245" s="13"/>
      <c r="N245" s="13"/>
      <c r="O245" s="13"/>
      <c r="P245" s="13"/>
      <c r="Q245" s="13"/>
      <c r="R245" s="13"/>
      <c r="S245" s="13"/>
      <c r="T245" s="13"/>
      <c r="U245" s="13"/>
      <c r="V245" s="13"/>
      <c r="W245" s="13"/>
    </row>
    <row r="246" spans="2:24" x14ac:dyDescent="0.25">
      <c r="B246" s="187" t="s">
        <v>510</v>
      </c>
      <c r="C246"/>
      <c r="D246"/>
      <c r="E246"/>
      <c r="F246"/>
      <c r="G246"/>
      <c r="H246" s="13"/>
      <c r="I246" s="13"/>
      <c r="J246" s="13"/>
      <c r="K246" s="13"/>
      <c r="L246" s="13"/>
      <c r="M246" s="13"/>
      <c r="N246" s="13"/>
      <c r="O246" s="13"/>
      <c r="P246" s="13"/>
      <c r="Q246" s="13"/>
      <c r="R246" s="13"/>
      <c r="S246" s="13"/>
      <c r="T246" s="13"/>
      <c r="U246" s="13"/>
      <c r="V246" s="13"/>
      <c r="W246" s="13"/>
    </row>
    <row r="247" spans="2:24" x14ac:dyDescent="0.25">
      <c r="B247" s="187"/>
      <c r="C247"/>
      <c r="D247"/>
      <c r="E247"/>
      <c r="F247"/>
      <c r="G247"/>
      <c r="H247" s="13"/>
      <c r="I247" s="13"/>
      <c r="J247" s="13"/>
      <c r="K247" s="13"/>
      <c r="L247" s="13"/>
      <c r="M247" s="13"/>
      <c r="N247" s="13"/>
      <c r="O247" s="13"/>
      <c r="P247" s="13"/>
      <c r="Q247" s="13"/>
      <c r="R247" s="13"/>
      <c r="S247" s="13"/>
      <c r="T247" s="13"/>
      <c r="U247" s="13"/>
      <c r="V247" s="13"/>
      <c r="W247" s="13"/>
    </row>
    <row r="248" spans="2:24" ht="15" customHeight="1" x14ac:dyDescent="0.25">
      <c r="B248" s="413" t="s">
        <v>532</v>
      </c>
      <c r="C248" s="414" t="s">
        <v>477</v>
      </c>
      <c r="D248" s="414"/>
      <c r="E248" s="414"/>
      <c r="F248" s="414"/>
      <c r="G248" s="414"/>
      <c r="H248" s="414"/>
      <c r="I248" s="414"/>
      <c r="J248" s="414"/>
      <c r="K248" s="414"/>
      <c r="L248" s="414"/>
      <c r="M248" s="414"/>
      <c r="N248" s="414"/>
      <c r="O248" s="447" t="s">
        <v>922</v>
      </c>
      <c r="P248" s="448"/>
      <c r="Q248" s="449"/>
      <c r="R248" s="13"/>
      <c r="S248" s="13"/>
      <c r="T248" s="13"/>
      <c r="U248" s="13"/>
      <c r="V248" s="13"/>
      <c r="W248" s="13"/>
    </row>
    <row r="249" spans="2:24" ht="15" customHeight="1" x14ac:dyDescent="0.25">
      <c r="B249" s="413"/>
      <c r="C249" s="414" t="s">
        <v>885</v>
      </c>
      <c r="D249" s="414"/>
      <c r="E249" s="414"/>
      <c r="F249" s="414" t="s">
        <v>886</v>
      </c>
      <c r="G249" s="414"/>
      <c r="H249" s="414"/>
      <c r="I249" s="414" t="s">
        <v>2</v>
      </c>
      <c r="J249" s="414"/>
      <c r="K249" s="414"/>
      <c r="L249" s="414" t="s">
        <v>3</v>
      </c>
      <c r="M249" s="414"/>
      <c r="N249" s="414"/>
      <c r="O249" s="450"/>
      <c r="P249" s="451"/>
      <c r="Q249" s="452"/>
      <c r="R249" s="13"/>
      <c r="S249" s="13"/>
      <c r="T249" s="13"/>
      <c r="U249" s="13"/>
      <c r="V249" s="13"/>
      <c r="W249" s="13"/>
    </row>
    <row r="250" spans="2:24" x14ac:dyDescent="0.25">
      <c r="B250" s="413"/>
      <c r="C250" s="161" t="s">
        <v>73</v>
      </c>
      <c r="D250" s="161" t="s">
        <v>74</v>
      </c>
      <c r="E250" s="161" t="s">
        <v>25</v>
      </c>
      <c r="F250" s="161" t="s">
        <v>73</v>
      </c>
      <c r="G250" s="161" t="s">
        <v>74</v>
      </c>
      <c r="H250" s="161" t="s">
        <v>25</v>
      </c>
      <c r="I250" s="161" t="s">
        <v>73</v>
      </c>
      <c r="J250" s="161" t="s">
        <v>74</v>
      </c>
      <c r="K250" s="161" t="s">
        <v>25</v>
      </c>
      <c r="L250" s="161" t="s">
        <v>73</v>
      </c>
      <c r="M250" s="161" t="s">
        <v>74</v>
      </c>
      <c r="N250" s="161" t="s">
        <v>25</v>
      </c>
      <c r="O250" s="299" t="s">
        <v>73</v>
      </c>
      <c r="P250" s="299" t="s">
        <v>74</v>
      </c>
      <c r="Q250" s="299" t="s">
        <v>25</v>
      </c>
      <c r="R250" s="13"/>
      <c r="S250" s="13"/>
      <c r="T250" s="13"/>
      <c r="U250" s="13"/>
      <c r="V250" s="13"/>
      <c r="W250" s="13"/>
    </row>
    <row r="251" spans="2:24" x14ac:dyDescent="0.25">
      <c r="B251" s="157" t="s">
        <v>207</v>
      </c>
      <c r="C251" s="270">
        <v>1</v>
      </c>
      <c r="D251" s="270">
        <v>2</v>
      </c>
      <c r="E251" s="270">
        <v>3</v>
      </c>
      <c r="F251" s="270">
        <v>24</v>
      </c>
      <c r="G251" s="270">
        <v>24</v>
      </c>
      <c r="H251" s="270">
        <v>48</v>
      </c>
      <c r="I251" s="270">
        <v>14</v>
      </c>
      <c r="J251" s="270">
        <v>5</v>
      </c>
      <c r="K251" s="270">
        <v>19</v>
      </c>
      <c r="L251" s="270">
        <v>1</v>
      </c>
      <c r="M251" s="270">
        <v>1</v>
      </c>
      <c r="N251" s="270">
        <v>2</v>
      </c>
      <c r="O251" s="324">
        <v>40</v>
      </c>
      <c r="P251" s="324">
        <v>32</v>
      </c>
      <c r="Q251" s="324">
        <v>72</v>
      </c>
      <c r="R251" s="13"/>
      <c r="S251" s="13"/>
      <c r="T251" s="13"/>
      <c r="U251" s="13"/>
      <c r="V251" s="13"/>
      <c r="W251" s="13"/>
      <c r="X251" s="13"/>
    </row>
    <row r="252" spans="2:24" x14ac:dyDescent="0.25">
      <c r="B252" s="136" t="s">
        <v>208</v>
      </c>
      <c r="C252" s="268">
        <v>6</v>
      </c>
      <c r="D252" s="268">
        <v>6</v>
      </c>
      <c r="E252" s="268">
        <v>12</v>
      </c>
      <c r="F252" s="268">
        <v>50</v>
      </c>
      <c r="G252" s="268">
        <v>50</v>
      </c>
      <c r="H252" s="268">
        <v>100</v>
      </c>
      <c r="I252" s="268">
        <v>16</v>
      </c>
      <c r="J252" s="268">
        <v>3</v>
      </c>
      <c r="K252" s="268">
        <v>19</v>
      </c>
      <c r="L252" s="268">
        <v>2</v>
      </c>
      <c r="M252" s="268">
        <v>4</v>
      </c>
      <c r="N252" s="268">
        <v>6</v>
      </c>
      <c r="O252" s="324">
        <v>74</v>
      </c>
      <c r="P252" s="324">
        <v>63</v>
      </c>
      <c r="Q252" s="324">
        <v>137</v>
      </c>
      <c r="R252" s="13"/>
      <c r="S252" s="13"/>
      <c r="T252" s="13"/>
      <c r="U252" s="13"/>
      <c r="V252" s="13"/>
      <c r="W252" s="13"/>
      <c r="X252" s="13"/>
    </row>
    <row r="253" spans="2:24" x14ac:dyDescent="0.25">
      <c r="B253" s="136" t="s">
        <v>209</v>
      </c>
      <c r="C253" s="268">
        <v>2</v>
      </c>
      <c r="D253" s="268">
        <v>2</v>
      </c>
      <c r="E253" s="268">
        <v>4</v>
      </c>
      <c r="F253" s="268">
        <v>23</v>
      </c>
      <c r="G253" s="268">
        <v>20</v>
      </c>
      <c r="H253" s="268">
        <v>43</v>
      </c>
      <c r="I253" s="268">
        <v>6</v>
      </c>
      <c r="J253" s="268"/>
      <c r="K253" s="268">
        <v>6</v>
      </c>
      <c r="L253" s="268">
        <v>3</v>
      </c>
      <c r="M253" s="268">
        <v>5</v>
      </c>
      <c r="N253" s="268">
        <v>8</v>
      </c>
      <c r="O253" s="324">
        <v>34</v>
      </c>
      <c r="P253" s="324">
        <v>27</v>
      </c>
      <c r="Q253" s="324">
        <v>61</v>
      </c>
      <c r="R253" s="13"/>
      <c r="S253" s="13"/>
      <c r="T253" s="13"/>
      <c r="U253" s="13"/>
      <c r="V253" s="13"/>
      <c r="W253" s="13"/>
      <c r="X253" s="13"/>
    </row>
    <row r="254" spans="2:24" x14ac:dyDescent="0.25">
      <c r="B254" s="136" t="s">
        <v>210</v>
      </c>
      <c r="C254" s="268">
        <v>2</v>
      </c>
      <c r="D254" s="268"/>
      <c r="E254" s="268">
        <v>2</v>
      </c>
      <c r="F254" s="268">
        <v>11</v>
      </c>
      <c r="G254" s="268">
        <v>17</v>
      </c>
      <c r="H254" s="268">
        <v>28</v>
      </c>
      <c r="I254" s="268">
        <v>2</v>
      </c>
      <c r="J254" s="268"/>
      <c r="K254" s="268">
        <v>2</v>
      </c>
      <c r="L254" s="268">
        <v>1</v>
      </c>
      <c r="M254" s="268"/>
      <c r="N254" s="268">
        <v>1</v>
      </c>
      <c r="O254" s="324">
        <v>16</v>
      </c>
      <c r="P254" s="324">
        <v>17</v>
      </c>
      <c r="Q254" s="324">
        <v>33</v>
      </c>
      <c r="R254" s="13"/>
      <c r="S254" s="13"/>
      <c r="T254" s="13"/>
      <c r="U254" s="13"/>
      <c r="V254" s="13"/>
      <c r="W254" s="13"/>
      <c r="X254" s="13"/>
    </row>
    <row r="255" spans="2:24" x14ac:dyDescent="0.25">
      <c r="B255" s="136" t="s">
        <v>211</v>
      </c>
      <c r="C255" s="268">
        <v>2</v>
      </c>
      <c r="D255" s="268">
        <v>3</v>
      </c>
      <c r="E255" s="268">
        <v>5</v>
      </c>
      <c r="F255" s="268">
        <v>32</v>
      </c>
      <c r="G255" s="268">
        <v>36</v>
      </c>
      <c r="H255" s="268">
        <v>68</v>
      </c>
      <c r="I255" s="268">
        <v>11</v>
      </c>
      <c r="J255" s="268">
        <v>2</v>
      </c>
      <c r="K255" s="268">
        <v>13</v>
      </c>
      <c r="L255" s="268">
        <v>1</v>
      </c>
      <c r="M255" s="268">
        <v>3</v>
      </c>
      <c r="N255" s="268">
        <v>4</v>
      </c>
      <c r="O255" s="324">
        <v>46</v>
      </c>
      <c r="P255" s="324">
        <v>44</v>
      </c>
      <c r="Q255" s="324">
        <v>90</v>
      </c>
      <c r="R255" s="13"/>
      <c r="S255" s="13"/>
      <c r="T255" s="13"/>
      <c r="U255" s="13"/>
      <c r="V255" s="13"/>
      <c r="W255" s="13"/>
      <c r="X255" s="13"/>
    </row>
    <row r="256" spans="2:24" x14ac:dyDescent="0.25">
      <c r="B256" s="136" t="s">
        <v>493</v>
      </c>
      <c r="C256" s="268">
        <v>5</v>
      </c>
      <c r="D256" s="268">
        <v>3</v>
      </c>
      <c r="E256" s="268">
        <v>8</v>
      </c>
      <c r="F256" s="268">
        <v>38</v>
      </c>
      <c r="G256" s="268">
        <v>45</v>
      </c>
      <c r="H256" s="268">
        <v>83</v>
      </c>
      <c r="I256" s="268">
        <v>7</v>
      </c>
      <c r="J256" s="268">
        <v>3</v>
      </c>
      <c r="K256" s="268">
        <v>10</v>
      </c>
      <c r="L256" s="268">
        <v>1</v>
      </c>
      <c r="M256" s="268">
        <v>2</v>
      </c>
      <c r="N256" s="268">
        <v>3</v>
      </c>
      <c r="O256" s="324">
        <v>51</v>
      </c>
      <c r="P256" s="324">
        <v>53</v>
      </c>
      <c r="Q256" s="324">
        <v>104</v>
      </c>
      <c r="R256" s="13"/>
      <c r="S256" s="13"/>
      <c r="T256" s="13"/>
      <c r="U256" s="13"/>
      <c r="V256" s="13"/>
      <c r="W256" s="13"/>
      <c r="X256" s="13"/>
    </row>
    <row r="257" spans="2:24" x14ac:dyDescent="0.25">
      <c r="B257" s="136" t="s">
        <v>212</v>
      </c>
      <c r="C257" s="268">
        <v>2</v>
      </c>
      <c r="D257" s="268">
        <v>2</v>
      </c>
      <c r="E257" s="268">
        <v>4</v>
      </c>
      <c r="F257" s="268">
        <v>43</v>
      </c>
      <c r="G257" s="268">
        <v>45</v>
      </c>
      <c r="H257" s="268">
        <v>88</v>
      </c>
      <c r="I257" s="268">
        <v>6</v>
      </c>
      <c r="J257" s="268">
        <v>3</v>
      </c>
      <c r="K257" s="268">
        <v>9</v>
      </c>
      <c r="L257" s="268">
        <v>2</v>
      </c>
      <c r="M257" s="268">
        <v>4</v>
      </c>
      <c r="N257" s="268">
        <v>6</v>
      </c>
      <c r="O257" s="324">
        <v>53</v>
      </c>
      <c r="P257" s="324">
        <v>54</v>
      </c>
      <c r="Q257" s="324">
        <v>107</v>
      </c>
      <c r="R257" s="13"/>
      <c r="S257" s="13"/>
      <c r="T257" s="13"/>
      <c r="U257" s="13"/>
      <c r="V257" s="13"/>
      <c r="W257" s="13"/>
      <c r="X257" s="13"/>
    </row>
    <row r="258" spans="2:24" x14ac:dyDescent="0.25">
      <c r="B258" s="136" t="s">
        <v>213</v>
      </c>
      <c r="C258" s="268"/>
      <c r="D258" s="268"/>
      <c r="E258" s="268"/>
      <c r="F258" s="268">
        <v>13</v>
      </c>
      <c r="G258" s="268">
        <v>12</v>
      </c>
      <c r="H258" s="268">
        <v>25</v>
      </c>
      <c r="I258" s="268"/>
      <c r="J258" s="268">
        <v>1</v>
      </c>
      <c r="K258" s="268">
        <v>1</v>
      </c>
      <c r="L258" s="268"/>
      <c r="M258" s="268">
        <v>3</v>
      </c>
      <c r="N258" s="268">
        <v>3</v>
      </c>
      <c r="O258" s="324">
        <v>13</v>
      </c>
      <c r="P258" s="324">
        <v>16</v>
      </c>
      <c r="Q258" s="324">
        <v>29</v>
      </c>
      <c r="R258" s="13"/>
      <c r="S258" s="13"/>
      <c r="T258" s="13"/>
      <c r="U258" s="13"/>
      <c r="V258" s="13"/>
      <c r="W258" s="13"/>
      <c r="X258" s="13"/>
    </row>
    <row r="259" spans="2:24" x14ac:dyDescent="0.25">
      <c r="B259" s="136" t="s">
        <v>214</v>
      </c>
      <c r="C259" s="268">
        <v>4</v>
      </c>
      <c r="D259" s="268">
        <v>9</v>
      </c>
      <c r="E259" s="268">
        <v>13</v>
      </c>
      <c r="F259" s="268">
        <v>43</v>
      </c>
      <c r="G259" s="268">
        <v>47</v>
      </c>
      <c r="H259" s="268">
        <v>90</v>
      </c>
      <c r="I259" s="268">
        <v>12</v>
      </c>
      <c r="J259" s="268">
        <v>2</v>
      </c>
      <c r="K259" s="268">
        <v>14</v>
      </c>
      <c r="L259" s="268">
        <v>1</v>
      </c>
      <c r="M259" s="268">
        <v>3</v>
      </c>
      <c r="N259" s="268">
        <v>4</v>
      </c>
      <c r="O259" s="324">
        <v>60</v>
      </c>
      <c r="P259" s="324">
        <v>61</v>
      </c>
      <c r="Q259" s="324">
        <v>121</v>
      </c>
      <c r="R259" s="13"/>
      <c r="S259" s="13"/>
      <c r="T259" s="13"/>
      <c r="U259" s="13"/>
      <c r="V259" s="13"/>
      <c r="W259" s="13"/>
      <c r="X259" s="13"/>
    </row>
    <row r="260" spans="2:24" x14ac:dyDescent="0.25">
      <c r="B260" s="136" t="s">
        <v>215</v>
      </c>
      <c r="C260" s="268">
        <v>2</v>
      </c>
      <c r="D260" s="268">
        <v>2</v>
      </c>
      <c r="E260" s="268">
        <v>4</v>
      </c>
      <c r="F260" s="268">
        <v>21</v>
      </c>
      <c r="G260" s="268">
        <v>19</v>
      </c>
      <c r="H260" s="268">
        <v>40</v>
      </c>
      <c r="I260" s="268">
        <v>7</v>
      </c>
      <c r="J260" s="268"/>
      <c r="K260" s="268">
        <v>7</v>
      </c>
      <c r="L260" s="268">
        <v>1</v>
      </c>
      <c r="M260" s="268"/>
      <c r="N260" s="268">
        <v>1</v>
      </c>
      <c r="O260" s="324">
        <v>31</v>
      </c>
      <c r="P260" s="324">
        <v>21</v>
      </c>
      <c r="Q260" s="324">
        <v>52</v>
      </c>
      <c r="R260" s="13"/>
      <c r="S260" s="13"/>
      <c r="T260" s="13"/>
      <c r="U260" s="13"/>
      <c r="V260" s="13"/>
      <c r="W260" s="13"/>
      <c r="X260" s="13"/>
    </row>
    <row r="261" spans="2:24" x14ac:dyDescent="0.25">
      <c r="B261" s="136" t="s">
        <v>216</v>
      </c>
      <c r="C261" s="268">
        <v>1</v>
      </c>
      <c r="D261" s="268"/>
      <c r="E261" s="268">
        <v>1</v>
      </c>
      <c r="F261" s="268">
        <v>13</v>
      </c>
      <c r="G261" s="268">
        <v>13</v>
      </c>
      <c r="H261" s="268">
        <v>26</v>
      </c>
      <c r="I261" s="268">
        <v>2</v>
      </c>
      <c r="J261" s="268"/>
      <c r="K261" s="268">
        <v>2</v>
      </c>
      <c r="L261" s="268"/>
      <c r="M261" s="268"/>
      <c r="N261" s="268"/>
      <c r="O261" s="324">
        <v>16</v>
      </c>
      <c r="P261" s="324">
        <v>13</v>
      </c>
      <c r="Q261" s="324">
        <v>29</v>
      </c>
      <c r="R261" s="13"/>
      <c r="S261" s="13"/>
      <c r="T261" s="13"/>
      <c r="U261" s="13"/>
      <c r="V261" s="13"/>
      <c r="W261" s="13"/>
      <c r="X261" s="13"/>
    </row>
    <row r="262" spans="2:24" x14ac:dyDescent="0.25">
      <c r="B262" s="136" t="s">
        <v>217</v>
      </c>
      <c r="C262" s="268">
        <v>3</v>
      </c>
      <c r="D262" s="268">
        <v>5</v>
      </c>
      <c r="E262" s="268">
        <v>8</v>
      </c>
      <c r="F262" s="268">
        <v>72</v>
      </c>
      <c r="G262" s="268">
        <v>58</v>
      </c>
      <c r="H262" s="268">
        <v>130</v>
      </c>
      <c r="I262" s="268">
        <v>13</v>
      </c>
      <c r="J262" s="268">
        <v>6</v>
      </c>
      <c r="K262" s="268">
        <v>19</v>
      </c>
      <c r="L262" s="268">
        <v>7</v>
      </c>
      <c r="M262" s="268">
        <v>5</v>
      </c>
      <c r="N262" s="268">
        <v>12</v>
      </c>
      <c r="O262" s="324">
        <v>95</v>
      </c>
      <c r="P262" s="324">
        <v>74</v>
      </c>
      <c r="Q262" s="324">
        <v>169</v>
      </c>
      <c r="R262" s="13"/>
      <c r="S262" s="13"/>
      <c r="T262" s="13"/>
      <c r="U262" s="13"/>
      <c r="V262" s="13"/>
      <c r="W262" s="13"/>
      <c r="X262" s="13"/>
    </row>
    <row r="263" spans="2:24" x14ac:dyDescent="0.25">
      <c r="B263" s="136" t="s">
        <v>218</v>
      </c>
      <c r="C263" s="268"/>
      <c r="D263" s="268">
        <v>5</v>
      </c>
      <c r="E263" s="268">
        <v>5</v>
      </c>
      <c r="F263" s="268">
        <v>26</v>
      </c>
      <c r="G263" s="268">
        <v>25</v>
      </c>
      <c r="H263" s="268">
        <v>51</v>
      </c>
      <c r="I263" s="268">
        <v>1</v>
      </c>
      <c r="J263" s="268">
        <v>1</v>
      </c>
      <c r="K263" s="268">
        <v>2</v>
      </c>
      <c r="L263" s="268">
        <v>2</v>
      </c>
      <c r="M263" s="268">
        <v>3</v>
      </c>
      <c r="N263" s="268">
        <v>5</v>
      </c>
      <c r="O263" s="324">
        <v>29</v>
      </c>
      <c r="P263" s="324">
        <v>34</v>
      </c>
      <c r="Q263" s="324">
        <v>63</v>
      </c>
      <c r="R263" s="13"/>
      <c r="S263" s="13"/>
      <c r="T263" s="13"/>
      <c r="U263" s="13"/>
      <c r="V263" s="13"/>
      <c r="W263" s="13"/>
      <c r="X263" s="13"/>
    </row>
    <row r="264" spans="2:24" x14ac:dyDescent="0.25">
      <c r="B264" s="136" t="s">
        <v>219</v>
      </c>
      <c r="C264" s="268"/>
      <c r="D264" s="268">
        <v>4</v>
      </c>
      <c r="E264" s="268">
        <v>4</v>
      </c>
      <c r="F264" s="268">
        <v>16</v>
      </c>
      <c r="G264" s="268">
        <v>15</v>
      </c>
      <c r="H264" s="268">
        <v>31</v>
      </c>
      <c r="I264" s="268">
        <v>5</v>
      </c>
      <c r="J264" s="268"/>
      <c r="K264" s="268">
        <v>5</v>
      </c>
      <c r="L264" s="268">
        <v>1</v>
      </c>
      <c r="M264" s="268"/>
      <c r="N264" s="268">
        <v>1</v>
      </c>
      <c r="O264" s="324">
        <v>22</v>
      </c>
      <c r="P264" s="324">
        <v>19</v>
      </c>
      <c r="Q264" s="324">
        <v>41</v>
      </c>
      <c r="R264" s="13"/>
      <c r="S264" s="13"/>
      <c r="T264" s="13"/>
      <c r="U264" s="13"/>
      <c r="V264" s="13"/>
      <c r="W264" s="13"/>
      <c r="X264" s="13"/>
    </row>
    <row r="265" spans="2:24" x14ac:dyDescent="0.25">
      <c r="B265" s="136" t="s">
        <v>220</v>
      </c>
      <c r="C265" s="268">
        <v>4</v>
      </c>
      <c r="D265" s="268">
        <v>5</v>
      </c>
      <c r="E265" s="268">
        <v>9</v>
      </c>
      <c r="F265" s="268">
        <v>45</v>
      </c>
      <c r="G265" s="268">
        <v>35</v>
      </c>
      <c r="H265" s="268">
        <v>80</v>
      </c>
      <c r="I265" s="268">
        <v>15</v>
      </c>
      <c r="J265" s="268">
        <v>2</v>
      </c>
      <c r="K265" s="268">
        <v>17</v>
      </c>
      <c r="L265" s="268">
        <v>5</v>
      </c>
      <c r="M265" s="268">
        <v>1</v>
      </c>
      <c r="N265" s="268">
        <v>6</v>
      </c>
      <c r="O265" s="324">
        <v>69</v>
      </c>
      <c r="P265" s="324">
        <v>43</v>
      </c>
      <c r="Q265" s="324">
        <v>112</v>
      </c>
      <c r="R265" s="13"/>
      <c r="S265" s="13"/>
      <c r="T265" s="13"/>
      <c r="U265" s="13"/>
      <c r="V265" s="13"/>
      <c r="W265" s="13"/>
      <c r="X265" s="13"/>
    </row>
    <row r="266" spans="2:24" x14ac:dyDescent="0.25">
      <c r="B266" s="136" t="s">
        <v>221</v>
      </c>
      <c r="C266" s="268">
        <v>3</v>
      </c>
      <c r="D266" s="268">
        <v>5</v>
      </c>
      <c r="E266" s="268">
        <v>8</v>
      </c>
      <c r="F266" s="268">
        <v>23</v>
      </c>
      <c r="G266" s="268">
        <v>25</v>
      </c>
      <c r="H266" s="268">
        <v>48</v>
      </c>
      <c r="I266" s="268">
        <v>8</v>
      </c>
      <c r="J266" s="268">
        <v>1</v>
      </c>
      <c r="K266" s="268">
        <v>9</v>
      </c>
      <c r="L266" s="268">
        <v>1</v>
      </c>
      <c r="M266" s="268">
        <v>2</v>
      </c>
      <c r="N266" s="268">
        <v>3</v>
      </c>
      <c r="O266" s="324">
        <v>35</v>
      </c>
      <c r="P266" s="324">
        <v>33</v>
      </c>
      <c r="Q266" s="324">
        <v>68</v>
      </c>
      <c r="R266" s="13"/>
      <c r="S266" s="13"/>
      <c r="T266" s="13"/>
      <c r="U266" s="13"/>
      <c r="V266" s="13"/>
      <c r="W266" s="13"/>
      <c r="X266" s="13"/>
    </row>
    <row r="267" spans="2:24" x14ac:dyDescent="0.25">
      <c r="B267" s="136" t="s">
        <v>222</v>
      </c>
      <c r="C267" s="268">
        <v>3</v>
      </c>
      <c r="D267" s="268">
        <v>1</v>
      </c>
      <c r="E267" s="268">
        <v>4</v>
      </c>
      <c r="F267" s="268">
        <v>17</v>
      </c>
      <c r="G267" s="268">
        <v>23</v>
      </c>
      <c r="H267" s="268">
        <v>40</v>
      </c>
      <c r="I267" s="268">
        <v>1</v>
      </c>
      <c r="J267" s="268">
        <v>5</v>
      </c>
      <c r="K267" s="268">
        <v>6</v>
      </c>
      <c r="L267" s="268">
        <v>1</v>
      </c>
      <c r="M267" s="268">
        <v>1</v>
      </c>
      <c r="N267" s="268">
        <v>2</v>
      </c>
      <c r="O267" s="324">
        <v>22</v>
      </c>
      <c r="P267" s="324">
        <v>30</v>
      </c>
      <c r="Q267" s="324">
        <v>52</v>
      </c>
      <c r="R267" s="13"/>
      <c r="S267" s="13"/>
      <c r="T267" s="13"/>
      <c r="U267" s="13"/>
      <c r="V267" s="13"/>
      <c r="W267" s="13"/>
      <c r="X267" s="13"/>
    </row>
    <row r="268" spans="2:24" x14ac:dyDescent="0.25">
      <c r="B268" s="136" t="s">
        <v>223</v>
      </c>
      <c r="C268" s="268">
        <v>7</v>
      </c>
      <c r="D268" s="268">
        <v>3</v>
      </c>
      <c r="E268" s="268">
        <v>10</v>
      </c>
      <c r="F268" s="268">
        <v>23</v>
      </c>
      <c r="G268" s="268">
        <v>24</v>
      </c>
      <c r="H268" s="268">
        <v>47</v>
      </c>
      <c r="I268" s="268">
        <v>6</v>
      </c>
      <c r="J268" s="268">
        <v>2</v>
      </c>
      <c r="K268" s="268">
        <v>8</v>
      </c>
      <c r="L268" s="268">
        <v>2</v>
      </c>
      <c r="M268" s="268">
        <v>1</v>
      </c>
      <c r="N268" s="268">
        <v>3</v>
      </c>
      <c r="O268" s="324">
        <v>38</v>
      </c>
      <c r="P268" s="324">
        <v>30</v>
      </c>
      <c r="Q268" s="324">
        <v>68</v>
      </c>
      <c r="R268" s="13"/>
      <c r="S268" s="13"/>
      <c r="T268" s="13"/>
      <c r="U268" s="13"/>
      <c r="V268" s="13"/>
      <c r="W268" s="13"/>
      <c r="X268" s="13"/>
    </row>
    <row r="269" spans="2:24" x14ac:dyDescent="0.25">
      <c r="B269" s="136" t="s">
        <v>224</v>
      </c>
      <c r="C269" s="268">
        <v>5</v>
      </c>
      <c r="D269" s="268">
        <v>3</v>
      </c>
      <c r="E269" s="268">
        <v>8</v>
      </c>
      <c r="F269" s="268">
        <v>23</v>
      </c>
      <c r="G269" s="268">
        <v>38</v>
      </c>
      <c r="H269" s="268">
        <v>61</v>
      </c>
      <c r="I269" s="268">
        <v>5</v>
      </c>
      <c r="J269" s="268"/>
      <c r="K269" s="268">
        <v>5</v>
      </c>
      <c r="L269" s="268"/>
      <c r="M269" s="268">
        <v>3</v>
      </c>
      <c r="N269" s="268">
        <v>3</v>
      </c>
      <c r="O269" s="324">
        <v>33</v>
      </c>
      <c r="P269" s="324">
        <v>44</v>
      </c>
      <c r="Q269" s="324">
        <v>77</v>
      </c>
      <c r="R269" s="13"/>
      <c r="S269" s="13"/>
      <c r="T269" s="13"/>
      <c r="U269" s="13"/>
      <c r="V269" s="13"/>
      <c r="W269" s="13"/>
      <c r="X269" s="13"/>
    </row>
    <row r="270" spans="2:24" x14ac:dyDescent="0.25">
      <c r="B270" s="136" t="s">
        <v>225</v>
      </c>
      <c r="C270" s="268">
        <v>2</v>
      </c>
      <c r="D270" s="268">
        <v>5</v>
      </c>
      <c r="E270" s="268">
        <v>7</v>
      </c>
      <c r="F270" s="268">
        <v>9</v>
      </c>
      <c r="G270" s="268">
        <v>8</v>
      </c>
      <c r="H270" s="268">
        <v>17</v>
      </c>
      <c r="I270" s="268">
        <v>3</v>
      </c>
      <c r="J270" s="268">
        <v>1</v>
      </c>
      <c r="K270" s="268">
        <v>4</v>
      </c>
      <c r="L270" s="268">
        <v>1</v>
      </c>
      <c r="M270" s="268">
        <v>2</v>
      </c>
      <c r="N270" s="268">
        <v>3</v>
      </c>
      <c r="O270" s="324">
        <v>15</v>
      </c>
      <c r="P270" s="324">
        <v>16</v>
      </c>
      <c r="Q270" s="324">
        <v>31</v>
      </c>
      <c r="R270" s="13"/>
      <c r="S270" s="13"/>
      <c r="T270" s="13"/>
      <c r="U270" s="13"/>
      <c r="V270" s="13"/>
      <c r="W270" s="13"/>
      <c r="X270" s="13"/>
    </row>
    <row r="271" spans="2:24" x14ac:dyDescent="0.25">
      <c r="B271" s="136" t="s">
        <v>226</v>
      </c>
      <c r="C271" s="268">
        <v>3</v>
      </c>
      <c r="D271" s="268">
        <v>3</v>
      </c>
      <c r="E271" s="268">
        <v>6</v>
      </c>
      <c r="F271" s="268">
        <v>18</v>
      </c>
      <c r="G271" s="268">
        <v>20</v>
      </c>
      <c r="H271" s="268">
        <v>38</v>
      </c>
      <c r="I271" s="268">
        <v>7</v>
      </c>
      <c r="J271" s="268">
        <v>1</v>
      </c>
      <c r="K271" s="268">
        <v>8</v>
      </c>
      <c r="L271" s="268">
        <v>1</v>
      </c>
      <c r="M271" s="268">
        <v>3</v>
      </c>
      <c r="N271" s="268">
        <v>4</v>
      </c>
      <c r="O271" s="324">
        <v>29</v>
      </c>
      <c r="P271" s="324">
        <v>27</v>
      </c>
      <c r="Q271" s="324">
        <v>56</v>
      </c>
      <c r="R271" s="13"/>
      <c r="S271" s="13"/>
      <c r="T271" s="13"/>
      <c r="U271" s="13"/>
      <c r="V271" s="13"/>
      <c r="W271" s="13"/>
      <c r="X271" s="13"/>
    </row>
    <row r="272" spans="2:24" x14ac:dyDescent="0.25">
      <c r="B272" s="136" t="s">
        <v>227</v>
      </c>
      <c r="C272" s="268">
        <v>1</v>
      </c>
      <c r="D272" s="268">
        <v>5</v>
      </c>
      <c r="E272" s="268">
        <v>6</v>
      </c>
      <c r="F272" s="268">
        <v>19</v>
      </c>
      <c r="G272" s="268">
        <v>23</v>
      </c>
      <c r="H272" s="268">
        <v>42</v>
      </c>
      <c r="I272" s="268">
        <v>3</v>
      </c>
      <c r="J272" s="268">
        <v>4</v>
      </c>
      <c r="K272" s="268">
        <v>7</v>
      </c>
      <c r="L272" s="268"/>
      <c r="M272" s="268">
        <v>2</v>
      </c>
      <c r="N272" s="268">
        <v>2</v>
      </c>
      <c r="O272" s="324">
        <v>23</v>
      </c>
      <c r="P272" s="324">
        <v>34</v>
      </c>
      <c r="Q272" s="324">
        <v>57</v>
      </c>
      <c r="R272" s="13"/>
      <c r="S272" s="13"/>
      <c r="T272" s="13"/>
      <c r="U272" s="13"/>
      <c r="V272" s="13"/>
      <c r="W272" s="13"/>
      <c r="X272" s="13"/>
    </row>
    <row r="273" spans="1:24" x14ac:dyDescent="0.25">
      <c r="B273" s="136" t="s">
        <v>228</v>
      </c>
      <c r="C273" s="268">
        <v>3</v>
      </c>
      <c r="D273" s="268">
        <v>6</v>
      </c>
      <c r="E273" s="268">
        <v>9</v>
      </c>
      <c r="F273" s="268">
        <v>41</v>
      </c>
      <c r="G273" s="268">
        <v>35</v>
      </c>
      <c r="H273" s="268">
        <v>76</v>
      </c>
      <c r="I273" s="268">
        <v>9</v>
      </c>
      <c r="J273" s="268">
        <v>4</v>
      </c>
      <c r="K273" s="268">
        <v>13</v>
      </c>
      <c r="L273" s="268">
        <v>1</v>
      </c>
      <c r="M273" s="268">
        <v>5</v>
      </c>
      <c r="N273" s="268">
        <v>6</v>
      </c>
      <c r="O273" s="324">
        <v>54</v>
      </c>
      <c r="P273" s="324">
        <v>50</v>
      </c>
      <c r="Q273" s="324">
        <v>104</v>
      </c>
      <c r="R273" s="13"/>
      <c r="S273" s="13"/>
      <c r="T273" s="13"/>
      <c r="U273" s="13"/>
      <c r="V273" s="13"/>
      <c r="W273" s="13"/>
      <c r="X273" s="13"/>
    </row>
    <row r="274" spans="1:24" x14ac:dyDescent="0.25">
      <c r="B274" s="136" t="s">
        <v>229</v>
      </c>
      <c r="C274" s="268">
        <v>2</v>
      </c>
      <c r="D274" s="268">
        <v>6</v>
      </c>
      <c r="E274" s="268">
        <v>8</v>
      </c>
      <c r="F274" s="268">
        <v>33</v>
      </c>
      <c r="G274" s="268">
        <v>37</v>
      </c>
      <c r="H274" s="268">
        <v>70</v>
      </c>
      <c r="I274" s="268">
        <v>7</v>
      </c>
      <c r="J274" s="268">
        <v>5</v>
      </c>
      <c r="K274" s="268">
        <v>12</v>
      </c>
      <c r="L274" s="268">
        <v>1</v>
      </c>
      <c r="M274" s="268">
        <v>5</v>
      </c>
      <c r="N274" s="268">
        <v>6</v>
      </c>
      <c r="O274" s="324">
        <v>43</v>
      </c>
      <c r="P274" s="324">
        <v>53</v>
      </c>
      <c r="Q274" s="324">
        <v>96</v>
      </c>
      <c r="R274" s="13"/>
      <c r="S274" s="13"/>
      <c r="T274" s="13"/>
      <c r="U274" s="13"/>
      <c r="V274" s="13"/>
      <c r="W274" s="13"/>
      <c r="X274" s="13"/>
    </row>
    <row r="275" spans="1:24" x14ac:dyDescent="0.25">
      <c r="B275" s="136" t="s">
        <v>230</v>
      </c>
      <c r="C275" s="268">
        <v>1</v>
      </c>
      <c r="D275" s="268">
        <v>3</v>
      </c>
      <c r="E275" s="268">
        <v>4</v>
      </c>
      <c r="F275" s="268">
        <v>18</v>
      </c>
      <c r="G275" s="268">
        <v>15</v>
      </c>
      <c r="H275" s="268">
        <v>33</v>
      </c>
      <c r="I275" s="268">
        <v>4</v>
      </c>
      <c r="J275" s="268"/>
      <c r="K275" s="268">
        <v>4</v>
      </c>
      <c r="L275" s="268">
        <v>1</v>
      </c>
      <c r="M275" s="268">
        <v>3</v>
      </c>
      <c r="N275" s="268">
        <v>4</v>
      </c>
      <c r="O275" s="324">
        <v>24</v>
      </c>
      <c r="P275" s="324">
        <v>21</v>
      </c>
      <c r="Q275" s="324">
        <v>45</v>
      </c>
      <c r="R275" s="13"/>
      <c r="S275" s="13"/>
      <c r="T275" s="13"/>
      <c r="U275" s="13"/>
      <c r="V275" s="13"/>
      <c r="W275" s="13"/>
      <c r="X275" s="13"/>
    </row>
    <row r="276" spans="1:24" x14ac:dyDescent="0.25">
      <c r="B276" s="136" t="s">
        <v>231</v>
      </c>
      <c r="C276" s="268"/>
      <c r="D276" s="268">
        <v>1</v>
      </c>
      <c r="E276" s="268">
        <v>1</v>
      </c>
      <c r="F276" s="268">
        <v>8</v>
      </c>
      <c r="G276" s="268">
        <v>11</v>
      </c>
      <c r="H276" s="268">
        <v>19</v>
      </c>
      <c r="I276" s="268">
        <v>3</v>
      </c>
      <c r="J276" s="268"/>
      <c r="K276" s="268">
        <v>3</v>
      </c>
      <c r="L276" s="268">
        <v>1</v>
      </c>
      <c r="M276" s="268">
        <v>2</v>
      </c>
      <c r="N276" s="268">
        <v>3</v>
      </c>
      <c r="O276" s="324">
        <v>12</v>
      </c>
      <c r="P276" s="324">
        <v>14</v>
      </c>
      <c r="Q276" s="324">
        <v>26</v>
      </c>
      <c r="R276" s="13"/>
      <c r="S276" s="13"/>
      <c r="T276" s="13"/>
      <c r="U276" s="13"/>
      <c r="V276" s="13"/>
      <c r="W276" s="13"/>
      <c r="X276" s="13"/>
    </row>
    <row r="277" spans="1:24" x14ac:dyDescent="0.25">
      <c r="B277" s="136" t="s">
        <v>232</v>
      </c>
      <c r="C277" s="268">
        <v>2</v>
      </c>
      <c r="D277" s="268">
        <v>3</v>
      </c>
      <c r="E277" s="268">
        <v>5</v>
      </c>
      <c r="F277" s="268">
        <v>21</v>
      </c>
      <c r="G277" s="268">
        <v>20</v>
      </c>
      <c r="H277" s="268">
        <v>41</v>
      </c>
      <c r="I277" s="268">
        <v>5</v>
      </c>
      <c r="J277" s="268">
        <v>2</v>
      </c>
      <c r="K277" s="268">
        <v>7</v>
      </c>
      <c r="L277" s="268">
        <v>3</v>
      </c>
      <c r="M277" s="268">
        <v>2</v>
      </c>
      <c r="N277" s="268">
        <v>5</v>
      </c>
      <c r="O277" s="324">
        <v>31</v>
      </c>
      <c r="P277" s="324">
        <v>27</v>
      </c>
      <c r="Q277" s="324">
        <v>58</v>
      </c>
      <c r="R277" s="13"/>
      <c r="S277" s="13"/>
      <c r="T277" s="13"/>
      <c r="U277" s="13"/>
      <c r="V277" s="13"/>
      <c r="W277" s="13"/>
      <c r="X277" s="13"/>
    </row>
    <row r="278" spans="1:24" x14ac:dyDescent="0.25">
      <c r="B278" s="136" t="s">
        <v>233</v>
      </c>
      <c r="C278" s="268">
        <v>27</v>
      </c>
      <c r="D278" s="268">
        <v>24</v>
      </c>
      <c r="E278" s="268">
        <v>51</v>
      </c>
      <c r="F278" s="268">
        <v>401</v>
      </c>
      <c r="G278" s="268">
        <v>340</v>
      </c>
      <c r="H278" s="268">
        <v>741</v>
      </c>
      <c r="I278" s="268">
        <v>86</v>
      </c>
      <c r="J278" s="268">
        <v>46</v>
      </c>
      <c r="K278" s="268">
        <v>132</v>
      </c>
      <c r="L278" s="268">
        <v>27</v>
      </c>
      <c r="M278" s="268">
        <v>34</v>
      </c>
      <c r="N278" s="268">
        <v>61</v>
      </c>
      <c r="O278" s="324">
        <v>541</v>
      </c>
      <c r="P278" s="324">
        <v>444</v>
      </c>
      <c r="Q278" s="324">
        <v>985</v>
      </c>
      <c r="R278" s="13"/>
      <c r="S278" s="13"/>
      <c r="T278" s="13"/>
      <c r="U278" s="13"/>
      <c r="V278" s="13"/>
      <c r="W278" s="13"/>
      <c r="X278" s="13"/>
    </row>
    <row r="279" spans="1:24" x14ac:dyDescent="0.25">
      <c r="B279" s="136" t="s">
        <v>234</v>
      </c>
      <c r="C279" s="268">
        <v>7</v>
      </c>
      <c r="D279" s="268">
        <v>6</v>
      </c>
      <c r="E279" s="268">
        <v>13</v>
      </c>
      <c r="F279" s="268">
        <v>86</v>
      </c>
      <c r="G279" s="268">
        <v>79</v>
      </c>
      <c r="H279" s="268">
        <v>165</v>
      </c>
      <c r="I279" s="268">
        <v>21</v>
      </c>
      <c r="J279" s="268">
        <v>7</v>
      </c>
      <c r="K279" s="268">
        <v>28</v>
      </c>
      <c r="L279" s="268">
        <v>8</v>
      </c>
      <c r="M279" s="268">
        <v>3</v>
      </c>
      <c r="N279" s="268">
        <v>11</v>
      </c>
      <c r="O279" s="324">
        <v>122</v>
      </c>
      <c r="P279" s="324">
        <v>95</v>
      </c>
      <c r="Q279" s="324">
        <v>217</v>
      </c>
      <c r="R279" s="13"/>
      <c r="S279" s="13"/>
      <c r="T279" s="13"/>
      <c r="U279" s="13"/>
      <c r="V279" s="13"/>
      <c r="W279" s="13"/>
      <c r="X279" s="13"/>
    </row>
    <row r="280" spans="1:24" x14ac:dyDescent="0.25">
      <c r="B280" s="136" t="s">
        <v>235</v>
      </c>
      <c r="C280" s="268">
        <v>2</v>
      </c>
      <c r="D280" s="268">
        <v>9</v>
      </c>
      <c r="E280" s="268">
        <v>11</v>
      </c>
      <c r="F280" s="268">
        <v>52</v>
      </c>
      <c r="G280" s="268">
        <v>35</v>
      </c>
      <c r="H280" s="268">
        <v>87</v>
      </c>
      <c r="I280" s="268">
        <v>7</v>
      </c>
      <c r="J280" s="268">
        <v>1</v>
      </c>
      <c r="K280" s="268">
        <v>8</v>
      </c>
      <c r="L280" s="268">
        <v>4</v>
      </c>
      <c r="M280" s="268">
        <v>5</v>
      </c>
      <c r="N280" s="268">
        <v>9</v>
      </c>
      <c r="O280" s="324">
        <v>65</v>
      </c>
      <c r="P280" s="324">
        <v>50</v>
      </c>
      <c r="Q280" s="324">
        <v>115</v>
      </c>
      <c r="R280" s="13"/>
      <c r="S280" s="13"/>
      <c r="T280" s="13"/>
      <c r="U280" s="13"/>
      <c r="V280" s="13"/>
      <c r="W280" s="13"/>
      <c r="X280" s="13"/>
    </row>
    <row r="281" spans="1:24" x14ac:dyDescent="0.25">
      <c r="B281" s="136" t="s">
        <v>236</v>
      </c>
      <c r="C281" s="268">
        <v>11</v>
      </c>
      <c r="D281" s="268">
        <v>11</v>
      </c>
      <c r="E281" s="268">
        <v>22</v>
      </c>
      <c r="F281" s="268">
        <v>119</v>
      </c>
      <c r="G281" s="268">
        <v>111</v>
      </c>
      <c r="H281" s="268">
        <v>230</v>
      </c>
      <c r="I281" s="268">
        <v>24</v>
      </c>
      <c r="J281" s="268">
        <v>9</v>
      </c>
      <c r="K281" s="268">
        <v>33</v>
      </c>
      <c r="L281" s="268">
        <v>8</v>
      </c>
      <c r="M281" s="268">
        <v>13</v>
      </c>
      <c r="N281" s="268">
        <v>21</v>
      </c>
      <c r="O281" s="324">
        <v>162</v>
      </c>
      <c r="P281" s="324">
        <v>144</v>
      </c>
      <c r="Q281" s="324">
        <v>306</v>
      </c>
      <c r="R281" s="13"/>
      <c r="S281" s="13"/>
      <c r="T281" s="13"/>
      <c r="U281" s="13"/>
      <c r="V281" s="13"/>
      <c r="W281" s="13"/>
      <c r="X281" s="13"/>
    </row>
    <row r="282" spans="1:24" x14ac:dyDescent="0.25">
      <c r="B282" s="136" t="s">
        <v>237</v>
      </c>
      <c r="C282" s="268">
        <v>8</v>
      </c>
      <c r="D282" s="268">
        <v>8</v>
      </c>
      <c r="E282" s="268">
        <v>16</v>
      </c>
      <c r="F282" s="268">
        <v>78</v>
      </c>
      <c r="G282" s="268">
        <v>79</v>
      </c>
      <c r="H282" s="268">
        <v>157</v>
      </c>
      <c r="I282" s="268">
        <v>16</v>
      </c>
      <c r="J282" s="268">
        <v>4</v>
      </c>
      <c r="K282" s="268">
        <v>20</v>
      </c>
      <c r="L282" s="268">
        <v>7</v>
      </c>
      <c r="M282" s="268">
        <v>9</v>
      </c>
      <c r="N282" s="268">
        <v>16</v>
      </c>
      <c r="O282" s="324">
        <v>109</v>
      </c>
      <c r="P282" s="324">
        <v>100</v>
      </c>
      <c r="Q282" s="324">
        <v>209</v>
      </c>
      <c r="R282" s="13"/>
      <c r="S282" s="13"/>
      <c r="T282" s="13"/>
      <c r="U282" s="13"/>
      <c r="V282" s="13"/>
      <c r="W282" s="13"/>
      <c r="X282" s="13"/>
    </row>
    <row r="283" spans="1:24" x14ac:dyDescent="0.25">
      <c r="B283" s="156" t="s">
        <v>238</v>
      </c>
      <c r="C283" s="271">
        <v>3</v>
      </c>
      <c r="D283" s="271">
        <v>7</v>
      </c>
      <c r="E283" s="271">
        <v>10</v>
      </c>
      <c r="F283" s="271">
        <v>65</v>
      </c>
      <c r="G283" s="271">
        <v>78</v>
      </c>
      <c r="H283" s="271">
        <v>143</v>
      </c>
      <c r="I283" s="271">
        <v>10</v>
      </c>
      <c r="J283" s="271">
        <v>3</v>
      </c>
      <c r="K283" s="271">
        <v>13</v>
      </c>
      <c r="L283" s="271">
        <v>5</v>
      </c>
      <c r="M283" s="271">
        <v>11</v>
      </c>
      <c r="N283" s="271">
        <v>16</v>
      </c>
      <c r="O283" s="324">
        <v>83</v>
      </c>
      <c r="P283" s="324">
        <v>99</v>
      </c>
      <c r="Q283" s="324">
        <v>182</v>
      </c>
      <c r="R283" s="13"/>
      <c r="S283" s="13"/>
      <c r="T283" s="13"/>
      <c r="U283" s="13"/>
      <c r="V283" s="13"/>
      <c r="W283" s="13"/>
      <c r="X283" s="13"/>
    </row>
    <row r="284" spans="1:24" x14ac:dyDescent="0.25">
      <c r="B284" s="371" t="s">
        <v>923</v>
      </c>
      <c r="C284" s="310">
        <v>124</v>
      </c>
      <c r="D284" s="310">
        <v>157</v>
      </c>
      <c r="E284" s="310">
        <v>281</v>
      </c>
      <c r="F284" s="310">
        <v>1524</v>
      </c>
      <c r="G284" s="310">
        <v>1462</v>
      </c>
      <c r="H284" s="294">
        <v>2986</v>
      </c>
      <c r="I284" s="310">
        <v>342</v>
      </c>
      <c r="J284" s="294">
        <v>123</v>
      </c>
      <c r="K284" s="310">
        <v>465</v>
      </c>
      <c r="L284" s="294">
        <v>100</v>
      </c>
      <c r="M284" s="310">
        <v>140</v>
      </c>
      <c r="N284" s="294">
        <v>240</v>
      </c>
      <c r="O284" s="324">
        <v>2090</v>
      </c>
      <c r="P284" s="324">
        <v>1882</v>
      </c>
      <c r="Q284" s="324">
        <v>3972</v>
      </c>
      <c r="R284" s="13"/>
      <c r="S284" s="13"/>
      <c r="T284" s="13"/>
      <c r="U284" s="13"/>
      <c r="V284" s="13"/>
      <c r="W284" s="13"/>
      <c r="X284" s="13"/>
    </row>
    <row r="285" spans="1:24" ht="81.75" customHeight="1" x14ac:dyDescent="0.25">
      <c r="B285" s="445" t="s">
        <v>938</v>
      </c>
      <c r="C285" s="445"/>
      <c r="D285" s="445"/>
      <c r="E285" s="445"/>
      <c r="F285" s="445"/>
      <c r="G285" s="445"/>
      <c r="H285" s="445"/>
      <c r="I285" s="445"/>
      <c r="J285" s="445"/>
      <c r="K285" s="445"/>
      <c r="L285" s="445"/>
      <c r="M285" s="445"/>
      <c r="N285" s="445"/>
      <c r="O285" s="445"/>
      <c r="P285" s="445"/>
      <c r="Q285" s="445"/>
      <c r="R285" s="13"/>
      <c r="S285" s="13"/>
      <c r="T285" s="13"/>
      <c r="U285" s="13"/>
      <c r="V285" s="13"/>
      <c r="W285" s="13"/>
    </row>
    <row r="286" spans="1:24" x14ac:dyDescent="0.25">
      <c r="B286" s="158"/>
      <c r="C286" s="158"/>
      <c r="D286" s="158"/>
      <c r="E286"/>
      <c r="F286"/>
      <c r="G286"/>
      <c r="H286" s="13"/>
      <c r="I286" s="13"/>
      <c r="J286" s="13"/>
      <c r="K286" s="13"/>
      <c r="L286" s="13"/>
      <c r="M286" s="13"/>
      <c r="N286" s="13"/>
      <c r="O286" s="13"/>
      <c r="P286" s="13"/>
      <c r="Q286" s="13"/>
      <c r="R286" s="13"/>
      <c r="S286" s="13"/>
      <c r="T286" s="13"/>
      <c r="U286" s="13"/>
      <c r="V286" s="13"/>
      <c r="W286" s="13"/>
    </row>
    <row r="287" spans="1:24" x14ac:dyDescent="0.25">
      <c r="A287"/>
      <c r="B287" s="187" t="s">
        <v>511</v>
      </c>
      <c r="C287"/>
      <c r="D287"/>
      <c r="E287"/>
      <c r="F287"/>
      <c r="G287"/>
      <c r="H287" s="13"/>
      <c r="I287" s="13"/>
      <c r="J287" s="13"/>
      <c r="K287" s="13"/>
      <c r="L287" s="13"/>
      <c r="M287" s="13"/>
      <c r="N287" s="13"/>
      <c r="O287" s="13"/>
      <c r="P287" s="13"/>
      <c r="Q287" s="13"/>
      <c r="R287" s="13"/>
      <c r="S287" s="13"/>
      <c r="T287" s="13"/>
      <c r="U287" s="13"/>
      <c r="V287" s="13"/>
      <c r="W287" s="13"/>
    </row>
    <row r="288" spans="1:24" x14ac:dyDescent="0.25">
      <c r="A288"/>
      <c r="B288" s="187"/>
      <c r="C288"/>
      <c r="D288"/>
      <c r="E288"/>
      <c r="F288"/>
      <c r="G288"/>
      <c r="H288" s="13"/>
      <c r="I288" s="13"/>
      <c r="J288" s="13"/>
      <c r="K288" s="13"/>
      <c r="L288" s="13"/>
      <c r="M288" s="13"/>
      <c r="N288" s="13"/>
      <c r="O288" s="13"/>
      <c r="P288" s="13"/>
      <c r="Q288" s="13"/>
      <c r="R288" s="13"/>
      <c r="S288" s="13"/>
      <c r="T288" s="13"/>
      <c r="U288" s="13"/>
      <c r="V288" s="13"/>
      <c r="W288" s="13"/>
    </row>
    <row r="289" spans="1:24" ht="15" customHeight="1" x14ac:dyDescent="0.25">
      <c r="A289"/>
      <c r="B289" s="413" t="s">
        <v>532</v>
      </c>
      <c r="C289" s="414" t="s">
        <v>477</v>
      </c>
      <c r="D289" s="414"/>
      <c r="E289" s="414"/>
      <c r="F289" s="414"/>
      <c r="G289" s="414"/>
      <c r="H289" s="414"/>
      <c r="I289" s="414"/>
      <c r="J289" s="414"/>
      <c r="K289" s="414"/>
      <c r="L289" s="414"/>
      <c r="M289" s="414"/>
      <c r="N289" s="414"/>
      <c r="O289" s="447" t="s">
        <v>922</v>
      </c>
      <c r="P289" s="448"/>
      <c r="Q289" s="449"/>
      <c r="R289" s="13"/>
      <c r="S289" s="13"/>
      <c r="T289" s="13"/>
      <c r="U289" s="13"/>
      <c r="V289" s="13"/>
      <c r="W289" s="13"/>
    </row>
    <row r="290" spans="1:24" ht="15" customHeight="1" x14ac:dyDescent="0.25">
      <c r="B290" s="413"/>
      <c r="C290" s="414" t="s">
        <v>885</v>
      </c>
      <c r="D290" s="414"/>
      <c r="E290" s="414"/>
      <c r="F290" s="414" t="s">
        <v>886</v>
      </c>
      <c r="G290" s="414"/>
      <c r="H290" s="414"/>
      <c r="I290" s="414" t="s">
        <v>2</v>
      </c>
      <c r="J290" s="414"/>
      <c r="K290" s="414"/>
      <c r="L290" s="414" t="s">
        <v>3</v>
      </c>
      <c r="M290" s="414"/>
      <c r="N290" s="414"/>
      <c r="O290" s="450"/>
      <c r="P290" s="451"/>
      <c r="Q290" s="452"/>
      <c r="R290" s="13"/>
      <c r="S290" s="13"/>
      <c r="T290" s="13"/>
      <c r="U290" s="13"/>
      <c r="V290" s="13"/>
      <c r="W290" s="13"/>
    </row>
    <row r="291" spans="1:24" x14ac:dyDescent="0.25">
      <c r="B291" s="413"/>
      <c r="C291" s="161" t="s">
        <v>73</v>
      </c>
      <c r="D291" s="161" t="s">
        <v>74</v>
      </c>
      <c r="E291" s="161" t="s">
        <v>25</v>
      </c>
      <c r="F291" s="161" t="s">
        <v>73</v>
      </c>
      <c r="G291" s="161" t="s">
        <v>74</v>
      </c>
      <c r="H291" s="161" t="s">
        <v>25</v>
      </c>
      <c r="I291" s="161" t="s">
        <v>73</v>
      </c>
      <c r="J291" s="161" t="s">
        <v>74</v>
      </c>
      <c r="K291" s="161" t="s">
        <v>25</v>
      </c>
      <c r="L291" s="161" t="s">
        <v>73</v>
      </c>
      <c r="M291" s="161" t="s">
        <v>74</v>
      </c>
      <c r="N291" s="161" t="s">
        <v>25</v>
      </c>
      <c r="O291" s="299" t="s">
        <v>73</v>
      </c>
      <c r="P291" s="299" t="s">
        <v>74</v>
      </c>
      <c r="Q291" s="299" t="s">
        <v>25</v>
      </c>
      <c r="R291" s="13"/>
      <c r="S291" s="13"/>
      <c r="T291" s="13"/>
      <c r="U291" s="13"/>
      <c r="V291" s="13"/>
      <c r="W291" s="13"/>
    </row>
    <row r="292" spans="1:24" x14ac:dyDescent="0.25">
      <c r="B292" s="157" t="s">
        <v>239</v>
      </c>
      <c r="C292" s="268">
        <v>3</v>
      </c>
      <c r="D292" s="268">
        <v>11</v>
      </c>
      <c r="E292" s="268">
        <v>14</v>
      </c>
      <c r="F292" s="268">
        <v>65</v>
      </c>
      <c r="G292" s="268">
        <v>67</v>
      </c>
      <c r="H292" s="268">
        <v>132</v>
      </c>
      <c r="I292" s="268">
        <v>17</v>
      </c>
      <c r="J292" s="268">
        <v>9</v>
      </c>
      <c r="K292" s="268">
        <v>26</v>
      </c>
      <c r="L292" s="268">
        <v>5</v>
      </c>
      <c r="M292" s="268">
        <v>6</v>
      </c>
      <c r="N292" s="268">
        <v>11</v>
      </c>
      <c r="O292" s="324">
        <v>90</v>
      </c>
      <c r="P292" s="324">
        <v>93</v>
      </c>
      <c r="Q292" s="324">
        <v>183</v>
      </c>
      <c r="R292" s="13"/>
      <c r="S292" s="13"/>
      <c r="T292" s="13"/>
      <c r="U292" s="13"/>
      <c r="V292" s="13"/>
      <c r="W292" s="13"/>
      <c r="X292" s="13"/>
    </row>
    <row r="293" spans="1:24" x14ac:dyDescent="0.25">
      <c r="B293" s="136" t="s">
        <v>240</v>
      </c>
      <c r="C293" s="268">
        <v>3</v>
      </c>
      <c r="D293" s="268">
        <v>4</v>
      </c>
      <c r="E293" s="268">
        <v>7</v>
      </c>
      <c r="F293" s="268">
        <v>13</v>
      </c>
      <c r="G293" s="268">
        <v>14</v>
      </c>
      <c r="H293" s="268">
        <v>27</v>
      </c>
      <c r="I293" s="268">
        <v>8</v>
      </c>
      <c r="J293" s="268">
        <v>1</v>
      </c>
      <c r="K293" s="268">
        <v>9</v>
      </c>
      <c r="L293" s="268">
        <v>1</v>
      </c>
      <c r="M293" s="268">
        <v>2</v>
      </c>
      <c r="N293" s="268">
        <v>3</v>
      </c>
      <c r="O293" s="324">
        <v>25</v>
      </c>
      <c r="P293" s="324">
        <v>21</v>
      </c>
      <c r="Q293" s="324">
        <v>46</v>
      </c>
      <c r="R293" s="13"/>
      <c r="S293" s="13"/>
      <c r="T293" s="13"/>
      <c r="U293" s="13"/>
      <c r="V293" s="13"/>
      <c r="W293" s="13"/>
      <c r="X293" s="13"/>
    </row>
    <row r="294" spans="1:24" x14ac:dyDescent="0.25">
      <c r="B294" s="136" t="s">
        <v>241</v>
      </c>
      <c r="C294" s="268">
        <v>4</v>
      </c>
      <c r="D294" s="268">
        <v>7</v>
      </c>
      <c r="E294" s="268">
        <v>11</v>
      </c>
      <c r="F294" s="268">
        <v>29</v>
      </c>
      <c r="G294" s="268">
        <v>50</v>
      </c>
      <c r="H294" s="268">
        <v>79</v>
      </c>
      <c r="I294" s="268">
        <v>13</v>
      </c>
      <c r="J294" s="268">
        <v>2</v>
      </c>
      <c r="K294" s="268">
        <v>15</v>
      </c>
      <c r="L294" s="268">
        <v>2</v>
      </c>
      <c r="M294" s="268">
        <v>6</v>
      </c>
      <c r="N294" s="268">
        <v>8</v>
      </c>
      <c r="O294" s="324">
        <v>48</v>
      </c>
      <c r="P294" s="324">
        <v>65</v>
      </c>
      <c r="Q294" s="324">
        <v>113</v>
      </c>
      <c r="R294" s="13"/>
      <c r="S294" s="13"/>
      <c r="T294" s="13"/>
      <c r="U294" s="13"/>
      <c r="V294" s="13"/>
      <c r="W294" s="13"/>
      <c r="X294" s="13"/>
    </row>
    <row r="295" spans="1:24" x14ac:dyDescent="0.25">
      <c r="B295" s="136" t="s">
        <v>242</v>
      </c>
      <c r="C295" s="268">
        <v>6</v>
      </c>
      <c r="D295" s="268">
        <v>6</v>
      </c>
      <c r="E295" s="268">
        <v>12</v>
      </c>
      <c r="F295" s="268">
        <v>69</v>
      </c>
      <c r="G295" s="268">
        <v>75</v>
      </c>
      <c r="H295" s="268">
        <v>144</v>
      </c>
      <c r="I295" s="268">
        <v>12</v>
      </c>
      <c r="J295" s="268">
        <v>8</v>
      </c>
      <c r="K295" s="268">
        <v>20</v>
      </c>
      <c r="L295" s="268">
        <v>7</v>
      </c>
      <c r="M295" s="268">
        <v>9</v>
      </c>
      <c r="N295" s="268">
        <v>16</v>
      </c>
      <c r="O295" s="324">
        <v>94</v>
      </c>
      <c r="P295" s="324">
        <v>98</v>
      </c>
      <c r="Q295" s="324">
        <v>192</v>
      </c>
      <c r="R295" s="13"/>
      <c r="S295" s="13"/>
      <c r="T295" s="13"/>
      <c r="U295" s="13"/>
      <c r="V295" s="13"/>
      <c r="W295" s="13"/>
      <c r="X295" s="13"/>
    </row>
    <row r="296" spans="1:24" x14ac:dyDescent="0.25">
      <c r="B296" s="136" t="s">
        <v>243</v>
      </c>
      <c r="C296" s="268">
        <v>2</v>
      </c>
      <c r="D296" s="268">
        <v>3</v>
      </c>
      <c r="E296" s="268">
        <v>5</v>
      </c>
      <c r="F296" s="268">
        <v>22</v>
      </c>
      <c r="G296" s="268">
        <v>13</v>
      </c>
      <c r="H296" s="268">
        <v>35</v>
      </c>
      <c r="I296" s="268">
        <v>6</v>
      </c>
      <c r="J296" s="268">
        <v>2</v>
      </c>
      <c r="K296" s="268">
        <v>8</v>
      </c>
      <c r="L296" s="268"/>
      <c r="M296" s="268">
        <v>3</v>
      </c>
      <c r="N296" s="268">
        <v>3</v>
      </c>
      <c r="O296" s="324">
        <v>30</v>
      </c>
      <c r="P296" s="324">
        <v>21</v>
      </c>
      <c r="Q296" s="324">
        <v>51</v>
      </c>
      <c r="R296" s="13"/>
      <c r="S296" s="13"/>
      <c r="T296" s="13"/>
      <c r="U296" s="13"/>
      <c r="V296" s="13"/>
      <c r="W296" s="13"/>
      <c r="X296" s="13"/>
    </row>
    <row r="297" spans="1:24" x14ac:dyDescent="0.25">
      <c r="B297" s="136" t="s">
        <v>244</v>
      </c>
      <c r="C297" s="268">
        <v>21</v>
      </c>
      <c r="D297" s="268">
        <v>24</v>
      </c>
      <c r="E297" s="268">
        <v>45</v>
      </c>
      <c r="F297" s="268">
        <v>271</v>
      </c>
      <c r="G297" s="268">
        <v>229</v>
      </c>
      <c r="H297" s="268">
        <v>500</v>
      </c>
      <c r="I297" s="268">
        <v>27</v>
      </c>
      <c r="J297" s="268">
        <v>19</v>
      </c>
      <c r="K297" s="268">
        <v>46</v>
      </c>
      <c r="L297" s="268">
        <v>14</v>
      </c>
      <c r="M297" s="268">
        <v>15</v>
      </c>
      <c r="N297" s="268">
        <v>29</v>
      </c>
      <c r="O297" s="324">
        <v>333</v>
      </c>
      <c r="P297" s="324">
        <v>287</v>
      </c>
      <c r="Q297" s="324">
        <v>620</v>
      </c>
      <c r="R297" s="13"/>
      <c r="S297" s="13"/>
      <c r="T297" s="13"/>
      <c r="U297" s="13"/>
      <c r="V297" s="13"/>
      <c r="W297" s="13"/>
      <c r="X297" s="13"/>
    </row>
    <row r="298" spans="1:24" x14ac:dyDescent="0.25">
      <c r="B298" s="136" t="s">
        <v>245</v>
      </c>
      <c r="C298" s="268">
        <v>1</v>
      </c>
      <c r="D298" s="268">
        <v>1</v>
      </c>
      <c r="E298" s="268">
        <v>2</v>
      </c>
      <c r="F298" s="268">
        <v>5</v>
      </c>
      <c r="G298" s="268">
        <v>5</v>
      </c>
      <c r="H298" s="268">
        <v>10</v>
      </c>
      <c r="I298" s="268">
        <v>1</v>
      </c>
      <c r="J298" s="268"/>
      <c r="K298" s="268">
        <v>1</v>
      </c>
      <c r="L298" s="268"/>
      <c r="M298" s="268">
        <v>1</v>
      </c>
      <c r="N298" s="268">
        <v>1</v>
      </c>
      <c r="O298" s="324">
        <v>7</v>
      </c>
      <c r="P298" s="324">
        <v>7</v>
      </c>
      <c r="Q298" s="324">
        <v>14</v>
      </c>
      <c r="R298" s="13"/>
      <c r="S298" s="13"/>
      <c r="T298" s="13"/>
      <c r="U298" s="13"/>
      <c r="V298" s="13"/>
      <c r="W298" s="13"/>
      <c r="X298" s="13"/>
    </row>
    <row r="299" spans="1:24" x14ac:dyDescent="0.25">
      <c r="B299" s="136" t="s">
        <v>494</v>
      </c>
      <c r="C299" s="268"/>
      <c r="D299" s="268"/>
      <c r="E299" s="268"/>
      <c r="F299" s="268">
        <v>15</v>
      </c>
      <c r="G299" s="268">
        <v>12</v>
      </c>
      <c r="H299" s="268">
        <v>27</v>
      </c>
      <c r="I299" s="268">
        <v>8</v>
      </c>
      <c r="J299" s="268">
        <v>2</v>
      </c>
      <c r="K299" s="268">
        <v>10</v>
      </c>
      <c r="L299" s="268">
        <v>2</v>
      </c>
      <c r="M299" s="268">
        <v>2</v>
      </c>
      <c r="N299" s="268">
        <v>4</v>
      </c>
      <c r="O299" s="324">
        <v>25</v>
      </c>
      <c r="P299" s="324">
        <v>16</v>
      </c>
      <c r="Q299" s="324">
        <v>41</v>
      </c>
      <c r="R299" s="13"/>
      <c r="S299" s="13"/>
      <c r="T299" s="13"/>
      <c r="U299" s="13"/>
      <c r="V299" s="13"/>
      <c r="W299" s="13"/>
      <c r="X299" s="13"/>
    </row>
    <row r="300" spans="1:24" x14ac:dyDescent="0.25">
      <c r="B300" s="136" t="s">
        <v>246</v>
      </c>
      <c r="C300" s="268">
        <v>1</v>
      </c>
      <c r="D300" s="268"/>
      <c r="E300" s="268">
        <v>1</v>
      </c>
      <c r="F300" s="268">
        <v>11</v>
      </c>
      <c r="G300" s="268">
        <v>8</v>
      </c>
      <c r="H300" s="268">
        <v>19</v>
      </c>
      <c r="I300" s="268">
        <v>3</v>
      </c>
      <c r="J300" s="268"/>
      <c r="K300" s="268">
        <v>3</v>
      </c>
      <c r="L300" s="268"/>
      <c r="M300" s="268"/>
      <c r="N300" s="268"/>
      <c r="O300" s="324">
        <v>15</v>
      </c>
      <c r="P300" s="324">
        <v>8</v>
      </c>
      <c r="Q300" s="324">
        <v>23</v>
      </c>
      <c r="R300" s="13"/>
      <c r="S300" s="13"/>
      <c r="T300" s="13"/>
      <c r="U300" s="13"/>
      <c r="V300" s="13"/>
      <c r="W300" s="13"/>
      <c r="X300" s="13"/>
    </row>
    <row r="301" spans="1:24" x14ac:dyDescent="0.25">
      <c r="B301" s="136" t="s">
        <v>247</v>
      </c>
      <c r="C301" s="268">
        <v>21</v>
      </c>
      <c r="D301" s="268">
        <v>21</v>
      </c>
      <c r="E301" s="268">
        <v>42</v>
      </c>
      <c r="F301" s="268">
        <v>187</v>
      </c>
      <c r="G301" s="268">
        <v>187</v>
      </c>
      <c r="H301" s="268">
        <v>374</v>
      </c>
      <c r="I301" s="268">
        <v>34</v>
      </c>
      <c r="J301" s="268">
        <v>9</v>
      </c>
      <c r="K301" s="268">
        <v>43</v>
      </c>
      <c r="L301" s="268">
        <v>7</v>
      </c>
      <c r="M301" s="268">
        <v>18</v>
      </c>
      <c r="N301" s="268">
        <v>25</v>
      </c>
      <c r="O301" s="324">
        <v>249</v>
      </c>
      <c r="P301" s="324">
        <v>235</v>
      </c>
      <c r="Q301" s="324">
        <v>484</v>
      </c>
      <c r="R301" s="13"/>
      <c r="S301" s="13"/>
      <c r="T301" s="13"/>
      <c r="U301" s="13"/>
      <c r="V301" s="13"/>
      <c r="W301" s="13"/>
      <c r="X301" s="13"/>
    </row>
    <row r="302" spans="1:24" x14ac:dyDescent="0.25">
      <c r="B302" s="136" t="s">
        <v>248</v>
      </c>
      <c r="C302" s="268">
        <v>9</v>
      </c>
      <c r="D302" s="268">
        <v>4</v>
      </c>
      <c r="E302" s="268">
        <v>13</v>
      </c>
      <c r="F302" s="268">
        <v>52</v>
      </c>
      <c r="G302" s="268">
        <v>58</v>
      </c>
      <c r="H302" s="268">
        <v>110</v>
      </c>
      <c r="I302" s="268">
        <v>17</v>
      </c>
      <c r="J302" s="268">
        <v>6</v>
      </c>
      <c r="K302" s="268">
        <v>23</v>
      </c>
      <c r="L302" s="268">
        <v>2</v>
      </c>
      <c r="M302" s="268">
        <v>7</v>
      </c>
      <c r="N302" s="268">
        <v>9</v>
      </c>
      <c r="O302" s="324">
        <v>80</v>
      </c>
      <c r="P302" s="324">
        <v>75</v>
      </c>
      <c r="Q302" s="324">
        <v>155</v>
      </c>
      <c r="R302" s="13"/>
      <c r="S302" s="13"/>
      <c r="T302" s="13"/>
      <c r="U302" s="13"/>
      <c r="V302" s="13"/>
      <c r="W302" s="13"/>
      <c r="X302" s="13"/>
    </row>
    <row r="303" spans="1:24" x14ac:dyDescent="0.25">
      <c r="B303" s="136" t="s">
        <v>249</v>
      </c>
      <c r="C303" s="268">
        <v>5</v>
      </c>
      <c r="D303" s="268">
        <v>6</v>
      </c>
      <c r="E303" s="268">
        <v>11</v>
      </c>
      <c r="F303" s="268">
        <v>38</v>
      </c>
      <c r="G303" s="268">
        <v>40</v>
      </c>
      <c r="H303" s="268">
        <v>78</v>
      </c>
      <c r="I303" s="268">
        <v>22</v>
      </c>
      <c r="J303" s="268">
        <v>10</v>
      </c>
      <c r="K303" s="268">
        <v>32</v>
      </c>
      <c r="L303" s="268">
        <v>6</v>
      </c>
      <c r="M303" s="268">
        <v>7</v>
      </c>
      <c r="N303" s="268">
        <v>13</v>
      </c>
      <c r="O303" s="324">
        <v>71</v>
      </c>
      <c r="P303" s="324">
        <v>63</v>
      </c>
      <c r="Q303" s="324">
        <v>134</v>
      </c>
      <c r="R303" s="13"/>
      <c r="S303" s="13"/>
      <c r="T303" s="13"/>
      <c r="U303" s="13"/>
      <c r="V303" s="13"/>
      <c r="W303" s="13"/>
      <c r="X303" s="13"/>
    </row>
    <row r="304" spans="1:24" x14ac:dyDescent="0.25">
      <c r="B304" s="136" t="s">
        <v>250</v>
      </c>
      <c r="C304" s="268">
        <v>8</v>
      </c>
      <c r="D304" s="268">
        <v>6</v>
      </c>
      <c r="E304" s="268">
        <v>14</v>
      </c>
      <c r="F304" s="268">
        <v>73</v>
      </c>
      <c r="G304" s="268">
        <v>84</v>
      </c>
      <c r="H304" s="268">
        <v>157</v>
      </c>
      <c r="I304" s="268">
        <v>10</v>
      </c>
      <c r="J304" s="268">
        <v>4</v>
      </c>
      <c r="K304" s="268">
        <v>14</v>
      </c>
      <c r="L304" s="268">
        <v>3</v>
      </c>
      <c r="M304" s="268">
        <v>2</v>
      </c>
      <c r="N304" s="268">
        <v>5</v>
      </c>
      <c r="O304" s="324">
        <v>94</v>
      </c>
      <c r="P304" s="324">
        <v>96</v>
      </c>
      <c r="Q304" s="324">
        <v>190</v>
      </c>
      <c r="R304" s="13"/>
      <c r="S304" s="13"/>
      <c r="T304" s="13"/>
      <c r="U304" s="13"/>
      <c r="V304" s="13"/>
      <c r="W304" s="13"/>
      <c r="X304" s="13"/>
    </row>
    <row r="305" spans="2:24" x14ac:dyDescent="0.25">
      <c r="B305" s="136" t="s">
        <v>251</v>
      </c>
      <c r="C305" s="268">
        <v>10</v>
      </c>
      <c r="D305" s="268">
        <v>10</v>
      </c>
      <c r="E305" s="268">
        <v>20</v>
      </c>
      <c r="F305" s="268">
        <v>84</v>
      </c>
      <c r="G305" s="268">
        <v>60</v>
      </c>
      <c r="H305" s="268">
        <v>144</v>
      </c>
      <c r="I305" s="268">
        <v>29</v>
      </c>
      <c r="J305" s="268">
        <v>7</v>
      </c>
      <c r="K305" s="268">
        <v>36</v>
      </c>
      <c r="L305" s="268">
        <v>7</v>
      </c>
      <c r="M305" s="268">
        <v>8</v>
      </c>
      <c r="N305" s="268">
        <v>15</v>
      </c>
      <c r="O305" s="324">
        <v>130</v>
      </c>
      <c r="P305" s="324">
        <v>85</v>
      </c>
      <c r="Q305" s="324">
        <v>215</v>
      </c>
      <c r="R305" s="13"/>
      <c r="S305" s="13"/>
      <c r="T305" s="13"/>
      <c r="U305" s="13"/>
      <c r="V305" s="13"/>
      <c r="W305" s="13"/>
      <c r="X305" s="13"/>
    </row>
    <row r="306" spans="2:24" x14ac:dyDescent="0.25">
      <c r="B306" s="136" t="s">
        <v>252</v>
      </c>
      <c r="C306" s="268">
        <v>1</v>
      </c>
      <c r="D306" s="268">
        <v>2</v>
      </c>
      <c r="E306" s="268">
        <v>3</v>
      </c>
      <c r="F306" s="268">
        <v>20</v>
      </c>
      <c r="G306" s="268">
        <v>22</v>
      </c>
      <c r="H306" s="268">
        <v>42</v>
      </c>
      <c r="I306" s="268">
        <v>2</v>
      </c>
      <c r="J306" s="268"/>
      <c r="K306" s="268">
        <v>2</v>
      </c>
      <c r="L306" s="268">
        <v>1</v>
      </c>
      <c r="M306" s="268">
        <v>1</v>
      </c>
      <c r="N306" s="268">
        <v>2</v>
      </c>
      <c r="O306" s="324">
        <v>24</v>
      </c>
      <c r="P306" s="324">
        <v>25</v>
      </c>
      <c r="Q306" s="324">
        <v>49</v>
      </c>
      <c r="R306" s="13"/>
      <c r="S306" s="13"/>
      <c r="T306" s="13"/>
      <c r="U306" s="13"/>
      <c r="V306" s="13"/>
      <c r="W306" s="13"/>
      <c r="X306" s="13"/>
    </row>
    <row r="307" spans="2:24" x14ac:dyDescent="0.25">
      <c r="B307" s="136" t="s">
        <v>253</v>
      </c>
      <c r="C307" s="268"/>
      <c r="D307" s="268"/>
      <c r="E307" s="268"/>
      <c r="F307" s="268">
        <v>12</v>
      </c>
      <c r="G307" s="268">
        <v>8</v>
      </c>
      <c r="H307" s="268">
        <v>20</v>
      </c>
      <c r="I307" s="268">
        <v>1</v>
      </c>
      <c r="J307" s="268">
        <v>3</v>
      </c>
      <c r="K307" s="268">
        <v>4</v>
      </c>
      <c r="L307" s="268">
        <v>1</v>
      </c>
      <c r="M307" s="268">
        <v>3</v>
      </c>
      <c r="N307" s="268">
        <v>4</v>
      </c>
      <c r="O307" s="324">
        <v>14</v>
      </c>
      <c r="P307" s="324">
        <v>14</v>
      </c>
      <c r="Q307" s="324">
        <v>28</v>
      </c>
      <c r="R307" s="13"/>
      <c r="S307" s="13"/>
      <c r="T307" s="13"/>
      <c r="U307" s="13"/>
      <c r="V307" s="13"/>
      <c r="W307" s="13"/>
      <c r="X307" s="13"/>
    </row>
    <row r="308" spans="2:24" x14ac:dyDescent="0.25">
      <c r="B308" s="136" t="s">
        <v>254</v>
      </c>
      <c r="C308" s="268">
        <v>1</v>
      </c>
      <c r="D308" s="268"/>
      <c r="E308" s="268">
        <v>1</v>
      </c>
      <c r="F308" s="268">
        <v>12</v>
      </c>
      <c r="G308" s="268">
        <v>7</v>
      </c>
      <c r="H308" s="268">
        <v>19</v>
      </c>
      <c r="I308" s="268">
        <v>3</v>
      </c>
      <c r="J308" s="268">
        <v>2</v>
      </c>
      <c r="K308" s="268">
        <v>5</v>
      </c>
      <c r="L308" s="268">
        <v>2</v>
      </c>
      <c r="M308" s="268"/>
      <c r="N308" s="268">
        <v>2</v>
      </c>
      <c r="O308" s="324">
        <v>18</v>
      </c>
      <c r="P308" s="324">
        <v>9</v>
      </c>
      <c r="Q308" s="324">
        <v>27</v>
      </c>
      <c r="R308" s="13"/>
      <c r="S308" s="13"/>
      <c r="T308" s="13"/>
      <c r="U308" s="13"/>
      <c r="V308" s="13"/>
      <c r="W308" s="13"/>
      <c r="X308" s="13"/>
    </row>
    <row r="309" spans="2:24" x14ac:dyDescent="0.25">
      <c r="B309" s="136" t="s">
        <v>255</v>
      </c>
      <c r="C309" s="268">
        <v>3</v>
      </c>
      <c r="D309" s="268">
        <v>1</v>
      </c>
      <c r="E309" s="268">
        <v>4</v>
      </c>
      <c r="F309" s="268">
        <v>16</v>
      </c>
      <c r="G309" s="268">
        <v>14</v>
      </c>
      <c r="H309" s="268">
        <v>30</v>
      </c>
      <c r="I309" s="268">
        <v>2</v>
      </c>
      <c r="J309" s="268"/>
      <c r="K309" s="268">
        <v>2</v>
      </c>
      <c r="L309" s="268"/>
      <c r="M309" s="268">
        <v>3</v>
      </c>
      <c r="N309" s="268">
        <v>3</v>
      </c>
      <c r="O309" s="324">
        <v>21</v>
      </c>
      <c r="P309" s="324">
        <v>18</v>
      </c>
      <c r="Q309" s="324">
        <v>39</v>
      </c>
      <c r="R309" s="13"/>
      <c r="S309" s="13"/>
      <c r="T309" s="13"/>
      <c r="U309" s="13"/>
      <c r="V309" s="13"/>
      <c r="W309" s="13"/>
      <c r="X309" s="13"/>
    </row>
    <row r="310" spans="2:24" x14ac:dyDescent="0.25">
      <c r="B310" s="136" t="s">
        <v>256</v>
      </c>
      <c r="C310" s="268">
        <v>6</v>
      </c>
      <c r="D310" s="268">
        <v>2</v>
      </c>
      <c r="E310" s="268">
        <v>8</v>
      </c>
      <c r="F310" s="268">
        <v>41</v>
      </c>
      <c r="G310" s="268">
        <v>39</v>
      </c>
      <c r="H310" s="268">
        <v>80</v>
      </c>
      <c r="I310" s="268">
        <v>8</v>
      </c>
      <c r="J310" s="268">
        <v>5</v>
      </c>
      <c r="K310" s="268">
        <v>13</v>
      </c>
      <c r="L310" s="268">
        <v>5</v>
      </c>
      <c r="M310" s="268">
        <v>1</v>
      </c>
      <c r="N310" s="268">
        <v>6</v>
      </c>
      <c r="O310" s="324">
        <v>60</v>
      </c>
      <c r="P310" s="324">
        <v>47</v>
      </c>
      <c r="Q310" s="324">
        <v>107</v>
      </c>
      <c r="R310" s="13"/>
      <c r="S310" s="13"/>
      <c r="T310" s="13"/>
      <c r="U310" s="13"/>
      <c r="V310" s="13"/>
      <c r="W310" s="13"/>
      <c r="X310" s="13"/>
    </row>
    <row r="311" spans="2:24" x14ac:dyDescent="0.25">
      <c r="B311" s="136" t="s">
        <v>257</v>
      </c>
      <c r="C311" s="268">
        <v>2</v>
      </c>
      <c r="D311" s="268">
        <v>1</v>
      </c>
      <c r="E311" s="268">
        <v>3</v>
      </c>
      <c r="F311" s="268">
        <v>23</v>
      </c>
      <c r="G311" s="268">
        <v>23</v>
      </c>
      <c r="H311" s="268">
        <v>46</v>
      </c>
      <c r="I311" s="268">
        <v>11</v>
      </c>
      <c r="J311" s="268">
        <v>2</v>
      </c>
      <c r="K311" s="268">
        <v>13</v>
      </c>
      <c r="L311" s="268">
        <v>1</v>
      </c>
      <c r="M311" s="268"/>
      <c r="N311" s="268">
        <v>1</v>
      </c>
      <c r="O311" s="324">
        <v>37</v>
      </c>
      <c r="P311" s="324">
        <v>26</v>
      </c>
      <c r="Q311" s="324">
        <v>63</v>
      </c>
      <c r="R311" s="13"/>
      <c r="S311" s="13"/>
      <c r="T311" s="13"/>
      <c r="U311" s="13"/>
      <c r="V311" s="13"/>
      <c r="W311" s="13"/>
      <c r="X311" s="13"/>
    </row>
    <row r="312" spans="2:24" x14ac:dyDescent="0.25">
      <c r="B312" s="136" t="s">
        <v>258</v>
      </c>
      <c r="C312" s="268">
        <v>5</v>
      </c>
      <c r="D312" s="268">
        <v>6</v>
      </c>
      <c r="E312" s="268">
        <v>11</v>
      </c>
      <c r="F312" s="268">
        <v>19</v>
      </c>
      <c r="G312" s="268">
        <v>15</v>
      </c>
      <c r="H312" s="268">
        <v>34</v>
      </c>
      <c r="I312" s="268">
        <v>7</v>
      </c>
      <c r="J312" s="268">
        <v>5</v>
      </c>
      <c r="K312" s="268">
        <v>12</v>
      </c>
      <c r="L312" s="268"/>
      <c r="M312" s="268">
        <v>1</v>
      </c>
      <c r="N312" s="268">
        <v>1</v>
      </c>
      <c r="O312" s="324">
        <v>31</v>
      </c>
      <c r="P312" s="324">
        <v>27</v>
      </c>
      <c r="Q312" s="324">
        <v>58</v>
      </c>
      <c r="R312" s="13"/>
      <c r="S312" s="13"/>
      <c r="T312" s="13"/>
      <c r="U312" s="13"/>
      <c r="V312" s="13"/>
      <c r="W312" s="13"/>
      <c r="X312" s="13"/>
    </row>
    <row r="313" spans="2:24" x14ac:dyDescent="0.25">
      <c r="B313" s="136" t="s">
        <v>259</v>
      </c>
      <c r="C313" s="268">
        <v>7</v>
      </c>
      <c r="D313" s="268">
        <v>3</v>
      </c>
      <c r="E313" s="268">
        <v>10</v>
      </c>
      <c r="F313" s="268">
        <v>26</v>
      </c>
      <c r="G313" s="268">
        <v>26</v>
      </c>
      <c r="H313" s="268">
        <v>52</v>
      </c>
      <c r="I313" s="268">
        <v>9</v>
      </c>
      <c r="J313" s="268">
        <v>1</v>
      </c>
      <c r="K313" s="268">
        <v>10</v>
      </c>
      <c r="L313" s="268">
        <v>1</v>
      </c>
      <c r="M313" s="268">
        <v>3</v>
      </c>
      <c r="N313" s="268">
        <v>4</v>
      </c>
      <c r="O313" s="324">
        <v>43</v>
      </c>
      <c r="P313" s="324">
        <v>33</v>
      </c>
      <c r="Q313" s="324">
        <v>76</v>
      </c>
      <c r="R313" s="13"/>
      <c r="S313" s="13"/>
      <c r="T313" s="13"/>
      <c r="U313" s="13"/>
      <c r="V313" s="13"/>
      <c r="W313" s="13"/>
      <c r="X313" s="13"/>
    </row>
    <row r="314" spans="2:24" x14ac:dyDescent="0.25">
      <c r="B314" s="136" t="s">
        <v>260</v>
      </c>
      <c r="C314" s="268">
        <v>8</v>
      </c>
      <c r="D314" s="268">
        <v>7</v>
      </c>
      <c r="E314" s="268">
        <v>15</v>
      </c>
      <c r="F314" s="268">
        <v>66</v>
      </c>
      <c r="G314" s="268">
        <v>64</v>
      </c>
      <c r="H314" s="268">
        <v>130</v>
      </c>
      <c r="I314" s="268">
        <v>23</v>
      </c>
      <c r="J314" s="268">
        <v>4</v>
      </c>
      <c r="K314" s="268">
        <v>27</v>
      </c>
      <c r="L314" s="268"/>
      <c r="M314" s="268">
        <v>3</v>
      </c>
      <c r="N314" s="268">
        <v>3</v>
      </c>
      <c r="O314" s="324">
        <v>97</v>
      </c>
      <c r="P314" s="324">
        <v>78</v>
      </c>
      <c r="Q314" s="324">
        <v>175</v>
      </c>
      <c r="R314" s="13"/>
      <c r="S314" s="13"/>
      <c r="T314" s="13"/>
      <c r="U314" s="13"/>
      <c r="V314" s="13"/>
      <c r="W314" s="13"/>
      <c r="X314" s="13"/>
    </row>
    <row r="315" spans="2:24" x14ac:dyDescent="0.25">
      <c r="B315" s="136" t="s">
        <v>261</v>
      </c>
      <c r="C315" s="268">
        <v>9</v>
      </c>
      <c r="D315" s="268">
        <v>4</v>
      </c>
      <c r="E315" s="268">
        <v>13</v>
      </c>
      <c r="F315" s="268">
        <v>69</v>
      </c>
      <c r="G315" s="268">
        <v>67</v>
      </c>
      <c r="H315" s="268">
        <v>136</v>
      </c>
      <c r="I315" s="268">
        <v>13</v>
      </c>
      <c r="J315" s="268">
        <v>4</v>
      </c>
      <c r="K315" s="268">
        <v>17</v>
      </c>
      <c r="L315" s="268">
        <v>5</v>
      </c>
      <c r="M315" s="268">
        <v>10</v>
      </c>
      <c r="N315" s="268">
        <v>15</v>
      </c>
      <c r="O315" s="324">
        <v>96</v>
      </c>
      <c r="P315" s="324">
        <v>85</v>
      </c>
      <c r="Q315" s="324">
        <v>181</v>
      </c>
      <c r="R315" s="13"/>
      <c r="S315" s="13"/>
      <c r="T315" s="13"/>
      <c r="U315" s="13"/>
      <c r="V315" s="13"/>
      <c r="W315" s="13"/>
      <c r="X315" s="13"/>
    </row>
    <row r="316" spans="2:24" x14ac:dyDescent="0.25">
      <c r="B316" s="136" t="s">
        <v>262</v>
      </c>
      <c r="C316" s="268">
        <v>1</v>
      </c>
      <c r="D316" s="268">
        <v>2</v>
      </c>
      <c r="E316" s="268">
        <v>3</v>
      </c>
      <c r="F316" s="268">
        <v>8</v>
      </c>
      <c r="G316" s="268">
        <v>16</v>
      </c>
      <c r="H316" s="268">
        <v>24</v>
      </c>
      <c r="I316" s="268">
        <v>3</v>
      </c>
      <c r="J316" s="268"/>
      <c r="K316" s="268">
        <v>3</v>
      </c>
      <c r="L316" s="268"/>
      <c r="M316" s="268">
        <v>1</v>
      </c>
      <c r="N316" s="268">
        <v>1</v>
      </c>
      <c r="O316" s="324">
        <v>12</v>
      </c>
      <c r="P316" s="324">
        <v>19</v>
      </c>
      <c r="Q316" s="324">
        <v>31</v>
      </c>
      <c r="R316" s="13"/>
      <c r="S316" s="13"/>
      <c r="T316" s="13"/>
      <c r="U316" s="13"/>
      <c r="V316" s="13"/>
      <c r="W316" s="13"/>
      <c r="X316" s="13"/>
    </row>
    <row r="317" spans="2:24" x14ac:dyDescent="0.25">
      <c r="B317" s="136" t="s">
        <v>263</v>
      </c>
      <c r="C317" s="268">
        <v>30</v>
      </c>
      <c r="D317" s="268">
        <v>39</v>
      </c>
      <c r="E317" s="268">
        <v>69</v>
      </c>
      <c r="F317" s="268">
        <v>350</v>
      </c>
      <c r="G317" s="268">
        <v>312</v>
      </c>
      <c r="H317" s="268">
        <v>662</v>
      </c>
      <c r="I317" s="268">
        <v>88</v>
      </c>
      <c r="J317" s="268">
        <v>44</v>
      </c>
      <c r="K317" s="268">
        <v>132</v>
      </c>
      <c r="L317" s="268">
        <v>23</v>
      </c>
      <c r="M317" s="268">
        <v>30</v>
      </c>
      <c r="N317" s="268">
        <v>53</v>
      </c>
      <c r="O317" s="324">
        <v>491</v>
      </c>
      <c r="P317" s="324">
        <v>425</v>
      </c>
      <c r="Q317" s="324">
        <v>916</v>
      </c>
      <c r="R317" s="13"/>
      <c r="S317" s="13"/>
      <c r="T317" s="13"/>
      <c r="U317" s="13"/>
      <c r="V317" s="13"/>
      <c r="W317" s="13"/>
      <c r="X317" s="13"/>
    </row>
    <row r="318" spans="2:24" x14ac:dyDescent="0.25">
      <c r="B318" s="136" t="s">
        <v>264</v>
      </c>
      <c r="C318" s="268">
        <v>2</v>
      </c>
      <c r="D318" s="268">
        <v>3</v>
      </c>
      <c r="E318" s="268">
        <v>5</v>
      </c>
      <c r="F318" s="268">
        <v>37</v>
      </c>
      <c r="G318" s="268">
        <v>60</v>
      </c>
      <c r="H318" s="268">
        <v>97</v>
      </c>
      <c r="I318" s="268">
        <v>16</v>
      </c>
      <c r="J318" s="268">
        <v>6</v>
      </c>
      <c r="K318" s="268">
        <v>22</v>
      </c>
      <c r="L318" s="268">
        <v>2</v>
      </c>
      <c r="M318" s="268">
        <v>6</v>
      </c>
      <c r="N318" s="268">
        <v>8</v>
      </c>
      <c r="O318" s="324">
        <v>57</v>
      </c>
      <c r="P318" s="324">
        <v>75</v>
      </c>
      <c r="Q318" s="324">
        <v>132</v>
      </c>
      <c r="R318" s="13"/>
      <c r="S318" s="13"/>
      <c r="T318" s="13"/>
      <c r="U318" s="13"/>
      <c r="V318" s="13"/>
      <c r="W318" s="13"/>
      <c r="X318" s="13"/>
    </row>
    <row r="319" spans="2:24" x14ac:dyDescent="0.25">
      <c r="B319" s="136" t="s">
        <v>265</v>
      </c>
      <c r="C319" s="268"/>
      <c r="D319" s="268">
        <v>1</v>
      </c>
      <c r="E319" s="268">
        <v>1</v>
      </c>
      <c r="F319" s="268">
        <v>6</v>
      </c>
      <c r="G319" s="268">
        <v>10</v>
      </c>
      <c r="H319" s="268">
        <v>16</v>
      </c>
      <c r="I319" s="268">
        <v>4</v>
      </c>
      <c r="J319" s="268">
        <v>1</v>
      </c>
      <c r="K319" s="268">
        <v>5</v>
      </c>
      <c r="L319" s="268">
        <v>2</v>
      </c>
      <c r="M319" s="268"/>
      <c r="N319" s="268">
        <v>2</v>
      </c>
      <c r="O319" s="324">
        <v>12</v>
      </c>
      <c r="P319" s="324">
        <v>12</v>
      </c>
      <c r="Q319" s="324">
        <v>24</v>
      </c>
      <c r="R319" s="13"/>
      <c r="S319" s="13"/>
      <c r="T319" s="13"/>
      <c r="U319" s="13"/>
      <c r="V319" s="13"/>
      <c r="W319" s="13"/>
      <c r="X319" s="13"/>
    </row>
    <row r="320" spans="2:24" x14ac:dyDescent="0.25">
      <c r="B320" s="136" t="s">
        <v>266</v>
      </c>
      <c r="C320" s="268">
        <v>2</v>
      </c>
      <c r="D320" s="268">
        <v>1</v>
      </c>
      <c r="E320" s="268">
        <v>3</v>
      </c>
      <c r="F320" s="268">
        <v>28</v>
      </c>
      <c r="G320" s="268">
        <v>18</v>
      </c>
      <c r="H320" s="268">
        <v>46</v>
      </c>
      <c r="I320" s="268">
        <v>6</v>
      </c>
      <c r="J320" s="268"/>
      <c r="K320" s="268">
        <v>6</v>
      </c>
      <c r="L320" s="268">
        <v>2</v>
      </c>
      <c r="M320" s="268">
        <v>6</v>
      </c>
      <c r="N320" s="268">
        <v>8</v>
      </c>
      <c r="O320" s="324">
        <v>38</v>
      </c>
      <c r="P320" s="324">
        <v>25</v>
      </c>
      <c r="Q320" s="324">
        <v>63</v>
      </c>
      <c r="R320" s="13"/>
      <c r="S320" s="13"/>
      <c r="T320" s="13"/>
      <c r="U320" s="13"/>
      <c r="V320" s="13"/>
      <c r="W320" s="13"/>
      <c r="X320" s="13"/>
    </row>
    <row r="321" spans="2:24" x14ac:dyDescent="0.25">
      <c r="B321" s="156" t="s">
        <v>267</v>
      </c>
      <c r="C321" s="271">
        <v>1</v>
      </c>
      <c r="D321" s="271">
        <v>4</v>
      </c>
      <c r="E321" s="268">
        <v>5</v>
      </c>
      <c r="F321" s="268">
        <v>31</v>
      </c>
      <c r="G321" s="268">
        <v>27</v>
      </c>
      <c r="H321" s="268">
        <v>58</v>
      </c>
      <c r="I321" s="268">
        <v>8</v>
      </c>
      <c r="J321" s="268">
        <v>7</v>
      </c>
      <c r="K321" s="268">
        <v>15</v>
      </c>
      <c r="L321" s="268">
        <v>3</v>
      </c>
      <c r="M321" s="268">
        <v>3</v>
      </c>
      <c r="N321" s="268">
        <v>6</v>
      </c>
      <c r="O321" s="324">
        <v>43</v>
      </c>
      <c r="P321" s="324">
        <v>41</v>
      </c>
      <c r="Q321" s="324">
        <v>84</v>
      </c>
      <c r="R321" s="13"/>
      <c r="S321" s="13"/>
      <c r="T321" s="13"/>
      <c r="U321" s="13"/>
      <c r="V321" s="13"/>
      <c r="W321" s="13"/>
      <c r="X321" s="13"/>
    </row>
    <row r="322" spans="2:24" x14ac:dyDescent="0.25">
      <c r="B322" s="371" t="s">
        <v>923</v>
      </c>
      <c r="C322" s="310">
        <v>172</v>
      </c>
      <c r="D322" s="310">
        <v>179</v>
      </c>
      <c r="E322" s="310">
        <v>351</v>
      </c>
      <c r="F322" s="310">
        <v>1698</v>
      </c>
      <c r="G322" s="310">
        <v>1630</v>
      </c>
      <c r="H322" s="294">
        <v>3328</v>
      </c>
      <c r="I322" s="310">
        <v>411</v>
      </c>
      <c r="J322" s="294">
        <v>163</v>
      </c>
      <c r="K322" s="310">
        <v>574</v>
      </c>
      <c r="L322" s="294">
        <v>104</v>
      </c>
      <c r="M322" s="310">
        <v>157</v>
      </c>
      <c r="N322" s="294">
        <v>261</v>
      </c>
      <c r="O322" s="324">
        <v>2385</v>
      </c>
      <c r="P322" s="324">
        <v>2129</v>
      </c>
      <c r="Q322" s="324">
        <v>4514</v>
      </c>
      <c r="R322" s="13"/>
      <c r="S322" s="13"/>
      <c r="T322" s="13"/>
      <c r="U322" s="13"/>
      <c r="V322" s="13"/>
      <c r="W322" s="13"/>
      <c r="X322" s="13"/>
    </row>
    <row r="323" spans="2:24" ht="83.25" customHeight="1" x14ac:dyDescent="0.25">
      <c r="B323" s="445" t="s">
        <v>938</v>
      </c>
      <c r="C323" s="445"/>
      <c r="D323" s="445"/>
      <c r="E323" s="445"/>
      <c r="F323" s="445"/>
      <c r="G323" s="445"/>
      <c r="H323" s="445"/>
      <c r="I323" s="445"/>
      <c r="J323" s="445"/>
      <c r="K323" s="445"/>
      <c r="L323" s="445"/>
      <c r="M323" s="445"/>
      <c r="N323" s="445"/>
      <c r="O323" s="445"/>
      <c r="P323" s="445"/>
      <c r="Q323" s="445"/>
      <c r="R323" s="13"/>
      <c r="S323" s="13"/>
      <c r="T323" s="13"/>
      <c r="U323" s="13"/>
      <c r="V323" s="13"/>
      <c r="W323" s="13"/>
    </row>
    <row r="324" spans="2:24" x14ac:dyDescent="0.25">
      <c r="B324" s="158"/>
      <c r="C324" s="158"/>
      <c r="D324" s="158"/>
      <c r="E324"/>
      <c r="F324"/>
      <c r="G324"/>
      <c r="H324" s="13"/>
      <c r="I324" s="13"/>
      <c r="J324" s="13"/>
      <c r="K324" s="13"/>
      <c r="L324" s="13"/>
      <c r="M324" s="13"/>
      <c r="N324" s="13"/>
      <c r="O324" s="13"/>
      <c r="P324" s="13"/>
      <c r="Q324" s="13"/>
      <c r="R324" s="13"/>
      <c r="S324" s="13"/>
      <c r="T324" s="13"/>
      <c r="U324" s="13"/>
      <c r="V324" s="13"/>
      <c r="W324" s="13"/>
    </row>
    <row r="325" spans="2:24" x14ac:dyDescent="0.25">
      <c r="B325" s="187" t="s">
        <v>520</v>
      </c>
      <c r="C325"/>
      <c r="D325"/>
      <c r="E325"/>
      <c r="F325"/>
      <c r="G325"/>
      <c r="H325" s="13"/>
      <c r="I325" s="13"/>
      <c r="J325" s="13"/>
      <c r="K325" s="13"/>
      <c r="L325" s="13"/>
      <c r="M325" s="13"/>
      <c r="N325" s="13"/>
      <c r="O325" s="13"/>
      <c r="P325" s="13"/>
      <c r="Q325" s="13"/>
      <c r="R325" s="13"/>
      <c r="S325" s="13"/>
      <c r="T325" s="13"/>
      <c r="U325" s="13"/>
      <c r="V325" s="13"/>
      <c r="W325" s="13"/>
    </row>
    <row r="326" spans="2:24" x14ac:dyDescent="0.25">
      <c r="B326" s="187"/>
      <c r="C326"/>
      <c r="D326"/>
      <c r="E326"/>
      <c r="F326"/>
      <c r="G326"/>
      <c r="H326" s="13"/>
      <c r="I326" s="13"/>
      <c r="J326" s="13"/>
      <c r="K326" s="13"/>
      <c r="L326" s="13"/>
      <c r="M326" s="13"/>
      <c r="N326" s="13"/>
      <c r="O326" s="13"/>
      <c r="P326" s="13"/>
      <c r="Q326" s="13"/>
      <c r="R326" s="13"/>
      <c r="S326" s="13"/>
      <c r="T326" s="13"/>
      <c r="U326" s="13"/>
      <c r="V326" s="13"/>
      <c r="W326" s="13"/>
    </row>
    <row r="327" spans="2:24" ht="15" customHeight="1" x14ac:dyDescent="0.25">
      <c r="B327" s="413" t="s">
        <v>532</v>
      </c>
      <c r="C327" s="414" t="s">
        <v>477</v>
      </c>
      <c r="D327" s="414"/>
      <c r="E327" s="414"/>
      <c r="F327" s="414"/>
      <c r="G327" s="414"/>
      <c r="H327" s="414"/>
      <c r="I327" s="414"/>
      <c r="J327" s="414"/>
      <c r="K327" s="414"/>
      <c r="L327" s="414"/>
      <c r="M327" s="414"/>
      <c r="N327" s="414"/>
      <c r="O327" s="447" t="s">
        <v>922</v>
      </c>
      <c r="P327" s="448"/>
      <c r="Q327" s="449"/>
      <c r="R327" s="13"/>
      <c r="S327" s="13"/>
      <c r="T327" s="13"/>
      <c r="U327" s="13"/>
      <c r="V327" s="13"/>
      <c r="W327" s="13"/>
    </row>
    <row r="328" spans="2:24" ht="15" customHeight="1" x14ac:dyDescent="0.25">
      <c r="B328" s="413"/>
      <c r="C328" s="414" t="s">
        <v>885</v>
      </c>
      <c r="D328" s="414"/>
      <c r="E328" s="414"/>
      <c r="F328" s="414" t="s">
        <v>886</v>
      </c>
      <c r="G328" s="414"/>
      <c r="H328" s="414"/>
      <c r="I328" s="414" t="s">
        <v>2</v>
      </c>
      <c r="J328" s="414"/>
      <c r="K328" s="414"/>
      <c r="L328" s="414" t="s">
        <v>3</v>
      </c>
      <c r="M328" s="414"/>
      <c r="N328" s="414"/>
      <c r="O328" s="450"/>
      <c r="P328" s="451"/>
      <c r="Q328" s="452"/>
      <c r="R328" s="13"/>
      <c r="S328" s="13"/>
      <c r="T328" s="13"/>
      <c r="U328" s="13"/>
      <c r="V328" s="13"/>
      <c r="W328" s="13"/>
    </row>
    <row r="329" spans="2:24" x14ac:dyDescent="0.25">
      <c r="B329" s="413"/>
      <c r="C329" s="161" t="s">
        <v>73</v>
      </c>
      <c r="D329" s="161" t="s">
        <v>74</v>
      </c>
      <c r="E329" s="161" t="s">
        <v>25</v>
      </c>
      <c r="F329" s="161" t="s">
        <v>73</v>
      </c>
      <c r="G329" s="161" t="s">
        <v>74</v>
      </c>
      <c r="H329" s="161" t="s">
        <v>25</v>
      </c>
      <c r="I329" s="161" t="s">
        <v>73</v>
      </c>
      <c r="J329" s="161" t="s">
        <v>74</v>
      </c>
      <c r="K329" s="161" t="s">
        <v>25</v>
      </c>
      <c r="L329" s="161" t="s">
        <v>73</v>
      </c>
      <c r="M329" s="161" t="s">
        <v>74</v>
      </c>
      <c r="N329" s="161" t="s">
        <v>25</v>
      </c>
      <c r="O329" s="299" t="s">
        <v>73</v>
      </c>
      <c r="P329" s="299" t="s">
        <v>74</v>
      </c>
      <c r="Q329" s="299" t="s">
        <v>25</v>
      </c>
      <c r="R329" s="13"/>
      <c r="S329" s="13"/>
      <c r="T329" s="13"/>
      <c r="U329" s="13"/>
      <c r="V329" s="13"/>
      <c r="W329" s="13"/>
    </row>
    <row r="330" spans="2:24" x14ac:dyDescent="0.25">
      <c r="B330" s="157" t="s">
        <v>451</v>
      </c>
      <c r="C330" s="270">
        <v>5</v>
      </c>
      <c r="D330" s="270">
        <v>4</v>
      </c>
      <c r="E330" s="270">
        <v>9</v>
      </c>
      <c r="F330" s="270">
        <v>52</v>
      </c>
      <c r="G330" s="270">
        <v>38</v>
      </c>
      <c r="H330" s="270">
        <v>90</v>
      </c>
      <c r="I330" s="270">
        <v>8</v>
      </c>
      <c r="J330" s="270">
        <v>4</v>
      </c>
      <c r="K330" s="270">
        <v>12</v>
      </c>
      <c r="L330" s="270">
        <v>2</v>
      </c>
      <c r="M330" s="270">
        <v>2</v>
      </c>
      <c r="N330" s="270">
        <v>4</v>
      </c>
      <c r="O330" s="324">
        <v>67</v>
      </c>
      <c r="P330" s="324">
        <v>48</v>
      </c>
      <c r="Q330" s="324">
        <v>115</v>
      </c>
      <c r="R330" s="13"/>
      <c r="S330" s="13"/>
      <c r="T330" s="13"/>
      <c r="U330" s="13"/>
      <c r="V330" s="13"/>
      <c r="W330" s="13"/>
      <c r="X330" s="13"/>
    </row>
    <row r="331" spans="2:24" x14ac:dyDescent="0.25">
      <c r="B331" s="136" t="s">
        <v>452</v>
      </c>
      <c r="C331" s="268">
        <v>25</v>
      </c>
      <c r="D331" s="268">
        <v>33</v>
      </c>
      <c r="E331" s="268">
        <v>58</v>
      </c>
      <c r="F331" s="268">
        <v>334</v>
      </c>
      <c r="G331" s="268">
        <v>285</v>
      </c>
      <c r="H331" s="268">
        <v>619</v>
      </c>
      <c r="I331" s="268">
        <v>101</v>
      </c>
      <c r="J331" s="268">
        <v>41</v>
      </c>
      <c r="K331" s="268">
        <v>142</v>
      </c>
      <c r="L331" s="268">
        <v>32</v>
      </c>
      <c r="M331" s="268">
        <v>38</v>
      </c>
      <c r="N331" s="268">
        <v>70</v>
      </c>
      <c r="O331" s="324">
        <v>492</v>
      </c>
      <c r="P331" s="324">
        <v>397</v>
      </c>
      <c r="Q331" s="324">
        <v>889</v>
      </c>
      <c r="R331" s="13"/>
      <c r="S331" s="13"/>
      <c r="T331" s="13"/>
      <c r="U331" s="13"/>
      <c r="V331" s="13"/>
      <c r="W331" s="13"/>
      <c r="X331" s="13"/>
    </row>
    <row r="332" spans="2:24" x14ac:dyDescent="0.25">
      <c r="B332" s="136" t="s">
        <v>453</v>
      </c>
      <c r="C332" s="268">
        <v>3</v>
      </c>
      <c r="D332" s="268">
        <v>1</v>
      </c>
      <c r="E332" s="268">
        <v>4</v>
      </c>
      <c r="F332" s="268">
        <v>41</v>
      </c>
      <c r="G332" s="268">
        <v>27</v>
      </c>
      <c r="H332" s="268">
        <v>68</v>
      </c>
      <c r="I332" s="268">
        <v>12</v>
      </c>
      <c r="J332" s="268">
        <v>5</v>
      </c>
      <c r="K332" s="268">
        <v>17</v>
      </c>
      <c r="L332" s="268">
        <v>5</v>
      </c>
      <c r="M332" s="268">
        <v>7</v>
      </c>
      <c r="N332" s="268">
        <v>12</v>
      </c>
      <c r="O332" s="324">
        <v>61</v>
      </c>
      <c r="P332" s="324">
        <v>40</v>
      </c>
      <c r="Q332" s="324">
        <v>101</v>
      </c>
      <c r="R332" s="13"/>
      <c r="S332" s="13"/>
      <c r="T332" s="13"/>
      <c r="U332" s="13"/>
      <c r="V332" s="13"/>
      <c r="W332" s="13"/>
      <c r="X332" s="13"/>
    </row>
    <row r="333" spans="2:24" x14ac:dyDescent="0.25">
      <c r="B333" s="136" t="s">
        <v>454</v>
      </c>
      <c r="C333" s="268">
        <v>1</v>
      </c>
      <c r="D333" s="268"/>
      <c r="E333" s="268">
        <v>1</v>
      </c>
      <c r="F333" s="268">
        <v>10</v>
      </c>
      <c r="G333" s="268">
        <v>10</v>
      </c>
      <c r="H333" s="268">
        <v>20</v>
      </c>
      <c r="I333" s="268">
        <v>3</v>
      </c>
      <c r="J333" s="268">
        <v>1</v>
      </c>
      <c r="K333" s="268">
        <v>4</v>
      </c>
      <c r="L333" s="268">
        <v>1</v>
      </c>
      <c r="M333" s="268"/>
      <c r="N333" s="268">
        <v>1</v>
      </c>
      <c r="O333" s="324">
        <v>15</v>
      </c>
      <c r="P333" s="324">
        <v>11</v>
      </c>
      <c r="Q333" s="324">
        <v>26</v>
      </c>
      <c r="R333" s="13"/>
      <c r="S333" s="13"/>
      <c r="T333" s="13"/>
      <c r="U333" s="13"/>
      <c r="V333" s="13"/>
      <c r="W333" s="13"/>
      <c r="X333" s="13"/>
    </row>
    <row r="334" spans="2:24" x14ac:dyDescent="0.25">
      <c r="B334" s="136" t="s">
        <v>455</v>
      </c>
      <c r="C334" s="268">
        <v>2</v>
      </c>
      <c r="D334" s="268">
        <v>3</v>
      </c>
      <c r="E334" s="268">
        <v>5</v>
      </c>
      <c r="F334" s="268">
        <v>32</v>
      </c>
      <c r="G334" s="268">
        <v>35</v>
      </c>
      <c r="H334" s="268">
        <v>67</v>
      </c>
      <c r="I334" s="268">
        <v>4</v>
      </c>
      <c r="J334" s="268">
        <v>6</v>
      </c>
      <c r="K334" s="268">
        <v>10</v>
      </c>
      <c r="L334" s="268">
        <v>2</v>
      </c>
      <c r="M334" s="268">
        <v>5</v>
      </c>
      <c r="N334" s="268">
        <v>7</v>
      </c>
      <c r="O334" s="324">
        <v>40</v>
      </c>
      <c r="P334" s="324">
        <v>49</v>
      </c>
      <c r="Q334" s="324">
        <v>89</v>
      </c>
      <c r="R334" s="13"/>
      <c r="S334" s="13"/>
      <c r="T334" s="13"/>
      <c r="U334" s="13"/>
      <c r="V334" s="13"/>
      <c r="W334" s="13"/>
      <c r="X334" s="13"/>
    </row>
    <row r="335" spans="2:24" x14ac:dyDescent="0.25">
      <c r="B335" s="136" t="s">
        <v>456</v>
      </c>
      <c r="C335" s="268">
        <v>4</v>
      </c>
      <c r="D335" s="268">
        <v>6</v>
      </c>
      <c r="E335" s="268">
        <v>10</v>
      </c>
      <c r="F335" s="268">
        <v>32</v>
      </c>
      <c r="G335" s="268">
        <v>37</v>
      </c>
      <c r="H335" s="268">
        <v>69</v>
      </c>
      <c r="I335" s="268">
        <v>34</v>
      </c>
      <c r="J335" s="268">
        <v>6</v>
      </c>
      <c r="K335" s="268">
        <v>40</v>
      </c>
      <c r="L335" s="268">
        <v>5</v>
      </c>
      <c r="M335" s="268">
        <v>5</v>
      </c>
      <c r="N335" s="268">
        <v>10</v>
      </c>
      <c r="O335" s="324">
        <v>75</v>
      </c>
      <c r="P335" s="324">
        <v>54</v>
      </c>
      <c r="Q335" s="324">
        <v>129</v>
      </c>
      <c r="R335" s="13"/>
      <c r="S335" s="13"/>
      <c r="T335" s="13"/>
      <c r="U335" s="13"/>
      <c r="V335" s="13"/>
      <c r="W335" s="13"/>
      <c r="X335" s="13"/>
    </row>
    <row r="336" spans="2:24" x14ac:dyDescent="0.25">
      <c r="B336" s="136" t="s">
        <v>457</v>
      </c>
      <c r="C336" s="268">
        <v>1</v>
      </c>
      <c r="D336" s="268">
        <v>2</v>
      </c>
      <c r="E336" s="268">
        <v>3</v>
      </c>
      <c r="F336" s="268">
        <v>23</v>
      </c>
      <c r="G336" s="268">
        <v>12</v>
      </c>
      <c r="H336" s="268">
        <v>35</v>
      </c>
      <c r="I336" s="268">
        <v>16</v>
      </c>
      <c r="J336" s="268">
        <v>4</v>
      </c>
      <c r="K336" s="268">
        <v>20</v>
      </c>
      <c r="L336" s="268">
        <v>3</v>
      </c>
      <c r="M336" s="268">
        <v>2</v>
      </c>
      <c r="N336" s="268">
        <v>5</v>
      </c>
      <c r="O336" s="324">
        <v>43</v>
      </c>
      <c r="P336" s="324">
        <v>20</v>
      </c>
      <c r="Q336" s="324">
        <v>63</v>
      </c>
      <c r="R336" s="13"/>
      <c r="S336" s="13"/>
      <c r="T336" s="13"/>
      <c r="U336" s="13"/>
      <c r="V336" s="13"/>
      <c r="W336" s="13"/>
      <c r="X336" s="13"/>
    </row>
    <row r="337" spans="2:24" x14ac:dyDescent="0.25">
      <c r="B337" s="136" t="s">
        <v>458</v>
      </c>
      <c r="C337" s="268"/>
      <c r="D337" s="268">
        <v>2</v>
      </c>
      <c r="E337" s="268">
        <v>2</v>
      </c>
      <c r="F337" s="268">
        <v>8</v>
      </c>
      <c r="G337" s="268">
        <v>5</v>
      </c>
      <c r="H337" s="268">
        <v>13</v>
      </c>
      <c r="I337" s="268">
        <v>8</v>
      </c>
      <c r="J337" s="268">
        <v>1</v>
      </c>
      <c r="K337" s="268">
        <v>9</v>
      </c>
      <c r="L337" s="268">
        <v>1</v>
      </c>
      <c r="M337" s="268">
        <v>2</v>
      </c>
      <c r="N337" s="268">
        <v>3</v>
      </c>
      <c r="O337" s="324">
        <v>17</v>
      </c>
      <c r="P337" s="324">
        <v>10</v>
      </c>
      <c r="Q337" s="324">
        <v>27</v>
      </c>
      <c r="R337" s="13"/>
      <c r="S337" s="13"/>
      <c r="T337" s="13"/>
      <c r="U337" s="13"/>
      <c r="V337" s="13"/>
      <c r="W337" s="13"/>
      <c r="X337" s="13"/>
    </row>
    <row r="338" spans="2:24" x14ac:dyDescent="0.25">
      <c r="B338" s="136" t="s">
        <v>459</v>
      </c>
      <c r="C338" s="268">
        <v>1</v>
      </c>
      <c r="D338" s="268">
        <v>3</v>
      </c>
      <c r="E338" s="268">
        <v>4</v>
      </c>
      <c r="F338" s="268">
        <v>11</v>
      </c>
      <c r="G338" s="268">
        <v>16</v>
      </c>
      <c r="H338" s="268">
        <v>27</v>
      </c>
      <c r="I338" s="268">
        <v>15</v>
      </c>
      <c r="J338" s="268">
        <v>3</v>
      </c>
      <c r="K338" s="268">
        <v>18</v>
      </c>
      <c r="L338" s="268">
        <v>1</v>
      </c>
      <c r="M338" s="268">
        <v>3</v>
      </c>
      <c r="N338" s="268">
        <v>4</v>
      </c>
      <c r="O338" s="324">
        <v>28</v>
      </c>
      <c r="P338" s="324">
        <v>25</v>
      </c>
      <c r="Q338" s="324">
        <v>53</v>
      </c>
      <c r="R338" s="13"/>
      <c r="S338" s="13"/>
      <c r="T338" s="13"/>
      <c r="U338" s="13"/>
      <c r="V338" s="13"/>
      <c r="W338" s="13"/>
      <c r="X338" s="13"/>
    </row>
    <row r="339" spans="2:24" x14ac:dyDescent="0.25">
      <c r="B339" s="136" t="s">
        <v>460</v>
      </c>
      <c r="C339" s="268">
        <v>1</v>
      </c>
      <c r="D339" s="268">
        <v>2</v>
      </c>
      <c r="E339" s="268">
        <v>3</v>
      </c>
      <c r="F339" s="268">
        <v>29</v>
      </c>
      <c r="G339" s="268">
        <v>20</v>
      </c>
      <c r="H339" s="268">
        <v>49</v>
      </c>
      <c r="I339" s="268">
        <v>15</v>
      </c>
      <c r="J339" s="268">
        <v>5</v>
      </c>
      <c r="K339" s="268">
        <v>20</v>
      </c>
      <c r="L339" s="268">
        <v>2</v>
      </c>
      <c r="M339" s="268">
        <v>3</v>
      </c>
      <c r="N339" s="268">
        <v>5</v>
      </c>
      <c r="O339" s="324">
        <v>47</v>
      </c>
      <c r="P339" s="324">
        <v>30</v>
      </c>
      <c r="Q339" s="324">
        <v>77</v>
      </c>
      <c r="R339" s="13"/>
      <c r="S339" s="13"/>
      <c r="T339" s="13"/>
      <c r="U339" s="13"/>
      <c r="V339" s="13"/>
      <c r="W339" s="13"/>
      <c r="X339" s="13"/>
    </row>
    <row r="340" spans="2:24" x14ac:dyDescent="0.25">
      <c r="B340" s="136" t="s">
        <v>461</v>
      </c>
      <c r="C340" s="268">
        <v>2</v>
      </c>
      <c r="D340" s="268">
        <v>1</v>
      </c>
      <c r="E340" s="268">
        <v>3</v>
      </c>
      <c r="F340" s="268">
        <v>11</v>
      </c>
      <c r="G340" s="268">
        <v>12</v>
      </c>
      <c r="H340" s="268">
        <v>23</v>
      </c>
      <c r="I340" s="268">
        <v>1</v>
      </c>
      <c r="J340" s="268">
        <v>2</v>
      </c>
      <c r="K340" s="268">
        <v>3</v>
      </c>
      <c r="L340" s="268"/>
      <c r="M340" s="268">
        <v>1</v>
      </c>
      <c r="N340" s="268">
        <v>1</v>
      </c>
      <c r="O340" s="324">
        <v>14</v>
      </c>
      <c r="P340" s="324">
        <v>16</v>
      </c>
      <c r="Q340" s="324">
        <v>30</v>
      </c>
      <c r="R340" s="13"/>
      <c r="S340" s="13"/>
      <c r="T340" s="13"/>
      <c r="U340" s="13"/>
      <c r="V340" s="13"/>
      <c r="W340" s="13"/>
      <c r="X340" s="13"/>
    </row>
    <row r="341" spans="2:24" x14ac:dyDescent="0.25">
      <c r="B341" s="136" t="s">
        <v>462</v>
      </c>
      <c r="C341" s="268">
        <v>5</v>
      </c>
      <c r="D341" s="268">
        <v>4</v>
      </c>
      <c r="E341" s="268">
        <v>9</v>
      </c>
      <c r="F341" s="268">
        <v>45</v>
      </c>
      <c r="G341" s="268">
        <v>32</v>
      </c>
      <c r="H341" s="268">
        <v>77</v>
      </c>
      <c r="I341" s="268">
        <v>19</v>
      </c>
      <c r="J341" s="268">
        <v>3</v>
      </c>
      <c r="K341" s="268">
        <v>22</v>
      </c>
      <c r="L341" s="268">
        <v>5</v>
      </c>
      <c r="M341" s="268">
        <v>5</v>
      </c>
      <c r="N341" s="268">
        <v>10</v>
      </c>
      <c r="O341" s="324">
        <v>74</v>
      </c>
      <c r="P341" s="324">
        <v>44</v>
      </c>
      <c r="Q341" s="324">
        <v>118</v>
      </c>
      <c r="R341" s="13"/>
      <c r="S341" s="13"/>
      <c r="T341" s="13"/>
      <c r="U341" s="13"/>
      <c r="V341" s="13"/>
      <c r="W341" s="13"/>
      <c r="X341" s="13"/>
    </row>
    <row r="342" spans="2:24" x14ac:dyDescent="0.25">
      <c r="B342" s="136" t="s">
        <v>463</v>
      </c>
      <c r="C342" s="268"/>
      <c r="D342" s="268">
        <v>3</v>
      </c>
      <c r="E342" s="268">
        <v>3</v>
      </c>
      <c r="F342" s="268">
        <v>19</v>
      </c>
      <c r="G342" s="268">
        <v>14</v>
      </c>
      <c r="H342" s="268">
        <v>33</v>
      </c>
      <c r="I342" s="268">
        <v>7</v>
      </c>
      <c r="J342" s="268">
        <v>2</v>
      </c>
      <c r="K342" s="268">
        <v>9</v>
      </c>
      <c r="L342" s="268"/>
      <c r="M342" s="268">
        <v>2</v>
      </c>
      <c r="N342" s="268">
        <v>2</v>
      </c>
      <c r="O342" s="324">
        <v>26</v>
      </c>
      <c r="P342" s="324">
        <v>21</v>
      </c>
      <c r="Q342" s="324">
        <v>47</v>
      </c>
      <c r="R342" s="13"/>
      <c r="S342" s="13"/>
      <c r="T342" s="13"/>
      <c r="U342" s="13"/>
      <c r="V342" s="13"/>
      <c r="W342" s="13"/>
      <c r="X342" s="13"/>
    </row>
    <row r="343" spans="2:24" x14ac:dyDescent="0.25">
      <c r="B343" s="136" t="s">
        <v>464</v>
      </c>
      <c r="C343" s="268">
        <v>1</v>
      </c>
      <c r="D343" s="268">
        <v>1</v>
      </c>
      <c r="E343" s="268">
        <v>2</v>
      </c>
      <c r="F343" s="268">
        <v>8</v>
      </c>
      <c r="G343" s="268">
        <v>15</v>
      </c>
      <c r="H343" s="268">
        <v>23</v>
      </c>
      <c r="I343" s="268">
        <v>8</v>
      </c>
      <c r="J343" s="268">
        <v>2</v>
      </c>
      <c r="K343" s="268">
        <v>10</v>
      </c>
      <c r="L343" s="268">
        <v>2</v>
      </c>
      <c r="M343" s="268">
        <v>1</v>
      </c>
      <c r="N343" s="268">
        <v>3</v>
      </c>
      <c r="O343" s="324">
        <v>19</v>
      </c>
      <c r="P343" s="324">
        <v>19</v>
      </c>
      <c r="Q343" s="324">
        <v>38</v>
      </c>
      <c r="R343" s="13"/>
      <c r="S343" s="13"/>
      <c r="T343" s="13"/>
      <c r="U343" s="13"/>
      <c r="V343" s="13"/>
      <c r="W343" s="13"/>
      <c r="X343" s="13"/>
    </row>
    <row r="344" spans="2:24" x14ac:dyDescent="0.25">
      <c r="B344" s="136" t="s">
        <v>465</v>
      </c>
      <c r="C344" s="268">
        <v>4</v>
      </c>
      <c r="D344" s="268">
        <v>18</v>
      </c>
      <c r="E344" s="268">
        <v>22</v>
      </c>
      <c r="F344" s="268">
        <v>95</v>
      </c>
      <c r="G344" s="268">
        <v>98</v>
      </c>
      <c r="H344" s="268">
        <v>193</v>
      </c>
      <c r="I344" s="268">
        <v>37</v>
      </c>
      <c r="J344" s="268">
        <v>5</v>
      </c>
      <c r="K344" s="268">
        <v>42</v>
      </c>
      <c r="L344" s="268">
        <v>7</v>
      </c>
      <c r="M344" s="268">
        <v>16</v>
      </c>
      <c r="N344" s="268">
        <v>23</v>
      </c>
      <c r="O344" s="324">
        <v>143</v>
      </c>
      <c r="P344" s="324">
        <v>137</v>
      </c>
      <c r="Q344" s="324">
        <v>280</v>
      </c>
      <c r="R344" s="13"/>
      <c r="S344" s="13"/>
      <c r="T344" s="13"/>
      <c r="U344" s="13"/>
      <c r="V344" s="13"/>
      <c r="W344" s="13"/>
      <c r="X344" s="13"/>
    </row>
    <row r="345" spans="2:24" x14ac:dyDescent="0.25">
      <c r="B345" s="136" t="s">
        <v>466</v>
      </c>
      <c r="C345" s="268"/>
      <c r="D345" s="268"/>
      <c r="E345" s="268"/>
      <c r="F345" s="268">
        <v>12</v>
      </c>
      <c r="G345" s="268">
        <v>7</v>
      </c>
      <c r="H345" s="268">
        <v>19</v>
      </c>
      <c r="I345" s="268">
        <v>2</v>
      </c>
      <c r="J345" s="268">
        <v>2</v>
      </c>
      <c r="K345" s="268">
        <v>4</v>
      </c>
      <c r="L345" s="268">
        <v>2</v>
      </c>
      <c r="M345" s="268">
        <v>2</v>
      </c>
      <c r="N345" s="268">
        <v>4</v>
      </c>
      <c r="O345" s="324">
        <v>16</v>
      </c>
      <c r="P345" s="324">
        <v>11</v>
      </c>
      <c r="Q345" s="324">
        <v>27</v>
      </c>
      <c r="R345" s="13"/>
      <c r="S345" s="13"/>
      <c r="T345" s="13"/>
      <c r="U345" s="13"/>
      <c r="V345" s="13"/>
      <c r="W345" s="13"/>
      <c r="X345" s="13"/>
    </row>
    <row r="346" spans="2:24" x14ac:dyDescent="0.25">
      <c r="B346" s="136" t="s">
        <v>467</v>
      </c>
      <c r="C346" s="268">
        <v>1</v>
      </c>
      <c r="D346" s="268">
        <v>6</v>
      </c>
      <c r="E346" s="268">
        <v>7</v>
      </c>
      <c r="F346" s="268">
        <v>29</v>
      </c>
      <c r="G346" s="268">
        <v>27</v>
      </c>
      <c r="H346" s="268">
        <v>56</v>
      </c>
      <c r="I346" s="268">
        <v>20</v>
      </c>
      <c r="J346" s="268">
        <v>12</v>
      </c>
      <c r="K346" s="268">
        <v>32</v>
      </c>
      <c r="L346" s="268">
        <v>4</v>
      </c>
      <c r="M346" s="268">
        <v>3</v>
      </c>
      <c r="N346" s="268">
        <v>7</v>
      </c>
      <c r="O346" s="324">
        <v>54</v>
      </c>
      <c r="P346" s="324">
        <v>48</v>
      </c>
      <c r="Q346" s="324">
        <v>102</v>
      </c>
      <c r="R346" s="13"/>
      <c r="S346" s="13"/>
      <c r="T346" s="13"/>
      <c r="U346" s="13"/>
      <c r="V346" s="13"/>
      <c r="W346" s="13"/>
      <c r="X346" s="13"/>
    </row>
    <row r="347" spans="2:24" x14ac:dyDescent="0.25">
      <c r="B347" s="136" t="s">
        <v>468</v>
      </c>
      <c r="C347" s="268">
        <v>2</v>
      </c>
      <c r="D347" s="268">
        <v>2</v>
      </c>
      <c r="E347" s="268">
        <v>4</v>
      </c>
      <c r="F347" s="268">
        <v>27</v>
      </c>
      <c r="G347" s="268">
        <v>25</v>
      </c>
      <c r="H347" s="268">
        <v>52</v>
      </c>
      <c r="I347" s="268">
        <v>9</v>
      </c>
      <c r="J347" s="268">
        <v>1</v>
      </c>
      <c r="K347" s="268">
        <v>10</v>
      </c>
      <c r="L347" s="268">
        <v>1</v>
      </c>
      <c r="M347" s="268">
        <v>2</v>
      </c>
      <c r="N347" s="268">
        <v>3</v>
      </c>
      <c r="O347" s="324">
        <v>39</v>
      </c>
      <c r="P347" s="324">
        <v>30</v>
      </c>
      <c r="Q347" s="324">
        <v>69</v>
      </c>
      <c r="R347" s="13"/>
      <c r="S347" s="13"/>
      <c r="T347" s="13"/>
      <c r="U347" s="13"/>
      <c r="V347" s="13"/>
      <c r="W347" s="13"/>
      <c r="X347" s="13"/>
    </row>
    <row r="348" spans="2:24" x14ac:dyDescent="0.25">
      <c r="B348" s="136" t="s">
        <v>469</v>
      </c>
      <c r="C348" s="268">
        <v>1</v>
      </c>
      <c r="D348" s="268">
        <v>1</v>
      </c>
      <c r="E348" s="268">
        <v>2</v>
      </c>
      <c r="F348" s="268">
        <v>7</v>
      </c>
      <c r="G348" s="268">
        <v>8</v>
      </c>
      <c r="H348" s="268">
        <v>15</v>
      </c>
      <c r="I348" s="268">
        <v>2</v>
      </c>
      <c r="J348" s="268">
        <v>5</v>
      </c>
      <c r="K348" s="268">
        <v>7</v>
      </c>
      <c r="L348" s="268"/>
      <c r="M348" s="268">
        <v>2</v>
      </c>
      <c r="N348" s="268">
        <v>2</v>
      </c>
      <c r="O348" s="324">
        <v>10</v>
      </c>
      <c r="P348" s="324">
        <v>16</v>
      </c>
      <c r="Q348" s="324">
        <v>26</v>
      </c>
      <c r="R348" s="13"/>
      <c r="S348" s="13"/>
      <c r="T348" s="13"/>
      <c r="U348" s="13"/>
      <c r="V348" s="13"/>
      <c r="W348" s="13"/>
      <c r="X348" s="13"/>
    </row>
    <row r="349" spans="2:24" x14ac:dyDescent="0.25">
      <c r="B349" s="136" t="s">
        <v>470</v>
      </c>
      <c r="C349" s="268">
        <v>4</v>
      </c>
      <c r="D349" s="268">
        <v>3</v>
      </c>
      <c r="E349" s="268">
        <v>7</v>
      </c>
      <c r="F349" s="268">
        <v>33</v>
      </c>
      <c r="G349" s="268">
        <v>33</v>
      </c>
      <c r="H349" s="268">
        <v>66</v>
      </c>
      <c r="I349" s="268">
        <v>19</v>
      </c>
      <c r="J349" s="268">
        <v>6</v>
      </c>
      <c r="K349" s="268">
        <v>25</v>
      </c>
      <c r="L349" s="268">
        <v>2</v>
      </c>
      <c r="M349" s="268">
        <v>3</v>
      </c>
      <c r="N349" s="268">
        <v>5</v>
      </c>
      <c r="O349" s="324">
        <v>58</v>
      </c>
      <c r="P349" s="324">
        <v>45</v>
      </c>
      <c r="Q349" s="324">
        <v>103</v>
      </c>
      <c r="R349" s="13"/>
      <c r="S349" s="13"/>
      <c r="T349" s="13"/>
      <c r="U349" s="13"/>
      <c r="V349" s="13"/>
      <c r="W349" s="13"/>
      <c r="X349" s="13"/>
    </row>
    <row r="350" spans="2:24" x14ac:dyDescent="0.25">
      <c r="B350" s="136" t="s">
        <v>471</v>
      </c>
      <c r="C350" s="268">
        <v>2</v>
      </c>
      <c r="D350" s="268">
        <v>4</v>
      </c>
      <c r="E350" s="268">
        <v>6</v>
      </c>
      <c r="F350" s="268">
        <v>19</v>
      </c>
      <c r="G350" s="268">
        <v>26</v>
      </c>
      <c r="H350" s="268">
        <v>45</v>
      </c>
      <c r="I350" s="268">
        <v>10</v>
      </c>
      <c r="J350" s="268">
        <v>3</v>
      </c>
      <c r="K350" s="268">
        <v>13</v>
      </c>
      <c r="L350" s="268">
        <v>3</v>
      </c>
      <c r="M350" s="268">
        <v>4</v>
      </c>
      <c r="N350" s="268">
        <v>7</v>
      </c>
      <c r="O350" s="324">
        <v>34</v>
      </c>
      <c r="P350" s="324">
        <v>37</v>
      </c>
      <c r="Q350" s="324">
        <v>71</v>
      </c>
      <c r="R350" s="13"/>
      <c r="S350" s="13"/>
      <c r="T350" s="13"/>
      <c r="U350" s="13"/>
      <c r="V350" s="13"/>
      <c r="W350" s="13"/>
      <c r="X350" s="13"/>
    </row>
    <row r="351" spans="2:24" x14ac:dyDescent="0.25">
      <c r="B351" s="371" t="s">
        <v>923</v>
      </c>
      <c r="C351" s="310">
        <v>65</v>
      </c>
      <c r="D351" s="310">
        <v>99</v>
      </c>
      <c r="E351" s="310">
        <v>164</v>
      </c>
      <c r="F351" s="310">
        <v>877</v>
      </c>
      <c r="G351" s="310">
        <v>782</v>
      </c>
      <c r="H351" s="294">
        <v>1659</v>
      </c>
      <c r="I351" s="310">
        <v>350</v>
      </c>
      <c r="J351" s="294">
        <v>119</v>
      </c>
      <c r="K351" s="310">
        <v>469</v>
      </c>
      <c r="L351" s="294">
        <v>80</v>
      </c>
      <c r="M351" s="310">
        <v>108</v>
      </c>
      <c r="N351" s="294">
        <v>188</v>
      </c>
      <c r="O351" s="324">
        <v>1372</v>
      </c>
      <c r="P351" s="324">
        <v>1108</v>
      </c>
      <c r="Q351" s="324">
        <v>2480</v>
      </c>
      <c r="R351" s="13"/>
      <c r="S351" s="13"/>
      <c r="T351" s="13"/>
      <c r="U351" s="13"/>
      <c r="V351" s="13"/>
      <c r="W351" s="13"/>
      <c r="X351" s="13"/>
    </row>
    <row r="352" spans="2:24" ht="83.25" customHeight="1" x14ac:dyDescent="0.25">
      <c r="B352" s="445" t="s">
        <v>938</v>
      </c>
      <c r="C352" s="445"/>
      <c r="D352" s="445"/>
      <c r="E352" s="445"/>
      <c r="F352" s="445"/>
      <c r="G352" s="445"/>
      <c r="H352" s="445"/>
      <c r="I352" s="445"/>
      <c r="J352" s="445"/>
      <c r="K352" s="445"/>
      <c r="L352" s="445"/>
      <c r="M352" s="445"/>
      <c r="N352" s="445"/>
      <c r="O352" s="445"/>
      <c r="P352" s="445"/>
      <c r="Q352" s="445"/>
      <c r="R352" s="13"/>
      <c r="S352" s="13"/>
      <c r="T352" s="13"/>
      <c r="U352" s="13"/>
      <c r="V352" s="13"/>
      <c r="W352" s="13"/>
    </row>
    <row r="353" spans="2:24" x14ac:dyDescent="0.25">
      <c r="B353" s="158"/>
      <c r="C353" s="158"/>
      <c r="D353" s="158"/>
      <c r="E353"/>
      <c r="F353"/>
      <c r="G353"/>
      <c r="H353" s="13"/>
      <c r="I353" s="13"/>
      <c r="J353" s="13"/>
      <c r="K353" s="13"/>
      <c r="L353" s="13"/>
      <c r="M353" s="13"/>
      <c r="N353" s="13"/>
      <c r="O353" s="13"/>
      <c r="P353" s="13"/>
      <c r="Q353" s="13"/>
      <c r="R353" s="13"/>
      <c r="S353" s="13"/>
      <c r="T353" s="13"/>
      <c r="U353" s="13"/>
      <c r="V353" s="13"/>
      <c r="W353" s="13"/>
    </row>
    <row r="354" spans="2:24" x14ac:dyDescent="0.25">
      <c r="B354" s="187" t="s">
        <v>512</v>
      </c>
      <c r="C354"/>
      <c r="D354"/>
      <c r="E354"/>
      <c r="F354"/>
      <c r="G354"/>
      <c r="H354" s="13"/>
      <c r="I354" s="13"/>
      <c r="J354" s="13"/>
      <c r="K354" s="13"/>
      <c r="L354" s="13"/>
      <c r="M354" s="13"/>
      <c r="N354" s="13"/>
      <c r="O354" s="13"/>
      <c r="P354" s="13"/>
      <c r="Q354" s="13"/>
      <c r="R354" s="13"/>
      <c r="S354" s="13"/>
      <c r="T354" s="13"/>
      <c r="U354" s="13"/>
      <c r="V354" s="13"/>
      <c r="W354" s="13"/>
    </row>
    <row r="355" spans="2:24" x14ac:dyDescent="0.25">
      <c r="B355" s="187"/>
      <c r="C355"/>
      <c r="D355"/>
      <c r="E355"/>
      <c r="F355"/>
      <c r="G355"/>
      <c r="H355" s="13"/>
      <c r="I355" s="13"/>
      <c r="J355" s="13"/>
      <c r="K355" s="13"/>
      <c r="L355" s="13"/>
      <c r="M355" s="13"/>
      <c r="N355" s="13"/>
      <c r="O355" s="13"/>
      <c r="P355" s="13"/>
      <c r="Q355" s="13"/>
      <c r="R355" s="13"/>
      <c r="S355" s="13"/>
      <c r="T355" s="13"/>
      <c r="U355" s="13"/>
      <c r="V355" s="13"/>
      <c r="W355" s="13"/>
    </row>
    <row r="356" spans="2:24" ht="15" customHeight="1" x14ac:dyDescent="0.25">
      <c r="B356" s="413" t="s">
        <v>532</v>
      </c>
      <c r="C356" s="414" t="s">
        <v>477</v>
      </c>
      <c r="D356" s="414"/>
      <c r="E356" s="414"/>
      <c r="F356" s="414"/>
      <c r="G356" s="414"/>
      <c r="H356" s="414"/>
      <c r="I356" s="414"/>
      <c r="J356" s="414"/>
      <c r="K356" s="414"/>
      <c r="L356" s="414"/>
      <c r="M356" s="414"/>
      <c r="N356" s="414"/>
      <c r="O356" s="447" t="s">
        <v>922</v>
      </c>
      <c r="P356" s="448"/>
      <c r="Q356" s="449"/>
      <c r="R356" s="13"/>
      <c r="S356" s="13"/>
      <c r="T356" s="13"/>
      <c r="U356" s="13"/>
      <c r="V356" s="13"/>
      <c r="W356" s="13"/>
    </row>
    <row r="357" spans="2:24" ht="15" customHeight="1" x14ac:dyDescent="0.25">
      <c r="B357" s="413"/>
      <c r="C357" s="414" t="s">
        <v>885</v>
      </c>
      <c r="D357" s="414"/>
      <c r="E357" s="414"/>
      <c r="F357" s="414" t="s">
        <v>886</v>
      </c>
      <c r="G357" s="414"/>
      <c r="H357" s="414"/>
      <c r="I357" s="414" t="s">
        <v>2</v>
      </c>
      <c r="J357" s="414"/>
      <c r="K357" s="414"/>
      <c r="L357" s="414" t="s">
        <v>3</v>
      </c>
      <c r="M357" s="414"/>
      <c r="N357" s="414"/>
      <c r="O357" s="450"/>
      <c r="P357" s="451"/>
      <c r="Q357" s="452"/>
      <c r="R357" s="13"/>
      <c r="S357" s="13"/>
      <c r="T357" s="13"/>
      <c r="U357" s="13"/>
      <c r="V357" s="13"/>
      <c r="W357" s="13"/>
    </row>
    <row r="358" spans="2:24" x14ac:dyDescent="0.25">
      <c r="B358" s="413"/>
      <c r="C358" s="161" t="s">
        <v>73</v>
      </c>
      <c r="D358" s="161" t="s">
        <v>74</v>
      </c>
      <c r="E358" s="161" t="s">
        <v>25</v>
      </c>
      <c r="F358" s="161" t="s">
        <v>73</v>
      </c>
      <c r="G358" s="161" t="s">
        <v>74</v>
      </c>
      <c r="H358" s="161" t="s">
        <v>25</v>
      </c>
      <c r="I358" s="161" t="s">
        <v>73</v>
      </c>
      <c r="J358" s="161" t="s">
        <v>74</v>
      </c>
      <c r="K358" s="161" t="s">
        <v>25</v>
      </c>
      <c r="L358" s="161" t="s">
        <v>73</v>
      </c>
      <c r="M358" s="161" t="s">
        <v>74</v>
      </c>
      <c r="N358" s="161" t="s">
        <v>25</v>
      </c>
      <c r="O358" s="299" t="s">
        <v>73</v>
      </c>
      <c r="P358" s="299" t="s">
        <v>74</v>
      </c>
      <c r="Q358" s="299" t="s">
        <v>25</v>
      </c>
      <c r="R358" s="13"/>
      <c r="S358" s="13"/>
      <c r="T358" s="13"/>
      <c r="U358" s="13"/>
      <c r="V358" s="13"/>
      <c r="W358" s="13"/>
    </row>
    <row r="359" spans="2:24" x14ac:dyDescent="0.25">
      <c r="B359" s="157" t="s">
        <v>269</v>
      </c>
      <c r="C359" s="268"/>
      <c r="D359" s="268">
        <v>1</v>
      </c>
      <c r="E359" s="268">
        <v>1</v>
      </c>
      <c r="F359" s="268">
        <v>3</v>
      </c>
      <c r="G359" s="268">
        <v>7</v>
      </c>
      <c r="H359" s="268">
        <v>10</v>
      </c>
      <c r="I359" s="268">
        <v>4</v>
      </c>
      <c r="J359" s="268">
        <v>1</v>
      </c>
      <c r="K359" s="268">
        <v>5</v>
      </c>
      <c r="L359" s="268"/>
      <c r="M359" s="268">
        <v>1</v>
      </c>
      <c r="N359" s="268">
        <v>1</v>
      </c>
      <c r="O359" s="324">
        <v>7</v>
      </c>
      <c r="P359" s="324">
        <v>10</v>
      </c>
      <c r="Q359" s="324">
        <v>17</v>
      </c>
      <c r="R359" s="13"/>
      <c r="S359" s="13"/>
      <c r="T359" s="13"/>
      <c r="U359" s="13"/>
      <c r="V359" s="13"/>
      <c r="W359" s="13"/>
      <c r="X359" s="13"/>
    </row>
    <row r="360" spans="2:24" x14ac:dyDescent="0.25">
      <c r="B360" s="136" t="s">
        <v>270</v>
      </c>
      <c r="C360" s="268"/>
      <c r="D360" s="268">
        <v>2</v>
      </c>
      <c r="E360" s="268">
        <v>2</v>
      </c>
      <c r="F360" s="268">
        <v>6</v>
      </c>
      <c r="G360" s="268">
        <v>8</v>
      </c>
      <c r="H360" s="268">
        <v>14</v>
      </c>
      <c r="I360" s="268">
        <v>2</v>
      </c>
      <c r="J360" s="268"/>
      <c r="K360" s="268">
        <v>2</v>
      </c>
      <c r="L360" s="268">
        <v>1</v>
      </c>
      <c r="M360" s="268">
        <v>3</v>
      </c>
      <c r="N360" s="268">
        <v>4</v>
      </c>
      <c r="O360" s="324">
        <v>9</v>
      </c>
      <c r="P360" s="324">
        <v>13</v>
      </c>
      <c r="Q360" s="324">
        <v>22</v>
      </c>
      <c r="R360" s="13"/>
      <c r="S360" s="13"/>
      <c r="T360" s="13"/>
      <c r="U360" s="13"/>
      <c r="V360" s="13"/>
      <c r="W360" s="13"/>
      <c r="X360" s="13"/>
    </row>
    <row r="361" spans="2:24" x14ac:dyDescent="0.25">
      <c r="B361" s="136" t="s">
        <v>271</v>
      </c>
      <c r="C361" s="268">
        <v>3</v>
      </c>
      <c r="D361" s="268">
        <v>6</v>
      </c>
      <c r="E361" s="268">
        <v>9</v>
      </c>
      <c r="F361" s="268">
        <v>56</v>
      </c>
      <c r="G361" s="268">
        <v>65</v>
      </c>
      <c r="H361" s="268">
        <v>121</v>
      </c>
      <c r="I361" s="268">
        <v>20</v>
      </c>
      <c r="J361" s="268">
        <v>7</v>
      </c>
      <c r="K361" s="268">
        <v>27</v>
      </c>
      <c r="L361" s="268">
        <v>3</v>
      </c>
      <c r="M361" s="268">
        <v>3</v>
      </c>
      <c r="N361" s="268">
        <v>6</v>
      </c>
      <c r="O361" s="324">
        <v>82</v>
      </c>
      <c r="P361" s="324">
        <v>81</v>
      </c>
      <c r="Q361" s="324">
        <v>163</v>
      </c>
      <c r="R361" s="13"/>
      <c r="S361" s="13"/>
      <c r="T361" s="13"/>
      <c r="U361" s="13"/>
      <c r="V361" s="13"/>
      <c r="W361" s="13"/>
      <c r="X361" s="13"/>
    </row>
    <row r="362" spans="2:24" x14ac:dyDescent="0.25">
      <c r="B362" s="136" t="s">
        <v>272</v>
      </c>
      <c r="C362" s="268">
        <v>9</v>
      </c>
      <c r="D362" s="268">
        <v>4</v>
      </c>
      <c r="E362" s="268">
        <v>13</v>
      </c>
      <c r="F362" s="268">
        <v>37</v>
      </c>
      <c r="G362" s="268">
        <v>40</v>
      </c>
      <c r="H362" s="268">
        <v>77</v>
      </c>
      <c r="I362" s="268">
        <v>35</v>
      </c>
      <c r="J362" s="268">
        <v>2</v>
      </c>
      <c r="K362" s="268">
        <v>37</v>
      </c>
      <c r="L362" s="268">
        <v>4</v>
      </c>
      <c r="M362" s="268">
        <v>8</v>
      </c>
      <c r="N362" s="268">
        <v>12</v>
      </c>
      <c r="O362" s="324">
        <v>85</v>
      </c>
      <c r="P362" s="324">
        <v>54</v>
      </c>
      <c r="Q362" s="324">
        <v>139</v>
      </c>
      <c r="R362" s="13"/>
      <c r="S362" s="13"/>
      <c r="T362" s="13"/>
      <c r="U362" s="13"/>
      <c r="V362" s="13"/>
      <c r="W362" s="13"/>
      <c r="X362" s="13"/>
    </row>
    <row r="363" spans="2:24" x14ac:dyDescent="0.25">
      <c r="B363" s="136" t="s">
        <v>495</v>
      </c>
      <c r="C363" s="268">
        <v>7</v>
      </c>
      <c r="D363" s="268">
        <v>6</v>
      </c>
      <c r="E363" s="268">
        <v>13</v>
      </c>
      <c r="F363" s="268">
        <v>58</v>
      </c>
      <c r="G363" s="268">
        <v>66</v>
      </c>
      <c r="H363" s="268">
        <v>124</v>
      </c>
      <c r="I363" s="268">
        <v>11</v>
      </c>
      <c r="J363" s="268">
        <v>7</v>
      </c>
      <c r="K363" s="268">
        <v>18</v>
      </c>
      <c r="L363" s="268">
        <v>4</v>
      </c>
      <c r="M363" s="268">
        <v>7</v>
      </c>
      <c r="N363" s="268">
        <v>11</v>
      </c>
      <c r="O363" s="324">
        <v>80</v>
      </c>
      <c r="P363" s="324">
        <v>86</v>
      </c>
      <c r="Q363" s="324">
        <v>166</v>
      </c>
      <c r="R363" s="13"/>
      <c r="S363" s="13"/>
      <c r="T363" s="13"/>
      <c r="U363" s="13"/>
      <c r="V363" s="13"/>
      <c r="W363" s="13"/>
      <c r="X363" s="13"/>
    </row>
    <row r="364" spans="2:24" x14ac:dyDescent="0.25">
      <c r="B364" s="136" t="s">
        <v>273</v>
      </c>
      <c r="C364" s="268">
        <v>10</v>
      </c>
      <c r="D364" s="268">
        <v>10</v>
      </c>
      <c r="E364" s="268">
        <v>20</v>
      </c>
      <c r="F364" s="268">
        <v>131</v>
      </c>
      <c r="G364" s="268">
        <v>120</v>
      </c>
      <c r="H364" s="268">
        <v>251</v>
      </c>
      <c r="I364" s="268">
        <v>32</v>
      </c>
      <c r="J364" s="268">
        <v>10</v>
      </c>
      <c r="K364" s="268">
        <v>42</v>
      </c>
      <c r="L364" s="268">
        <v>8</v>
      </c>
      <c r="M364" s="268">
        <v>14</v>
      </c>
      <c r="N364" s="268">
        <v>22</v>
      </c>
      <c r="O364" s="324">
        <v>181</v>
      </c>
      <c r="P364" s="324">
        <v>154</v>
      </c>
      <c r="Q364" s="324">
        <v>335</v>
      </c>
      <c r="R364" s="13"/>
      <c r="S364" s="13"/>
      <c r="T364" s="13"/>
      <c r="U364" s="13"/>
      <c r="V364" s="13"/>
      <c r="W364" s="13"/>
      <c r="X364" s="13"/>
    </row>
    <row r="365" spans="2:24" x14ac:dyDescent="0.25">
      <c r="B365" s="136" t="s">
        <v>274</v>
      </c>
      <c r="C365" s="268">
        <v>31</v>
      </c>
      <c r="D365" s="268">
        <v>44</v>
      </c>
      <c r="E365" s="268">
        <v>75</v>
      </c>
      <c r="F365" s="268">
        <v>447</v>
      </c>
      <c r="G365" s="268">
        <v>354</v>
      </c>
      <c r="H365" s="268">
        <v>801</v>
      </c>
      <c r="I365" s="268">
        <v>64</v>
      </c>
      <c r="J365" s="268">
        <v>41</v>
      </c>
      <c r="K365" s="268">
        <v>105</v>
      </c>
      <c r="L365" s="268">
        <v>19</v>
      </c>
      <c r="M365" s="268">
        <v>21</v>
      </c>
      <c r="N365" s="268">
        <v>40</v>
      </c>
      <c r="O365" s="324">
        <v>561</v>
      </c>
      <c r="P365" s="324">
        <v>460</v>
      </c>
      <c r="Q365" s="324">
        <v>1021</v>
      </c>
      <c r="R365" s="13"/>
      <c r="S365" s="13"/>
      <c r="T365" s="13"/>
      <c r="U365" s="13"/>
      <c r="V365" s="13"/>
      <c r="W365" s="13"/>
      <c r="X365" s="13"/>
    </row>
    <row r="366" spans="2:24" x14ac:dyDescent="0.25">
      <c r="B366" s="136" t="s">
        <v>275</v>
      </c>
      <c r="C366" s="268">
        <v>2</v>
      </c>
      <c r="D366" s="268">
        <v>1</v>
      </c>
      <c r="E366" s="268">
        <v>3</v>
      </c>
      <c r="F366" s="268">
        <v>12</v>
      </c>
      <c r="G366" s="268">
        <v>8</v>
      </c>
      <c r="H366" s="268">
        <v>20</v>
      </c>
      <c r="I366" s="268">
        <v>4</v>
      </c>
      <c r="J366" s="268">
        <v>2</v>
      </c>
      <c r="K366" s="268">
        <v>6</v>
      </c>
      <c r="L366" s="268"/>
      <c r="M366" s="268">
        <v>2</v>
      </c>
      <c r="N366" s="268">
        <v>2</v>
      </c>
      <c r="O366" s="324">
        <v>18</v>
      </c>
      <c r="P366" s="324">
        <v>13</v>
      </c>
      <c r="Q366" s="324">
        <v>31</v>
      </c>
      <c r="R366" s="13"/>
      <c r="S366" s="13"/>
      <c r="T366" s="13"/>
      <c r="U366" s="13"/>
      <c r="V366" s="13"/>
      <c r="W366" s="13"/>
      <c r="X366" s="13"/>
    </row>
    <row r="367" spans="2:24" x14ac:dyDescent="0.25">
      <c r="B367" s="136" t="s">
        <v>276</v>
      </c>
      <c r="C367" s="268">
        <v>27</v>
      </c>
      <c r="D367" s="268">
        <v>21</v>
      </c>
      <c r="E367" s="268">
        <v>48</v>
      </c>
      <c r="F367" s="268">
        <v>172</v>
      </c>
      <c r="G367" s="268">
        <v>195</v>
      </c>
      <c r="H367" s="268">
        <v>367</v>
      </c>
      <c r="I367" s="268">
        <v>48</v>
      </c>
      <c r="J367" s="268">
        <v>25</v>
      </c>
      <c r="K367" s="268">
        <v>73</v>
      </c>
      <c r="L367" s="268">
        <v>6</v>
      </c>
      <c r="M367" s="268">
        <v>14</v>
      </c>
      <c r="N367" s="268">
        <v>20</v>
      </c>
      <c r="O367" s="324">
        <v>253</v>
      </c>
      <c r="P367" s="324">
        <v>255</v>
      </c>
      <c r="Q367" s="324">
        <v>508</v>
      </c>
      <c r="R367" s="13"/>
      <c r="S367" s="13"/>
      <c r="T367" s="13"/>
      <c r="U367" s="13"/>
      <c r="V367" s="13"/>
      <c r="W367" s="13"/>
      <c r="X367" s="13"/>
    </row>
    <row r="368" spans="2:24" x14ac:dyDescent="0.25">
      <c r="B368" s="136" t="s">
        <v>277</v>
      </c>
      <c r="C368" s="268">
        <v>4</v>
      </c>
      <c r="D368" s="268">
        <v>8</v>
      </c>
      <c r="E368" s="268">
        <v>12</v>
      </c>
      <c r="F368" s="268">
        <v>40</v>
      </c>
      <c r="G368" s="268">
        <v>61</v>
      </c>
      <c r="H368" s="268">
        <v>101</v>
      </c>
      <c r="I368" s="268">
        <v>27</v>
      </c>
      <c r="J368" s="268">
        <v>8</v>
      </c>
      <c r="K368" s="268">
        <v>35</v>
      </c>
      <c r="L368" s="268">
        <v>2</v>
      </c>
      <c r="M368" s="268">
        <v>3</v>
      </c>
      <c r="N368" s="268">
        <v>5</v>
      </c>
      <c r="O368" s="324">
        <v>73</v>
      </c>
      <c r="P368" s="324">
        <v>80</v>
      </c>
      <c r="Q368" s="324">
        <v>153</v>
      </c>
      <c r="R368" s="13"/>
      <c r="S368" s="13"/>
      <c r="T368" s="13"/>
      <c r="U368" s="13"/>
      <c r="V368" s="13"/>
      <c r="W368" s="13"/>
      <c r="X368" s="13"/>
    </row>
    <row r="369" spans="2:24" x14ac:dyDescent="0.25">
      <c r="B369" s="136" t="s">
        <v>278</v>
      </c>
      <c r="C369" s="268">
        <v>3</v>
      </c>
      <c r="D369" s="268">
        <v>4</v>
      </c>
      <c r="E369" s="268">
        <v>7</v>
      </c>
      <c r="F369" s="268">
        <v>22</v>
      </c>
      <c r="G369" s="268">
        <v>16</v>
      </c>
      <c r="H369" s="268">
        <v>38</v>
      </c>
      <c r="I369" s="268">
        <v>9</v>
      </c>
      <c r="J369" s="268"/>
      <c r="K369" s="268">
        <v>9</v>
      </c>
      <c r="L369" s="268">
        <v>2</v>
      </c>
      <c r="M369" s="268">
        <v>1</v>
      </c>
      <c r="N369" s="268">
        <v>3</v>
      </c>
      <c r="O369" s="324">
        <v>36</v>
      </c>
      <c r="P369" s="324">
        <v>21</v>
      </c>
      <c r="Q369" s="324">
        <v>57</v>
      </c>
      <c r="R369" s="13"/>
      <c r="S369" s="13"/>
      <c r="T369" s="13"/>
      <c r="U369" s="13"/>
      <c r="V369" s="13"/>
      <c r="W369" s="13"/>
      <c r="X369" s="13"/>
    </row>
    <row r="370" spans="2:24" x14ac:dyDescent="0.25">
      <c r="B370" s="136" t="s">
        <v>279</v>
      </c>
      <c r="C370" s="268">
        <v>17</v>
      </c>
      <c r="D370" s="268">
        <v>11</v>
      </c>
      <c r="E370" s="268">
        <v>28</v>
      </c>
      <c r="F370" s="268">
        <v>163</v>
      </c>
      <c r="G370" s="268">
        <v>122</v>
      </c>
      <c r="H370" s="268">
        <v>285</v>
      </c>
      <c r="I370" s="268">
        <v>20</v>
      </c>
      <c r="J370" s="268">
        <v>10</v>
      </c>
      <c r="K370" s="268">
        <v>30</v>
      </c>
      <c r="L370" s="268">
        <v>15</v>
      </c>
      <c r="M370" s="268">
        <v>17</v>
      </c>
      <c r="N370" s="268">
        <v>32</v>
      </c>
      <c r="O370" s="324">
        <v>215</v>
      </c>
      <c r="P370" s="324">
        <v>160</v>
      </c>
      <c r="Q370" s="324">
        <v>375</v>
      </c>
      <c r="R370" s="13"/>
      <c r="S370" s="13"/>
      <c r="T370" s="13"/>
      <c r="U370" s="13"/>
      <c r="V370" s="13"/>
      <c r="W370" s="13"/>
      <c r="X370" s="13"/>
    </row>
    <row r="371" spans="2:24" x14ac:dyDescent="0.25">
      <c r="B371" s="136" t="s">
        <v>280</v>
      </c>
      <c r="C371" s="268">
        <v>2</v>
      </c>
      <c r="D371" s="268">
        <v>6</v>
      </c>
      <c r="E371" s="268">
        <v>8</v>
      </c>
      <c r="F371" s="268">
        <v>40</v>
      </c>
      <c r="G371" s="268">
        <v>29</v>
      </c>
      <c r="H371" s="268">
        <v>69</v>
      </c>
      <c r="I371" s="268">
        <v>20</v>
      </c>
      <c r="J371" s="268">
        <v>6</v>
      </c>
      <c r="K371" s="268">
        <v>26</v>
      </c>
      <c r="L371" s="268"/>
      <c r="M371" s="268">
        <v>3</v>
      </c>
      <c r="N371" s="268">
        <v>3</v>
      </c>
      <c r="O371" s="324">
        <v>62</v>
      </c>
      <c r="P371" s="324">
        <v>44</v>
      </c>
      <c r="Q371" s="324">
        <v>106</v>
      </c>
      <c r="R371" s="13"/>
      <c r="S371" s="13"/>
      <c r="T371" s="13"/>
      <c r="U371" s="13"/>
      <c r="V371" s="13"/>
      <c r="W371" s="13"/>
      <c r="X371" s="13"/>
    </row>
    <row r="372" spans="2:24" x14ac:dyDescent="0.25">
      <c r="B372" s="136" t="s">
        <v>281</v>
      </c>
      <c r="C372" s="268">
        <v>2</v>
      </c>
      <c r="D372" s="268">
        <v>6</v>
      </c>
      <c r="E372" s="268">
        <v>8</v>
      </c>
      <c r="F372" s="268">
        <v>26</v>
      </c>
      <c r="G372" s="268">
        <v>32</v>
      </c>
      <c r="H372" s="268">
        <v>58</v>
      </c>
      <c r="I372" s="268">
        <v>23</v>
      </c>
      <c r="J372" s="268">
        <v>5</v>
      </c>
      <c r="K372" s="268">
        <v>28</v>
      </c>
      <c r="L372" s="268">
        <v>1</v>
      </c>
      <c r="M372" s="268">
        <v>7</v>
      </c>
      <c r="N372" s="268">
        <v>8</v>
      </c>
      <c r="O372" s="324">
        <v>52</v>
      </c>
      <c r="P372" s="324">
        <v>50</v>
      </c>
      <c r="Q372" s="324">
        <v>102</v>
      </c>
      <c r="R372" s="13"/>
      <c r="S372" s="13"/>
      <c r="T372" s="13"/>
      <c r="U372" s="13"/>
      <c r="V372" s="13"/>
      <c r="W372" s="13"/>
      <c r="X372" s="13"/>
    </row>
    <row r="373" spans="2:24" x14ac:dyDescent="0.25">
      <c r="B373" s="136" t="s">
        <v>282</v>
      </c>
      <c r="C373" s="268">
        <v>7</v>
      </c>
      <c r="D373" s="268">
        <v>7</v>
      </c>
      <c r="E373" s="268">
        <v>14</v>
      </c>
      <c r="F373" s="268">
        <v>31</v>
      </c>
      <c r="G373" s="268">
        <v>45</v>
      </c>
      <c r="H373" s="268">
        <v>76</v>
      </c>
      <c r="I373" s="268">
        <v>19</v>
      </c>
      <c r="J373" s="268">
        <v>3</v>
      </c>
      <c r="K373" s="268">
        <v>22</v>
      </c>
      <c r="L373" s="268">
        <v>3</v>
      </c>
      <c r="M373" s="268">
        <v>5</v>
      </c>
      <c r="N373" s="268">
        <v>8</v>
      </c>
      <c r="O373" s="324">
        <v>60</v>
      </c>
      <c r="P373" s="324">
        <v>60</v>
      </c>
      <c r="Q373" s="324">
        <v>120</v>
      </c>
      <c r="R373" s="13"/>
      <c r="S373" s="13"/>
      <c r="T373" s="13"/>
      <c r="U373" s="13"/>
      <c r="V373" s="13"/>
      <c r="W373" s="13"/>
      <c r="X373" s="13"/>
    </row>
    <row r="374" spans="2:24" x14ac:dyDescent="0.25">
      <c r="B374" s="136" t="s">
        <v>283</v>
      </c>
      <c r="C374" s="268">
        <v>4</v>
      </c>
      <c r="D374" s="268">
        <v>2</v>
      </c>
      <c r="E374" s="268">
        <v>6</v>
      </c>
      <c r="F374" s="268">
        <v>26</v>
      </c>
      <c r="G374" s="268">
        <v>24</v>
      </c>
      <c r="H374" s="268">
        <v>50</v>
      </c>
      <c r="I374" s="268">
        <v>15</v>
      </c>
      <c r="J374" s="268">
        <v>5</v>
      </c>
      <c r="K374" s="268">
        <v>20</v>
      </c>
      <c r="L374" s="268">
        <v>2</v>
      </c>
      <c r="M374" s="268">
        <v>3</v>
      </c>
      <c r="N374" s="268">
        <v>5</v>
      </c>
      <c r="O374" s="324">
        <v>47</v>
      </c>
      <c r="P374" s="324">
        <v>34</v>
      </c>
      <c r="Q374" s="324">
        <v>81</v>
      </c>
      <c r="R374" s="13"/>
      <c r="S374" s="13"/>
      <c r="T374" s="13"/>
      <c r="U374" s="13"/>
      <c r="V374" s="13"/>
      <c r="W374" s="13"/>
      <c r="X374" s="13"/>
    </row>
    <row r="375" spans="2:24" x14ac:dyDescent="0.25">
      <c r="B375" s="136" t="s">
        <v>284</v>
      </c>
      <c r="C375" s="268">
        <v>37</v>
      </c>
      <c r="D375" s="268">
        <v>27</v>
      </c>
      <c r="E375" s="268">
        <v>64</v>
      </c>
      <c r="F375" s="268">
        <v>280</v>
      </c>
      <c r="G375" s="268">
        <v>325</v>
      </c>
      <c r="H375" s="268">
        <v>605</v>
      </c>
      <c r="I375" s="268">
        <v>88</v>
      </c>
      <c r="J375" s="268">
        <v>31</v>
      </c>
      <c r="K375" s="268">
        <v>119</v>
      </c>
      <c r="L375" s="268">
        <v>28</v>
      </c>
      <c r="M375" s="268">
        <v>35</v>
      </c>
      <c r="N375" s="268">
        <v>63</v>
      </c>
      <c r="O375" s="324">
        <v>433</v>
      </c>
      <c r="P375" s="324">
        <v>418</v>
      </c>
      <c r="Q375" s="324">
        <v>851</v>
      </c>
      <c r="R375" s="13"/>
      <c r="S375" s="13"/>
      <c r="T375" s="13"/>
      <c r="U375" s="13"/>
      <c r="V375" s="13"/>
      <c r="W375" s="13"/>
      <c r="X375" s="13"/>
    </row>
    <row r="376" spans="2:24" x14ac:dyDescent="0.25">
      <c r="B376" s="136" t="s">
        <v>285</v>
      </c>
      <c r="C376" s="268">
        <v>8</v>
      </c>
      <c r="D376" s="268">
        <v>6</v>
      </c>
      <c r="E376" s="268">
        <v>14</v>
      </c>
      <c r="F376" s="268">
        <v>72</v>
      </c>
      <c r="G376" s="268">
        <v>70</v>
      </c>
      <c r="H376" s="268">
        <v>142</v>
      </c>
      <c r="I376" s="268">
        <v>7</v>
      </c>
      <c r="J376" s="268">
        <v>3</v>
      </c>
      <c r="K376" s="268">
        <v>10</v>
      </c>
      <c r="L376" s="268">
        <v>4</v>
      </c>
      <c r="M376" s="268">
        <v>3</v>
      </c>
      <c r="N376" s="268">
        <v>7</v>
      </c>
      <c r="O376" s="324">
        <v>91</v>
      </c>
      <c r="P376" s="324">
        <v>82</v>
      </c>
      <c r="Q376" s="324">
        <v>173</v>
      </c>
      <c r="R376" s="13"/>
      <c r="S376" s="13"/>
      <c r="T376" s="13"/>
      <c r="U376" s="13"/>
      <c r="V376" s="13"/>
      <c r="W376" s="13"/>
      <c r="X376" s="13"/>
    </row>
    <row r="377" spans="2:24" x14ac:dyDescent="0.25">
      <c r="B377" s="136" t="s">
        <v>286</v>
      </c>
      <c r="C377" s="268">
        <v>3</v>
      </c>
      <c r="D377" s="268">
        <v>4</v>
      </c>
      <c r="E377" s="268">
        <v>7</v>
      </c>
      <c r="F377" s="268">
        <v>34</v>
      </c>
      <c r="G377" s="268">
        <v>46</v>
      </c>
      <c r="H377" s="268">
        <v>80</v>
      </c>
      <c r="I377" s="268">
        <v>24</v>
      </c>
      <c r="J377" s="268">
        <v>6</v>
      </c>
      <c r="K377" s="268">
        <v>30</v>
      </c>
      <c r="L377" s="268">
        <v>6</v>
      </c>
      <c r="M377" s="268">
        <v>7</v>
      </c>
      <c r="N377" s="268">
        <v>13</v>
      </c>
      <c r="O377" s="324">
        <v>67</v>
      </c>
      <c r="P377" s="324">
        <v>63</v>
      </c>
      <c r="Q377" s="324">
        <v>130</v>
      </c>
      <c r="R377" s="13"/>
      <c r="S377" s="13"/>
      <c r="T377" s="13"/>
      <c r="U377" s="13"/>
      <c r="V377" s="13"/>
      <c r="W377" s="13"/>
      <c r="X377" s="13"/>
    </row>
    <row r="378" spans="2:24" x14ac:dyDescent="0.25">
      <c r="B378" s="136" t="s">
        <v>287</v>
      </c>
      <c r="C378" s="268">
        <v>3</v>
      </c>
      <c r="D378" s="268">
        <v>6</v>
      </c>
      <c r="E378" s="268">
        <v>9</v>
      </c>
      <c r="F378" s="268">
        <v>36</v>
      </c>
      <c r="G378" s="268">
        <v>59</v>
      </c>
      <c r="H378" s="268">
        <v>95</v>
      </c>
      <c r="I378" s="268">
        <v>13</v>
      </c>
      <c r="J378" s="268">
        <v>5</v>
      </c>
      <c r="K378" s="268">
        <v>18</v>
      </c>
      <c r="L378" s="268">
        <v>2</v>
      </c>
      <c r="M378" s="268">
        <v>7</v>
      </c>
      <c r="N378" s="268">
        <v>9</v>
      </c>
      <c r="O378" s="324">
        <v>54</v>
      </c>
      <c r="P378" s="324">
        <v>77</v>
      </c>
      <c r="Q378" s="324">
        <v>131</v>
      </c>
      <c r="R378" s="13"/>
      <c r="S378" s="13"/>
      <c r="T378" s="13"/>
      <c r="U378" s="13"/>
      <c r="V378" s="13"/>
      <c r="W378" s="13"/>
      <c r="X378" s="13"/>
    </row>
    <row r="379" spans="2:24" x14ac:dyDescent="0.25">
      <c r="B379" s="136" t="s">
        <v>288</v>
      </c>
      <c r="C379" s="268"/>
      <c r="D379" s="268">
        <v>2</v>
      </c>
      <c r="E379" s="268">
        <v>2</v>
      </c>
      <c r="F379" s="268">
        <v>12</v>
      </c>
      <c r="G379" s="268">
        <v>16</v>
      </c>
      <c r="H379" s="268">
        <v>28</v>
      </c>
      <c r="I379" s="268">
        <v>9</v>
      </c>
      <c r="J379" s="268">
        <v>2</v>
      </c>
      <c r="K379" s="268">
        <v>11</v>
      </c>
      <c r="L379" s="268">
        <v>1</v>
      </c>
      <c r="M379" s="268">
        <v>3</v>
      </c>
      <c r="N379" s="268">
        <v>4</v>
      </c>
      <c r="O379" s="324">
        <v>22</v>
      </c>
      <c r="P379" s="324">
        <v>23</v>
      </c>
      <c r="Q379" s="324">
        <v>45</v>
      </c>
      <c r="R379" s="13"/>
      <c r="S379" s="13"/>
      <c r="T379" s="13"/>
      <c r="U379" s="13"/>
      <c r="V379" s="13"/>
      <c r="W379" s="13"/>
      <c r="X379" s="13"/>
    </row>
    <row r="380" spans="2:24" x14ac:dyDescent="0.25">
      <c r="B380" s="136" t="s">
        <v>289</v>
      </c>
      <c r="C380" s="268">
        <v>8</v>
      </c>
      <c r="D380" s="268">
        <v>2</v>
      </c>
      <c r="E380" s="268">
        <v>10</v>
      </c>
      <c r="F380" s="268">
        <v>76</v>
      </c>
      <c r="G380" s="268">
        <v>74</v>
      </c>
      <c r="H380" s="268">
        <v>150</v>
      </c>
      <c r="I380" s="268">
        <v>20</v>
      </c>
      <c r="J380" s="268"/>
      <c r="K380" s="268">
        <v>20</v>
      </c>
      <c r="L380" s="268">
        <v>6</v>
      </c>
      <c r="M380" s="268">
        <v>9</v>
      </c>
      <c r="N380" s="268">
        <v>15</v>
      </c>
      <c r="O380" s="324">
        <v>110</v>
      </c>
      <c r="P380" s="324">
        <v>85</v>
      </c>
      <c r="Q380" s="324">
        <v>195</v>
      </c>
      <c r="R380" s="13"/>
      <c r="S380" s="13"/>
      <c r="T380" s="13"/>
      <c r="U380" s="13"/>
      <c r="V380" s="13"/>
      <c r="W380" s="13"/>
      <c r="X380" s="13"/>
    </row>
    <row r="381" spans="2:24" x14ac:dyDescent="0.25">
      <c r="B381" s="136" t="s">
        <v>290</v>
      </c>
      <c r="C381" s="268">
        <v>1</v>
      </c>
      <c r="D381" s="268">
        <v>2</v>
      </c>
      <c r="E381" s="268">
        <v>3</v>
      </c>
      <c r="F381" s="268">
        <v>7</v>
      </c>
      <c r="G381" s="268">
        <v>8</v>
      </c>
      <c r="H381" s="268">
        <v>15</v>
      </c>
      <c r="I381" s="268">
        <v>1</v>
      </c>
      <c r="J381" s="268">
        <v>1</v>
      </c>
      <c r="K381" s="268">
        <v>2</v>
      </c>
      <c r="L381" s="268"/>
      <c r="M381" s="268">
        <v>1</v>
      </c>
      <c r="N381" s="268">
        <v>1</v>
      </c>
      <c r="O381" s="324">
        <v>9</v>
      </c>
      <c r="P381" s="324">
        <v>12</v>
      </c>
      <c r="Q381" s="324">
        <v>21</v>
      </c>
      <c r="R381" s="13"/>
      <c r="S381" s="13"/>
      <c r="T381" s="13"/>
      <c r="U381" s="13"/>
      <c r="V381" s="13"/>
      <c r="W381" s="13"/>
      <c r="X381" s="13"/>
    </row>
    <row r="382" spans="2:24" x14ac:dyDescent="0.25">
      <c r="B382" s="136" t="s">
        <v>291</v>
      </c>
      <c r="C382" s="268">
        <v>1</v>
      </c>
      <c r="D382" s="268">
        <v>1</v>
      </c>
      <c r="E382" s="268">
        <v>2</v>
      </c>
      <c r="F382" s="268">
        <v>21</v>
      </c>
      <c r="G382" s="268">
        <v>21</v>
      </c>
      <c r="H382" s="268">
        <v>42</v>
      </c>
      <c r="I382" s="268">
        <v>5</v>
      </c>
      <c r="J382" s="268">
        <v>1</v>
      </c>
      <c r="K382" s="268">
        <v>6</v>
      </c>
      <c r="L382" s="268"/>
      <c r="M382" s="268">
        <v>3</v>
      </c>
      <c r="N382" s="268">
        <v>3</v>
      </c>
      <c r="O382" s="324">
        <v>27</v>
      </c>
      <c r="P382" s="324">
        <v>26</v>
      </c>
      <c r="Q382" s="324">
        <v>53</v>
      </c>
      <c r="R382" s="13"/>
      <c r="S382" s="13"/>
      <c r="T382" s="13"/>
      <c r="U382" s="13"/>
      <c r="V382" s="13"/>
      <c r="W382" s="13"/>
      <c r="X382" s="13"/>
    </row>
    <row r="383" spans="2:24" x14ac:dyDescent="0.25">
      <c r="B383" s="136" t="s">
        <v>292</v>
      </c>
      <c r="C383" s="268">
        <v>10</v>
      </c>
      <c r="D383" s="268">
        <v>13</v>
      </c>
      <c r="E383" s="268">
        <v>23</v>
      </c>
      <c r="F383" s="268">
        <v>214</v>
      </c>
      <c r="G383" s="268">
        <v>142</v>
      </c>
      <c r="H383" s="268">
        <v>356</v>
      </c>
      <c r="I383" s="268">
        <v>41</v>
      </c>
      <c r="J383" s="268">
        <v>17</v>
      </c>
      <c r="K383" s="268">
        <v>58</v>
      </c>
      <c r="L383" s="268">
        <v>7</v>
      </c>
      <c r="M383" s="268">
        <v>13</v>
      </c>
      <c r="N383" s="268">
        <v>20</v>
      </c>
      <c r="O383" s="324">
        <v>272</v>
      </c>
      <c r="P383" s="324">
        <v>185</v>
      </c>
      <c r="Q383" s="324">
        <v>457</v>
      </c>
      <c r="R383" s="13"/>
      <c r="S383" s="13"/>
      <c r="T383" s="13"/>
      <c r="U383" s="13"/>
      <c r="V383" s="13"/>
      <c r="W383" s="13"/>
      <c r="X383" s="13"/>
    </row>
    <row r="384" spans="2:24" x14ac:dyDescent="0.25">
      <c r="B384" s="136" t="s">
        <v>293</v>
      </c>
      <c r="C384" s="268">
        <v>1</v>
      </c>
      <c r="D384" s="268"/>
      <c r="E384" s="268">
        <v>1</v>
      </c>
      <c r="F384" s="268">
        <v>2</v>
      </c>
      <c r="G384" s="268">
        <v>7</v>
      </c>
      <c r="H384" s="268">
        <v>9</v>
      </c>
      <c r="I384" s="268">
        <v>1</v>
      </c>
      <c r="J384" s="268"/>
      <c r="K384" s="268">
        <v>1</v>
      </c>
      <c r="L384" s="268">
        <v>1</v>
      </c>
      <c r="M384" s="268">
        <v>1</v>
      </c>
      <c r="N384" s="268">
        <v>2</v>
      </c>
      <c r="O384" s="324">
        <v>5</v>
      </c>
      <c r="P384" s="324">
        <v>8</v>
      </c>
      <c r="Q384" s="324">
        <v>13</v>
      </c>
      <c r="R384" s="13"/>
      <c r="S384" s="13"/>
      <c r="T384" s="13"/>
      <c r="U384" s="13"/>
      <c r="V384" s="13"/>
      <c r="W384" s="13"/>
      <c r="X384" s="13"/>
    </row>
    <row r="385" spans="2:24" x14ac:dyDescent="0.25">
      <c r="B385" s="136" t="s">
        <v>294</v>
      </c>
      <c r="C385" s="268">
        <v>5</v>
      </c>
      <c r="D385" s="268">
        <v>4</v>
      </c>
      <c r="E385" s="268">
        <v>9</v>
      </c>
      <c r="F385" s="268">
        <v>23</v>
      </c>
      <c r="G385" s="268">
        <v>35</v>
      </c>
      <c r="H385" s="268">
        <v>58</v>
      </c>
      <c r="I385" s="268">
        <v>8</v>
      </c>
      <c r="J385" s="268">
        <v>1</v>
      </c>
      <c r="K385" s="268">
        <v>9</v>
      </c>
      <c r="L385" s="268">
        <v>2</v>
      </c>
      <c r="M385" s="268">
        <v>2</v>
      </c>
      <c r="N385" s="268">
        <v>4</v>
      </c>
      <c r="O385" s="324">
        <v>38</v>
      </c>
      <c r="P385" s="324">
        <v>42</v>
      </c>
      <c r="Q385" s="324">
        <v>80</v>
      </c>
      <c r="R385" s="13"/>
      <c r="S385" s="13"/>
      <c r="T385" s="13"/>
      <c r="U385" s="13"/>
      <c r="V385" s="13"/>
      <c r="W385" s="13"/>
      <c r="X385" s="13"/>
    </row>
    <row r="386" spans="2:24" x14ac:dyDescent="0.25">
      <c r="B386" s="136" t="s">
        <v>295</v>
      </c>
      <c r="C386" s="268">
        <v>2</v>
      </c>
      <c r="D386" s="268">
        <v>1</v>
      </c>
      <c r="E386" s="268">
        <v>3</v>
      </c>
      <c r="F386" s="268">
        <v>25</v>
      </c>
      <c r="G386" s="268">
        <v>16</v>
      </c>
      <c r="H386" s="268">
        <v>41</v>
      </c>
      <c r="I386" s="268">
        <v>8</v>
      </c>
      <c r="J386" s="268">
        <v>1</v>
      </c>
      <c r="K386" s="268">
        <v>9</v>
      </c>
      <c r="L386" s="268">
        <v>1</v>
      </c>
      <c r="M386" s="268">
        <v>1</v>
      </c>
      <c r="N386" s="268">
        <v>2</v>
      </c>
      <c r="O386" s="324">
        <v>36</v>
      </c>
      <c r="P386" s="324">
        <v>19</v>
      </c>
      <c r="Q386" s="324">
        <v>55</v>
      </c>
      <c r="R386" s="13"/>
      <c r="S386" s="13"/>
      <c r="T386" s="13"/>
      <c r="U386" s="13"/>
      <c r="V386" s="13"/>
      <c r="W386" s="13"/>
      <c r="X386" s="13"/>
    </row>
    <row r="387" spans="2:24" x14ac:dyDescent="0.25">
      <c r="B387" s="136" t="s">
        <v>296</v>
      </c>
      <c r="C387" s="268">
        <v>26</v>
      </c>
      <c r="D387" s="268">
        <v>21</v>
      </c>
      <c r="E387" s="268">
        <v>47</v>
      </c>
      <c r="F387" s="268">
        <v>274</v>
      </c>
      <c r="G387" s="268">
        <v>223</v>
      </c>
      <c r="H387" s="268">
        <v>497</v>
      </c>
      <c r="I387" s="268">
        <v>58</v>
      </c>
      <c r="J387" s="268">
        <v>28</v>
      </c>
      <c r="K387" s="268">
        <v>86</v>
      </c>
      <c r="L387" s="268">
        <v>17</v>
      </c>
      <c r="M387" s="268">
        <v>15</v>
      </c>
      <c r="N387" s="268">
        <v>32</v>
      </c>
      <c r="O387" s="324">
        <v>375</v>
      </c>
      <c r="P387" s="324">
        <v>287</v>
      </c>
      <c r="Q387" s="324">
        <v>662</v>
      </c>
      <c r="R387" s="13"/>
      <c r="S387" s="13"/>
      <c r="T387" s="13"/>
      <c r="U387" s="13"/>
      <c r="V387" s="13"/>
      <c r="W387" s="13"/>
      <c r="X387" s="13"/>
    </row>
    <row r="388" spans="2:24" x14ac:dyDescent="0.25">
      <c r="B388" s="136" t="s">
        <v>297</v>
      </c>
      <c r="C388" s="268"/>
      <c r="D388" s="268">
        <v>1</v>
      </c>
      <c r="E388" s="268">
        <v>1</v>
      </c>
      <c r="F388" s="268">
        <v>9</v>
      </c>
      <c r="G388" s="268">
        <v>11</v>
      </c>
      <c r="H388" s="268">
        <v>20</v>
      </c>
      <c r="I388" s="268">
        <v>7</v>
      </c>
      <c r="J388" s="268">
        <v>6</v>
      </c>
      <c r="K388" s="268">
        <v>13</v>
      </c>
      <c r="L388" s="268"/>
      <c r="M388" s="268">
        <v>1</v>
      </c>
      <c r="N388" s="268">
        <v>1</v>
      </c>
      <c r="O388" s="324">
        <v>16</v>
      </c>
      <c r="P388" s="324">
        <v>19</v>
      </c>
      <c r="Q388" s="324">
        <v>35</v>
      </c>
      <c r="R388" s="13"/>
      <c r="S388" s="13"/>
      <c r="T388" s="13"/>
      <c r="U388" s="13"/>
      <c r="V388" s="13"/>
      <c r="W388" s="13"/>
      <c r="X388" s="13"/>
    </row>
    <row r="389" spans="2:24" x14ac:dyDescent="0.25">
      <c r="B389" s="136" t="s">
        <v>298</v>
      </c>
      <c r="C389" s="268">
        <v>9</v>
      </c>
      <c r="D389" s="268">
        <v>9</v>
      </c>
      <c r="E389" s="268">
        <v>18</v>
      </c>
      <c r="F389" s="268">
        <v>112</v>
      </c>
      <c r="G389" s="268">
        <v>96</v>
      </c>
      <c r="H389" s="268">
        <v>208</v>
      </c>
      <c r="I389" s="268">
        <v>23</v>
      </c>
      <c r="J389" s="268">
        <v>4</v>
      </c>
      <c r="K389" s="268">
        <v>27</v>
      </c>
      <c r="L389" s="268">
        <v>2</v>
      </c>
      <c r="M389" s="268">
        <v>7</v>
      </c>
      <c r="N389" s="268">
        <v>9</v>
      </c>
      <c r="O389" s="324">
        <v>146</v>
      </c>
      <c r="P389" s="324">
        <v>116</v>
      </c>
      <c r="Q389" s="324">
        <v>262</v>
      </c>
      <c r="R389" s="13"/>
      <c r="S389" s="13"/>
      <c r="T389" s="13"/>
      <c r="U389" s="13"/>
      <c r="V389" s="13"/>
      <c r="W389" s="13"/>
      <c r="X389" s="13"/>
    </row>
    <row r="390" spans="2:24" x14ac:dyDescent="0.25">
      <c r="B390" s="156" t="s">
        <v>299</v>
      </c>
      <c r="C390" s="271">
        <v>5</v>
      </c>
      <c r="D390" s="271">
        <v>6</v>
      </c>
      <c r="E390" s="271">
        <v>11</v>
      </c>
      <c r="F390" s="271">
        <v>27</v>
      </c>
      <c r="G390" s="271">
        <v>26</v>
      </c>
      <c r="H390" s="271">
        <v>53</v>
      </c>
      <c r="I390" s="271">
        <v>4</v>
      </c>
      <c r="J390" s="271">
        <v>2</v>
      </c>
      <c r="K390" s="271">
        <v>6</v>
      </c>
      <c r="L390" s="271"/>
      <c r="M390" s="271">
        <v>5</v>
      </c>
      <c r="N390" s="271">
        <v>5</v>
      </c>
      <c r="O390" s="324">
        <v>36</v>
      </c>
      <c r="P390" s="324">
        <v>39</v>
      </c>
      <c r="Q390" s="324">
        <v>75</v>
      </c>
      <c r="R390" s="13"/>
      <c r="S390" s="13"/>
      <c r="T390" s="13"/>
      <c r="U390" s="13"/>
      <c r="V390" s="13"/>
      <c r="W390" s="13"/>
      <c r="X390" s="13"/>
    </row>
    <row r="391" spans="2:24" x14ac:dyDescent="0.25">
      <c r="B391" s="159" t="s">
        <v>300</v>
      </c>
      <c r="C391" s="269">
        <v>6</v>
      </c>
      <c r="D391" s="269">
        <v>3</v>
      </c>
      <c r="E391" s="269">
        <v>9</v>
      </c>
      <c r="F391" s="269">
        <v>50</v>
      </c>
      <c r="G391" s="269">
        <v>44</v>
      </c>
      <c r="H391" s="269">
        <v>94</v>
      </c>
      <c r="I391" s="269">
        <v>21</v>
      </c>
      <c r="J391" s="269">
        <v>8</v>
      </c>
      <c r="K391" s="269">
        <v>29</v>
      </c>
      <c r="L391" s="269">
        <v>4</v>
      </c>
      <c r="M391" s="269">
        <v>4</v>
      </c>
      <c r="N391" s="269">
        <v>8</v>
      </c>
      <c r="O391" s="324">
        <v>81</v>
      </c>
      <c r="P391" s="324">
        <v>59</v>
      </c>
      <c r="Q391" s="324">
        <v>140</v>
      </c>
      <c r="R391" s="13"/>
      <c r="S391" s="13"/>
      <c r="T391" s="13"/>
      <c r="U391" s="13"/>
      <c r="V391" s="13"/>
      <c r="W391" s="13"/>
      <c r="X391" s="13"/>
    </row>
    <row r="392" spans="2:24" x14ac:dyDescent="0.25">
      <c r="B392" s="371" t="s">
        <v>923</v>
      </c>
      <c r="C392" s="310">
        <v>253</v>
      </c>
      <c r="D392" s="310">
        <v>247</v>
      </c>
      <c r="E392" s="310">
        <v>500</v>
      </c>
      <c r="F392" s="310">
        <v>2544</v>
      </c>
      <c r="G392" s="310">
        <v>2411</v>
      </c>
      <c r="H392" s="294">
        <v>4955</v>
      </c>
      <c r="I392" s="310">
        <v>691</v>
      </c>
      <c r="J392" s="294">
        <v>248</v>
      </c>
      <c r="K392" s="310">
        <v>939</v>
      </c>
      <c r="L392" s="294">
        <v>151</v>
      </c>
      <c r="M392" s="310">
        <v>229</v>
      </c>
      <c r="N392" s="294">
        <v>380</v>
      </c>
      <c r="O392" s="324">
        <v>3639</v>
      </c>
      <c r="P392" s="324">
        <v>3135</v>
      </c>
      <c r="Q392" s="324">
        <v>6774</v>
      </c>
      <c r="R392" s="13"/>
      <c r="S392" s="13"/>
      <c r="T392" s="13"/>
      <c r="U392" s="13"/>
      <c r="V392" s="13"/>
      <c r="W392" s="13"/>
      <c r="X392" s="13"/>
    </row>
    <row r="393" spans="2:24" ht="84" customHeight="1" x14ac:dyDescent="0.25">
      <c r="B393" s="445" t="s">
        <v>938</v>
      </c>
      <c r="C393" s="445"/>
      <c r="D393" s="445"/>
      <c r="E393" s="445"/>
      <c r="F393" s="445"/>
      <c r="G393" s="445"/>
      <c r="H393" s="445"/>
      <c r="I393" s="445"/>
      <c r="J393" s="445"/>
      <c r="K393" s="445"/>
      <c r="L393" s="445"/>
      <c r="M393" s="445"/>
      <c r="N393" s="445"/>
      <c r="O393" s="445"/>
      <c r="P393" s="445"/>
      <c r="Q393" s="445"/>
      <c r="R393" s="13"/>
      <c r="S393" s="13"/>
      <c r="T393" s="13"/>
      <c r="U393" s="13"/>
      <c r="V393" s="13"/>
      <c r="W393" s="13"/>
    </row>
    <row r="394" spans="2:24" x14ac:dyDescent="0.25">
      <c r="B394" s="158"/>
      <c r="C394" s="158"/>
      <c r="D394" s="158"/>
      <c r="E394"/>
      <c r="F394"/>
      <c r="G394"/>
      <c r="H394" s="13"/>
      <c r="I394" s="13"/>
      <c r="J394" s="13"/>
      <c r="K394" s="13"/>
      <c r="L394" s="13"/>
      <c r="M394" s="13"/>
      <c r="N394" s="13"/>
      <c r="O394" s="13"/>
      <c r="P394" s="13"/>
      <c r="Q394" s="13"/>
      <c r="R394" s="13"/>
      <c r="S394" s="13"/>
      <c r="T394" s="13"/>
      <c r="U394" s="13"/>
      <c r="V394" s="13"/>
      <c r="W394" s="13"/>
    </row>
    <row r="395" spans="2:24" x14ac:dyDescent="0.25">
      <c r="B395" s="187" t="s">
        <v>513</v>
      </c>
      <c r="C395"/>
      <c r="D395"/>
      <c r="E395"/>
      <c r="F395"/>
      <c r="G395"/>
      <c r="H395" s="13"/>
      <c r="I395" s="13"/>
      <c r="J395" s="13"/>
      <c r="K395" s="13"/>
      <c r="L395" s="13"/>
      <c r="M395" s="13"/>
      <c r="N395" s="13"/>
      <c r="O395" s="13"/>
      <c r="P395" s="13"/>
      <c r="Q395" s="13"/>
      <c r="R395" s="13"/>
      <c r="S395" s="13"/>
      <c r="T395" s="13"/>
      <c r="U395" s="13"/>
      <c r="V395" s="13"/>
      <c r="W395" s="13"/>
    </row>
    <row r="396" spans="2:24" x14ac:dyDescent="0.25">
      <c r="B396" s="187"/>
      <c r="C396"/>
      <c r="D396"/>
      <c r="E396"/>
      <c r="F396"/>
      <c r="G396"/>
      <c r="H396" s="13"/>
      <c r="I396" s="13"/>
      <c r="J396" s="13"/>
      <c r="K396" s="13"/>
      <c r="L396" s="13"/>
      <c r="M396" s="13"/>
      <c r="N396" s="13"/>
      <c r="O396" s="13"/>
      <c r="P396" s="13"/>
      <c r="Q396" s="13"/>
      <c r="R396" s="13"/>
      <c r="S396" s="13"/>
      <c r="T396" s="13"/>
      <c r="U396" s="13"/>
      <c r="V396" s="13"/>
      <c r="W396" s="13"/>
    </row>
    <row r="397" spans="2:24" ht="15" customHeight="1" x14ac:dyDescent="0.25">
      <c r="B397" s="413" t="s">
        <v>532</v>
      </c>
      <c r="C397" s="414" t="s">
        <v>477</v>
      </c>
      <c r="D397" s="414"/>
      <c r="E397" s="414"/>
      <c r="F397" s="414"/>
      <c r="G397" s="414"/>
      <c r="H397" s="414"/>
      <c r="I397" s="414"/>
      <c r="J397" s="414"/>
      <c r="K397" s="414"/>
      <c r="L397" s="414"/>
      <c r="M397" s="414"/>
      <c r="N397" s="414"/>
      <c r="O397" s="447" t="s">
        <v>922</v>
      </c>
      <c r="P397" s="448"/>
      <c r="Q397" s="449"/>
      <c r="R397" s="13"/>
      <c r="S397" s="13"/>
      <c r="T397" s="13"/>
      <c r="U397" s="13"/>
      <c r="V397" s="13"/>
      <c r="W397" s="13"/>
    </row>
    <row r="398" spans="2:24" ht="15" customHeight="1" x14ac:dyDescent="0.25">
      <c r="B398" s="413"/>
      <c r="C398" s="414" t="s">
        <v>885</v>
      </c>
      <c r="D398" s="414"/>
      <c r="E398" s="414"/>
      <c r="F398" s="414" t="s">
        <v>886</v>
      </c>
      <c r="G398" s="414"/>
      <c r="H398" s="414"/>
      <c r="I398" s="414" t="s">
        <v>2</v>
      </c>
      <c r="J398" s="414"/>
      <c r="K398" s="414"/>
      <c r="L398" s="414" t="s">
        <v>3</v>
      </c>
      <c r="M398" s="414"/>
      <c r="N398" s="414"/>
      <c r="O398" s="450"/>
      <c r="P398" s="451"/>
      <c r="Q398" s="452"/>
      <c r="R398" s="13"/>
      <c r="S398" s="13"/>
      <c r="T398" s="13"/>
      <c r="U398" s="13"/>
      <c r="V398" s="13"/>
      <c r="W398" s="13"/>
    </row>
    <row r="399" spans="2:24" x14ac:dyDescent="0.25">
      <c r="B399" s="413"/>
      <c r="C399" s="161" t="s">
        <v>73</v>
      </c>
      <c r="D399" s="161" t="s">
        <v>74</v>
      </c>
      <c r="E399" s="161" t="s">
        <v>25</v>
      </c>
      <c r="F399" s="161" t="s">
        <v>73</v>
      </c>
      <c r="G399" s="161" t="s">
        <v>74</v>
      </c>
      <c r="H399" s="161" t="s">
        <v>25</v>
      </c>
      <c r="I399" s="161" t="s">
        <v>73</v>
      </c>
      <c r="J399" s="161" t="s">
        <v>74</v>
      </c>
      <c r="K399" s="161" t="s">
        <v>25</v>
      </c>
      <c r="L399" s="161" t="s">
        <v>73</v>
      </c>
      <c r="M399" s="161" t="s">
        <v>74</v>
      </c>
      <c r="N399" s="161" t="s">
        <v>25</v>
      </c>
      <c r="O399" s="299" t="s">
        <v>73</v>
      </c>
      <c r="P399" s="299" t="s">
        <v>74</v>
      </c>
      <c r="Q399" s="299" t="s">
        <v>25</v>
      </c>
      <c r="R399" s="13"/>
      <c r="S399" s="13"/>
      <c r="T399" s="13"/>
      <c r="U399" s="13"/>
      <c r="V399" s="13"/>
      <c r="W399" s="13"/>
    </row>
    <row r="400" spans="2:24" x14ac:dyDescent="0.25">
      <c r="B400" s="157" t="s">
        <v>301</v>
      </c>
      <c r="C400" s="270">
        <v>4</v>
      </c>
      <c r="D400" s="270">
        <v>14</v>
      </c>
      <c r="E400" s="270">
        <v>18</v>
      </c>
      <c r="F400" s="270">
        <v>86</v>
      </c>
      <c r="G400" s="270">
        <v>96</v>
      </c>
      <c r="H400" s="270">
        <v>182</v>
      </c>
      <c r="I400" s="270">
        <v>30</v>
      </c>
      <c r="J400" s="270">
        <v>6</v>
      </c>
      <c r="K400" s="270">
        <v>36</v>
      </c>
      <c r="L400" s="270">
        <v>10</v>
      </c>
      <c r="M400" s="270">
        <v>1</v>
      </c>
      <c r="N400" s="270">
        <v>11</v>
      </c>
      <c r="O400" s="324">
        <v>130</v>
      </c>
      <c r="P400" s="324">
        <v>117</v>
      </c>
      <c r="Q400" s="324">
        <v>247</v>
      </c>
      <c r="R400" s="13"/>
      <c r="S400" s="13"/>
      <c r="T400" s="13"/>
      <c r="U400" s="13"/>
      <c r="V400" s="13"/>
      <c r="W400" s="13"/>
      <c r="X400" s="13"/>
    </row>
    <row r="401" spans="2:24" x14ac:dyDescent="0.25">
      <c r="B401" s="136" t="s">
        <v>302</v>
      </c>
      <c r="C401" s="268">
        <v>4</v>
      </c>
      <c r="D401" s="268">
        <v>8</v>
      </c>
      <c r="E401" s="268">
        <v>12</v>
      </c>
      <c r="F401" s="268">
        <v>36</v>
      </c>
      <c r="G401" s="268">
        <v>29</v>
      </c>
      <c r="H401" s="268">
        <v>65</v>
      </c>
      <c r="I401" s="268">
        <v>18</v>
      </c>
      <c r="J401" s="268">
        <v>8</v>
      </c>
      <c r="K401" s="268">
        <v>26</v>
      </c>
      <c r="L401" s="268"/>
      <c r="M401" s="268">
        <v>1</v>
      </c>
      <c r="N401" s="268">
        <v>1</v>
      </c>
      <c r="O401" s="324">
        <v>58</v>
      </c>
      <c r="P401" s="324">
        <v>46</v>
      </c>
      <c r="Q401" s="324">
        <v>104</v>
      </c>
      <c r="R401" s="13"/>
      <c r="S401" s="13"/>
      <c r="T401" s="13"/>
      <c r="U401" s="13"/>
      <c r="V401" s="13"/>
      <c r="W401" s="13"/>
      <c r="X401" s="13"/>
    </row>
    <row r="402" spans="2:24" x14ac:dyDescent="0.25">
      <c r="B402" s="136" t="s">
        <v>303</v>
      </c>
      <c r="C402" s="268">
        <v>1</v>
      </c>
      <c r="D402" s="268">
        <v>6</v>
      </c>
      <c r="E402" s="268">
        <v>7</v>
      </c>
      <c r="F402" s="268">
        <v>12</v>
      </c>
      <c r="G402" s="268">
        <v>24</v>
      </c>
      <c r="H402" s="268">
        <v>36</v>
      </c>
      <c r="I402" s="268">
        <v>10</v>
      </c>
      <c r="J402" s="268">
        <v>2</v>
      </c>
      <c r="K402" s="268">
        <v>12</v>
      </c>
      <c r="L402" s="268"/>
      <c r="M402" s="268">
        <v>1</v>
      </c>
      <c r="N402" s="268">
        <v>1</v>
      </c>
      <c r="O402" s="324">
        <v>23</v>
      </c>
      <c r="P402" s="324">
        <v>33</v>
      </c>
      <c r="Q402" s="324">
        <v>56</v>
      </c>
      <c r="R402" s="13"/>
      <c r="S402" s="13"/>
      <c r="T402" s="13"/>
      <c r="U402" s="13"/>
      <c r="V402" s="13"/>
      <c r="W402" s="13"/>
      <c r="X402" s="13"/>
    </row>
    <row r="403" spans="2:24" x14ac:dyDescent="0.25">
      <c r="B403" s="136" t="s">
        <v>304</v>
      </c>
      <c r="C403" s="268">
        <v>3</v>
      </c>
      <c r="D403" s="268">
        <v>4</v>
      </c>
      <c r="E403" s="268">
        <v>7</v>
      </c>
      <c r="F403" s="268">
        <v>34</v>
      </c>
      <c r="G403" s="268">
        <v>40</v>
      </c>
      <c r="H403" s="268">
        <v>74</v>
      </c>
      <c r="I403" s="268">
        <v>14</v>
      </c>
      <c r="J403" s="268">
        <v>2</v>
      </c>
      <c r="K403" s="268">
        <v>16</v>
      </c>
      <c r="L403" s="268">
        <v>1</v>
      </c>
      <c r="M403" s="268">
        <v>1</v>
      </c>
      <c r="N403" s="268">
        <v>2</v>
      </c>
      <c r="O403" s="324">
        <v>52</v>
      </c>
      <c r="P403" s="324">
        <v>47</v>
      </c>
      <c r="Q403" s="324">
        <v>99</v>
      </c>
      <c r="R403" s="13"/>
      <c r="S403" s="13"/>
      <c r="T403" s="13"/>
      <c r="U403" s="13"/>
      <c r="V403" s="13"/>
      <c r="W403" s="13"/>
      <c r="X403" s="13"/>
    </row>
    <row r="404" spans="2:24" x14ac:dyDescent="0.25">
      <c r="B404" s="136" t="s">
        <v>305</v>
      </c>
      <c r="C404" s="268">
        <v>2</v>
      </c>
      <c r="D404" s="268">
        <v>4</v>
      </c>
      <c r="E404" s="268">
        <v>6</v>
      </c>
      <c r="F404" s="268">
        <v>37</v>
      </c>
      <c r="G404" s="268">
        <v>46</v>
      </c>
      <c r="H404" s="268">
        <v>83</v>
      </c>
      <c r="I404" s="268">
        <v>10</v>
      </c>
      <c r="J404" s="268">
        <v>4</v>
      </c>
      <c r="K404" s="268">
        <v>14</v>
      </c>
      <c r="L404" s="268">
        <v>2</v>
      </c>
      <c r="M404" s="268">
        <v>2</v>
      </c>
      <c r="N404" s="268">
        <v>4</v>
      </c>
      <c r="O404" s="324">
        <v>51</v>
      </c>
      <c r="P404" s="324">
        <v>56</v>
      </c>
      <c r="Q404" s="324">
        <v>107</v>
      </c>
      <c r="R404" s="13"/>
      <c r="S404" s="13"/>
      <c r="T404" s="13"/>
      <c r="U404" s="13"/>
      <c r="V404" s="13"/>
      <c r="W404" s="13"/>
      <c r="X404" s="13"/>
    </row>
    <row r="405" spans="2:24" x14ac:dyDescent="0.25">
      <c r="B405" s="136" t="s">
        <v>306</v>
      </c>
      <c r="C405" s="268">
        <v>6</v>
      </c>
      <c r="D405" s="268">
        <v>7</v>
      </c>
      <c r="E405" s="268">
        <v>13</v>
      </c>
      <c r="F405" s="268">
        <v>24</v>
      </c>
      <c r="G405" s="268">
        <v>25</v>
      </c>
      <c r="H405" s="268">
        <v>49</v>
      </c>
      <c r="I405" s="268">
        <v>10</v>
      </c>
      <c r="J405" s="268">
        <v>3</v>
      </c>
      <c r="K405" s="268">
        <v>13</v>
      </c>
      <c r="L405" s="268"/>
      <c r="M405" s="268">
        <v>4</v>
      </c>
      <c r="N405" s="268">
        <v>4</v>
      </c>
      <c r="O405" s="324">
        <v>40</v>
      </c>
      <c r="P405" s="324">
        <v>39</v>
      </c>
      <c r="Q405" s="324">
        <v>79</v>
      </c>
      <c r="R405" s="13"/>
      <c r="S405" s="13"/>
      <c r="T405" s="13"/>
      <c r="U405" s="13"/>
      <c r="V405" s="13"/>
      <c r="W405" s="13"/>
      <c r="X405" s="13"/>
    </row>
    <row r="406" spans="2:24" x14ac:dyDescent="0.25">
      <c r="B406" s="136" t="s">
        <v>307</v>
      </c>
      <c r="C406" s="268">
        <v>2</v>
      </c>
      <c r="D406" s="268">
        <v>4</v>
      </c>
      <c r="E406" s="268">
        <v>6</v>
      </c>
      <c r="F406" s="268">
        <v>23</v>
      </c>
      <c r="G406" s="268">
        <v>17</v>
      </c>
      <c r="H406" s="268">
        <v>40</v>
      </c>
      <c r="I406" s="268">
        <v>5</v>
      </c>
      <c r="J406" s="268">
        <v>2</v>
      </c>
      <c r="K406" s="268">
        <v>7</v>
      </c>
      <c r="L406" s="268"/>
      <c r="M406" s="268">
        <v>1</v>
      </c>
      <c r="N406" s="268">
        <v>1</v>
      </c>
      <c r="O406" s="324">
        <v>30</v>
      </c>
      <c r="P406" s="324">
        <v>24</v>
      </c>
      <c r="Q406" s="324">
        <v>54</v>
      </c>
      <c r="R406" s="13"/>
      <c r="S406" s="13"/>
      <c r="T406" s="13"/>
      <c r="U406" s="13"/>
      <c r="V406" s="13"/>
      <c r="W406" s="13"/>
      <c r="X406" s="13"/>
    </row>
    <row r="407" spans="2:24" x14ac:dyDescent="0.25">
      <c r="B407" s="136" t="s">
        <v>308</v>
      </c>
      <c r="C407" s="268">
        <v>3</v>
      </c>
      <c r="D407" s="268">
        <v>1</v>
      </c>
      <c r="E407" s="268">
        <v>4</v>
      </c>
      <c r="F407" s="268">
        <v>8</v>
      </c>
      <c r="G407" s="268">
        <v>13</v>
      </c>
      <c r="H407" s="268">
        <v>21</v>
      </c>
      <c r="I407" s="268">
        <v>3</v>
      </c>
      <c r="J407" s="268">
        <v>2</v>
      </c>
      <c r="K407" s="268">
        <v>5</v>
      </c>
      <c r="L407" s="268">
        <v>4</v>
      </c>
      <c r="M407" s="268"/>
      <c r="N407" s="268">
        <v>4</v>
      </c>
      <c r="O407" s="324">
        <v>18</v>
      </c>
      <c r="P407" s="324">
        <v>16</v>
      </c>
      <c r="Q407" s="324">
        <v>34</v>
      </c>
      <c r="R407" s="13"/>
      <c r="S407" s="13"/>
      <c r="T407" s="13"/>
      <c r="U407" s="13"/>
      <c r="V407" s="13"/>
      <c r="W407" s="13"/>
      <c r="X407" s="13"/>
    </row>
    <row r="408" spans="2:24" x14ac:dyDescent="0.25">
      <c r="B408" s="136" t="s">
        <v>309</v>
      </c>
      <c r="C408" s="268">
        <v>1</v>
      </c>
      <c r="D408" s="268">
        <v>10</v>
      </c>
      <c r="E408" s="268">
        <v>11</v>
      </c>
      <c r="F408" s="268">
        <v>51</v>
      </c>
      <c r="G408" s="268">
        <v>45</v>
      </c>
      <c r="H408" s="268">
        <v>96</v>
      </c>
      <c r="I408" s="268">
        <v>10</v>
      </c>
      <c r="J408" s="268">
        <v>2</v>
      </c>
      <c r="K408" s="268">
        <v>12</v>
      </c>
      <c r="L408" s="268">
        <v>1</v>
      </c>
      <c r="M408" s="268">
        <v>10</v>
      </c>
      <c r="N408" s="268">
        <v>11</v>
      </c>
      <c r="O408" s="324">
        <v>63</v>
      </c>
      <c r="P408" s="324">
        <v>67</v>
      </c>
      <c r="Q408" s="324">
        <v>130</v>
      </c>
      <c r="R408" s="13"/>
      <c r="S408" s="13"/>
      <c r="T408" s="13"/>
      <c r="U408" s="13"/>
      <c r="V408" s="13"/>
      <c r="W408" s="13"/>
      <c r="X408" s="13"/>
    </row>
    <row r="409" spans="2:24" x14ac:dyDescent="0.25">
      <c r="B409" s="136" t="s">
        <v>310</v>
      </c>
      <c r="C409" s="268">
        <v>2</v>
      </c>
      <c r="D409" s="268"/>
      <c r="E409" s="268">
        <v>2</v>
      </c>
      <c r="F409" s="268">
        <v>21</v>
      </c>
      <c r="G409" s="268">
        <v>19</v>
      </c>
      <c r="H409" s="268">
        <v>40</v>
      </c>
      <c r="I409" s="268">
        <v>9</v>
      </c>
      <c r="J409" s="268">
        <v>1</v>
      </c>
      <c r="K409" s="268">
        <v>10</v>
      </c>
      <c r="L409" s="268">
        <v>1</v>
      </c>
      <c r="M409" s="268">
        <v>2</v>
      </c>
      <c r="N409" s="268">
        <v>3</v>
      </c>
      <c r="O409" s="324">
        <v>33</v>
      </c>
      <c r="P409" s="324">
        <v>22</v>
      </c>
      <c r="Q409" s="324">
        <v>55</v>
      </c>
      <c r="R409" s="13"/>
      <c r="S409" s="13"/>
      <c r="T409" s="13"/>
      <c r="U409" s="13"/>
      <c r="V409" s="13"/>
      <c r="W409" s="13"/>
      <c r="X409" s="13"/>
    </row>
    <row r="410" spans="2:24" x14ac:dyDescent="0.25">
      <c r="B410" s="136" t="s">
        <v>311</v>
      </c>
      <c r="C410" s="268">
        <v>2</v>
      </c>
      <c r="D410" s="268">
        <v>7</v>
      </c>
      <c r="E410" s="268">
        <v>9</v>
      </c>
      <c r="F410" s="268">
        <v>28</v>
      </c>
      <c r="G410" s="268">
        <v>24</v>
      </c>
      <c r="H410" s="268">
        <v>52</v>
      </c>
      <c r="I410" s="268">
        <v>7</v>
      </c>
      <c r="J410" s="268">
        <v>5</v>
      </c>
      <c r="K410" s="268">
        <v>12</v>
      </c>
      <c r="L410" s="268"/>
      <c r="M410" s="268">
        <v>5</v>
      </c>
      <c r="N410" s="268">
        <v>5</v>
      </c>
      <c r="O410" s="324">
        <v>37</v>
      </c>
      <c r="P410" s="324">
        <v>41</v>
      </c>
      <c r="Q410" s="324">
        <v>78</v>
      </c>
      <c r="R410" s="13"/>
      <c r="S410" s="13"/>
      <c r="T410" s="13"/>
      <c r="U410" s="13"/>
      <c r="V410" s="13"/>
      <c r="W410" s="13"/>
      <c r="X410" s="13"/>
    </row>
    <row r="411" spans="2:24" x14ac:dyDescent="0.25">
      <c r="B411" s="136" t="s">
        <v>312</v>
      </c>
      <c r="C411" s="268">
        <v>7</v>
      </c>
      <c r="D411" s="268">
        <v>6</v>
      </c>
      <c r="E411" s="268">
        <v>13</v>
      </c>
      <c r="F411" s="268">
        <v>65</v>
      </c>
      <c r="G411" s="268">
        <v>49</v>
      </c>
      <c r="H411" s="268">
        <v>114</v>
      </c>
      <c r="I411" s="268">
        <v>19</v>
      </c>
      <c r="J411" s="268">
        <v>9</v>
      </c>
      <c r="K411" s="268">
        <v>28</v>
      </c>
      <c r="L411" s="268">
        <v>5</v>
      </c>
      <c r="M411" s="268">
        <v>5</v>
      </c>
      <c r="N411" s="268">
        <v>10</v>
      </c>
      <c r="O411" s="324">
        <v>96</v>
      </c>
      <c r="P411" s="324">
        <v>69</v>
      </c>
      <c r="Q411" s="324">
        <v>165</v>
      </c>
      <c r="R411" s="13"/>
      <c r="S411" s="13"/>
      <c r="T411" s="13"/>
      <c r="U411" s="13"/>
      <c r="V411" s="13"/>
      <c r="W411" s="13"/>
      <c r="X411" s="13"/>
    </row>
    <row r="412" spans="2:24" x14ac:dyDescent="0.25">
      <c r="B412" s="136" t="s">
        <v>313</v>
      </c>
      <c r="C412" s="268"/>
      <c r="D412" s="268">
        <v>6</v>
      </c>
      <c r="E412" s="268">
        <v>6</v>
      </c>
      <c r="F412" s="268">
        <v>50</v>
      </c>
      <c r="G412" s="268">
        <v>36</v>
      </c>
      <c r="H412" s="268">
        <v>86</v>
      </c>
      <c r="I412" s="268">
        <v>14</v>
      </c>
      <c r="J412" s="268">
        <v>4</v>
      </c>
      <c r="K412" s="268">
        <v>18</v>
      </c>
      <c r="L412" s="268">
        <v>2</v>
      </c>
      <c r="M412" s="268">
        <v>5</v>
      </c>
      <c r="N412" s="268">
        <v>7</v>
      </c>
      <c r="O412" s="324">
        <v>66</v>
      </c>
      <c r="P412" s="324">
        <v>51</v>
      </c>
      <c r="Q412" s="324">
        <v>117</v>
      </c>
      <c r="R412" s="13"/>
      <c r="S412" s="13"/>
      <c r="T412" s="13"/>
      <c r="U412" s="13"/>
      <c r="V412" s="13"/>
      <c r="W412" s="13"/>
      <c r="X412" s="13"/>
    </row>
    <row r="413" spans="2:24" x14ac:dyDescent="0.25">
      <c r="B413" s="136" t="s">
        <v>314</v>
      </c>
      <c r="C413" s="268">
        <v>1</v>
      </c>
      <c r="D413" s="268">
        <v>1</v>
      </c>
      <c r="E413" s="268">
        <v>2</v>
      </c>
      <c r="F413" s="268">
        <v>19</v>
      </c>
      <c r="G413" s="268">
        <v>23</v>
      </c>
      <c r="H413" s="268">
        <v>42</v>
      </c>
      <c r="I413" s="268">
        <v>5</v>
      </c>
      <c r="J413" s="268">
        <v>2</v>
      </c>
      <c r="K413" s="268">
        <v>7</v>
      </c>
      <c r="L413" s="268">
        <v>1</v>
      </c>
      <c r="M413" s="268">
        <v>1</v>
      </c>
      <c r="N413" s="268">
        <v>2</v>
      </c>
      <c r="O413" s="324">
        <v>26</v>
      </c>
      <c r="P413" s="324">
        <v>27</v>
      </c>
      <c r="Q413" s="324">
        <v>53</v>
      </c>
      <c r="R413" s="13"/>
      <c r="S413" s="13"/>
      <c r="T413" s="13"/>
      <c r="U413" s="13"/>
      <c r="V413" s="13"/>
      <c r="W413" s="13"/>
      <c r="X413" s="13"/>
    </row>
    <row r="414" spans="2:24" x14ac:dyDescent="0.25">
      <c r="B414" s="136" t="s">
        <v>315</v>
      </c>
      <c r="C414" s="268"/>
      <c r="D414" s="268">
        <v>2</v>
      </c>
      <c r="E414" s="268">
        <v>2</v>
      </c>
      <c r="F414" s="268">
        <v>8</v>
      </c>
      <c r="G414" s="268">
        <v>12</v>
      </c>
      <c r="H414" s="268">
        <v>20</v>
      </c>
      <c r="I414" s="268">
        <v>3</v>
      </c>
      <c r="J414" s="268">
        <v>1</v>
      </c>
      <c r="K414" s="268">
        <v>4</v>
      </c>
      <c r="L414" s="268">
        <v>1</v>
      </c>
      <c r="M414" s="268">
        <v>1</v>
      </c>
      <c r="N414" s="268">
        <v>2</v>
      </c>
      <c r="O414" s="324">
        <v>12</v>
      </c>
      <c r="P414" s="324">
        <v>16</v>
      </c>
      <c r="Q414" s="324">
        <v>28</v>
      </c>
      <c r="R414" s="13"/>
      <c r="S414" s="13"/>
      <c r="T414" s="13"/>
      <c r="U414" s="13"/>
      <c r="V414" s="13"/>
      <c r="W414" s="13"/>
      <c r="X414" s="13"/>
    </row>
    <row r="415" spans="2:24" x14ac:dyDescent="0.25">
      <c r="B415" s="136" t="s">
        <v>316</v>
      </c>
      <c r="C415" s="268">
        <v>4</v>
      </c>
      <c r="D415" s="268">
        <v>2</v>
      </c>
      <c r="E415" s="268">
        <v>6</v>
      </c>
      <c r="F415" s="268">
        <v>14</v>
      </c>
      <c r="G415" s="268">
        <v>16</v>
      </c>
      <c r="H415" s="268">
        <v>30</v>
      </c>
      <c r="I415" s="268">
        <v>8</v>
      </c>
      <c r="J415" s="268">
        <v>5</v>
      </c>
      <c r="K415" s="268">
        <v>13</v>
      </c>
      <c r="L415" s="268"/>
      <c r="M415" s="268">
        <v>2</v>
      </c>
      <c r="N415" s="268">
        <v>2</v>
      </c>
      <c r="O415" s="324">
        <v>26</v>
      </c>
      <c r="P415" s="324">
        <v>25</v>
      </c>
      <c r="Q415" s="324">
        <v>51</v>
      </c>
      <c r="R415" s="13"/>
      <c r="S415" s="13"/>
      <c r="T415" s="13"/>
      <c r="U415" s="13"/>
      <c r="V415" s="13"/>
      <c r="W415" s="13"/>
      <c r="X415" s="13"/>
    </row>
    <row r="416" spans="2:24" x14ac:dyDescent="0.25">
      <c r="B416" s="136" t="s">
        <v>317</v>
      </c>
      <c r="C416" s="268">
        <v>2</v>
      </c>
      <c r="D416" s="268">
        <v>3</v>
      </c>
      <c r="E416" s="268">
        <v>5</v>
      </c>
      <c r="F416" s="268">
        <v>16</v>
      </c>
      <c r="G416" s="268">
        <v>15</v>
      </c>
      <c r="H416" s="268">
        <v>31</v>
      </c>
      <c r="I416" s="268">
        <v>6</v>
      </c>
      <c r="J416" s="268">
        <v>1</v>
      </c>
      <c r="K416" s="268">
        <v>7</v>
      </c>
      <c r="L416" s="268"/>
      <c r="M416" s="268"/>
      <c r="N416" s="268"/>
      <c r="O416" s="324">
        <v>24</v>
      </c>
      <c r="P416" s="324">
        <v>19</v>
      </c>
      <c r="Q416" s="324">
        <v>43</v>
      </c>
      <c r="R416" s="13"/>
      <c r="S416" s="13"/>
      <c r="T416" s="13"/>
      <c r="U416" s="13"/>
      <c r="V416" s="13"/>
      <c r="W416" s="13"/>
      <c r="X416" s="13"/>
    </row>
    <row r="417" spans="2:24" x14ac:dyDescent="0.25">
      <c r="B417" s="136" t="s">
        <v>318</v>
      </c>
      <c r="C417" s="268">
        <v>6</v>
      </c>
      <c r="D417" s="268">
        <v>5</v>
      </c>
      <c r="E417" s="268">
        <v>11</v>
      </c>
      <c r="F417" s="268">
        <v>55</v>
      </c>
      <c r="G417" s="268">
        <v>54</v>
      </c>
      <c r="H417" s="268">
        <v>109</v>
      </c>
      <c r="I417" s="268">
        <v>14</v>
      </c>
      <c r="J417" s="268">
        <v>11</v>
      </c>
      <c r="K417" s="268">
        <v>25</v>
      </c>
      <c r="L417" s="268">
        <v>3</v>
      </c>
      <c r="M417" s="268">
        <v>5</v>
      </c>
      <c r="N417" s="268">
        <v>8</v>
      </c>
      <c r="O417" s="324">
        <v>78</v>
      </c>
      <c r="P417" s="324">
        <v>75</v>
      </c>
      <c r="Q417" s="324">
        <v>153</v>
      </c>
      <c r="R417" s="13"/>
      <c r="S417" s="13"/>
      <c r="T417" s="13"/>
      <c r="U417" s="13"/>
      <c r="V417" s="13"/>
      <c r="W417" s="13"/>
      <c r="X417" s="13"/>
    </row>
    <row r="418" spans="2:24" x14ac:dyDescent="0.25">
      <c r="B418" s="136" t="s">
        <v>319</v>
      </c>
      <c r="C418" s="268">
        <v>9</v>
      </c>
      <c r="D418" s="268">
        <v>7</v>
      </c>
      <c r="E418" s="268">
        <v>16</v>
      </c>
      <c r="F418" s="268">
        <v>108</v>
      </c>
      <c r="G418" s="268">
        <v>88</v>
      </c>
      <c r="H418" s="268">
        <v>196</v>
      </c>
      <c r="I418" s="268">
        <v>44</v>
      </c>
      <c r="J418" s="268">
        <v>16</v>
      </c>
      <c r="K418" s="268">
        <v>60</v>
      </c>
      <c r="L418" s="268">
        <v>6</v>
      </c>
      <c r="M418" s="268">
        <v>14</v>
      </c>
      <c r="N418" s="268">
        <v>20</v>
      </c>
      <c r="O418" s="324">
        <v>167</v>
      </c>
      <c r="P418" s="324">
        <v>125</v>
      </c>
      <c r="Q418" s="324">
        <v>292</v>
      </c>
      <c r="R418" s="13"/>
      <c r="S418" s="13"/>
      <c r="T418" s="13"/>
      <c r="U418" s="13"/>
      <c r="V418" s="13"/>
      <c r="W418" s="13"/>
      <c r="X418" s="13"/>
    </row>
    <row r="419" spans="2:24" x14ac:dyDescent="0.25">
      <c r="B419" s="136" t="s">
        <v>320</v>
      </c>
      <c r="C419" s="268">
        <v>2</v>
      </c>
      <c r="D419" s="268">
        <v>3</v>
      </c>
      <c r="E419" s="268">
        <v>5</v>
      </c>
      <c r="F419" s="268">
        <v>11</v>
      </c>
      <c r="G419" s="268">
        <v>12</v>
      </c>
      <c r="H419" s="268">
        <v>23</v>
      </c>
      <c r="I419" s="268">
        <v>4</v>
      </c>
      <c r="J419" s="268">
        <v>2</v>
      </c>
      <c r="K419" s="268">
        <v>6</v>
      </c>
      <c r="L419" s="268">
        <v>2</v>
      </c>
      <c r="M419" s="268">
        <v>1</v>
      </c>
      <c r="N419" s="268">
        <v>3</v>
      </c>
      <c r="O419" s="324">
        <v>19</v>
      </c>
      <c r="P419" s="324">
        <v>18</v>
      </c>
      <c r="Q419" s="324">
        <v>37</v>
      </c>
      <c r="R419" s="13"/>
      <c r="S419" s="13"/>
      <c r="T419" s="13"/>
      <c r="U419" s="13"/>
      <c r="V419" s="13"/>
      <c r="W419" s="13"/>
      <c r="X419" s="13"/>
    </row>
    <row r="420" spans="2:24" x14ac:dyDescent="0.25">
      <c r="B420" s="136" t="s">
        <v>321</v>
      </c>
      <c r="C420" s="268">
        <v>5</v>
      </c>
      <c r="D420" s="268">
        <v>4</v>
      </c>
      <c r="E420" s="268">
        <v>9</v>
      </c>
      <c r="F420" s="268">
        <v>44</v>
      </c>
      <c r="G420" s="268">
        <v>46</v>
      </c>
      <c r="H420" s="268">
        <v>90</v>
      </c>
      <c r="I420" s="268">
        <v>18</v>
      </c>
      <c r="J420" s="268">
        <v>8</v>
      </c>
      <c r="K420" s="268">
        <v>26</v>
      </c>
      <c r="L420" s="268">
        <v>2</v>
      </c>
      <c r="M420" s="268">
        <v>8</v>
      </c>
      <c r="N420" s="268">
        <v>10</v>
      </c>
      <c r="O420" s="324">
        <v>69</v>
      </c>
      <c r="P420" s="324">
        <v>66</v>
      </c>
      <c r="Q420" s="324">
        <v>135</v>
      </c>
      <c r="R420" s="13"/>
      <c r="S420" s="13"/>
      <c r="T420" s="13"/>
      <c r="U420" s="13"/>
      <c r="V420" s="13"/>
      <c r="W420" s="13"/>
      <c r="X420" s="13"/>
    </row>
    <row r="421" spans="2:24" x14ac:dyDescent="0.25">
      <c r="B421" s="136" t="s">
        <v>322</v>
      </c>
      <c r="C421" s="268">
        <v>3</v>
      </c>
      <c r="D421" s="268">
        <v>5</v>
      </c>
      <c r="E421" s="268">
        <v>8</v>
      </c>
      <c r="F421" s="268">
        <v>50</v>
      </c>
      <c r="G421" s="268">
        <v>51</v>
      </c>
      <c r="H421" s="268">
        <v>101</v>
      </c>
      <c r="I421" s="268">
        <v>15</v>
      </c>
      <c r="J421" s="268">
        <v>5</v>
      </c>
      <c r="K421" s="268">
        <v>20</v>
      </c>
      <c r="L421" s="268">
        <v>1</v>
      </c>
      <c r="M421" s="268">
        <v>4</v>
      </c>
      <c r="N421" s="268">
        <v>5</v>
      </c>
      <c r="O421" s="324">
        <v>69</v>
      </c>
      <c r="P421" s="324">
        <v>65</v>
      </c>
      <c r="Q421" s="324">
        <v>134</v>
      </c>
      <c r="R421" s="13"/>
      <c r="S421" s="13"/>
      <c r="T421" s="13"/>
      <c r="U421" s="13"/>
      <c r="V421" s="13"/>
      <c r="W421" s="13"/>
      <c r="X421" s="13"/>
    </row>
    <row r="422" spans="2:24" x14ac:dyDescent="0.25">
      <c r="B422" s="136" t="s">
        <v>323</v>
      </c>
      <c r="C422" s="268"/>
      <c r="D422" s="268">
        <v>1</v>
      </c>
      <c r="E422" s="268">
        <v>1</v>
      </c>
      <c r="F422" s="268">
        <v>19</v>
      </c>
      <c r="G422" s="268">
        <v>12</v>
      </c>
      <c r="H422" s="268">
        <v>31</v>
      </c>
      <c r="I422" s="268">
        <v>7</v>
      </c>
      <c r="J422" s="268">
        <v>4</v>
      </c>
      <c r="K422" s="268">
        <v>11</v>
      </c>
      <c r="L422" s="268">
        <v>2</v>
      </c>
      <c r="M422" s="268"/>
      <c r="N422" s="268">
        <v>2</v>
      </c>
      <c r="O422" s="324">
        <v>28</v>
      </c>
      <c r="P422" s="324">
        <v>17</v>
      </c>
      <c r="Q422" s="324">
        <v>45</v>
      </c>
      <c r="R422" s="13"/>
      <c r="S422" s="13"/>
      <c r="T422" s="13"/>
      <c r="U422" s="13"/>
      <c r="V422" s="13"/>
      <c r="W422" s="13"/>
      <c r="X422" s="13"/>
    </row>
    <row r="423" spans="2:24" x14ac:dyDescent="0.25">
      <c r="B423" s="136" t="s">
        <v>324</v>
      </c>
      <c r="C423" s="268"/>
      <c r="D423" s="268">
        <v>1</v>
      </c>
      <c r="E423" s="268">
        <v>1</v>
      </c>
      <c r="F423" s="268">
        <v>18</v>
      </c>
      <c r="G423" s="268">
        <v>18</v>
      </c>
      <c r="H423" s="268">
        <v>36</v>
      </c>
      <c r="I423" s="268">
        <v>11</v>
      </c>
      <c r="J423" s="268">
        <v>1</v>
      </c>
      <c r="K423" s="268">
        <v>12</v>
      </c>
      <c r="L423" s="268"/>
      <c r="M423" s="268">
        <v>1</v>
      </c>
      <c r="N423" s="268">
        <v>1</v>
      </c>
      <c r="O423" s="324">
        <v>29</v>
      </c>
      <c r="P423" s="324">
        <v>21</v>
      </c>
      <c r="Q423" s="324">
        <v>50</v>
      </c>
      <c r="R423" s="13"/>
      <c r="S423" s="13"/>
      <c r="T423" s="13"/>
      <c r="U423" s="13"/>
      <c r="V423" s="13"/>
      <c r="W423" s="13"/>
      <c r="X423" s="13"/>
    </row>
    <row r="424" spans="2:24" x14ac:dyDescent="0.25">
      <c r="B424" s="136" t="s">
        <v>325</v>
      </c>
      <c r="C424" s="268">
        <v>2</v>
      </c>
      <c r="D424" s="268">
        <v>1</v>
      </c>
      <c r="E424" s="268">
        <v>3</v>
      </c>
      <c r="F424" s="268">
        <v>20</v>
      </c>
      <c r="G424" s="268">
        <v>31</v>
      </c>
      <c r="H424" s="268">
        <v>51</v>
      </c>
      <c r="I424" s="268">
        <v>12</v>
      </c>
      <c r="J424" s="268">
        <v>6</v>
      </c>
      <c r="K424" s="268">
        <v>18</v>
      </c>
      <c r="L424" s="268">
        <v>2</v>
      </c>
      <c r="M424" s="268">
        <v>3</v>
      </c>
      <c r="N424" s="268">
        <v>5</v>
      </c>
      <c r="O424" s="324">
        <v>36</v>
      </c>
      <c r="P424" s="324">
        <v>41</v>
      </c>
      <c r="Q424" s="324">
        <v>77</v>
      </c>
      <c r="R424" s="13"/>
      <c r="S424" s="13"/>
      <c r="T424" s="13"/>
      <c r="U424" s="13"/>
      <c r="V424" s="13"/>
      <c r="W424" s="13"/>
      <c r="X424" s="13"/>
    </row>
    <row r="425" spans="2:24" x14ac:dyDescent="0.25">
      <c r="B425" s="136" t="s">
        <v>326</v>
      </c>
      <c r="C425" s="268">
        <v>34</v>
      </c>
      <c r="D425" s="268">
        <v>41</v>
      </c>
      <c r="E425" s="268">
        <v>75</v>
      </c>
      <c r="F425" s="268">
        <v>471</v>
      </c>
      <c r="G425" s="268">
        <v>353</v>
      </c>
      <c r="H425" s="268">
        <v>824</v>
      </c>
      <c r="I425" s="268">
        <v>89</v>
      </c>
      <c r="J425" s="268">
        <v>32</v>
      </c>
      <c r="K425" s="268">
        <v>121</v>
      </c>
      <c r="L425" s="268">
        <v>21</v>
      </c>
      <c r="M425" s="268">
        <v>46</v>
      </c>
      <c r="N425" s="268">
        <v>67</v>
      </c>
      <c r="O425" s="324">
        <v>615</v>
      </c>
      <c r="P425" s="324">
        <v>472</v>
      </c>
      <c r="Q425" s="324">
        <v>1087</v>
      </c>
      <c r="R425" s="13"/>
      <c r="S425" s="13"/>
      <c r="T425" s="13"/>
      <c r="U425" s="13"/>
      <c r="V425" s="13"/>
      <c r="W425" s="13"/>
      <c r="X425" s="13"/>
    </row>
    <row r="426" spans="2:24" x14ac:dyDescent="0.25">
      <c r="B426" s="136" t="s">
        <v>327</v>
      </c>
      <c r="C426" s="268">
        <v>2</v>
      </c>
      <c r="D426" s="268">
        <v>6</v>
      </c>
      <c r="E426" s="268">
        <v>8</v>
      </c>
      <c r="F426" s="268">
        <v>25</v>
      </c>
      <c r="G426" s="268">
        <v>27</v>
      </c>
      <c r="H426" s="268">
        <v>52</v>
      </c>
      <c r="I426" s="268">
        <v>10</v>
      </c>
      <c r="J426" s="268">
        <v>7</v>
      </c>
      <c r="K426" s="268">
        <v>17</v>
      </c>
      <c r="L426" s="268">
        <v>1</v>
      </c>
      <c r="M426" s="268">
        <v>3</v>
      </c>
      <c r="N426" s="268">
        <v>4</v>
      </c>
      <c r="O426" s="324">
        <v>38</v>
      </c>
      <c r="P426" s="324">
        <v>43</v>
      </c>
      <c r="Q426" s="324">
        <v>81</v>
      </c>
      <c r="R426" s="13"/>
      <c r="S426" s="13"/>
      <c r="T426" s="13"/>
      <c r="U426" s="13"/>
      <c r="V426" s="13"/>
      <c r="W426" s="13"/>
      <c r="X426" s="13"/>
    </row>
    <row r="427" spans="2:24" x14ac:dyDescent="0.25">
      <c r="B427" s="136" t="s">
        <v>328</v>
      </c>
      <c r="C427" s="268">
        <v>2</v>
      </c>
      <c r="D427" s="268">
        <v>2</v>
      </c>
      <c r="E427" s="268">
        <v>4</v>
      </c>
      <c r="F427" s="268">
        <v>19</v>
      </c>
      <c r="G427" s="268">
        <v>22</v>
      </c>
      <c r="H427" s="268">
        <v>41</v>
      </c>
      <c r="I427" s="268">
        <v>4</v>
      </c>
      <c r="J427" s="268">
        <v>6</v>
      </c>
      <c r="K427" s="268">
        <v>10</v>
      </c>
      <c r="L427" s="268">
        <v>1</v>
      </c>
      <c r="M427" s="268"/>
      <c r="N427" s="268">
        <v>1</v>
      </c>
      <c r="O427" s="324">
        <v>26</v>
      </c>
      <c r="P427" s="324">
        <v>30</v>
      </c>
      <c r="Q427" s="324">
        <v>56</v>
      </c>
      <c r="R427" s="13"/>
      <c r="S427" s="13"/>
      <c r="T427" s="13"/>
      <c r="U427" s="13"/>
      <c r="V427" s="13"/>
      <c r="W427" s="13"/>
      <c r="X427" s="13"/>
    </row>
    <row r="428" spans="2:24" x14ac:dyDescent="0.25">
      <c r="B428" s="136" t="s">
        <v>329</v>
      </c>
      <c r="C428" s="268">
        <v>3</v>
      </c>
      <c r="D428" s="268">
        <v>3</v>
      </c>
      <c r="E428" s="268">
        <v>6</v>
      </c>
      <c r="F428" s="268">
        <v>34</v>
      </c>
      <c r="G428" s="268">
        <v>23</v>
      </c>
      <c r="H428" s="268">
        <v>57</v>
      </c>
      <c r="I428" s="268">
        <v>11</v>
      </c>
      <c r="J428" s="268">
        <v>2</v>
      </c>
      <c r="K428" s="268">
        <v>13</v>
      </c>
      <c r="L428" s="268">
        <v>1</v>
      </c>
      <c r="M428" s="268">
        <v>7</v>
      </c>
      <c r="N428" s="268">
        <v>8</v>
      </c>
      <c r="O428" s="324">
        <v>49</v>
      </c>
      <c r="P428" s="324">
        <v>35</v>
      </c>
      <c r="Q428" s="324">
        <v>84</v>
      </c>
      <c r="R428" s="13"/>
      <c r="S428" s="13"/>
      <c r="T428" s="13"/>
      <c r="U428" s="13"/>
      <c r="V428" s="13"/>
      <c r="W428" s="13"/>
      <c r="X428" s="13"/>
    </row>
    <row r="429" spans="2:24" x14ac:dyDescent="0.25">
      <c r="B429" s="136" t="s">
        <v>330</v>
      </c>
      <c r="C429" s="268">
        <v>4</v>
      </c>
      <c r="D429" s="268">
        <v>7</v>
      </c>
      <c r="E429" s="268">
        <v>11</v>
      </c>
      <c r="F429" s="268">
        <v>66</v>
      </c>
      <c r="G429" s="268">
        <v>61</v>
      </c>
      <c r="H429" s="268">
        <v>127</v>
      </c>
      <c r="I429" s="268">
        <v>19</v>
      </c>
      <c r="J429" s="268">
        <v>1</v>
      </c>
      <c r="K429" s="268">
        <v>20</v>
      </c>
      <c r="L429" s="268">
        <v>3</v>
      </c>
      <c r="M429" s="268">
        <v>4</v>
      </c>
      <c r="N429" s="268">
        <v>7</v>
      </c>
      <c r="O429" s="324">
        <v>92</v>
      </c>
      <c r="P429" s="324">
        <v>73</v>
      </c>
      <c r="Q429" s="324">
        <v>165</v>
      </c>
      <c r="R429" s="13"/>
      <c r="S429" s="13"/>
      <c r="T429" s="13"/>
      <c r="U429" s="13"/>
      <c r="V429" s="13"/>
      <c r="W429" s="13"/>
      <c r="X429" s="13"/>
    </row>
    <row r="430" spans="2:24" x14ac:dyDescent="0.25">
      <c r="B430" s="136" t="s">
        <v>331</v>
      </c>
      <c r="C430" s="268">
        <v>4</v>
      </c>
      <c r="D430" s="268">
        <v>5</v>
      </c>
      <c r="E430" s="268">
        <v>9</v>
      </c>
      <c r="F430" s="268">
        <v>45</v>
      </c>
      <c r="G430" s="268">
        <v>30</v>
      </c>
      <c r="H430" s="268">
        <v>75</v>
      </c>
      <c r="I430" s="268">
        <v>18</v>
      </c>
      <c r="J430" s="268">
        <v>8</v>
      </c>
      <c r="K430" s="268">
        <v>26</v>
      </c>
      <c r="L430" s="268">
        <v>6</v>
      </c>
      <c r="M430" s="268">
        <v>9</v>
      </c>
      <c r="N430" s="268">
        <v>15</v>
      </c>
      <c r="O430" s="324">
        <v>73</v>
      </c>
      <c r="P430" s="324">
        <v>52</v>
      </c>
      <c r="Q430" s="324">
        <v>125</v>
      </c>
      <c r="R430" s="13"/>
      <c r="S430" s="13"/>
      <c r="T430" s="13"/>
      <c r="U430" s="13"/>
      <c r="V430" s="13"/>
      <c r="W430" s="13"/>
      <c r="X430" s="13"/>
    </row>
    <row r="431" spans="2:24" x14ac:dyDescent="0.25">
      <c r="B431" s="136" t="s">
        <v>332</v>
      </c>
      <c r="C431" s="268">
        <v>4</v>
      </c>
      <c r="D431" s="268">
        <v>14</v>
      </c>
      <c r="E431" s="268">
        <v>18</v>
      </c>
      <c r="F431" s="268">
        <v>125</v>
      </c>
      <c r="G431" s="268">
        <v>125</v>
      </c>
      <c r="H431" s="268">
        <v>250</v>
      </c>
      <c r="I431" s="268">
        <v>30</v>
      </c>
      <c r="J431" s="268">
        <v>9</v>
      </c>
      <c r="K431" s="268">
        <v>39</v>
      </c>
      <c r="L431" s="268">
        <v>4</v>
      </c>
      <c r="M431" s="268">
        <v>7</v>
      </c>
      <c r="N431" s="268">
        <v>11</v>
      </c>
      <c r="O431" s="324">
        <v>163</v>
      </c>
      <c r="P431" s="324">
        <v>155</v>
      </c>
      <c r="Q431" s="324">
        <v>318</v>
      </c>
      <c r="R431" s="13"/>
      <c r="S431" s="13"/>
      <c r="T431" s="13"/>
      <c r="U431" s="13"/>
      <c r="V431" s="13"/>
      <c r="W431" s="13"/>
      <c r="X431" s="13"/>
    </row>
    <row r="432" spans="2:24" x14ac:dyDescent="0.25">
      <c r="B432" s="371" t="s">
        <v>923</v>
      </c>
      <c r="C432" s="310">
        <v>124</v>
      </c>
      <c r="D432" s="310">
        <v>190</v>
      </c>
      <c r="E432" s="310">
        <v>314</v>
      </c>
      <c r="F432" s="310">
        <v>1642</v>
      </c>
      <c r="G432" s="310">
        <v>1482</v>
      </c>
      <c r="H432" s="294">
        <v>3124</v>
      </c>
      <c r="I432" s="310">
        <v>487</v>
      </c>
      <c r="J432" s="294">
        <v>177</v>
      </c>
      <c r="K432" s="310">
        <v>664</v>
      </c>
      <c r="L432" s="294">
        <v>83</v>
      </c>
      <c r="M432" s="310">
        <v>154</v>
      </c>
      <c r="N432" s="294">
        <v>237</v>
      </c>
      <c r="O432" s="324">
        <v>2336</v>
      </c>
      <c r="P432" s="324">
        <v>2003</v>
      </c>
      <c r="Q432" s="324">
        <v>4339</v>
      </c>
      <c r="R432" s="13"/>
      <c r="S432" s="13"/>
      <c r="T432" s="13"/>
      <c r="U432" s="13"/>
      <c r="V432" s="13"/>
      <c r="W432" s="13"/>
      <c r="X432" s="13"/>
    </row>
    <row r="433" spans="2:24" ht="83.25" customHeight="1" x14ac:dyDescent="0.25">
      <c r="B433" s="445" t="s">
        <v>938</v>
      </c>
      <c r="C433" s="445"/>
      <c r="D433" s="445"/>
      <c r="E433" s="445"/>
      <c r="F433" s="445"/>
      <c r="G433" s="445"/>
      <c r="H433" s="445"/>
      <c r="I433" s="445"/>
      <c r="J433" s="445"/>
      <c r="K433" s="445"/>
      <c r="L433" s="445"/>
      <c r="M433" s="445"/>
      <c r="N433" s="445"/>
      <c r="O433" s="445"/>
      <c r="P433" s="445"/>
      <c r="Q433" s="445"/>
      <c r="R433" s="13"/>
      <c r="S433" s="13"/>
      <c r="T433" s="13"/>
      <c r="U433" s="13"/>
      <c r="V433" s="13"/>
      <c r="W433" s="13"/>
    </row>
    <row r="434" spans="2:24" x14ac:dyDescent="0.25">
      <c r="B434" s="344"/>
      <c r="C434" s="344"/>
      <c r="D434" s="344"/>
      <c r="E434" s="344"/>
      <c r="F434" s="344"/>
      <c r="G434" s="344"/>
      <c r="H434" s="344"/>
      <c r="I434" s="344"/>
      <c r="J434" s="344"/>
      <c r="K434" s="344"/>
      <c r="L434" s="344"/>
      <c r="M434" s="344"/>
      <c r="N434" s="344"/>
      <c r="O434" s="344"/>
      <c r="P434" s="344"/>
      <c r="Q434" s="344"/>
      <c r="R434" s="13"/>
      <c r="S434" s="13"/>
      <c r="T434" s="13"/>
      <c r="U434" s="13"/>
      <c r="V434" s="13"/>
      <c r="W434" s="13"/>
    </row>
    <row r="435" spans="2:24" x14ac:dyDescent="0.25">
      <c r="B435" s="187" t="s">
        <v>518</v>
      </c>
      <c r="C435"/>
      <c r="D435"/>
      <c r="E435"/>
      <c r="F435"/>
      <c r="G435"/>
      <c r="H435" s="13"/>
      <c r="I435" s="13"/>
      <c r="J435" s="13"/>
      <c r="K435" s="13"/>
      <c r="L435" s="13"/>
      <c r="M435" s="13"/>
      <c r="N435" s="13"/>
      <c r="O435" s="13"/>
      <c r="P435" s="13"/>
      <c r="Q435" s="13"/>
      <c r="R435" s="13"/>
      <c r="S435" s="13"/>
      <c r="T435" s="13"/>
      <c r="U435" s="13"/>
      <c r="V435" s="13"/>
      <c r="W435" s="13"/>
    </row>
    <row r="436" spans="2:24" x14ac:dyDescent="0.25">
      <c r="B436" s="187"/>
      <c r="C436"/>
      <c r="D436"/>
      <c r="E436"/>
      <c r="F436"/>
      <c r="G436"/>
      <c r="H436" s="13"/>
      <c r="I436" s="13"/>
      <c r="J436" s="13"/>
      <c r="K436" s="13"/>
      <c r="L436" s="13"/>
      <c r="M436" s="13"/>
      <c r="N436" s="13"/>
      <c r="O436" s="13"/>
      <c r="P436" s="13"/>
      <c r="Q436" s="13"/>
      <c r="R436" s="13"/>
      <c r="S436" s="13"/>
      <c r="T436" s="13"/>
      <c r="U436" s="13"/>
      <c r="V436" s="13"/>
      <c r="W436" s="13"/>
    </row>
    <row r="437" spans="2:24" ht="15" customHeight="1" x14ac:dyDescent="0.25">
      <c r="B437" s="424" t="s">
        <v>532</v>
      </c>
      <c r="C437" s="414" t="s">
        <v>477</v>
      </c>
      <c r="D437" s="414"/>
      <c r="E437" s="414"/>
      <c r="F437" s="414"/>
      <c r="G437" s="414"/>
      <c r="H437" s="414"/>
      <c r="I437" s="414"/>
      <c r="J437" s="414"/>
      <c r="K437" s="414"/>
      <c r="L437" s="414"/>
      <c r="M437" s="414"/>
      <c r="N437" s="414"/>
      <c r="O437" s="447" t="s">
        <v>922</v>
      </c>
      <c r="P437" s="448"/>
      <c r="Q437" s="449"/>
      <c r="R437" s="13"/>
      <c r="S437" s="13"/>
      <c r="T437" s="13"/>
      <c r="U437" s="13"/>
      <c r="V437" s="13"/>
      <c r="W437" s="13"/>
    </row>
    <row r="438" spans="2:24" ht="15" customHeight="1" x14ac:dyDescent="0.25">
      <c r="B438" s="446"/>
      <c r="C438" s="414" t="s">
        <v>885</v>
      </c>
      <c r="D438" s="414"/>
      <c r="E438" s="414"/>
      <c r="F438" s="414" t="s">
        <v>886</v>
      </c>
      <c r="G438" s="414"/>
      <c r="H438" s="414"/>
      <c r="I438" s="414" t="s">
        <v>2</v>
      </c>
      <c r="J438" s="414"/>
      <c r="K438" s="414"/>
      <c r="L438" s="414" t="s">
        <v>3</v>
      </c>
      <c r="M438" s="414"/>
      <c r="N438" s="414"/>
      <c r="O438" s="450"/>
      <c r="P438" s="451"/>
      <c r="Q438" s="452"/>
      <c r="R438" s="13"/>
      <c r="S438" s="13"/>
      <c r="T438" s="13"/>
      <c r="U438" s="13"/>
      <c r="V438" s="13"/>
      <c r="W438" s="13"/>
    </row>
    <row r="439" spans="2:24" x14ac:dyDescent="0.25">
      <c r="B439" s="425"/>
      <c r="C439" s="161" t="s">
        <v>73</v>
      </c>
      <c r="D439" s="161" t="s">
        <v>74</v>
      </c>
      <c r="E439" s="161" t="s">
        <v>25</v>
      </c>
      <c r="F439" s="161" t="s">
        <v>73</v>
      </c>
      <c r="G439" s="161" t="s">
        <v>74</v>
      </c>
      <c r="H439" s="161" t="s">
        <v>25</v>
      </c>
      <c r="I439" s="161" t="s">
        <v>73</v>
      </c>
      <c r="J439" s="161" t="s">
        <v>74</v>
      </c>
      <c r="K439" s="161" t="s">
        <v>25</v>
      </c>
      <c r="L439" s="161" t="s">
        <v>73</v>
      </c>
      <c r="M439" s="161" t="s">
        <v>74</v>
      </c>
      <c r="N439" s="161" t="s">
        <v>25</v>
      </c>
      <c r="O439" s="299" t="s">
        <v>73</v>
      </c>
      <c r="P439" s="299" t="s">
        <v>74</v>
      </c>
      <c r="Q439" s="299" t="s">
        <v>25</v>
      </c>
      <c r="R439" s="13"/>
      <c r="S439" s="13"/>
      <c r="T439" s="13"/>
      <c r="U439" s="13"/>
      <c r="V439" s="13"/>
      <c r="W439" s="13"/>
    </row>
    <row r="440" spans="2:24" x14ac:dyDescent="0.25">
      <c r="B440" s="157" t="s">
        <v>435</v>
      </c>
      <c r="C440" s="270">
        <v>1</v>
      </c>
      <c r="D440" s="270">
        <v>1</v>
      </c>
      <c r="E440" s="270">
        <v>2</v>
      </c>
      <c r="F440" s="270">
        <v>8</v>
      </c>
      <c r="G440" s="270">
        <v>10</v>
      </c>
      <c r="H440" s="270">
        <v>18</v>
      </c>
      <c r="I440" s="270">
        <v>2</v>
      </c>
      <c r="J440" s="270"/>
      <c r="K440" s="270">
        <v>2</v>
      </c>
      <c r="L440" s="270">
        <v>1</v>
      </c>
      <c r="M440" s="270">
        <v>1</v>
      </c>
      <c r="N440" s="270">
        <v>2</v>
      </c>
      <c r="O440" s="324">
        <v>12</v>
      </c>
      <c r="P440" s="324">
        <v>12</v>
      </c>
      <c r="Q440" s="324">
        <v>24</v>
      </c>
      <c r="R440" s="13"/>
      <c r="S440" s="13"/>
      <c r="T440" s="13"/>
      <c r="U440" s="13"/>
      <c r="V440" s="13"/>
      <c r="W440" s="13"/>
      <c r="X440" s="13"/>
    </row>
    <row r="441" spans="2:24" x14ac:dyDescent="0.25">
      <c r="B441" s="136" t="s">
        <v>436</v>
      </c>
      <c r="C441" s="270">
        <v>1</v>
      </c>
      <c r="D441" s="270">
        <v>7</v>
      </c>
      <c r="E441" s="270">
        <v>8</v>
      </c>
      <c r="F441" s="270">
        <v>20</v>
      </c>
      <c r="G441" s="270">
        <v>27</v>
      </c>
      <c r="H441" s="270">
        <v>47</v>
      </c>
      <c r="I441" s="270">
        <v>4</v>
      </c>
      <c r="J441" s="270"/>
      <c r="K441" s="270">
        <v>4</v>
      </c>
      <c r="L441" s="270"/>
      <c r="M441" s="270">
        <v>2</v>
      </c>
      <c r="N441" s="270">
        <v>2</v>
      </c>
      <c r="O441" s="324">
        <v>25</v>
      </c>
      <c r="P441" s="324">
        <v>36</v>
      </c>
      <c r="Q441" s="324">
        <v>61</v>
      </c>
      <c r="R441" s="13"/>
      <c r="S441" s="13"/>
      <c r="T441" s="13"/>
      <c r="U441" s="13"/>
      <c r="V441" s="13"/>
      <c r="W441" s="13"/>
      <c r="X441" s="13"/>
    </row>
    <row r="442" spans="2:24" x14ac:dyDescent="0.25">
      <c r="B442" s="136" t="s">
        <v>437</v>
      </c>
      <c r="C442" s="270">
        <v>4</v>
      </c>
      <c r="D442" s="270">
        <v>12</v>
      </c>
      <c r="E442" s="270">
        <v>16</v>
      </c>
      <c r="F442" s="270">
        <v>70</v>
      </c>
      <c r="G442" s="270">
        <v>62</v>
      </c>
      <c r="H442" s="270">
        <v>132</v>
      </c>
      <c r="I442" s="270">
        <v>16</v>
      </c>
      <c r="J442" s="270">
        <v>3</v>
      </c>
      <c r="K442" s="270">
        <v>19</v>
      </c>
      <c r="L442" s="270">
        <v>2</v>
      </c>
      <c r="M442" s="270">
        <v>4</v>
      </c>
      <c r="N442" s="270">
        <v>6</v>
      </c>
      <c r="O442" s="324">
        <v>92</v>
      </c>
      <c r="P442" s="324">
        <v>81</v>
      </c>
      <c r="Q442" s="324">
        <v>173</v>
      </c>
      <c r="R442" s="13"/>
      <c r="S442" s="13"/>
      <c r="T442" s="13"/>
      <c r="U442" s="13"/>
      <c r="V442" s="13"/>
      <c r="W442" s="13"/>
      <c r="X442" s="13"/>
    </row>
    <row r="443" spans="2:24" x14ac:dyDescent="0.25">
      <c r="B443" s="136" t="s">
        <v>438</v>
      </c>
      <c r="C443" s="270">
        <v>2</v>
      </c>
      <c r="D443" s="270">
        <v>4</v>
      </c>
      <c r="E443" s="270">
        <v>6</v>
      </c>
      <c r="F443" s="270">
        <v>14</v>
      </c>
      <c r="G443" s="270">
        <v>14</v>
      </c>
      <c r="H443" s="270">
        <v>28</v>
      </c>
      <c r="I443" s="270">
        <v>5</v>
      </c>
      <c r="J443" s="270">
        <v>2</v>
      </c>
      <c r="K443" s="270">
        <v>7</v>
      </c>
      <c r="L443" s="270"/>
      <c r="M443" s="270">
        <v>1</v>
      </c>
      <c r="N443" s="270">
        <v>1</v>
      </c>
      <c r="O443" s="324">
        <v>21</v>
      </c>
      <c r="P443" s="324">
        <v>21</v>
      </c>
      <c r="Q443" s="324">
        <v>42</v>
      </c>
      <c r="R443" s="13"/>
      <c r="S443" s="13"/>
      <c r="T443" s="13"/>
      <c r="U443" s="13"/>
      <c r="V443" s="13"/>
      <c r="W443" s="13"/>
      <c r="X443" s="13"/>
    </row>
    <row r="444" spans="2:24" x14ac:dyDescent="0.25">
      <c r="B444" s="136" t="s">
        <v>439</v>
      </c>
      <c r="C444" s="270">
        <v>1</v>
      </c>
      <c r="D444" s="270">
        <v>3</v>
      </c>
      <c r="E444" s="270">
        <v>4</v>
      </c>
      <c r="F444" s="270">
        <v>28</v>
      </c>
      <c r="G444" s="270">
        <v>30</v>
      </c>
      <c r="H444" s="270">
        <v>58</v>
      </c>
      <c r="I444" s="270">
        <v>5</v>
      </c>
      <c r="J444" s="270">
        <v>3</v>
      </c>
      <c r="K444" s="270">
        <v>8</v>
      </c>
      <c r="L444" s="270">
        <v>5</v>
      </c>
      <c r="M444" s="270">
        <v>4</v>
      </c>
      <c r="N444" s="270">
        <v>9</v>
      </c>
      <c r="O444" s="324">
        <v>39</v>
      </c>
      <c r="P444" s="324">
        <v>40</v>
      </c>
      <c r="Q444" s="324">
        <v>79</v>
      </c>
      <c r="R444" s="13"/>
      <c r="S444" s="13"/>
      <c r="T444" s="13"/>
      <c r="U444" s="13"/>
      <c r="V444" s="13"/>
      <c r="W444" s="13"/>
      <c r="X444" s="13"/>
    </row>
    <row r="445" spans="2:24" x14ac:dyDescent="0.25">
      <c r="B445" s="136" t="s">
        <v>440</v>
      </c>
      <c r="C445" s="270">
        <v>5</v>
      </c>
      <c r="D445" s="270">
        <v>4</v>
      </c>
      <c r="E445" s="270">
        <v>9</v>
      </c>
      <c r="F445" s="270">
        <v>32</v>
      </c>
      <c r="G445" s="270">
        <v>32</v>
      </c>
      <c r="H445" s="270">
        <v>64</v>
      </c>
      <c r="I445" s="270">
        <v>9</v>
      </c>
      <c r="J445" s="270">
        <v>1</v>
      </c>
      <c r="K445" s="270">
        <v>10</v>
      </c>
      <c r="L445" s="270">
        <v>4</v>
      </c>
      <c r="M445" s="270">
        <v>1</v>
      </c>
      <c r="N445" s="270">
        <v>5</v>
      </c>
      <c r="O445" s="324">
        <v>50</v>
      </c>
      <c r="P445" s="324">
        <v>38</v>
      </c>
      <c r="Q445" s="324">
        <v>88</v>
      </c>
      <c r="R445" s="13"/>
      <c r="S445" s="13"/>
      <c r="T445" s="13"/>
      <c r="U445" s="13"/>
      <c r="V445" s="13"/>
      <c r="W445" s="13"/>
      <c r="X445" s="13"/>
    </row>
    <row r="446" spans="2:24" x14ac:dyDescent="0.25">
      <c r="B446" s="136" t="s">
        <v>441</v>
      </c>
      <c r="C446" s="270"/>
      <c r="D446" s="270">
        <v>1</v>
      </c>
      <c r="E446" s="270">
        <v>1</v>
      </c>
      <c r="F446" s="270">
        <v>13</v>
      </c>
      <c r="G446" s="270">
        <v>11</v>
      </c>
      <c r="H446" s="270">
        <v>24</v>
      </c>
      <c r="I446" s="270">
        <v>1</v>
      </c>
      <c r="J446" s="270">
        <v>1</v>
      </c>
      <c r="K446" s="270">
        <v>2</v>
      </c>
      <c r="L446" s="270">
        <v>2</v>
      </c>
      <c r="M446" s="270">
        <v>3</v>
      </c>
      <c r="N446" s="270">
        <v>5</v>
      </c>
      <c r="O446" s="324">
        <v>16</v>
      </c>
      <c r="P446" s="324">
        <v>16</v>
      </c>
      <c r="Q446" s="324">
        <v>32</v>
      </c>
      <c r="R446" s="13"/>
      <c r="S446" s="13"/>
      <c r="T446" s="13"/>
      <c r="U446" s="13"/>
      <c r="V446" s="13"/>
      <c r="W446" s="13"/>
      <c r="X446" s="13"/>
    </row>
    <row r="447" spans="2:24" x14ac:dyDescent="0.25">
      <c r="B447" s="136" t="s">
        <v>442</v>
      </c>
      <c r="C447" s="270">
        <v>2</v>
      </c>
      <c r="D447" s="270">
        <v>5</v>
      </c>
      <c r="E447" s="270">
        <v>7</v>
      </c>
      <c r="F447" s="270">
        <v>41</v>
      </c>
      <c r="G447" s="270">
        <v>47</v>
      </c>
      <c r="H447" s="270">
        <v>88</v>
      </c>
      <c r="I447" s="270">
        <v>12</v>
      </c>
      <c r="J447" s="270">
        <v>1</v>
      </c>
      <c r="K447" s="270">
        <v>13</v>
      </c>
      <c r="L447" s="270">
        <v>2</v>
      </c>
      <c r="M447" s="270">
        <v>2</v>
      </c>
      <c r="N447" s="270">
        <v>4</v>
      </c>
      <c r="O447" s="324">
        <v>57</v>
      </c>
      <c r="P447" s="324">
        <v>55</v>
      </c>
      <c r="Q447" s="324">
        <v>112</v>
      </c>
      <c r="R447" s="13"/>
      <c r="S447" s="13"/>
      <c r="T447" s="13"/>
      <c r="U447" s="13"/>
      <c r="V447" s="13"/>
      <c r="W447" s="13"/>
      <c r="X447" s="13"/>
    </row>
    <row r="448" spans="2:24" x14ac:dyDescent="0.25">
      <c r="B448" s="136" t="s">
        <v>443</v>
      </c>
      <c r="C448" s="270">
        <v>7</v>
      </c>
      <c r="D448" s="270">
        <v>8</v>
      </c>
      <c r="E448" s="270">
        <v>15</v>
      </c>
      <c r="F448" s="270">
        <v>63</v>
      </c>
      <c r="G448" s="270">
        <v>62</v>
      </c>
      <c r="H448" s="270">
        <v>125</v>
      </c>
      <c r="I448" s="270">
        <v>17</v>
      </c>
      <c r="J448" s="270">
        <v>7</v>
      </c>
      <c r="K448" s="270">
        <v>24</v>
      </c>
      <c r="L448" s="270">
        <v>4</v>
      </c>
      <c r="M448" s="270">
        <v>6</v>
      </c>
      <c r="N448" s="270">
        <v>10</v>
      </c>
      <c r="O448" s="324">
        <v>91</v>
      </c>
      <c r="P448" s="324">
        <v>83</v>
      </c>
      <c r="Q448" s="324">
        <v>174</v>
      </c>
      <c r="R448" s="13"/>
      <c r="S448" s="13"/>
      <c r="T448" s="13"/>
      <c r="U448" s="13"/>
      <c r="V448" s="13"/>
      <c r="W448" s="13"/>
      <c r="X448" s="13"/>
    </row>
    <row r="449" spans="2:24" x14ac:dyDescent="0.25">
      <c r="B449" s="136" t="s">
        <v>444</v>
      </c>
      <c r="C449" s="270">
        <v>9</v>
      </c>
      <c r="D449" s="270">
        <v>6</v>
      </c>
      <c r="E449" s="270">
        <v>15</v>
      </c>
      <c r="F449" s="270">
        <v>57</v>
      </c>
      <c r="G449" s="270">
        <v>60</v>
      </c>
      <c r="H449" s="270">
        <v>117</v>
      </c>
      <c r="I449" s="270">
        <v>14</v>
      </c>
      <c r="J449" s="270">
        <v>6</v>
      </c>
      <c r="K449" s="270">
        <v>20</v>
      </c>
      <c r="L449" s="270">
        <v>2</v>
      </c>
      <c r="M449" s="270">
        <v>10</v>
      </c>
      <c r="N449" s="270">
        <v>12</v>
      </c>
      <c r="O449" s="324">
        <v>82</v>
      </c>
      <c r="P449" s="324">
        <v>82</v>
      </c>
      <c r="Q449" s="324">
        <v>164</v>
      </c>
      <c r="R449" s="13"/>
      <c r="S449" s="13"/>
      <c r="T449" s="13"/>
      <c r="U449" s="13"/>
      <c r="V449" s="13"/>
      <c r="W449" s="13"/>
      <c r="X449" s="13"/>
    </row>
    <row r="450" spans="2:24" x14ac:dyDescent="0.25">
      <c r="B450" s="136" t="s">
        <v>762</v>
      </c>
      <c r="C450" s="270">
        <v>3</v>
      </c>
      <c r="D450" s="270">
        <v>3</v>
      </c>
      <c r="E450" s="270">
        <v>6</v>
      </c>
      <c r="F450" s="270">
        <v>28</v>
      </c>
      <c r="G450" s="270">
        <v>31</v>
      </c>
      <c r="H450" s="270">
        <v>59</v>
      </c>
      <c r="I450" s="270">
        <v>6</v>
      </c>
      <c r="J450" s="270">
        <v>5</v>
      </c>
      <c r="K450" s="270">
        <v>11</v>
      </c>
      <c r="L450" s="270">
        <v>3</v>
      </c>
      <c r="M450" s="270">
        <v>5</v>
      </c>
      <c r="N450" s="270">
        <v>8</v>
      </c>
      <c r="O450" s="324">
        <v>40</v>
      </c>
      <c r="P450" s="324">
        <v>44</v>
      </c>
      <c r="Q450" s="324">
        <v>84</v>
      </c>
      <c r="R450" s="13"/>
      <c r="S450" s="13"/>
      <c r="T450" s="13"/>
      <c r="U450" s="13"/>
      <c r="V450" s="13"/>
      <c r="W450" s="13"/>
      <c r="X450" s="13"/>
    </row>
    <row r="451" spans="2:24" x14ac:dyDescent="0.25">
      <c r="B451" s="136" t="s">
        <v>446</v>
      </c>
      <c r="C451" s="270">
        <v>16</v>
      </c>
      <c r="D451" s="270">
        <v>27</v>
      </c>
      <c r="E451" s="270">
        <v>43</v>
      </c>
      <c r="F451" s="270">
        <v>292</v>
      </c>
      <c r="G451" s="270">
        <v>230</v>
      </c>
      <c r="H451" s="270">
        <v>522</v>
      </c>
      <c r="I451" s="270">
        <v>53</v>
      </c>
      <c r="J451" s="270">
        <v>17</v>
      </c>
      <c r="K451" s="270">
        <v>70</v>
      </c>
      <c r="L451" s="270">
        <v>17</v>
      </c>
      <c r="M451" s="270">
        <v>32</v>
      </c>
      <c r="N451" s="270">
        <v>49</v>
      </c>
      <c r="O451" s="324">
        <v>378</v>
      </c>
      <c r="P451" s="324">
        <v>306</v>
      </c>
      <c r="Q451" s="324">
        <v>684</v>
      </c>
      <c r="R451" s="13"/>
      <c r="S451" s="13"/>
      <c r="T451" s="13"/>
      <c r="U451" s="13"/>
      <c r="V451" s="13"/>
      <c r="W451" s="13"/>
      <c r="X451" s="13"/>
    </row>
    <row r="452" spans="2:24" x14ac:dyDescent="0.25">
      <c r="B452" s="371" t="s">
        <v>923</v>
      </c>
      <c r="C452" s="310">
        <v>51</v>
      </c>
      <c r="D452" s="310">
        <v>81</v>
      </c>
      <c r="E452" s="310">
        <v>132</v>
      </c>
      <c r="F452" s="310">
        <v>666</v>
      </c>
      <c r="G452" s="310">
        <v>616</v>
      </c>
      <c r="H452" s="294">
        <v>1282</v>
      </c>
      <c r="I452" s="310">
        <v>144</v>
      </c>
      <c r="J452" s="294">
        <v>46</v>
      </c>
      <c r="K452" s="310">
        <v>190</v>
      </c>
      <c r="L452" s="294">
        <v>42</v>
      </c>
      <c r="M452" s="310">
        <v>71</v>
      </c>
      <c r="N452" s="294">
        <v>113</v>
      </c>
      <c r="O452" s="324">
        <v>903</v>
      </c>
      <c r="P452" s="324">
        <v>814</v>
      </c>
      <c r="Q452" s="324">
        <v>1717</v>
      </c>
      <c r="R452" s="13"/>
      <c r="S452" s="13"/>
      <c r="T452" s="13"/>
      <c r="U452" s="13"/>
      <c r="V452" s="13"/>
      <c r="W452" s="13"/>
      <c r="X452" s="13"/>
    </row>
    <row r="453" spans="2:24" ht="82.5" customHeight="1" x14ac:dyDescent="0.25">
      <c r="B453" s="445" t="s">
        <v>938</v>
      </c>
      <c r="C453" s="445"/>
      <c r="D453" s="445"/>
      <c r="E453" s="445"/>
      <c r="F453" s="445"/>
      <c r="G453" s="445"/>
      <c r="H453" s="445"/>
      <c r="I453" s="445"/>
      <c r="J453" s="445"/>
      <c r="K453" s="445"/>
      <c r="L453" s="445"/>
      <c r="M453" s="445"/>
      <c r="N453" s="445"/>
      <c r="O453" s="445"/>
      <c r="P453" s="445"/>
      <c r="Q453" s="445"/>
      <c r="R453" s="13"/>
      <c r="S453" s="13"/>
      <c r="T453" s="13"/>
      <c r="U453" s="13"/>
      <c r="V453" s="13"/>
      <c r="W453" s="13"/>
    </row>
    <row r="454" spans="2:24" x14ac:dyDescent="0.25">
      <c r="B454" s="344"/>
      <c r="C454" s="344"/>
      <c r="D454" s="344"/>
      <c r="E454" s="344"/>
      <c r="F454" s="344"/>
      <c r="G454" s="344"/>
      <c r="H454" s="344"/>
      <c r="I454" s="344"/>
      <c r="J454" s="344"/>
      <c r="K454" s="344"/>
      <c r="L454" s="344"/>
      <c r="M454" s="344"/>
      <c r="N454" s="344"/>
      <c r="O454" s="344"/>
      <c r="P454" s="344"/>
      <c r="Q454" s="344"/>
      <c r="R454" s="13"/>
      <c r="S454" s="13"/>
      <c r="T454" s="13"/>
      <c r="U454" s="13"/>
      <c r="V454" s="13"/>
      <c r="W454" s="13"/>
    </row>
    <row r="455" spans="2:24" x14ac:dyDescent="0.25">
      <c r="B455" s="187" t="s">
        <v>514</v>
      </c>
      <c r="C455"/>
      <c r="D455"/>
      <c r="E455"/>
      <c r="F455"/>
      <c r="G455"/>
      <c r="H455" s="13"/>
      <c r="I455" s="13"/>
      <c r="J455" s="13"/>
      <c r="K455" s="13"/>
      <c r="L455" s="13"/>
      <c r="M455" s="13"/>
      <c r="N455" s="13"/>
      <c r="O455" s="13"/>
      <c r="P455" s="13"/>
      <c r="Q455" s="13"/>
      <c r="R455" s="13"/>
      <c r="S455" s="13"/>
      <c r="T455" s="13"/>
      <c r="U455" s="13"/>
      <c r="V455" s="13"/>
      <c r="W455" s="13"/>
    </row>
    <row r="456" spans="2:24" x14ac:dyDescent="0.25">
      <c r="B456" s="187"/>
      <c r="C456"/>
      <c r="D456"/>
      <c r="E456"/>
      <c r="F456"/>
      <c r="G456"/>
      <c r="H456" s="13"/>
      <c r="I456" s="13"/>
      <c r="J456" s="13"/>
      <c r="K456" s="13"/>
      <c r="L456" s="13"/>
      <c r="M456" s="13"/>
      <c r="N456" s="13"/>
      <c r="O456" s="13"/>
      <c r="P456" s="13"/>
      <c r="Q456" s="13"/>
      <c r="R456" s="13"/>
      <c r="S456" s="13"/>
      <c r="T456" s="13"/>
      <c r="U456" s="13"/>
      <c r="V456" s="13"/>
      <c r="W456" s="13"/>
    </row>
    <row r="457" spans="2:24" ht="15" customHeight="1" x14ac:dyDescent="0.25">
      <c r="B457" s="413" t="s">
        <v>532</v>
      </c>
      <c r="C457" s="414" t="s">
        <v>477</v>
      </c>
      <c r="D457" s="414"/>
      <c r="E457" s="414"/>
      <c r="F457" s="414"/>
      <c r="G457" s="414"/>
      <c r="H457" s="414"/>
      <c r="I457" s="414"/>
      <c r="J457" s="414"/>
      <c r="K457" s="414"/>
      <c r="L457" s="414"/>
      <c r="M457" s="414"/>
      <c r="N457" s="414"/>
      <c r="O457" s="447" t="s">
        <v>922</v>
      </c>
      <c r="P457" s="448"/>
      <c r="Q457" s="449"/>
      <c r="R457" s="13"/>
      <c r="S457" s="13"/>
      <c r="T457" s="13"/>
      <c r="U457" s="13"/>
      <c r="V457" s="13"/>
      <c r="W457" s="13"/>
    </row>
    <row r="458" spans="2:24" ht="15" customHeight="1" x14ac:dyDescent="0.25">
      <c r="B458" s="413"/>
      <c r="C458" s="414" t="s">
        <v>885</v>
      </c>
      <c r="D458" s="414"/>
      <c r="E458" s="414"/>
      <c r="F458" s="414" t="s">
        <v>886</v>
      </c>
      <c r="G458" s="414"/>
      <c r="H458" s="414"/>
      <c r="I458" s="414" t="s">
        <v>2</v>
      </c>
      <c r="J458" s="414"/>
      <c r="K458" s="414"/>
      <c r="L458" s="414" t="s">
        <v>3</v>
      </c>
      <c r="M458" s="414"/>
      <c r="N458" s="414"/>
      <c r="O458" s="450"/>
      <c r="P458" s="451"/>
      <c r="Q458" s="452"/>
      <c r="R458" s="13"/>
      <c r="S458" s="13"/>
      <c r="T458" s="13"/>
      <c r="U458" s="13"/>
      <c r="V458" s="13"/>
      <c r="W458" s="13"/>
    </row>
    <row r="459" spans="2:24" x14ac:dyDescent="0.25">
      <c r="B459" s="413"/>
      <c r="C459" s="161" t="s">
        <v>73</v>
      </c>
      <c r="D459" s="161" t="s">
        <v>74</v>
      </c>
      <c r="E459" s="161" t="s">
        <v>25</v>
      </c>
      <c r="F459" s="161" t="s">
        <v>73</v>
      </c>
      <c r="G459" s="161" t="s">
        <v>74</v>
      </c>
      <c r="H459" s="161" t="s">
        <v>25</v>
      </c>
      <c r="I459" s="161" t="s">
        <v>73</v>
      </c>
      <c r="J459" s="161" t="s">
        <v>74</v>
      </c>
      <c r="K459" s="161" t="s">
        <v>25</v>
      </c>
      <c r="L459" s="161" t="s">
        <v>73</v>
      </c>
      <c r="M459" s="161" t="s">
        <v>74</v>
      </c>
      <c r="N459" s="161" t="s">
        <v>25</v>
      </c>
      <c r="O459" s="299" t="s">
        <v>73</v>
      </c>
      <c r="P459" s="299" t="s">
        <v>74</v>
      </c>
      <c r="Q459" s="299" t="s">
        <v>25</v>
      </c>
      <c r="R459" s="13"/>
      <c r="S459" s="13"/>
      <c r="T459" s="13"/>
      <c r="U459" s="13"/>
      <c r="V459" s="13"/>
      <c r="W459" s="13"/>
    </row>
    <row r="460" spans="2:24" x14ac:dyDescent="0.25">
      <c r="B460" s="157" t="s">
        <v>334</v>
      </c>
      <c r="C460" s="270">
        <v>3</v>
      </c>
      <c r="D460" s="270">
        <v>4</v>
      </c>
      <c r="E460" s="270">
        <v>7</v>
      </c>
      <c r="F460" s="270">
        <v>62</v>
      </c>
      <c r="G460" s="270">
        <v>71</v>
      </c>
      <c r="H460" s="270">
        <v>133</v>
      </c>
      <c r="I460" s="270">
        <v>14</v>
      </c>
      <c r="J460" s="270">
        <v>17</v>
      </c>
      <c r="K460" s="270">
        <v>31</v>
      </c>
      <c r="L460" s="270">
        <v>7</v>
      </c>
      <c r="M460" s="270">
        <v>14</v>
      </c>
      <c r="N460" s="270">
        <v>21</v>
      </c>
      <c r="O460" s="324">
        <v>86</v>
      </c>
      <c r="P460" s="324">
        <v>106</v>
      </c>
      <c r="Q460" s="324">
        <v>192</v>
      </c>
      <c r="R460" s="13"/>
      <c r="S460" s="13"/>
      <c r="T460" s="13"/>
      <c r="U460" s="13"/>
      <c r="V460" s="13"/>
      <c r="W460" s="13"/>
      <c r="X460" s="13"/>
    </row>
    <row r="461" spans="2:24" x14ac:dyDescent="0.25">
      <c r="B461" s="136" t="s">
        <v>335</v>
      </c>
      <c r="C461" s="268">
        <v>6</v>
      </c>
      <c r="D461" s="268">
        <v>9</v>
      </c>
      <c r="E461" s="268">
        <v>15</v>
      </c>
      <c r="F461" s="268">
        <v>51</v>
      </c>
      <c r="G461" s="268">
        <v>63</v>
      </c>
      <c r="H461" s="268">
        <v>114</v>
      </c>
      <c r="I461" s="268">
        <v>16</v>
      </c>
      <c r="J461" s="268">
        <v>2</v>
      </c>
      <c r="K461" s="268">
        <v>18</v>
      </c>
      <c r="L461" s="268">
        <v>6</v>
      </c>
      <c r="M461" s="268">
        <v>8</v>
      </c>
      <c r="N461" s="268">
        <v>14</v>
      </c>
      <c r="O461" s="324">
        <v>79</v>
      </c>
      <c r="P461" s="324">
        <v>82</v>
      </c>
      <c r="Q461" s="324">
        <v>161</v>
      </c>
      <c r="R461" s="13"/>
      <c r="S461" s="13"/>
      <c r="T461" s="13"/>
      <c r="U461" s="13"/>
      <c r="V461" s="13"/>
      <c r="W461" s="13"/>
      <c r="X461" s="13"/>
    </row>
    <row r="462" spans="2:24" x14ac:dyDescent="0.25">
      <c r="B462" s="136" t="s">
        <v>336</v>
      </c>
      <c r="C462" s="268">
        <v>3</v>
      </c>
      <c r="D462" s="268">
        <v>7</v>
      </c>
      <c r="E462" s="268">
        <v>10</v>
      </c>
      <c r="F462" s="268">
        <v>73</v>
      </c>
      <c r="G462" s="268">
        <v>69</v>
      </c>
      <c r="H462" s="268">
        <v>142</v>
      </c>
      <c r="I462" s="268">
        <v>12</v>
      </c>
      <c r="J462" s="268">
        <v>7</v>
      </c>
      <c r="K462" s="268">
        <v>19</v>
      </c>
      <c r="L462" s="268">
        <v>8</v>
      </c>
      <c r="M462" s="268">
        <v>18</v>
      </c>
      <c r="N462" s="268">
        <v>26</v>
      </c>
      <c r="O462" s="324">
        <v>96</v>
      </c>
      <c r="P462" s="324">
        <v>101</v>
      </c>
      <c r="Q462" s="324">
        <v>197</v>
      </c>
      <c r="R462" s="13"/>
      <c r="S462" s="13"/>
      <c r="T462" s="13"/>
      <c r="U462" s="13"/>
      <c r="V462" s="13"/>
      <c r="W462" s="13"/>
      <c r="X462" s="13"/>
    </row>
    <row r="463" spans="2:24" x14ac:dyDescent="0.25">
      <c r="B463" s="136" t="s">
        <v>337</v>
      </c>
      <c r="C463" s="268">
        <v>2</v>
      </c>
      <c r="D463" s="268">
        <v>1</v>
      </c>
      <c r="E463" s="268">
        <v>3</v>
      </c>
      <c r="F463" s="268">
        <v>4</v>
      </c>
      <c r="G463" s="268">
        <v>7</v>
      </c>
      <c r="H463" s="268">
        <v>11</v>
      </c>
      <c r="I463" s="268">
        <v>2</v>
      </c>
      <c r="J463" s="268"/>
      <c r="K463" s="268">
        <v>2</v>
      </c>
      <c r="L463" s="268"/>
      <c r="M463" s="268">
        <v>1</v>
      </c>
      <c r="N463" s="268">
        <v>1</v>
      </c>
      <c r="O463" s="324">
        <v>8</v>
      </c>
      <c r="P463" s="324">
        <v>9</v>
      </c>
      <c r="Q463" s="324">
        <v>17</v>
      </c>
      <c r="R463" s="13"/>
      <c r="S463" s="13"/>
      <c r="T463" s="13"/>
      <c r="U463" s="13"/>
      <c r="V463" s="13"/>
      <c r="W463" s="13"/>
      <c r="X463" s="13"/>
    </row>
    <row r="464" spans="2:24" x14ac:dyDescent="0.25">
      <c r="B464" s="136" t="s">
        <v>338</v>
      </c>
      <c r="C464" s="268">
        <v>2</v>
      </c>
      <c r="D464" s="268">
        <v>4</v>
      </c>
      <c r="E464" s="268">
        <v>6</v>
      </c>
      <c r="F464" s="268">
        <v>22</v>
      </c>
      <c r="G464" s="268">
        <v>25</v>
      </c>
      <c r="H464" s="268">
        <v>47</v>
      </c>
      <c r="I464" s="268">
        <v>5</v>
      </c>
      <c r="J464" s="268">
        <v>3</v>
      </c>
      <c r="K464" s="268">
        <v>8</v>
      </c>
      <c r="L464" s="268">
        <v>6</v>
      </c>
      <c r="M464" s="268">
        <v>4</v>
      </c>
      <c r="N464" s="268">
        <v>10</v>
      </c>
      <c r="O464" s="324">
        <v>35</v>
      </c>
      <c r="P464" s="324">
        <v>36</v>
      </c>
      <c r="Q464" s="324">
        <v>71</v>
      </c>
      <c r="R464" s="13"/>
      <c r="S464" s="13"/>
      <c r="T464" s="13"/>
      <c r="U464" s="13"/>
      <c r="V464" s="13"/>
      <c r="W464" s="13"/>
      <c r="X464" s="13"/>
    </row>
    <row r="465" spans="2:24" x14ac:dyDescent="0.25">
      <c r="B465" s="136" t="s">
        <v>339</v>
      </c>
      <c r="C465" s="268">
        <v>2</v>
      </c>
      <c r="D465" s="268">
        <v>3</v>
      </c>
      <c r="E465" s="268">
        <v>5</v>
      </c>
      <c r="F465" s="268">
        <v>12</v>
      </c>
      <c r="G465" s="268">
        <v>17</v>
      </c>
      <c r="H465" s="268">
        <v>29</v>
      </c>
      <c r="I465" s="268">
        <v>3</v>
      </c>
      <c r="J465" s="268"/>
      <c r="K465" s="268">
        <v>3</v>
      </c>
      <c r="L465" s="268"/>
      <c r="M465" s="268"/>
      <c r="N465" s="268"/>
      <c r="O465" s="324">
        <v>17</v>
      </c>
      <c r="P465" s="324">
        <v>20</v>
      </c>
      <c r="Q465" s="324">
        <v>37</v>
      </c>
      <c r="R465" s="13"/>
      <c r="S465" s="13"/>
      <c r="T465" s="13"/>
      <c r="U465" s="13"/>
      <c r="V465" s="13"/>
      <c r="W465" s="13"/>
      <c r="X465" s="13"/>
    </row>
    <row r="466" spans="2:24" x14ac:dyDescent="0.25">
      <c r="B466" s="136" t="s">
        <v>340</v>
      </c>
      <c r="C466" s="268"/>
      <c r="D466" s="268"/>
      <c r="E466" s="268"/>
      <c r="F466" s="268">
        <v>7</v>
      </c>
      <c r="G466" s="268">
        <v>5</v>
      </c>
      <c r="H466" s="268">
        <v>12</v>
      </c>
      <c r="I466" s="268"/>
      <c r="J466" s="268"/>
      <c r="K466" s="268"/>
      <c r="L466" s="268"/>
      <c r="M466" s="268"/>
      <c r="N466" s="268"/>
      <c r="O466" s="324">
        <v>7</v>
      </c>
      <c r="P466" s="324">
        <v>5</v>
      </c>
      <c r="Q466" s="324">
        <v>12</v>
      </c>
      <c r="R466" s="13"/>
      <c r="S466" s="13"/>
      <c r="T466" s="13"/>
      <c r="U466" s="13"/>
      <c r="V466" s="13"/>
      <c r="W466" s="13"/>
      <c r="X466" s="13"/>
    </row>
    <row r="467" spans="2:24" x14ac:dyDescent="0.25">
      <c r="B467" s="136" t="s">
        <v>341</v>
      </c>
      <c r="C467" s="268"/>
      <c r="D467" s="268"/>
      <c r="E467" s="268"/>
      <c r="F467" s="268">
        <v>19</v>
      </c>
      <c r="G467" s="268">
        <v>14</v>
      </c>
      <c r="H467" s="268">
        <v>33</v>
      </c>
      <c r="I467" s="268">
        <v>5</v>
      </c>
      <c r="J467" s="268">
        <v>7</v>
      </c>
      <c r="K467" s="268">
        <v>12</v>
      </c>
      <c r="L467" s="268">
        <v>3</v>
      </c>
      <c r="M467" s="268">
        <v>7</v>
      </c>
      <c r="N467" s="268">
        <v>10</v>
      </c>
      <c r="O467" s="324">
        <v>27</v>
      </c>
      <c r="P467" s="324">
        <v>28</v>
      </c>
      <c r="Q467" s="324">
        <v>55</v>
      </c>
      <c r="R467" s="13"/>
      <c r="S467" s="13"/>
      <c r="T467" s="13"/>
      <c r="U467" s="13"/>
      <c r="V467" s="13"/>
      <c r="W467" s="13"/>
      <c r="X467" s="13"/>
    </row>
    <row r="468" spans="2:24" x14ac:dyDescent="0.25">
      <c r="B468" s="136" t="s">
        <v>342</v>
      </c>
      <c r="C468" s="268">
        <v>2</v>
      </c>
      <c r="D468" s="268">
        <v>3</v>
      </c>
      <c r="E468" s="268">
        <v>5</v>
      </c>
      <c r="F468" s="268">
        <v>24</v>
      </c>
      <c r="G468" s="268">
        <v>13</v>
      </c>
      <c r="H468" s="268">
        <v>37</v>
      </c>
      <c r="I468" s="268">
        <v>8</v>
      </c>
      <c r="J468" s="268">
        <v>1</v>
      </c>
      <c r="K468" s="268">
        <v>9</v>
      </c>
      <c r="L468" s="268"/>
      <c r="M468" s="268">
        <v>1</v>
      </c>
      <c r="N468" s="268">
        <v>1</v>
      </c>
      <c r="O468" s="324">
        <v>34</v>
      </c>
      <c r="P468" s="324">
        <v>18</v>
      </c>
      <c r="Q468" s="324">
        <v>52</v>
      </c>
      <c r="R468" s="13"/>
      <c r="S468" s="13"/>
      <c r="T468" s="13"/>
      <c r="U468" s="13"/>
      <c r="V468" s="13"/>
      <c r="W468" s="13"/>
      <c r="X468" s="13"/>
    </row>
    <row r="469" spans="2:24" x14ac:dyDescent="0.25">
      <c r="B469" s="136" t="s">
        <v>343</v>
      </c>
      <c r="C469" s="268">
        <v>2</v>
      </c>
      <c r="D469" s="268">
        <v>4</v>
      </c>
      <c r="E469" s="268">
        <v>6</v>
      </c>
      <c r="F469" s="268">
        <v>30</v>
      </c>
      <c r="G469" s="268">
        <v>36</v>
      </c>
      <c r="H469" s="268">
        <v>66</v>
      </c>
      <c r="I469" s="268">
        <v>4</v>
      </c>
      <c r="J469" s="268">
        <v>4</v>
      </c>
      <c r="K469" s="268">
        <v>8</v>
      </c>
      <c r="L469" s="268">
        <v>2</v>
      </c>
      <c r="M469" s="268">
        <v>2</v>
      </c>
      <c r="N469" s="268">
        <v>4</v>
      </c>
      <c r="O469" s="324">
        <v>38</v>
      </c>
      <c r="P469" s="324">
        <v>46</v>
      </c>
      <c r="Q469" s="324">
        <v>84</v>
      </c>
      <c r="R469" s="13"/>
      <c r="S469" s="13"/>
      <c r="T469" s="13"/>
      <c r="U469" s="13"/>
      <c r="V469" s="13"/>
      <c r="W469" s="13"/>
      <c r="X469" s="13"/>
    </row>
    <row r="470" spans="2:24" x14ac:dyDescent="0.25">
      <c r="B470" s="136" t="s">
        <v>344</v>
      </c>
      <c r="C470" s="268">
        <v>1</v>
      </c>
      <c r="D470" s="268"/>
      <c r="E470" s="268">
        <v>1</v>
      </c>
      <c r="F470" s="268">
        <v>11</v>
      </c>
      <c r="G470" s="268">
        <v>7</v>
      </c>
      <c r="H470" s="268">
        <v>18</v>
      </c>
      <c r="I470" s="268"/>
      <c r="J470" s="268"/>
      <c r="K470" s="268"/>
      <c r="L470" s="268"/>
      <c r="M470" s="268"/>
      <c r="N470" s="268"/>
      <c r="O470" s="324">
        <v>12</v>
      </c>
      <c r="P470" s="324">
        <v>7</v>
      </c>
      <c r="Q470" s="324">
        <v>19</v>
      </c>
      <c r="R470" s="13"/>
      <c r="S470" s="13"/>
      <c r="T470" s="13"/>
      <c r="U470" s="13"/>
      <c r="V470" s="13"/>
      <c r="W470" s="13"/>
      <c r="X470" s="13"/>
    </row>
    <row r="471" spans="2:24" x14ac:dyDescent="0.25">
      <c r="B471" s="136" t="s">
        <v>345</v>
      </c>
      <c r="C471" s="268">
        <v>1</v>
      </c>
      <c r="D471" s="268">
        <v>1</v>
      </c>
      <c r="E471" s="268">
        <v>2</v>
      </c>
      <c r="F471" s="268">
        <v>5</v>
      </c>
      <c r="G471" s="268">
        <v>14</v>
      </c>
      <c r="H471" s="268">
        <v>19</v>
      </c>
      <c r="I471" s="268">
        <v>1</v>
      </c>
      <c r="J471" s="268">
        <v>2</v>
      </c>
      <c r="K471" s="268">
        <v>3</v>
      </c>
      <c r="L471" s="268"/>
      <c r="M471" s="268">
        <v>1</v>
      </c>
      <c r="N471" s="268">
        <v>1</v>
      </c>
      <c r="O471" s="324">
        <v>7</v>
      </c>
      <c r="P471" s="324">
        <v>18</v>
      </c>
      <c r="Q471" s="324">
        <v>25</v>
      </c>
      <c r="R471" s="13"/>
      <c r="S471" s="13"/>
      <c r="T471" s="13"/>
      <c r="U471" s="13"/>
      <c r="V471" s="13"/>
      <c r="W471" s="13"/>
      <c r="X471" s="13"/>
    </row>
    <row r="472" spans="2:24" x14ac:dyDescent="0.25">
      <c r="B472" s="136" t="s">
        <v>346</v>
      </c>
      <c r="C472" s="268">
        <v>2</v>
      </c>
      <c r="D472" s="268">
        <v>4</v>
      </c>
      <c r="E472" s="268">
        <v>6</v>
      </c>
      <c r="F472" s="268">
        <v>31</v>
      </c>
      <c r="G472" s="268">
        <v>24</v>
      </c>
      <c r="H472" s="268">
        <v>55</v>
      </c>
      <c r="I472" s="268">
        <v>8</v>
      </c>
      <c r="J472" s="268">
        <v>2</v>
      </c>
      <c r="K472" s="268">
        <v>10</v>
      </c>
      <c r="L472" s="268">
        <v>1</v>
      </c>
      <c r="M472" s="268">
        <v>5</v>
      </c>
      <c r="N472" s="268">
        <v>6</v>
      </c>
      <c r="O472" s="324">
        <v>42</v>
      </c>
      <c r="P472" s="324">
        <v>35</v>
      </c>
      <c r="Q472" s="324">
        <v>77</v>
      </c>
      <c r="R472" s="13"/>
      <c r="S472" s="13"/>
      <c r="T472" s="13"/>
      <c r="U472" s="13"/>
      <c r="V472" s="13"/>
      <c r="W472" s="13"/>
      <c r="X472" s="13"/>
    </row>
    <row r="473" spans="2:24" x14ac:dyDescent="0.25">
      <c r="B473" s="136" t="s">
        <v>347</v>
      </c>
      <c r="C473" s="268">
        <v>2</v>
      </c>
      <c r="D473" s="268">
        <v>6</v>
      </c>
      <c r="E473" s="268">
        <v>8</v>
      </c>
      <c r="F473" s="268">
        <v>34</v>
      </c>
      <c r="G473" s="268">
        <v>29</v>
      </c>
      <c r="H473" s="268">
        <v>63</v>
      </c>
      <c r="I473" s="268">
        <v>13</v>
      </c>
      <c r="J473" s="268">
        <v>5</v>
      </c>
      <c r="K473" s="268">
        <v>18</v>
      </c>
      <c r="L473" s="268">
        <v>1</v>
      </c>
      <c r="M473" s="268">
        <v>3</v>
      </c>
      <c r="N473" s="268">
        <v>4</v>
      </c>
      <c r="O473" s="324">
        <v>50</v>
      </c>
      <c r="P473" s="324">
        <v>43</v>
      </c>
      <c r="Q473" s="324">
        <v>93</v>
      </c>
      <c r="R473" s="13"/>
      <c r="S473" s="13"/>
      <c r="T473" s="13"/>
      <c r="U473" s="13"/>
      <c r="V473" s="13"/>
      <c r="W473" s="13"/>
      <c r="X473" s="13"/>
    </row>
    <row r="474" spans="2:24" x14ac:dyDescent="0.25">
      <c r="B474" s="136" t="s">
        <v>348</v>
      </c>
      <c r="C474" s="268">
        <v>1</v>
      </c>
      <c r="D474" s="268">
        <v>3</v>
      </c>
      <c r="E474" s="268">
        <v>4</v>
      </c>
      <c r="F474" s="268">
        <v>23</v>
      </c>
      <c r="G474" s="268">
        <v>25</v>
      </c>
      <c r="H474" s="268">
        <v>48</v>
      </c>
      <c r="I474" s="268">
        <v>10</v>
      </c>
      <c r="J474" s="268">
        <v>5</v>
      </c>
      <c r="K474" s="268">
        <v>15</v>
      </c>
      <c r="L474" s="268">
        <v>1</v>
      </c>
      <c r="M474" s="268">
        <v>1</v>
      </c>
      <c r="N474" s="268">
        <v>2</v>
      </c>
      <c r="O474" s="324">
        <v>35</v>
      </c>
      <c r="P474" s="324">
        <v>34</v>
      </c>
      <c r="Q474" s="324">
        <v>69</v>
      </c>
      <c r="R474" s="13"/>
      <c r="S474" s="13"/>
      <c r="T474" s="13"/>
      <c r="U474" s="13"/>
      <c r="V474" s="13"/>
      <c r="W474" s="13"/>
      <c r="X474" s="13"/>
    </row>
    <row r="475" spans="2:24" x14ac:dyDescent="0.25">
      <c r="B475" s="136" t="s">
        <v>349</v>
      </c>
      <c r="C475" s="268">
        <v>21</v>
      </c>
      <c r="D475" s="268">
        <v>33</v>
      </c>
      <c r="E475" s="268">
        <v>54</v>
      </c>
      <c r="F475" s="268">
        <v>268</v>
      </c>
      <c r="G475" s="268">
        <v>219</v>
      </c>
      <c r="H475" s="268">
        <v>487</v>
      </c>
      <c r="I475" s="268">
        <v>78</v>
      </c>
      <c r="J475" s="268">
        <v>29</v>
      </c>
      <c r="K475" s="268">
        <v>107</v>
      </c>
      <c r="L475" s="268">
        <v>34</v>
      </c>
      <c r="M475" s="268">
        <v>45</v>
      </c>
      <c r="N475" s="268">
        <v>79</v>
      </c>
      <c r="O475" s="324">
        <v>401</v>
      </c>
      <c r="P475" s="324">
        <v>326</v>
      </c>
      <c r="Q475" s="324">
        <v>727</v>
      </c>
      <c r="R475" s="13"/>
      <c r="S475" s="13"/>
      <c r="T475" s="13"/>
      <c r="U475" s="13"/>
      <c r="V475" s="13"/>
      <c r="W475" s="13"/>
      <c r="X475" s="13"/>
    </row>
    <row r="476" spans="2:24" x14ac:dyDescent="0.25">
      <c r="B476" s="136" t="s">
        <v>350</v>
      </c>
      <c r="C476" s="268"/>
      <c r="D476" s="268"/>
      <c r="E476" s="268"/>
      <c r="F476" s="268">
        <v>4</v>
      </c>
      <c r="G476" s="268">
        <v>6</v>
      </c>
      <c r="H476" s="268">
        <v>10</v>
      </c>
      <c r="I476" s="268"/>
      <c r="J476" s="268"/>
      <c r="K476" s="268"/>
      <c r="L476" s="268"/>
      <c r="M476" s="268"/>
      <c r="N476" s="268"/>
      <c r="O476" s="324">
        <v>4</v>
      </c>
      <c r="P476" s="324">
        <v>6</v>
      </c>
      <c r="Q476" s="324">
        <v>10</v>
      </c>
      <c r="R476" s="13"/>
      <c r="S476" s="13"/>
      <c r="T476" s="13"/>
      <c r="U476" s="13"/>
      <c r="V476" s="13"/>
      <c r="W476" s="13"/>
      <c r="X476" s="13"/>
    </row>
    <row r="477" spans="2:24" x14ac:dyDescent="0.25">
      <c r="B477" s="136" t="s">
        <v>351</v>
      </c>
      <c r="C477" s="268">
        <v>20</v>
      </c>
      <c r="D477" s="268">
        <v>31</v>
      </c>
      <c r="E477" s="268">
        <v>51</v>
      </c>
      <c r="F477" s="268">
        <v>327</v>
      </c>
      <c r="G477" s="268">
        <v>339</v>
      </c>
      <c r="H477" s="268">
        <v>666</v>
      </c>
      <c r="I477" s="268">
        <v>54</v>
      </c>
      <c r="J477" s="268">
        <v>37</v>
      </c>
      <c r="K477" s="268">
        <v>91</v>
      </c>
      <c r="L477" s="268">
        <v>19</v>
      </c>
      <c r="M477" s="268">
        <v>29</v>
      </c>
      <c r="N477" s="268">
        <v>48</v>
      </c>
      <c r="O477" s="324">
        <v>420</v>
      </c>
      <c r="P477" s="324">
        <v>436</v>
      </c>
      <c r="Q477" s="324">
        <v>856</v>
      </c>
      <c r="R477" s="13"/>
      <c r="S477" s="13"/>
      <c r="T477" s="13"/>
      <c r="U477" s="13"/>
      <c r="V477" s="13"/>
      <c r="W477" s="13"/>
      <c r="X477" s="13"/>
    </row>
    <row r="478" spans="2:24" x14ac:dyDescent="0.25">
      <c r="B478" s="136" t="s">
        <v>352</v>
      </c>
      <c r="C478" s="268">
        <v>2</v>
      </c>
      <c r="D478" s="268"/>
      <c r="E478" s="268">
        <v>2</v>
      </c>
      <c r="F478" s="268">
        <v>13</v>
      </c>
      <c r="G478" s="268">
        <v>15</v>
      </c>
      <c r="H478" s="268">
        <v>28</v>
      </c>
      <c r="I478" s="268">
        <v>4</v>
      </c>
      <c r="J478" s="268">
        <v>1</v>
      </c>
      <c r="K478" s="268">
        <v>5</v>
      </c>
      <c r="L478" s="268">
        <v>1</v>
      </c>
      <c r="M478" s="268">
        <v>3</v>
      </c>
      <c r="N478" s="268">
        <v>4</v>
      </c>
      <c r="O478" s="324">
        <v>20</v>
      </c>
      <c r="P478" s="324">
        <v>19</v>
      </c>
      <c r="Q478" s="324">
        <v>39</v>
      </c>
      <c r="R478" s="13"/>
      <c r="S478" s="13"/>
      <c r="T478" s="13"/>
      <c r="U478" s="13"/>
      <c r="V478" s="13"/>
      <c r="W478" s="13"/>
      <c r="X478" s="13"/>
    </row>
    <row r="479" spans="2:24" x14ac:dyDescent="0.25">
      <c r="B479" s="136" t="s">
        <v>353</v>
      </c>
      <c r="C479" s="268">
        <v>9</v>
      </c>
      <c r="D479" s="268">
        <v>9</v>
      </c>
      <c r="E479" s="268">
        <v>18</v>
      </c>
      <c r="F479" s="268">
        <v>92</v>
      </c>
      <c r="G479" s="268">
        <v>64</v>
      </c>
      <c r="H479" s="268">
        <v>156</v>
      </c>
      <c r="I479" s="268">
        <v>5</v>
      </c>
      <c r="J479" s="268">
        <v>3</v>
      </c>
      <c r="K479" s="268">
        <v>8</v>
      </c>
      <c r="L479" s="268">
        <v>2</v>
      </c>
      <c r="M479" s="268"/>
      <c r="N479" s="268">
        <v>2</v>
      </c>
      <c r="O479" s="324">
        <v>108</v>
      </c>
      <c r="P479" s="324">
        <v>76</v>
      </c>
      <c r="Q479" s="324">
        <v>184</v>
      </c>
      <c r="R479" s="13"/>
      <c r="S479" s="13"/>
      <c r="T479" s="13"/>
      <c r="U479" s="13"/>
      <c r="V479" s="13"/>
      <c r="W479" s="13"/>
      <c r="X479" s="13"/>
    </row>
    <row r="480" spans="2:24" x14ac:dyDescent="0.25">
      <c r="B480" s="136" t="s">
        <v>354</v>
      </c>
      <c r="C480" s="268"/>
      <c r="D480" s="268">
        <v>1</v>
      </c>
      <c r="E480" s="268">
        <v>1</v>
      </c>
      <c r="F480" s="268">
        <v>8</v>
      </c>
      <c r="G480" s="268">
        <v>8</v>
      </c>
      <c r="H480" s="268">
        <v>16</v>
      </c>
      <c r="I480" s="268"/>
      <c r="J480" s="268"/>
      <c r="K480" s="268"/>
      <c r="L480" s="268"/>
      <c r="M480" s="268">
        <v>3</v>
      </c>
      <c r="N480" s="268">
        <v>3</v>
      </c>
      <c r="O480" s="324">
        <v>8</v>
      </c>
      <c r="P480" s="324">
        <v>12</v>
      </c>
      <c r="Q480" s="324">
        <v>20</v>
      </c>
      <c r="R480" s="13"/>
      <c r="S480" s="13"/>
      <c r="T480" s="13"/>
      <c r="U480" s="13"/>
      <c r="V480" s="13"/>
      <c r="W480" s="13"/>
      <c r="X480" s="13"/>
    </row>
    <row r="481" spans="2:24" x14ac:dyDescent="0.25">
      <c r="B481" s="136" t="s">
        <v>355</v>
      </c>
      <c r="C481" s="268">
        <v>5</v>
      </c>
      <c r="D481" s="268">
        <v>7</v>
      </c>
      <c r="E481" s="268">
        <v>12</v>
      </c>
      <c r="F481" s="268">
        <v>31</v>
      </c>
      <c r="G481" s="268">
        <v>28</v>
      </c>
      <c r="H481" s="268">
        <v>59</v>
      </c>
      <c r="I481" s="268">
        <v>18</v>
      </c>
      <c r="J481" s="268">
        <v>1</v>
      </c>
      <c r="K481" s="268">
        <v>19</v>
      </c>
      <c r="L481" s="268">
        <v>1</v>
      </c>
      <c r="M481" s="268">
        <v>5</v>
      </c>
      <c r="N481" s="268">
        <v>6</v>
      </c>
      <c r="O481" s="324">
        <v>55</v>
      </c>
      <c r="P481" s="324">
        <v>41</v>
      </c>
      <c r="Q481" s="324">
        <v>96</v>
      </c>
      <c r="R481" s="13"/>
      <c r="S481" s="13"/>
      <c r="T481" s="13"/>
      <c r="U481" s="13"/>
      <c r="V481" s="13"/>
      <c r="W481" s="13"/>
      <c r="X481" s="13"/>
    </row>
    <row r="482" spans="2:24" x14ac:dyDescent="0.25">
      <c r="B482" s="136" t="s">
        <v>356</v>
      </c>
      <c r="C482" s="268">
        <v>3</v>
      </c>
      <c r="D482" s="268">
        <v>1</v>
      </c>
      <c r="E482" s="268">
        <v>4</v>
      </c>
      <c r="F482" s="268">
        <v>18</v>
      </c>
      <c r="G482" s="268">
        <v>13</v>
      </c>
      <c r="H482" s="268">
        <v>31</v>
      </c>
      <c r="I482" s="268">
        <v>11</v>
      </c>
      <c r="J482" s="268">
        <v>2</v>
      </c>
      <c r="K482" s="268">
        <v>13</v>
      </c>
      <c r="L482" s="268">
        <v>1</v>
      </c>
      <c r="M482" s="268">
        <v>5</v>
      </c>
      <c r="N482" s="268">
        <v>6</v>
      </c>
      <c r="O482" s="324">
        <v>33</v>
      </c>
      <c r="P482" s="324">
        <v>21</v>
      </c>
      <c r="Q482" s="324">
        <v>54</v>
      </c>
      <c r="R482" s="13"/>
      <c r="S482" s="13"/>
      <c r="T482" s="13"/>
      <c r="U482" s="13"/>
      <c r="V482" s="13"/>
      <c r="W482" s="13"/>
      <c r="X482" s="13"/>
    </row>
    <row r="483" spans="2:24" x14ac:dyDescent="0.25">
      <c r="B483" s="136" t="s">
        <v>357</v>
      </c>
      <c r="C483" s="268"/>
      <c r="D483" s="268">
        <v>1</v>
      </c>
      <c r="E483" s="268">
        <v>1</v>
      </c>
      <c r="F483" s="268">
        <v>5</v>
      </c>
      <c r="G483" s="268">
        <v>10</v>
      </c>
      <c r="H483" s="268">
        <v>15</v>
      </c>
      <c r="I483" s="268">
        <v>1</v>
      </c>
      <c r="J483" s="268"/>
      <c r="K483" s="268">
        <v>1</v>
      </c>
      <c r="L483" s="268"/>
      <c r="M483" s="268">
        <v>3</v>
      </c>
      <c r="N483" s="268">
        <v>3</v>
      </c>
      <c r="O483" s="324">
        <v>6</v>
      </c>
      <c r="P483" s="324">
        <v>14</v>
      </c>
      <c r="Q483" s="324">
        <v>20</v>
      </c>
      <c r="R483" s="13"/>
      <c r="S483" s="13"/>
      <c r="T483" s="13"/>
      <c r="U483" s="13"/>
      <c r="V483" s="13"/>
      <c r="W483" s="13"/>
      <c r="X483" s="13"/>
    </row>
    <row r="484" spans="2:24" x14ac:dyDescent="0.25">
      <c r="B484" s="136" t="s">
        <v>358</v>
      </c>
      <c r="C484" s="268">
        <v>6</v>
      </c>
      <c r="D484" s="268">
        <v>3</v>
      </c>
      <c r="E484" s="268">
        <v>9</v>
      </c>
      <c r="F484" s="268">
        <v>37</v>
      </c>
      <c r="G484" s="268">
        <v>36</v>
      </c>
      <c r="H484" s="268">
        <v>73</v>
      </c>
      <c r="I484" s="268">
        <v>15</v>
      </c>
      <c r="J484" s="268">
        <v>10</v>
      </c>
      <c r="K484" s="268">
        <v>25</v>
      </c>
      <c r="L484" s="268">
        <v>5</v>
      </c>
      <c r="M484" s="268">
        <v>4</v>
      </c>
      <c r="N484" s="268">
        <v>9</v>
      </c>
      <c r="O484" s="324">
        <v>63</v>
      </c>
      <c r="P484" s="324">
        <v>53</v>
      </c>
      <c r="Q484" s="324">
        <v>116</v>
      </c>
      <c r="R484" s="13"/>
      <c r="S484" s="13"/>
      <c r="T484" s="13"/>
      <c r="U484" s="13"/>
      <c r="V484" s="13"/>
      <c r="W484" s="13"/>
      <c r="X484" s="13"/>
    </row>
    <row r="485" spans="2:24" x14ac:dyDescent="0.25">
      <c r="B485" s="136" t="s">
        <v>359</v>
      </c>
      <c r="C485" s="268">
        <v>1</v>
      </c>
      <c r="D485" s="268">
        <v>1</v>
      </c>
      <c r="E485" s="268">
        <v>2</v>
      </c>
      <c r="F485" s="268">
        <v>21</v>
      </c>
      <c r="G485" s="268">
        <v>12</v>
      </c>
      <c r="H485" s="268">
        <v>33</v>
      </c>
      <c r="I485" s="268">
        <v>2</v>
      </c>
      <c r="J485" s="268">
        <v>5</v>
      </c>
      <c r="K485" s="268">
        <v>7</v>
      </c>
      <c r="L485" s="268">
        <v>1</v>
      </c>
      <c r="M485" s="268">
        <v>1</v>
      </c>
      <c r="N485" s="268">
        <v>2</v>
      </c>
      <c r="O485" s="324">
        <v>25</v>
      </c>
      <c r="P485" s="324">
        <v>19</v>
      </c>
      <c r="Q485" s="324">
        <v>44</v>
      </c>
      <c r="R485" s="13"/>
      <c r="S485" s="13"/>
      <c r="T485" s="13"/>
      <c r="U485" s="13"/>
      <c r="V485" s="13"/>
      <c r="W485" s="13"/>
      <c r="X485" s="13"/>
    </row>
    <row r="486" spans="2:24" x14ac:dyDescent="0.25">
      <c r="B486" s="136" t="s">
        <v>360</v>
      </c>
      <c r="C486" s="268"/>
      <c r="D486" s="268">
        <v>2</v>
      </c>
      <c r="E486" s="268">
        <v>2</v>
      </c>
      <c r="F486" s="268">
        <v>6</v>
      </c>
      <c r="G486" s="268">
        <v>8</v>
      </c>
      <c r="H486" s="268">
        <v>14</v>
      </c>
      <c r="I486" s="268">
        <v>7</v>
      </c>
      <c r="J486" s="268">
        <v>7</v>
      </c>
      <c r="K486" s="268">
        <v>14</v>
      </c>
      <c r="L486" s="268"/>
      <c r="M486" s="268">
        <v>3</v>
      </c>
      <c r="N486" s="268">
        <v>3</v>
      </c>
      <c r="O486" s="324">
        <v>13</v>
      </c>
      <c r="P486" s="324">
        <v>20</v>
      </c>
      <c r="Q486" s="324">
        <v>33</v>
      </c>
      <c r="R486" s="13"/>
      <c r="S486" s="13"/>
      <c r="T486" s="13"/>
      <c r="U486" s="13"/>
      <c r="V486" s="13"/>
      <c r="W486" s="13"/>
      <c r="X486" s="13"/>
    </row>
    <row r="487" spans="2:24" x14ac:dyDescent="0.25">
      <c r="B487" s="136" t="s">
        <v>361</v>
      </c>
      <c r="C487" s="268">
        <v>2</v>
      </c>
      <c r="D487" s="268">
        <v>1</v>
      </c>
      <c r="E487" s="268">
        <v>3</v>
      </c>
      <c r="F487" s="268">
        <v>35</v>
      </c>
      <c r="G487" s="268">
        <v>26</v>
      </c>
      <c r="H487" s="268">
        <v>61</v>
      </c>
      <c r="I487" s="268">
        <v>6</v>
      </c>
      <c r="J487" s="268">
        <v>6</v>
      </c>
      <c r="K487" s="268">
        <v>12</v>
      </c>
      <c r="L487" s="268"/>
      <c r="M487" s="268">
        <v>3</v>
      </c>
      <c r="N487" s="268">
        <v>3</v>
      </c>
      <c r="O487" s="324">
        <v>43</v>
      </c>
      <c r="P487" s="324">
        <v>36</v>
      </c>
      <c r="Q487" s="324">
        <v>79</v>
      </c>
      <c r="R487" s="13"/>
      <c r="S487" s="13"/>
      <c r="T487" s="13"/>
      <c r="U487" s="13"/>
      <c r="V487" s="13"/>
      <c r="W487" s="13"/>
      <c r="X487" s="13"/>
    </row>
    <row r="488" spans="2:24" x14ac:dyDescent="0.25">
      <c r="B488" s="136" t="s">
        <v>362</v>
      </c>
      <c r="C488" s="268">
        <v>1</v>
      </c>
      <c r="D488" s="268">
        <v>2</v>
      </c>
      <c r="E488" s="268">
        <v>3</v>
      </c>
      <c r="F488" s="268">
        <v>11</v>
      </c>
      <c r="G488" s="268">
        <v>7</v>
      </c>
      <c r="H488" s="268">
        <v>18</v>
      </c>
      <c r="I488" s="268">
        <v>6</v>
      </c>
      <c r="J488" s="268">
        <v>8</v>
      </c>
      <c r="K488" s="268">
        <v>14</v>
      </c>
      <c r="L488" s="268"/>
      <c r="M488" s="268">
        <v>2</v>
      </c>
      <c r="N488" s="268">
        <v>2</v>
      </c>
      <c r="O488" s="324">
        <v>18</v>
      </c>
      <c r="P488" s="324">
        <v>19</v>
      </c>
      <c r="Q488" s="324">
        <v>37</v>
      </c>
      <c r="R488" s="13"/>
      <c r="S488" s="13"/>
      <c r="T488" s="13"/>
      <c r="U488" s="13"/>
      <c r="V488" s="13"/>
      <c r="W488" s="13"/>
      <c r="X488" s="13"/>
    </row>
    <row r="489" spans="2:24" x14ac:dyDescent="0.25">
      <c r="B489" s="136" t="s">
        <v>363</v>
      </c>
      <c r="C489" s="268">
        <v>1</v>
      </c>
      <c r="D489" s="268"/>
      <c r="E489" s="268">
        <v>1</v>
      </c>
      <c r="F489" s="268">
        <v>16</v>
      </c>
      <c r="G489" s="268">
        <v>14</v>
      </c>
      <c r="H489" s="268">
        <v>30</v>
      </c>
      <c r="I489" s="268">
        <v>8</v>
      </c>
      <c r="J489" s="268">
        <v>1</v>
      </c>
      <c r="K489" s="268">
        <v>9</v>
      </c>
      <c r="L489" s="268">
        <v>1</v>
      </c>
      <c r="M489" s="268">
        <v>3</v>
      </c>
      <c r="N489" s="268">
        <v>4</v>
      </c>
      <c r="O489" s="324">
        <v>26</v>
      </c>
      <c r="P489" s="324">
        <v>18</v>
      </c>
      <c r="Q489" s="324">
        <v>44</v>
      </c>
      <c r="R489" s="13"/>
      <c r="S489" s="13"/>
      <c r="T489" s="13"/>
      <c r="U489" s="13"/>
      <c r="V489" s="13"/>
      <c r="W489" s="13"/>
      <c r="X489" s="13"/>
    </row>
    <row r="490" spans="2:24" x14ac:dyDescent="0.25">
      <c r="B490" s="371" t="s">
        <v>923</v>
      </c>
      <c r="C490" s="310">
        <v>100</v>
      </c>
      <c r="D490" s="310">
        <v>141</v>
      </c>
      <c r="E490" s="310">
        <v>241</v>
      </c>
      <c r="F490" s="310">
        <v>1300</v>
      </c>
      <c r="G490" s="310">
        <v>1224</v>
      </c>
      <c r="H490" s="294">
        <v>2524</v>
      </c>
      <c r="I490" s="310">
        <v>316</v>
      </c>
      <c r="J490" s="294">
        <v>165</v>
      </c>
      <c r="K490" s="310">
        <v>481</v>
      </c>
      <c r="L490" s="294">
        <v>100</v>
      </c>
      <c r="M490" s="310">
        <v>174</v>
      </c>
      <c r="N490" s="294">
        <v>274</v>
      </c>
      <c r="O490" s="324">
        <v>1816</v>
      </c>
      <c r="P490" s="324">
        <v>1704</v>
      </c>
      <c r="Q490" s="324">
        <v>3520</v>
      </c>
      <c r="R490" s="13"/>
      <c r="S490" s="13"/>
      <c r="T490" s="13"/>
      <c r="U490" s="13"/>
      <c r="V490" s="13"/>
      <c r="W490" s="13"/>
      <c r="X490" s="13"/>
    </row>
    <row r="491" spans="2:24" ht="81" customHeight="1" x14ac:dyDescent="0.25">
      <c r="B491" s="445" t="s">
        <v>938</v>
      </c>
      <c r="C491" s="445"/>
      <c r="D491" s="445"/>
      <c r="E491" s="445"/>
      <c r="F491" s="445"/>
      <c r="G491" s="445"/>
      <c r="H491" s="445"/>
      <c r="I491" s="445"/>
      <c r="J491" s="445"/>
      <c r="K491" s="445"/>
      <c r="L491" s="445"/>
      <c r="M491" s="445"/>
      <c r="N491" s="445"/>
      <c r="O491" s="445"/>
      <c r="P491" s="445"/>
      <c r="Q491" s="445"/>
      <c r="R491" s="13"/>
      <c r="S491" s="13"/>
      <c r="T491" s="13"/>
      <c r="U491" s="13"/>
      <c r="V491" s="13"/>
      <c r="W491" s="13"/>
    </row>
    <row r="492" spans="2:24" x14ac:dyDescent="0.25">
      <c r="B492" s="158"/>
      <c r="C492" s="158"/>
      <c r="D492" s="158"/>
      <c r="E492" s="158"/>
      <c r="F492" s="158"/>
      <c r="G492"/>
      <c r="H492" s="13"/>
      <c r="I492" s="13"/>
      <c r="J492" s="13"/>
      <c r="K492" s="13"/>
      <c r="L492" s="13"/>
      <c r="M492" s="13"/>
      <c r="N492" s="13"/>
      <c r="O492" s="13"/>
      <c r="P492" s="13"/>
      <c r="Q492" s="13"/>
      <c r="R492" s="13"/>
      <c r="S492" s="13"/>
      <c r="T492" s="13"/>
      <c r="U492" s="13"/>
      <c r="V492" s="13"/>
      <c r="W492" s="13"/>
    </row>
    <row r="493" spans="2:24" x14ac:dyDescent="0.25">
      <c r="B493" s="187" t="s">
        <v>515</v>
      </c>
      <c r="C493"/>
      <c r="D493"/>
      <c r="E493"/>
      <c r="F493"/>
      <c r="G493"/>
      <c r="H493" s="13"/>
      <c r="I493" s="13"/>
      <c r="J493" s="13"/>
      <c r="K493" s="13"/>
      <c r="L493" s="13"/>
      <c r="M493" s="13"/>
      <c r="N493" s="13"/>
      <c r="O493" s="13"/>
      <c r="P493" s="13"/>
      <c r="Q493" s="13"/>
      <c r="R493" s="13"/>
      <c r="S493" s="13"/>
      <c r="T493" s="13"/>
      <c r="U493" s="13"/>
      <c r="V493" s="13"/>
      <c r="W493" s="13"/>
    </row>
    <row r="494" spans="2:24" x14ac:dyDescent="0.25">
      <c r="B494" s="187"/>
      <c r="C494"/>
      <c r="D494"/>
      <c r="E494"/>
      <c r="F494"/>
      <c r="G494"/>
      <c r="H494" s="13"/>
      <c r="I494" s="13"/>
      <c r="J494" s="13"/>
      <c r="K494" s="13"/>
      <c r="L494" s="13"/>
      <c r="M494" s="13"/>
      <c r="N494" s="13"/>
      <c r="O494" s="13"/>
      <c r="P494" s="13"/>
      <c r="Q494" s="13"/>
      <c r="R494" s="13"/>
      <c r="S494" s="13"/>
      <c r="T494" s="13"/>
      <c r="U494" s="13"/>
      <c r="V494" s="13"/>
      <c r="W494" s="13"/>
    </row>
    <row r="495" spans="2:24" ht="15" customHeight="1" x14ac:dyDescent="0.25">
      <c r="B495" s="413" t="s">
        <v>532</v>
      </c>
      <c r="C495" s="414" t="s">
        <v>477</v>
      </c>
      <c r="D495" s="414"/>
      <c r="E495" s="414"/>
      <c r="F495" s="414"/>
      <c r="G495" s="414"/>
      <c r="H495" s="414"/>
      <c r="I495" s="414"/>
      <c r="J495" s="414"/>
      <c r="K495" s="414"/>
      <c r="L495" s="414"/>
      <c r="M495" s="414"/>
      <c r="N495" s="414"/>
      <c r="O495" s="447" t="s">
        <v>922</v>
      </c>
      <c r="P495" s="448"/>
      <c r="Q495" s="449"/>
      <c r="R495" s="13"/>
      <c r="S495" s="13"/>
      <c r="T495" s="13"/>
      <c r="U495" s="13"/>
      <c r="V495" s="13"/>
      <c r="W495" s="13"/>
    </row>
    <row r="496" spans="2:24" ht="15" customHeight="1" x14ac:dyDescent="0.25">
      <c r="B496" s="413"/>
      <c r="C496" s="414" t="s">
        <v>885</v>
      </c>
      <c r="D496" s="414"/>
      <c r="E496" s="414"/>
      <c r="F496" s="414" t="s">
        <v>886</v>
      </c>
      <c r="G496" s="414"/>
      <c r="H496" s="414"/>
      <c r="I496" s="414" t="s">
        <v>2</v>
      </c>
      <c r="J496" s="414"/>
      <c r="K496" s="414"/>
      <c r="L496" s="414" t="s">
        <v>3</v>
      </c>
      <c r="M496" s="414"/>
      <c r="N496" s="414"/>
      <c r="O496" s="450"/>
      <c r="P496" s="451"/>
      <c r="Q496" s="452"/>
      <c r="R496" s="13"/>
      <c r="S496" s="13"/>
      <c r="T496" s="13"/>
      <c r="U496" s="13"/>
      <c r="V496" s="13"/>
      <c r="W496" s="13"/>
    </row>
    <row r="497" spans="2:24" x14ac:dyDescent="0.25">
      <c r="B497" s="413"/>
      <c r="C497" s="161" t="s">
        <v>73</v>
      </c>
      <c r="D497" s="161" t="s">
        <v>74</v>
      </c>
      <c r="E497" s="161" t="s">
        <v>25</v>
      </c>
      <c r="F497" s="161" t="s">
        <v>73</v>
      </c>
      <c r="G497" s="161" t="s">
        <v>74</v>
      </c>
      <c r="H497" s="161" t="s">
        <v>25</v>
      </c>
      <c r="I497" s="161" t="s">
        <v>73</v>
      </c>
      <c r="J497" s="161" t="s">
        <v>74</v>
      </c>
      <c r="K497" s="161" t="s">
        <v>25</v>
      </c>
      <c r="L497" s="161" t="s">
        <v>73</v>
      </c>
      <c r="M497" s="161" t="s">
        <v>74</v>
      </c>
      <c r="N497" s="161" t="s">
        <v>25</v>
      </c>
      <c r="O497" s="299" t="s">
        <v>73</v>
      </c>
      <c r="P497" s="299" t="s">
        <v>74</v>
      </c>
      <c r="Q497" s="299" t="s">
        <v>25</v>
      </c>
      <c r="R497" s="13"/>
      <c r="S497" s="13"/>
      <c r="T497" s="13"/>
      <c r="U497" s="13"/>
      <c r="V497" s="13"/>
      <c r="W497" s="13"/>
    </row>
    <row r="498" spans="2:24" x14ac:dyDescent="0.25">
      <c r="B498" s="157" t="s">
        <v>364</v>
      </c>
      <c r="C498" s="270"/>
      <c r="D498" s="270">
        <v>1</v>
      </c>
      <c r="E498" s="270">
        <v>1</v>
      </c>
      <c r="F498" s="270">
        <v>19</v>
      </c>
      <c r="G498" s="270">
        <v>13</v>
      </c>
      <c r="H498" s="270">
        <v>32</v>
      </c>
      <c r="I498" s="270"/>
      <c r="J498" s="270"/>
      <c r="K498" s="270"/>
      <c r="L498" s="270"/>
      <c r="M498" s="270">
        <v>2</v>
      </c>
      <c r="N498" s="270">
        <v>2</v>
      </c>
      <c r="O498" s="324">
        <v>19</v>
      </c>
      <c r="P498" s="324">
        <v>16</v>
      </c>
      <c r="Q498" s="324">
        <v>35</v>
      </c>
      <c r="R498" s="13"/>
      <c r="S498" s="13"/>
      <c r="T498" s="13"/>
      <c r="U498" s="13"/>
      <c r="V498" s="13"/>
      <c r="W498" s="13"/>
      <c r="X498" s="13"/>
    </row>
    <row r="499" spans="2:24" x14ac:dyDescent="0.25">
      <c r="B499" s="136" t="s">
        <v>365</v>
      </c>
      <c r="C499" s="268">
        <v>1</v>
      </c>
      <c r="D499" s="268">
        <v>2</v>
      </c>
      <c r="E499" s="268">
        <v>3</v>
      </c>
      <c r="F499" s="268">
        <v>11</v>
      </c>
      <c r="G499" s="268">
        <v>14</v>
      </c>
      <c r="H499" s="268">
        <v>25</v>
      </c>
      <c r="I499" s="268">
        <v>1</v>
      </c>
      <c r="J499" s="268">
        <v>1</v>
      </c>
      <c r="K499" s="268">
        <v>2</v>
      </c>
      <c r="L499" s="268"/>
      <c r="M499" s="268"/>
      <c r="N499" s="268"/>
      <c r="O499" s="324">
        <v>13</v>
      </c>
      <c r="P499" s="324">
        <v>17</v>
      </c>
      <c r="Q499" s="324">
        <v>30</v>
      </c>
      <c r="R499" s="13"/>
      <c r="S499" s="13"/>
      <c r="T499" s="13"/>
      <c r="U499" s="13"/>
      <c r="V499" s="13"/>
      <c r="W499" s="13"/>
      <c r="X499" s="13"/>
    </row>
    <row r="500" spans="2:24" x14ac:dyDescent="0.25">
      <c r="B500" s="136" t="s">
        <v>366</v>
      </c>
      <c r="C500" s="268"/>
      <c r="D500" s="268">
        <v>1</v>
      </c>
      <c r="E500" s="268">
        <v>1</v>
      </c>
      <c r="F500" s="268">
        <v>7</v>
      </c>
      <c r="G500" s="268">
        <v>6</v>
      </c>
      <c r="H500" s="268">
        <v>13</v>
      </c>
      <c r="I500" s="268"/>
      <c r="J500" s="268">
        <v>1</v>
      </c>
      <c r="K500" s="268">
        <v>1</v>
      </c>
      <c r="L500" s="268"/>
      <c r="M500" s="268"/>
      <c r="N500" s="268"/>
      <c r="O500" s="324">
        <v>7</v>
      </c>
      <c r="P500" s="324">
        <v>8</v>
      </c>
      <c r="Q500" s="324">
        <v>15</v>
      </c>
      <c r="R500" s="13"/>
      <c r="S500" s="13"/>
      <c r="T500" s="13"/>
      <c r="U500" s="13"/>
      <c r="V500" s="13"/>
      <c r="W500" s="13"/>
      <c r="X500" s="13"/>
    </row>
    <row r="501" spans="2:24" x14ac:dyDescent="0.25">
      <c r="B501" s="136" t="s">
        <v>367</v>
      </c>
      <c r="C501" s="268">
        <v>8</v>
      </c>
      <c r="D501" s="268">
        <v>4</v>
      </c>
      <c r="E501" s="268">
        <v>12</v>
      </c>
      <c r="F501" s="268">
        <v>71</v>
      </c>
      <c r="G501" s="268">
        <v>101</v>
      </c>
      <c r="H501" s="268">
        <v>172</v>
      </c>
      <c r="I501" s="268">
        <v>14</v>
      </c>
      <c r="J501" s="268">
        <v>7</v>
      </c>
      <c r="K501" s="268">
        <v>21</v>
      </c>
      <c r="L501" s="268">
        <v>3</v>
      </c>
      <c r="M501" s="268">
        <v>8</v>
      </c>
      <c r="N501" s="268">
        <v>11</v>
      </c>
      <c r="O501" s="324">
        <v>96</v>
      </c>
      <c r="P501" s="324">
        <v>120</v>
      </c>
      <c r="Q501" s="324">
        <v>216</v>
      </c>
      <c r="R501" s="13"/>
      <c r="S501" s="13"/>
      <c r="T501" s="13"/>
      <c r="U501" s="13"/>
      <c r="V501" s="13"/>
      <c r="W501" s="13"/>
      <c r="X501" s="13"/>
    </row>
    <row r="502" spans="2:24" x14ac:dyDescent="0.25">
      <c r="B502" s="136" t="s">
        <v>368</v>
      </c>
      <c r="C502" s="268"/>
      <c r="D502" s="268"/>
      <c r="E502" s="268"/>
      <c r="F502" s="268">
        <v>1</v>
      </c>
      <c r="G502" s="268"/>
      <c r="H502" s="268">
        <v>1</v>
      </c>
      <c r="I502" s="268">
        <v>1</v>
      </c>
      <c r="J502" s="268"/>
      <c r="K502" s="268">
        <v>1</v>
      </c>
      <c r="L502" s="268"/>
      <c r="M502" s="268"/>
      <c r="N502" s="268"/>
      <c r="O502" s="324">
        <v>2</v>
      </c>
      <c r="P502" s="324"/>
      <c r="Q502" s="324">
        <v>2</v>
      </c>
      <c r="R502" s="13"/>
      <c r="S502" s="13"/>
      <c r="T502" s="13"/>
      <c r="U502" s="13"/>
      <c r="V502" s="13"/>
      <c r="W502" s="13"/>
      <c r="X502" s="13"/>
    </row>
    <row r="503" spans="2:24" x14ac:dyDescent="0.25">
      <c r="B503" s="136" t="s">
        <v>369</v>
      </c>
      <c r="C503" s="268"/>
      <c r="D503" s="268"/>
      <c r="E503" s="268"/>
      <c r="F503" s="268">
        <v>1</v>
      </c>
      <c r="G503" s="268"/>
      <c r="H503" s="268">
        <v>1</v>
      </c>
      <c r="I503" s="268"/>
      <c r="J503" s="268"/>
      <c r="K503" s="268"/>
      <c r="L503" s="268"/>
      <c r="M503" s="268"/>
      <c r="N503" s="268"/>
      <c r="O503" s="324">
        <v>1</v>
      </c>
      <c r="P503" s="324"/>
      <c r="Q503" s="324">
        <v>1</v>
      </c>
      <c r="R503" s="13"/>
      <c r="S503" s="13"/>
      <c r="T503" s="13"/>
      <c r="U503" s="13"/>
      <c r="V503" s="13"/>
      <c r="W503" s="13"/>
      <c r="X503" s="13"/>
    </row>
    <row r="504" spans="2:24" x14ac:dyDescent="0.25">
      <c r="B504" s="136" t="s">
        <v>371</v>
      </c>
      <c r="C504" s="268">
        <v>1</v>
      </c>
      <c r="D504" s="268">
        <v>6</v>
      </c>
      <c r="E504" s="268">
        <v>7</v>
      </c>
      <c r="F504" s="268">
        <v>39</v>
      </c>
      <c r="G504" s="268">
        <v>27</v>
      </c>
      <c r="H504" s="268">
        <v>66</v>
      </c>
      <c r="I504" s="268">
        <v>7</v>
      </c>
      <c r="J504" s="268">
        <v>2</v>
      </c>
      <c r="K504" s="268">
        <v>9</v>
      </c>
      <c r="L504" s="268">
        <v>1</v>
      </c>
      <c r="M504" s="268">
        <v>1</v>
      </c>
      <c r="N504" s="268">
        <v>2</v>
      </c>
      <c r="O504" s="324">
        <v>48</v>
      </c>
      <c r="P504" s="324">
        <v>36</v>
      </c>
      <c r="Q504" s="324">
        <v>84</v>
      </c>
      <c r="R504" s="13"/>
      <c r="S504" s="13"/>
      <c r="T504" s="13"/>
      <c r="U504" s="13"/>
      <c r="V504" s="13"/>
      <c r="W504" s="13"/>
      <c r="X504" s="13"/>
    </row>
    <row r="505" spans="2:24" x14ac:dyDescent="0.25">
      <c r="B505" s="136" t="s">
        <v>496</v>
      </c>
      <c r="C505" s="268">
        <v>1</v>
      </c>
      <c r="D505" s="268"/>
      <c r="E505" s="268">
        <v>1</v>
      </c>
      <c r="F505" s="268">
        <v>4</v>
      </c>
      <c r="G505" s="268">
        <v>4</v>
      </c>
      <c r="H505" s="268">
        <v>8</v>
      </c>
      <c r="I505" s="268">
        <v>1</v>
      </c>
      <c r="J505" s="268">
        <v>1</v>
      </c>
      <c r="K505" s="268">
        <v>2</v>
      </c>
      <c r="L505" s="268">
        <v>1</v>
      </c>
      <c r="M505" s="268"/>
      <c r="N505" s="268">
        <v>1</v>
      </c>
      <c r="O505" s="324">
        <v>7</v>
      </c>
      <c r="P505" s="324">
        <v>5</v>
      </c>
      <c r="Q505" s="324">
        <v>12</v>
      </c>
      <c r="R505" s="13"/>
      <c r="S505" s="13"/>
      <c r="T505" s="13"/>
      <c r="U505" s="13"/>
      <c r="V505" s="13"/>
      <c r="W505" s="13"/>
      <c r="X505" s="13"/>
    </row>
    <row r="506" spans="2:24" x14ac:dyDescent="0.25">
      <c r="B506" s="136" t="s">
        <v>372</v>
      </c>
      <c r="C506" s="268"/>
      <c r="D506" s="268"/>
      <c r="E506" s="268"/>
      <c r="F506" s="268">
        <v>1</v>
      </c>
      <c r="G506" s="268">
        <v>2</v>
      </c>
      <c r="H506" s="268">
        <v>3</v>
      </c>
      <c r="I506" s="268"/>
      <c r="J506" s="268"/>
      <c r="K506" s="268"/>
      <c r="L506" s="268"/>
      <c r="M506" s="268"/>
      <c r="N506" s="268"/>
      <c r="O506" s="324">
        <v>1</v>
      </c>
      <c r="P506" s="324">
        <v>2</v>
      </c>
      <c r="Q506" s="324">
        <v>3</v>
      </c>
      <c r="R506" s="13"/>
      <c r="S506" s="13"/>
      <c r="T506" s="13"/>
      <c r="U506" s="13"/>
      <c r="V506" s="13"/>
      <c r="W506" s="13"/>
      <c r="X506" s="13"/>
    </row>
    <row r="507" spans="2:24" x14ac:dyDescent="0.25">
      <c r="B507" s="371" t="s">
        <v>923</v>
      </c>
      <c r="C507" s="310">
        <v>11</v>
      </c>
      <c r="D507" s="310">
        <v>14</v>
      </c>
      <c r="E507" s="310">
        <v>25</v>
      </c>
      <c r="F507" s="310">
        <v>154</v>
      </c>
      <c r="G507" s="310">
        <v>167</v>
      </c>
      <c r="H507" s="294">
        <v>321</v>
      </c>
      <c r="I507" s="310">
        <v>24</v>
      </c>
      <c r="J507" s="294">
        <v>12</v>
      </c>
      <c r="K507" s="310">
        <v>36</v>
      </c>
      <c r="L507" s="294">
        <v>5</v>
      </c>
      <c r="M507" s="310">
        <v>11</v>
      </c>
      <c r="N507" s="294">
        <v>16</v>
      </c>
      <c r="O507" s="324">
        <v>194</v>
      </c>
      <c r="P507" s="324">
        <v>204</v>
      </c>
      <c r="Q507" s="324">
        <v>398</v>
      </c>
      <c r="R507" s="13"/>
      <c r="S507" s="13"/>
      <c r="T507" s="13"/>
      <c r="U507" s="13"/>
      <c r="V507" s="13"/>
      <c r="W507" s="13"/>
      <c r="X507" s="13"/>
    </row>
    <row r="508" spans="2:24" ht="82.5" customHeight="1" x14ac:dyDescent="0.25">
      <c r="B508" s="445" t="s">
        <v>938</v>
      </c>
      <c r="C508" s="445"/>
      <c r="D508" s="445"/>
      <c r="E508" s="445"/>
      <c r="F508" s="445"/>
      <c r="G508" s="445"/>
      <c r="H508" s="445"/>
      <c r="I508" s="445"/>
      <c r="J508" s="445"/>
      <c r="K508" s="445"/>
      <c r="L508" s="445"/>
      <c r="M508" s="445"/>
      <c r="N508" s="445"/>
      <c r="O508" s="445"/>
      <c r="P508" s="445"/>
      <c r="Q508" s="445"/>
      <c r="R508" s="13"/>
      <c r="S508" s="13"/>
      <c r="T508" s="13"/>
      <c r="U508" s="13"/>
      <c r="V508" s="13"/>
      <c r="W508" s="13"/>
    </row>
    <row r="509" spans="2:24" x14ac:dyDescent="0.25">
      <c r="B509" s="158"/>
      <c r="C509" s="158"/>
      <c r="D509" s="158"/>
      <c r="E509"/>
      <c r="F509"/>
      <c r="G509"/>
      <c r="H509" s="13"/>
      <c r="I509" s="13"/>
      <c r="J509" s="13"/>
      <c r="K509" s="13"/>
      <c r="L509" s="13"/>
      <c r="M509" s="13"/>
      <c r="N509" s="13"/>
      <c r="O509" s="13"/>
      <c r="P509" s="13"/>
      <c r="Q509" s="13"/>
      <c r="R509" s="13"/>
      <c r="S509" s="13"/>
      <c r="T509" s="13"/>
      <c r="U509" s="13"/>
      <c r="V509" s="13"/>
      <c r="W509" s="13"/>
    </row>
    <row r="510" spans="2:24" x14ac:dyDescent="0.25">
      <c r="B510" s="187" t="s">
        <v>516</v>
      </c>
      <c r="C510"/>
      <c r="D510"/>
      <c r="E510"/>
      <c r="F510"/>
      <c r="G510"/>
      <c r="H510" s="13"/>
      <c r="I510" s="13"/>
      <c r="J510" s="13"/>
      <c r="K510" s="13"/>
      <c r="L510" s="13"/>
      <c r="M510" s="13"/>
      <c r="N510" s="13"/>
      <c r="O510" s="13"/>
      <c r="P510" s="13"/>
      <c r="Q510" s="13"/>
      <c r="R510" s="13"/>
      <c r="S510" s="13"/>
      <c r="T510" s="13"/>
      <c r="U510" s="13"/>
      <c r="V510" s="13"/>
      <c r="W510" s="13"/>
    </row>
    <row r="511" spans="2:24" x14ac:dyDescent="0.25">
      <c r="B511" s="187"/>
      <c r="C511"/>
      <c r="D511"/>
      <c r="E511"/>
      <c r="F511"/>
      <c r="G511"/>
      <c r="H511" s="13"/>
      <c r="I511" s="13"/>
      <c r="J511" s="13"/>
      <c r="K511" s="13"/>
      <c r="L511" s="13"/>
      <c r="M511" s="13"/>
      <c r="N511" s="13"/>
      <c r="O511" s="13"/>
      <c r="P511" s="13"/>
      <c r="Q511" s="13"/>
      <c r="R511" s="13"/>
      <c r="S511" s="13"/>
      <c r="T511" s="13"/>
      <c r="U511" s="13"/>
      <c r="V511" s="13"/>
      <c r="W511" s="13"/>
    </row>
    <row r="512" spans="2:24" ht="15" customHeight="1" x14ac:dyDescent="0.25">
      <c r="B512" s="413" t="s">
        <v>532</v>
      </c>
      <c r="C512" s="414" t="s">
        <v>477</v>
      </c>
      <c r="D512" s="414"/>
      <c r="E512" s="414"/>
      <c r="F512" s="414"/>
      <c r="G512" s="414"/>
      <c r="H512" s="414"/>
      <c r="I512" s="414"/>
      <c r="J512" s="414"/>
      <c r="K512" s="414"/>
      <c r="L512" s="414"/>
      <c r="M512" s="414"/>
      <c r="N512" s="414"/>
      <c r="O512" s="447" t="s">
        <v>922</v>
      </c>
      <c r="P512" s="448"/>
      <c r="Q512" s="449"/>
      <c r="R512" s="13"/>
      <c r="S512" s="13"/>
      <c r="T512" s="13"/>
      <c r="U512" s="13"/>
      <c r="V512" s="13"/>
      <c r="W512" s="13"/>
    </row>
    <row r="513" spans="2:24" ht="15" customHeight="1" x14ac:dyDescent="0.25">
      <c r="B513" s="413"/>
      <c r="C513" s="414" t="s">
        <v>885</v>
      </c>
      <c r="D513" s="414"/>
      <c r="E513" s="414"/>
      <c r="F513" s="414" t="s">
        <v>886</v>
      </c>
      <c r="G513" s="414"/>
      <c r="H513" s="414"/>
      <c r="I513" s="414" t="s">
        <v>2</v>
      </c>
      <c r="J513" s="414"/>
      <c r="K513" s="414"/>
      <c r="L513" s="414" t="s">
        <v>3</v>
      </c>
      <c r="M513" s="414"/>
      <c r="N513" s="414"/>
      <c r="O513" s="450"/>
      <c r="P513" s="451"/>
      <c r="Q513" s="452"/>
      <c r="R513" s="13"/>
      <c r="S513" s="13"/>
      <c r="T513" s="13"/>
      <c r="U513" s="13"/>
      <c r="V513" s="13"/>
      <c r="W513" s="13"/>
    </row>
    <row r="514" spans="2:24" x14ac:dyDescent="0.25">
      <c r="B514" s="413"/>
      <c r="C514" s="161" t="s">
        <v>73</v>
      </c>
      <c r="D514" s="161" t="s">
        <v>74</v>
      </c>
      <c r="E514" s="161" t="s">
        <v>25</v>
      </c>
      <c r="F514" s="161" t="s">
        <v>73</v>
      </c>
      <c r="G514" s="161" t="s">
        <v>74</v>
      </c>
      <c r="H514" s="161" t="s">
        <v>25</v>
      </c>
      <c r="I514" s="161" t="s">
        <v>73</v>
      </c>
      <c r="J514" s="161" t="s">
        <v>74</v>
      </c>
      <c r="K514" s="161" t="s">
        <v>25</v>
      </c>
      <c r="L514" s="161" t="s">
        <v>73</v>
      </c>
      <c r="M514" s="161" t="s">
        <v>74</v>
      </c>
      <c r="N514" s="161" t="s">
        <v>25</v>
      </c>
      <c r="O514" s="299" t="s">
        <v>73</v>
      </c>
      <c r="P514" s="299" t="s">
        <v>74</v>
      </c>
      <c r="Q514" s="299" t="s">
        <v>25</v>
      </c>
      <c r="R514" s="13"/>
      <c r="S514" s="13"/>
      <c r="T514" s="13"/>
      <c r="U514" s="13"/>
      <c r="V514" s="13"/>
      <c r="W514" s="13"/>
    </row>
    <row r="515" spans="2:24" x14ac:dyDescent="0.25">
      <c r="B515" s="235" t="s">
        <v>373</v>
      </c>
      <c r="C515" s="269"/>
      <c r="D515" s="269"/>
      <c r="E515" s="269"/>
      <c r="F515" s="269">
        <v>1</v>
      </c>
      <c r="G515" s="269">
        <v>1</v>
      </c>
      <c r="H515" s="269">
        <v>2</v>
      </c>
      <c r="I515" s="269"/>
      <c r="J515" s="269"/>
      <c r="K515" s="269"/>
      <c r="L515" s="269"/>
      <c r="M515" s="269"/>
      <c r="N515" s="269"/>
      <c r="O515" s="324">
        <v>1</v>
      </c>
      <c r="P515" s="324">
        <v>1</v>
      </c>
      <c r="Q515" s="324">
        <v>2</v>
      </c>
      <c r="R515" s="13"/>
      <c r="S515" s="13"/>
      <c r="T515" s="13"/>
      <c r="U515" s="13"/>
      <c r="V515" s="13"/>
      <c r="W515" s="13"/>
      <c r="X515" s="13"/>
    </row>
    <row r="516" spans="2:24" x14ac:dyDescent="0.25">
      <c r="B516" s="235" t="s">
        <v>376</v>
      </c>
      <c r="C516" s="269">
        <v>2</v>
      </c>
      <c r="D516" s="269">
        <v>3</v>
      </c>
      <c r="E516" s="269">
        <v>5</v>
      </c>
      <c r="F516" s="269">
        <v>29</v>
      </c>
      <c r="G516" s="269">
        <v>33</v>
      </c>
      <c r="H516" s="269">
        <v>62</v>
      </c>
      <c r="I516" s="269">
        <v>1</v>
      </c>
      <c r="J516" s="269">
        <v>4</v>
      </c>
      <c r="K516" s="269">
        <v>5</v>
      </c>
      <c r="L516" s="269"/>
      <c r="M516" s="269"/>
      <c r="N516" s="269"/>
      <c r="O516" s="324">
        <v>32</v>
      </c>
      <c r="P516" s="324">
        <v>40</v>
      </c>
      <c r="Q516" s="324">
        <v>72</v>
      </c>
      <c r="R516" s="13"/>
      <c r="S516" s="13"/>
      <c r="T516" s="13"/>
      <c r="U516" s="13"/>
      <c r="V516" s="13"/>
      <c r="W516" s="13"/>
      <c r="X516" s="13"/>
    </row>
    <row r="517" spans="2:24" x14ac:dyDescent="0.25">
      <c r="B517" s="236" t="s">
        <v>377</v>
      </c>
      <c r="C517" s="272">
        <v>1</v>
      </c>
      <c r="D517" s="272">
        <v>1</v>
      </c>
      <c r="E517" s="272">
        <v>2</v>
      </c>
      <c r="F517" s="272">
        <v>11</v>
      </c>
      <c r="G517" s="272">
        <v>13</v>
      </c>
      <c r="H517" s="272">
        <v>24</v>
      </c>
      <c r="I517" s="272">
        <v>2</v>
      </c>
      <c r="J517" s="272">
        <v>1</v>
      </c>
      <c r="K517" s="272">
        <v>3</v>
      </c>
      <c r="L517" s="272">
        <v>1</v>
      </c>
      <c r="M517" s="272">
        <v>1</v>
      </c>
      <c r="N517" s="272">
        <v>2</v>
      </c>
      <c r="O517" s="324">
        <v>15</v>
      </c>
      <c r="P517" s="324">
        <v>16</v>
      </c>
      <c r="Q517" s="324">
        <v>31</v>
      </c>
      <c r="R517" s="13"/>
      <c r="S517" s="13"/>
      <c r="T517" s="13"/>
      <c r="U517" s="13"/>
      <c r="V517" s="13"/>
      <c r="W517" s="13"/>
      <c r="X517" s="13"/>
    </row>
    <row r="518" spans="2:24" x14ac:dyDescent="0.25">
      <c r="B518" s="236" t="s">
        <v>378</v>
      </c>
      <c r="C518" s="269"/>
      <c r="D518" s="269"/>
      <c r="E518" s="269"/>
      <c r="F518" s="269">
        <v>3</v>
      </c>
      <c r="G518" s="269"/>
      <c r="H518" s="269">
        <v>3</v>
      </c>
      <c r="I518" s="269"/>
      <c r="J518" s="269"/>
      <c r="K518" s="269"/>
      <c r="L518" s="269"/>
      <c r="M518" s="269"/>
      <c r="N518" s="269"/>
      <c r="O518" s="324">
        <v>3</v>
      </c>
      <c r="P518" s="324"/>
      <c r="Q518" s="324">
        <v>3</v>
      </c>
      <c r="R518" s="13"/>
      <c r="S518" s="13"/>
      <c r="T518" s="13"/>
      <c r="U518" s="13"/>
      <c r="V518" s="13"/>
      <c r="W518" s="13"/>
      <c r="X518" s="13"/>
    </row>
    <row r="519" spans="2:24" x14ac:dyDescent="0.25">
      <c r="B519" s="236" t="s">
        <v>379</v>
      </c>
      <c r="C519" s="269">
        <v>16</v>
      </c>
      <c r="D519" s="269">
        <v>20</v>
      </c>
      <c r="E519" s="269">
        <v>36</v>
      </c>
      <c r="F519" s="269">
        <v>235</v>
      </c>
      <c r="G519" s="269">
        <v>196</v>
      </c>
      <c r="H519" s="269">
        <v>431</v>
      </c>
      <c r="I519" s="269">
        <v>25</v>
      </c>
      <c r="J519" s="269">
        <v>7</v>
      </c>
      <c r="K519" s="269">
        <v>32</v>
      </c>
      <c r="L519" s="269">
        <v>9</v>
      </c>
      <c r="M519" s="269">
        <v>19</v>
      </c>
      <c r="N519" s="269">
        <v>28</v>
      </c>
      <c r="O519" s="324">
        <v>285</v>
      </c>
      <c r="P519" s="324">
        <v>242</v>
      </c>
      <c r="Q519" s="324">
        <v>527</v>
      </c>
      <c r="R519" s="13"/>
      <c r="S519" s="13"/>
      <c r="T519" s="13"/>
      <c r="U519" s="13"/>
      <c r="V519" s="13"/>
      <c r="W519" s="13"/>
      <c r="X519" s="13"/>
    </row>
    <row r="520" spans="2:24" x14ac:dyDescent="0.25">
      <c r="B520" s="236" t="s">
        <v>382</v>
      </c>
      <c r="C520" s="269"/>
      <c r="D520" s="269"/>
      <c r="E520" s="269"/>
      <c r="F520" s="269"/>
      <c r="G520" s="269">
        <v>1</v>
      </c>
      <c r="H520" s="269">
        <v>1</v>
      </c>
      <c r="I520" s="269"/>
      <c r="J520" s="269"/>
      <c r="K520" s="269"/>
      <c r="L520" s="269"/>
      <c r="M520" s="269"/>
      <c r="N520" s="269"/>
      <c r="O520" s="324"/>
      <c r="P520" s="324">
        <v>1</v>
      </c>
      <c r="Q520" s="324">
        <v>1</v>
      </c>
      <c r="R520" s="13"/>
      <c r="S520" s="13"/>
      <c r="T520" s="13"/>
      <c r="U520" s="13"/>
      <c r="V520" s="13"/>
      <c r="W520" s="13"/>
      <c r="X520" s="13"/>
    </row>
    <row r="521" spans="2:24" x14ac:dyDescent="0.25">
      <c r="B521" s="236" t="s">
        <v>383</v>
      </c>
      <c r="C521" s="269"/>
      <c r="D521" s="269">
        <v>1</v>
      </c>
      <c r="E521" s="269">
        <v>1</v>
      </c>
      <c r="F521" s="269"/>
      <c r="G521" s="269"/>
      <c r="H521" s="269"/>
      <c r="I521" s="269"/>
      <c r="J521" s="269"/>
      <c r="K521" s="269"/>
      <c r="L521" s="269"/>
      <c r="M521" s="269"/>
      <c r="N521" s="269"/>
      <c r="O521" s="324"/>
      <c r="P521" s="324">
        <v>1</v>
      </c>
      <c r="Q521" s="324">
        <v>1</v>
      </c>
      <c r="R521" s="13"/>
      <c r="S521" s="13"/>
      <c r="T521" s="13"/>
      <c r="U521" s="13"/>
      <c r="V521" s="13"/>
      <c r="W521" s="13"/>
      <c r="X521" s="13"/>
    </row>
    <row r="522" spans="2:24" x14ac:dyDescent="0.25">
      <c r="B522" s="371" t="s">
        <v>923</v>
      </c>
      <c r="C522" s="310">
        <v>19</v>
      </c>
      <c r="D522" s="310">
        <v>25</v>
      </c>
      <c r="E522" s="310">
        <v>44</v>
      </c>
      <c r="F522" s="310">
        <v>279</v>
      </c>
      <c r="G522" s="310">
        <v>244</v>
      </c>
      <c r="H522" s="294">
        <v>523</v>
      </c>
      <c r="I522" s="310">
        <v>28</v>
      </c>
      <c r="J522" s="294">
        <v>12</v>
      </c>
      <c r="K522" s="310">
        <v>40</v>
      </c>
      <c r="L522" s="294">
        <v>10</v>
      </c>
      <c r="M522" s="310">
        <v>20</v>
      </c>
      <c r="N522" s="294">
        <v>30</v>
      </c>
      <c r="O522" s="324">
        <v>336</v>
      </c>
      <c r="P522" s="324">
        <v>301</v>
      </c>
      <c r="Q522" s="324">
        <v>637</v>
      </c>
      <c r="R522" s="13"/>
      <c r="S522" s="13"/>
      <c r="T522" s="13"/>
      <c r="U522" s="13"/>
      <c r="V522" s="13"/>
      <c r="W522" s="13"/>
      <c r="X522" s="13"/>
    </row>
    <row r="523" spans="2:24" ht="85.5" customHeight="1" x14ac:dyDescent="0.25">
      <c r="B523" s="445" t="s">
        <v>938</v>
      </c>
      <c r="C523" s="445"/>
      <c r="D523" s="445"/>
      <c r="E523" s="445"/>
      <c r="F523" s="445"/>
      <c r="G523" s="445"/>
      <c r="H523" s="445"/>
      <c r="I523" s="445"/>
      <c r="J523" s="445"/>
      <c r="K523" s="445"/>
      <c r="L523" s="445"/>
      <c r="M523" s="445"/>
      <c r="N523" s="445"/>
      <c r="O523" s="445"/>
      <c r="P523" s="445"/>
      <c r="Q523" s="445"/>
      <c r="R523" s="13"/>
      <c r="S523" s="13"/>
      <c r="T523" s="13"/>
      <c r="U523" s="13"/>
      <c r="V523" s="13"/>
      <c r="W523" s="13"/>
    </row>
    <row r="524" spans="2:24" x14ac:dyDescent="0.25">
      <c r="B524" s="158"/>
      <c r="C524" s="158"/>
      <c r="D524" s="158"/>
      <c r="E524"/>
      <c r="F524"/>
      <c r="G524"/>
      <c r="H524" s="13"/>
      <c r="I524" s="13"/>
      <c r="J524" s="13"/>
      <c r="K524" s="13"/>
      <c r="L524" s="13"/>
      <c r="M524" s="13"/>
      <c r="N524" s="13"/>
      <c r="O524" s="13"/>
      <c r="P524" s="13"/>
      <c r="Q524" s="13"/>
      <c r="R524" s="13"/>
      <c r="S524" s="13"/>
      <c r="T524" s="13"/>
      <c r="U524" s="13"/>
      <c r="V524" s="13"/>
      <c r="W524" s="13"/>
    </row>
    <row r="525" spans="2:24" x14ac:dyDescent="0.25">
      <c r="B525" s="158"/>
      <c r="C525" s="158"/>
      <c r="D525" s="158"/>
      <c r="E525" s="158"/>
      <c r="F525" s="158"/>
      <c r="G525"/>
      <c r="H525" s="13"/>
      <c r="I525" s="13"/>
      <c r="J525" s="13"/>
      <c r="K525" s="13"/>
      <c r="L525" s="13"/>
      <c r="M525" s="13"/>
      <c r="N525" s="13"/>
      <c r="O525" s="13"/>
      <c r="P525" s="13"/>
      <c r="Q525" s="13"/>
      <c r="R525" s="13"/>
      <c r="S525" s="13"/>
      <c r="T525" s="13"/>
      <c r="U525" s="13"/>
      <c r="V525" s="13"/>
      <c r="W525" s="13"/>
    </row>
    <row r="545" spans="2:23" x14ac:dyDescent="0.25">
      <c r="B545" s="158"/>
      <c r="C545" s="158"/>
      <c r="D545" s="158"/>
      <c r="E545" s="158"/>
      <c r="F545" s="158"/>
      <c r="G545"/>
      <c r="H545" s="13"/>
      <c r="I545" s="13"/>
      <c r="J545" s="13"/>
      <c r="K545" s="13"/>
      <c r="L545" s="13"/>
      <c r="M545" s="13"/>
      <c r="N545" s="13"/>
      <c r="O545" s="13"/>
      <c r="P545" s="13"/>
      <c r="Q545" s="13"/>
      <c r="R545" s="13"/>
      <c r="S545" s="13"/>
      <c r="T545" s="13"/>
      <c r="U545" s="13"/>
      <c r="V545" s="13"/>
      <c r="W545" s="13"/>
    </row>
    <row r="546" spans="2:23" x14ac:dyDescent="0.25">
      <c r="B546" s="158"/>
      <c r="C546" s="158"/>
      <c r="D546" s="158"/>
      <c r="E546" s="158"/>
      <c r="F546" s="158"/>
      <c r="G546"/>
      <c r="H546" s="13"/>
      <c r="I546" s="13"/>
      <c r="J546" s="13"/>
      <c r="K546" s="13"/>
      <c r="L546" s="13"/>
      <c r="M546" s="13"/>
      <c r="N546" s="13"/>
      <c r="O546" s="13"/>
      <c r="P546" s="13"/>
      <c r="Q546" s="13"/>
      <c r="R546" s="13"/>
      <c r="S546" s="13"/>
      <c r="T546" s="13"/>
      <c r="U546" s="13"/>
      <c r="V546" s="13"/>
      <c r="W546" s="13"/>
    </row>
    <row r="575" spans="2:23" x14ac:dyDescent="0.25">
      <c r="B575" s="158"/>
      <c r="C575" s="190"/>
      <c r="D575" s="190"/>
      <c r="E575" s="190"/>
      <c r="F575" s="190"/>
      <c r="G575"/>
      <c r="H575" s="13"/>
      <c r="I575" s="13"/>
      <c r="J575" s="13"/>
      <c r="K575" s="13"/>
      <c r="L575" s="13"/>
      <c r="M575" s="13"/>
      <c r="N575" s="13"/>
      <c r="O575" s="13"/>
      <c r="P575" s="13"/>
      <c r="Q575" s="13"/>
      <c r="R575" s="13"/>
      <c r="S575" s="13"/>
      <c r="T575" s="13"/>
      <c r="U575" s="13"/>
      <c r="V575" s="13"/>
      <c r="W575" s="13"/>
    </row>
    <row r="576" spans="2:23" x14ac:dyDescent="0.25">
      <c r="G576"/>
      <c r="H576" s="13"/>
      <c r="I576" s="13"/>
      <c r="J576" s="13"/>
      <c r="K576" s="13"/>
      <c r="L576" s="13"/>
      <c r="M576" s="13"/>
      <c r="N576" s="13"/>
      <c r="O576" s="13"/>
      <c r="P576" s="13"/>
      <c r="Q576" s="13"/>
      <c r="R576" s="13"/>
      <c r="S576" s="13"/>
      <c r="T576" s="13"/>
      <c r="U576" s="13"/>
      <c r="V576" s="13"/>
      <c r="W576" s="13"/>
    </row>
    <row r="577" spans="7:23" x14ac:dyDescent="0.25">
      <c r="G577"/>
      <c r="H577" s="13"/>
      <c r="I577" s="13"/>
      <c r="J577" s="13"/>
      <c r="K577" s="13"/>
      <c r="L577" s="13"/>
      <c r="M577" s="13"/>
      <c r="N577" s="13"/>
      <c r="O577" s="13"/>
      <c r="P577" s="13"/>
      <c r="Q577" s="13"/>
      <c r="R577" s="13"/>
      <c r="S577" s="13"/>
      <c r="T577" s="13"/>
      <c r="U577" s="13"/>
      <c r="V577" s="13"/>
      <c r="W577" s="13"/>
    </row>
    <row r="578" spans="7:23" x14ac:dyDescent="0.25">
      <c r="G578"/>
      <c r="H578" s="13"/>
      <c r="I578" s="13"/>
      <c r="J578" s="13"/>
      <c r="K578" s="13"/>
      <c r="L578" s="13"/>
      <c r="M578" s="13"/>
      <c r="N578" s="13"/>
      <c r="O578" s="13"/>
      <c r="P578" s="13"/>
      <c r="Q578" s="13"/>
      <c r="R578" s="13"/>
      <c r="S578" s="13"/>
      <c r="T578" s="13"/>
      <c r="U578" s="13"/>
      <c r="V578" s="13"/>
      <c r="W578" s="13"/>
    </row>
    <row r="579" spans="7:23" x14ac:dyDescent="0.25">
      <c r="G579"/>
      <c r="H579" s="13"/>
      <c r="I579" s="13"/>
      <c r="J579" s="13"/>
      <c r="K579" s="13"/>
      <c r="L579" s="13"/>
      <c r="M579" s="13"/>
      <c r="N579" s="13"/>
      <c r="O579" s="13"/>
      <c r="P579" s="13"/>
      <c r="Q579" s="13"/>
      <c r="R579" s="13"/>
      <c r="S579" s="13"/>
      <c r="T579" s="13"/>
      <c r="U579" s="13"/>
      <c r="V579" s="13"/>
      <c r="W579" s="13"/>
    </row>
    <row r="580" spans="7:23" x14ac:dyDescent="0.25">
      <c r="G580" s="13"/>
      <c r="H580" s="13"/>
      <c r="I580" s="13"/>
      <c r="J580" s="13"/>
      <c r="K580" s="13"/>
      <c r="L580" s="13"/>
      <c r="M580" s="13"/>
      <c r="N580" s="13"/>
      <c r="O580" s="13"/>
      <c r="P580" s="13"/>
      <c r="Q580" s="13"/>
      <c r="R580" s="13"/>
      <c r="S580" s="13"/>
      <c r="T580" s="13"/>
      <c r="U580" s="13"/>
      <c r="V580" s="13"/>
      <c r="W580" s="13"/>
    </row>
    <row r="581" spans="7:23" ht="34.5" customHeight="1" x14ac:dyDescent="0.25">
      <c r="G581" s="13"/>
      <c r="H581" s="13"/>
      <c r="I581" s="13"/>
      <c r="J581" s="13"/>
      <c r="K581" s="13"/>
      <c r="L581" s="13"/>
      <c r="M581" s="13"/>
      <c r="N581" s="13"/>
      <c r="O581" s="13"/>
      <c r="P581" s="13"/>
      <c r="Q581" s="13"/>
      <c r="R581" s="13"/>
    </row>
  </sheetData>
  <mergeCells count="145">
    <mergeCell ref="C32:N32"/>
    <mergeCell ref="O32:Q33"/>
    <mergeCell ref="C33:E33"/>
    <mergeCell ref="F33:H33"/>
    <mergeCell ref="I33:K33"/>
    <mergeCell ref="L33:N33"/>
    <mergeCell ref="B52:Q52"/>
    <mergeCell ref="B119:B121"/>
    <mergeCell ref="B98:Q98"/>
    <mergeCell ref="C59:N59"/>
    <mergeCell ref="O59:Q60"/>
    <mergeCell ref="C60:E60"/>
    <mergeCell ref="F60:H60"/>
    <mergeCell ref="I60:K60"/>
    <mergeCell ref="L60:N60"/>
    <mergeCell ref="B86:B88"/>
    <mergeCell ref="B138:Q138"/>
    <mergeCell ref="B285:Q285"/>
    <mergeCell ref="C143:E143"/>
    <mergeCell ref="F143:H143"/>
    <mergeCell ref="I143:K143"/>
    <mergeCell ref="L143:N143"/>
    <mergeCell ref="O248:Q249"/>
    <mergeCell ref="C249:E249"/>
    <mergeCell ref="F249:H249"/>
    <mergeCell ref="I249:K249"/>
    <mergeCell ref="L249:N249"/>
    <mergeCell ref="C142:N142"/>
    <mergeCell ref="B184:Q184"/>
    <mergeCell ref="B142:B144"/>
    <mergeCell ref="B248:B250"/>
    <mergeCell ref="B491:Q491"/>
    <mergeCell ref="B508:Q508"/>
    <mergeCell ref="C119:N119"/>
    <mergeCell ref="C248:N248"/>
    <mergeCell ref="B356:B358"/>
    <mergeCell ref="O102:Q103"/>
    <mergeCell ref="C103:E103"/>
    <mergeCell ref="F103:H103"/>
    <mergeCell ref="I103:K103"/>
    <mergeCell ref="L103:N103"/>
    <mergeCell ref="O119:Q120"/>
    <mergeCell ref="C120:E120"/>
    <mergeCell ref="F120:H120"/>
    <mergeCell ref="I120:K120"/>
    <mergeCell ref="L120:N120"/>
    <mergeCell ref="C102:N102"/>
    <mergeCell ref="B115:Q115"/>
    <mergeCell ref="B102:B104"/>
    <mergeCell ref="F328:H328"/>
    <mergeCell ref="I328:K328"/>
    <mergeCell ref="L328:N328"/>
    <mergeCell ref="B327:B329"/>
    <mergeCell ref="O142:Q143"/>
    <mergeCell ref="B393:Q393"/>
    <mergeCell ref="O7:Q8"/>
    <mergeCell ref="C71:N71"/>
    <mergeCell ref="O71:Q72"/>
    <mergeCell ref="C72:E72"/>
    <mergeCell ref="F72:H72"/>
    <mergeCell ref="I72:K72"/>
    <mergeCell ref="L72:N72"/>
    <mergeCell ref="O86:Q87"/>
    <mergeCell ref="C87:E87"/>
    <mergeCell ref="F87:H87"/>
    <mergeCell ref="I87:K87"/>
    <mergeCell ref="L87:N87"/>
    <mergeCell ref="C86:N86"/>
    <mergeCell ref="C7:N7"/>
    <mergeCell ref="F8:H8"/>
    <mergeCell ref="I8:K8"/>
    <mergeCell ref="L8:N8"/>
    <mergeCell ref="B82:Q82"/>
    <mergeCell ref="B27:Q27"/>
    <mergeCell ref="C8:E8"/>
    <mergeCell ref="B71:B73"/>
    <mergeCell ref="B7:B9"/>
    <mergeCell ref="I54:I55"/>
    <mergeCell ref="B32:B34"/>
    <mergeCell ref="O289:Q290"/>
    <mergeCell ref="C290:E290"/>
    <mergeCell ref="F290:H290"/>
    <mergeCell ref="I290:K290"/>
    <mergeCell ref="L290:N290"/>
    <mergeCell ref="O356:Q357"/>
    <mergeCell ref="C357:E357"/>
    <mergeCell ref="F357:H357"/>
    <mergeCell ref="I357:K357"/>
    <mergeCell ref="L357:N357"/>
    <mergeCell ref="C289:N289"/>
    <mergeCell ref="B323:Q323"/>
    <mergeCell ref="B289:B291"/>
    <mergeCell ref="C356:N356"/>
    <mergeCell ref="B352:Q352"/>
    <mergeCell ref="C327:N327"/>
    <mergeCell ref="O327:Q328"/>
    <mergeCell ref="C328:E328"/>
    <mergeCell ref="B495:B497"/>
    <mergeCell ref="B457:B459"/>
    <mergeCell ref="B397:B399"/>
    <mergeCell ref="O457:Q458"/>
    <mergeCell ref="C458:E458"/>
    <mergeCell ref="F458:H458"/>
    <mergeCell ref="I458:K458"/>
    <mergeCell ref="L458:N458"/>
    <mergeCell ref="C495:N495"/>
    <mergeCell ref="C457:N457"/>
    <mergeCell ref="O397:Q398"/>
    <mergeCell ref="C398:E398"/>
    <mergeCell ref="F398:H398"/>
    <mergeCell ref="I398:K398"/>
    <mergeCell ref="L398:N398"/>
    <mergeCell ref="O495:Q496"/>
    <mergeCell ref="C496:E496"/>
    <mergeCell ref="F496:H496"/>
    <mergeCell ref="I496:K496"/>
    <mergeCell ref="L496:N496"/>
    <mergeCell ref="B433:Q433"/>
    <mergeCell ref="C437:N437"/>
    <mergeCell ref="O437:Q438"/>
    <mergeCell ref="C397:N397"/>
    <mergeCell ref="B523:Q523"/>
    <mergeCell ref="C189:E189"/>
    <mergeCell ref="F189:H189"/>
    <mergeCell ref="I189:K189"/>
    <mergeCell ref="L189:N189"/>
    <mergeCell ref="B188:B190"/>
    <mergeCell ref="B512:B514"/>
    <mergeCell ref="B453:Q453"/>
    <mergeCell ref="B59:B61"/>
    <mergeCell ref="B437:B439"/>
    <mergeCell ref="C512:N512"/>
    <mergeCell ref="O512:Q513"/>
    <mergeCell ref="C513:E513"/>
    <mergeCell ref="F513:H513"/>
    <mergeCell ref="B67:Q67"/>
    <mergeCell ref="I513:K513"/>
    <mergeCell ref="L513:N513"/>
    <mergeCell ref="C188:N188"/>
    <mergeCell ref="B244:Q244"/>
    <mergeCell ref="O188:Q189"/>
    <mergeCell ref="C438:E438"/>
    <mergeCell ref="F438:H438"/>
    <mergeCell ref="I438:K438"/>
    <mergeCell ref="L438:N438"/>
  </mergeCells>
  <pageMargins left="0.7" right="0.7" top="0.75" bottom="0.75" header="0.3" footer="0.3"/>
  <pageSetup scale="80"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3DA61-EDFA-4100-AF6C-008EEA2BB70F}">
  <sheetPr>
    <tabColor rgb="FF00B0F0"/>
  </sheetPr>
  <dimension ref="B2:Q542"/>
  <sheetViews>
    <sheetView showGridLines="0" zoomScaleNormal="100" workbookViewId="0"/>
  </sheetViews>
  <sheetFormatPr baseColWidth="10" defaultColWidth="11.5703125" defaultRowHeight="15" x14ac:dyDescent="0.25"/>
  <cols>
    <col min="1" max="1" width="6.7109375" style="7" customWidth="1"/>
    <col min="2" max="2" width="39.5703125" style="7" customWidth="1"/>
    <col min="3" max="3" width="13.28515625" style="7" customWidth="1"/>
    <col min="4" max="4" width="13.5703125" style="7" bestFit="1" customWidth="1"/>
    <col min="5" max="5" width="13.85546875" style="7" customWidth="1"/>
    <col min="6" max="6" width="14.7109375" style="7" customWidth="1"/>
    <col min="7" max="7" width="10" style="7" customWidth="1"/>
    <col min="8" max="8" width="12.28515625" style="7" customWidth="1"/>
    <col min="9" max="16" width="11.5703125" style="7" customWidth="1"/>
    <col min="17" max="17" width="11.140625" style="7" customWidth="1"/>
    <col min="18" max="16384" width="11.5703125" style="7"/>
  </cols>
  <sheetData>
    <row r="2" spans="2:17" ht="23.25" x14ac:dyDescent="0.25">
      <c r="B2" s="1" t="s">
        <v>859</v>
      </c>
    </row>
    <row r="4" spans="2:17" ht="18.75" x14ac:dyDescent="0.3">
      <c r="B4" s="2" t="s">
        <v>764</v>
      </c>
      <c r="C4" s="2"/>
      <c r="D4" s="2"/>
      <c r="E4" s="8"/>
      <c r="F4" s="8"/>
      <c r="G4" s="8"/>
    </row>
    <row r="5" spans="2:17" x14ac:dyDescent="0.25">
      <c r="B5" s="15" t="s">
        <v>866</v>
      </c>
    </row>
    <row r="7" spans="2:17" ht="15" customHeight="1" x14ac:dyDescent="0.25">
      <c r="B7" s="413" t="s">
        <v>521</v>
      </c>
      <c r="C7" s="414" t="s">
        <v>477</v>
      </c>
      <c r="D7" s="414"/>
      <c r="E7" s="414"/>
      <c r="F7" s="414"/>
      <c r="G7" s="414"/>
      <c r="H7" s="414"/>
      <c r="I7" s="414"/>
      <c r="J7" s="414"/>
      <c r="K7" s="414"/>
      <c r="L7" s="414"/>
      <c r="M7" s="414"/>
      <c r="N7" s="414"/>
      <c r="O7" s="447" t="s">
        <v>945</v>
      </c>
      <c r="P7" s="448"/>
      <c r="Q7" s="449"/>
    </row>
    <row r="8" spans="2:17" ht="15" customHeight="1" x14ac:dyDescent="0.25">
      <c r="B8" s="413"/>
      <c r="C8" s="414" t="s">
        <v>885</v>
      </c>
      <c r="D8" s="414"/>
      <c r="E8" s="414"/>
      <c r="F8" s="414" t="s">
        <v>886</v>
      </c>
      <c r="G8" s="414"/>
      <c r="H8" s="414"/>
      <c r="I8" s="414" t="s">
        <v>2</v>
      </c>
      <c r="J8" s="414"/>
      <c r="K8" s="414"/>
      <c r="L8" s="414" t="s">
        <v>3</v>
      </c>
      <c r="M8" s="414"/>
      <c r="N8" s="414"/>
      <c r="O8" s="450"/>
      <c r="P8" s="451"/>
      <c r="Q8" s="452"/>
    </row>
    <row r="9" spans="2:17" x14ac:dyDescent="0.25">
      <c r="B9" s="413"/>
      <c r="C9" s="161" t="s">
        <v>73</v>
      </c>
      <c r="D9" s="161" t="s">
        <v>74</v>
      </c>
      <c r="E9" s="161" t="s">
        <v>25</v>
      </c>
      <c r="F9" s="161" t="s">
        <v>73</v>
      </c>
      <c r="G9" s="161" t="s">
        <v>74</v>
      </c>
      <c r="H9" s="161" t="s">
        <v>25</v>
      </c>
      <c r="I9" s="161" t="s">
        <v>73</v>
      </c>
      <c r="J9" s="161" t="s">
        <v>74</v>
      </c>
      <c r="K9" s="161" t="s">
        <v>25</v>
      </c>
      <c r="L9" s="161" t="s">
        <v>73</v>
      </c>
      <c r="M9" s="161" t="s">
        <v>74</v>
      </c>
      <c r="N9" s="161" t="s">
        <v>25</v>
      </c>
      <c r="O9" s="299" t="s">
        <v>73</v>
      </c>
      <c r="P9" s="299" t="s">
        <v>74</v>
      </c>
      <c r="Q9" s="299" t="s">
        <v>25</v>
      </c>
    </row>
    <row r="10" spans="2:17" x14ac:dyDescent="0.25">
      <c r="B10" s="288" t="s">
        <v>519</v>
      </c>
      <c r="C10" s="269">
        <v>3</v>
      </c>
      <c r="D10" s="269"/>
      <c r="E10" s="269">
        <v>3</v>
      </c>
      <c r="F10" s="269">
        <v>217</v>
      </c>
      <c r="G10" s="269">
        <v>201</v>
      </c>
      <c r="H10" s="269">
        <v>418</v>
      </c>
      <c r="I10" s="266">
        <v>2</v>
      </c>
      <c r="J10" s="292">
        <v>2</v>
      </c>
      <c r="K10" s="269">
        <v>4</v>
      </c>
      <c r="L10" s="269">
        <v>9</v>
      </c>
      <c r="M10" s="266">
        <v>14</v>
      </c>
      <c r="N10" s="292">
        <v>23</v>
      </c>
      <c r="O10" s="310">
        <v>231</v>
      </c>
      <c r="P10" s="310">
        <v>217</v>
      </c>
      <c r="Q10" s="310">
        <v>448</v>
      </c>
    </row>
    <row r="11" spans="2:17" x14ac:dyDescent="0.25">
      <c r="B11" s="289" t="s">
        <v>505</v>
      </c>
      <c r="C11" s="269">
        <v>4</v>
      </c>
      <c r="D11" s="269">
        <v>1</v>
      </c>
      <c r="E11" s="269">
        <v>5</v>
      </c>
      <c r="F11" s="269">
        <v>253</v>
      </c>
      <c r="G11" s="269">
        <v>246</v>
      </c>
      <c r="H11" s="269">
        <v>499</v>
      </c>
      <c r="I11" s="266">
        <v>4</v>
      </c>
      <c r="J11" s="292">
        <v>2</v>
      </c>
      <c r="K11" s="269">
        <v>6</v>
      </c>
      <c r="L11" s="269">
        <v>5</v>
      </c>
      <c r="M11" s="266">
        <v>15</v>
      </c>
      <c r="N11" s="292">
        <v>20</v>
      </c>
      <c r="O11" s="310">
        <v>266</v>
      </c>
      <c r="P11" s="310">
        <v>264</v>
      </c>
      <c r="Q11" s="310">
        <v>530</v>
      </c>
    </row>
    <row r="12" spans="2:17" x14ac:dyDescent="0.25">
      <c r="B12" s="289" t="s">
        <v>506</v>
      </c>
      <c r="C12" s="269">
        <v>2</v>
      </c>
      <c r="D12" s="269"/>
      <c r="E12" s="269">
        <v>2</v>
      </c>
      <c r="F12" s="269">
        <v>493</v>
      </c>
      <c r="G12" s="269">
        <v>450</v>
      </c>
      <c r="H12" s="269">
        <v>943</v>
      </c>
      <c r="I12" s="266">
        <v>6</v>
      </c>
      <c r="J12" s="292">
        <v>4</v>
      </c>
      <c r="K12" s="269">
        <v>10</v>
      </c>
      <c r="L12" s="269">
        <v>14</v>
      </c>
      <c r="M12" s="266">
        <v>21</v>
      </c>
      <c r="N12" s="292">
        <v>35</v>
      </c>
      <c r="O12" s="310">
        <v>515</v>
      </c>
      <c r="P12" s="310">
        <v>475</v>
      </c>
      <c r="Q12" s="310">
        <v>990</v>
      </c>
    </row>
    <row r="13" spans="2:17" x14ac:dyDescent="0.25">
      <c r="B13" s="289" t="s">
        <v>507</v>
      </c>
      <c r="C13" s="269">
        <v>5</v>
      </c>
      <c r="D13" s="269">
        <v>1</v>
      </c>
      <c r="E13" s="269">
        <v>6</v>
      </c>
      <c r="F13" s="269">
        <v>326</v>
      </c>
      <c r="G13" s="269">
        <v>289</v>
      </c>
      <c r="H13" s="269">
        <v>615</v>
      </c>
      <c r="I13" s="266">
        <v>6</v>
      </c>
      <c r="J13" s="292">
        <v>5</v>
      </c>
      <c r="K13" s="269">
        <v>11</v>
      </c>
      <c r="L13" s="269">
        <v>4</v>
      </c>
      <c r="M13" s="266">
        <v>11</v>
      </c>
      <c r="N13" s="292">
        <v>15</v>
      </c>
      <c r="O13" s="310">
        <v>341</v>
      </c>
      <c r="P13" s="310">
        <v>306</v>
      </c>
      <c r="Q13" s="310">
        <v>647</v>
      </c>
    </row>
    <row r="14" spans="2:17" x14ac:dyDescent="0.25">
      <c r="B14" s="289" t="s">
        <v>508</v>
      </c>
      <c r="C14" s="269">
        <v>11</v>
      </c>
      <c r="D14" s="269">
        <v>3</v>
      </c>
      <c r="E14" s="269">
        <v>14</v>
      </c>
      <c r="F14" s="269">
        <v>927</v>
      </c>
      <c r="G14" s="269">
        <v>874</v>
      </c>
      <c r="H14" s="269">
        <v>1801</v>
      </c>
      <c r="I14" s="266">
        <v>13</v>
      </c>
      <c r="J14" s="292">
        <v>9</v>
      </c>
      <c r="K14" s="269">
        <v>22</v>
      </c>
      <c r="L14" s="269">
        <v>32</v>
      </c>
      <c r="M14" s="266">
        <v>51</v>
      </c>
      <c r="N14" s="292">
        <v>83</v>
      </c>
      <c r="O14" s="310">
        <v>983</v>
      </c>
      <c r="P14" s="310">
        <v>937</v>
      </c>
      <c r="Q14" s="310">
        <v>1920</v>
      </c>
    </row>
    <row r="15" spans="2:17" x14ac:dyDescent="0.25">
      <c r="B15" s="289" t="s">
        <v>509</v>
      </c>
      <c r="C15" s="269">
        <v>50</v>
      </c>
      <c r="D15" s="269">
        <v>5</v>
      </c>
      <c r="E15" s="269">
        <v>55</v>
      </c>
      <c r="F15" s="269">
        <v>2439</v>
      </c>
      <c r="G15" s="269">
        <v>1957</v>
      </c>
      <c r="H15" s="269">
        <v>4396</v>
      </c>
      <c r="I15" s="266">
        <v>36</v>
      </c>
      <c r="J15" s="292">
        <v>18</v>
      </c>
      <c r="K15" s="269">
        <v>54</v>
      </c>
      <c r="L15" s="269">
        <v>70</v>
      </c>
      <c r="M15" s="266">
        <v>98</v>
      </c>
      <c r="N15" s="292">
        <v>168</v>
      </c>
      <c r="O15" s="310">
        <v>2595</v>
      </c>
      <c r="P15" s="310">
        <v>2078</v>
      </c>
      <c r="Q15" s="310">
        <v>4673</v>
      </c>
    </row>
    <row r="16" spans="2:17" x14ac:dyDescent="0.25">
      <c r="B16" s="289" t="s">
        <v>517</v>
      </c>
      <c r="C16" s="269">
        <v>127</v>
      </c>
      <c r="D16" s="269">
        <v>8</v>
      </c>
      <c r="E16" s="269">
        <v>135</v>
      </c>
      <c r="F16" s="269">
        <v>7985</v>
      </c>
      <c r="G16" s="269">
        <v>6292</v>
      </c>
      <c r="H16" s="269">
        <v>14277</v>
      </c>
      <c r="I16" s="266">
        <v>77</v>
      </c>
      <c r="J16" s="292">
        <v>73</v>
      </c>
      <c r="K16" s="269">
        <v>150</v>
      </c>
      <c r="L16" s="269">
        <v>201</v>
      </c>
      <c r="M16" s="266">
        <v>311</v>
      </c>
      <c r="N16" s="292">
        <v>512</v>
      </c>
      <c r="O16" s="310">
        <v>8390</v>
      </c>
      <c r="P16" s="310">
        <v>6684</v>
      </c>
      <c r="Q16" s="310">
        <v>15074</v>
      </c>
    </row>
    <row r="17" spans="2:17" ht="30" x14ac:dyDescent="0.25">
      <c r="B17" s="289" t="s">
        <v>510</v>
      </c>
      <c r="C17" s="269">
        <v>38</v>
      </c>
      <c r="D17" s="269">
        <v>4</v>
      </c>
      <c r="E17" s="269">
        <v>42</v>
      </c>
      <c r="F17" s="269">
        <v>1194</v>
      </c>
      <c r="G17" s="269">
        <v>1075</v>
      </c>
      <c r="H17" s="269">
        <v>2269</v>
      </c>
      <c r="I17" s="266">
        <v>20</v>
      </c>
      <c r="J17" s="292">
        <v>9</v>
      </c>
      <c r="K17" s="269">
        <v>29</v>
      </c>
      <c r="L17" s="269">
        <v>44</v>
      </c>
      <c r="M17" s="266">
        <v>74</v>
      </c>
      <c r="N17" s="292">
        <v>118</v>
      </c>
      <c r="O17" s="310">
        <v>1296</v>
      </c>
      <c r="P17" s="310">
        <v>1162</v>
      </c>
      <c r="Q17" s="310">
        <v>2458</v>
      </c>
    </row>
    <row r="18" spans="2:17" x14ac:dyDescent="0.25">
      <c r="B18" s="160" t="s">
        <v>511</v>
      </c>
      <c r="C18" s="269">
        <v>59</v>
      </c>
      <c r="D18" s="269">
        <v>7</v>
      </c>
      <c r="E18" s="269">
        <v>66</v>
      </c>
      <c r="F18" s="269">
        <v>1369</v>
      </c>
      <c r="G18" s="269">
        <v>1199</v>
      </c>
      <c r="H18" s="269">
        <v>2568</v>
      </c>
      <c r="I18" s="266">
        <v>20</v>
      </c>
      <c r="J18" s="292">
        <v>20</v>
      </c>
      <c r="K18" s="269">
        <v>40</v>
      </c>
      <c r="L18" s="269">
        <v>38</v>
      </c>
      <c r="M18" s="266">
        <v>68</v>
      </c>
      <c r="N18" s="292">
        <v>106</v>
      </c>
      <c r="O18" s="310">
        <v>1486</v>
      </c>
      <c r="P18" s="310">
        <v>1294</v>
      </c>
      <c r="Q18" s="310">
        <v>2780</v>
      </c>
    </row>
    <row r="19" spans="2:17" x14ac:dyDescent="0.25">
      <c r="B19" s="287" t="s">
        <v>813</v>
      </c>
      <c r="C19" s="269">
        <v>18</v>
      </c>
      <c r="D19" s="269">
        <v>7</v>
      </c>
      <c r="E19" s="269">
        <v>25</v>
      </c>
      <c r="F19" s="269">
        <v>651</v>
      </c>
      <c r="G19" s="269">
        <v>575</v>
      </c>
      <c r="H19" s="269">
        <v>1226</v>
      </c>
      <c r="I19" s="266">
        <v>12</v>
      </c>
      <c r="J19" s="292">
        <v>9</v>
      </c>
      <c r="K19" s="269">
        <v>21</v>
      </c>
      <c r="L19" s="269">
        <v>28</v>
      </c>
      <c r="M19" s="266">
        <v>39</v>
      </c>
      <c r="N19" s="292">
        <v>67</v>
      </c>
      <c r="O19" s="310">
        <v>709</v>
      </c>
      <c r="P19" s="310">
        <v>630</v>
      </c>
      <c r="Q19" s="310">
        <v>1339</v>
      </c>
    </row>
    <row r="20" spans="2:17" x14ac:dyDescent="0.25">
      <c r="B20" s="287" t="s">
        <v>512</v>
      </c>
      <c r="C20" s="269">
        <v>62</v>
      </c>
      <c r="D20" s="269">
        <v>3</v>
      </c>
      <c r="E20" s="269">
        <v>65</v>
      </c>
      <c r="F20" s="269">
        <v>1977</v>
      </c>
      <c r="G20" s="269">
        <v>1826</v>
      </c>
      <c r="H20" s="269">
        <v>3803</v>
      </c>
      <c r="I20" s="266">
        <v>36</v>
      </c>
      <c r="J20" s="292">
        <v>16</v>
      </c>
      <c r="K20" s="269">
        <v>52</v>
      </c>
      <c r="L20" s="269">
        <v>56</v>
      </c>
      <c r="M20" s="266">
        <v>119</v>
      </c>
      <c r="N20" s="292">
        <v>175</v>
      </c>
      <c r="O20" s="310">
        <v>2131</v>
      </c>
      <c r="P20" s="310">
        <v>1964</v>
      </c>
      <c r="Q20" s="310">
        <v>4095</v>
      </c>
    </row>
    <row r="21" spans="2:17" x14ac:dyDescent="0.25">
      <c r="B21" s="287" t="s">
        <v>513</v>
      </c>
      <c r="C21" s="269">
        <v>27</v>
      </c>
      <c r="D21" s="269">
        <v>2</v>
      </c>
      <c r="E21" s="269">
        <v>29</v>
      </c>
      <c r="F21" s="269">
        <v>1291</v>
      </c>
      <c r="G21" s="269">
        <v>1120</v>
      </c>
      <c r="H21" s="269">
        <v>2411</v>
      </c>
      <c r="I21" s="266">
        <v>19</v>
      </c>
      <c r="J21" s="292">
        <v>20</v>
      </c>
      <c r="K21" s="269">
        <v>39</v>
      </c>
      <c r="L21" s="269">
        <v>30</v>
      </c>
      <c r="M21" s="266">
        <v>68</v>
      </c>
      <c r="N21" s="292">
        <v>98</v>
      </c>
      <c r="O21" s="310">
        <v>1367</v>
      </c>
      <c r="P21" s="310">
        <v>1210</v>
      </c>
      <c r="Q21" s="310">
        <v>2577</v>
      </c>
    </row>
    <row r="22" spans="2:17" x14ac:dyDescent="0.25">
      <c r="B22" s="287" t="s">
        <v>518</v>
      </c>
      <c r="C22" s="269">
        <v>22</v>
      </c>
      <c r="D22" s="269">
        <v>3</v>
      </c>
      <c r="E22" s="269">
        <v>25</v>
      </c>
      <c r="F22" s="269">
        <v>498</v>
      </c>
      <c r="G22" s="269">
        <v>446</v>
      </c>
      <c r="H22" s="269">
        <v>944</v>
      </c>
      <c r="I22" s="266">
        <v>10</v>
      </c>
      <c r="J22" s="292">
        <v>2</v>
      </c>
      <c r="K22" s="269">
        <v>12</v>
      </c>
      <c r="L22" s="269">
        <v>17</v>
      </c>
      <c r="M22" s="266">
        <v>30</v>
      </c>
      <c r="N22" s="292">
        <v>47</v>
      </c>
      <c r="O22" s="310">
        <v>547</v>
      </c>
      <c r="P22" s="310">
        <v>481</v>
      </c>
      <c r="Q22" s="310">
        <v>1028</v>
      </c>
    </row>
    <row r="23" spans="2:17" x14ac:dyDescent="0.25">
      <c r="B23" s="287" t="s">
        <v>514</v>
      </c>
      <c r="C23" s="269">
        <v>21</v>
      </c>
      <c r="D23" s="269"/>
      <c r="E23" s="269">
        <v>21</v>
      </c>
      <c r="F23" s="269">
        <v>976</v>
      </c>
      <c r="G23" s="269">
        <v>892</v>
      </c>
      <c r="H23" s="269">
        <v>1868</v>
      </c>
      <c r="I23" s="266">
        <v>23</v>
      </c>
      <c r="J23" s="292">
        <v>12</v>
      </c>
      <c r="K23" s="269">
        <v>35</v>
      </c>
      <c r="L23" s="269">
        <v>42</v>
      </c>
      <c r="M23" s="266">
        <v>84</v>
      </c>
      <c r="N23" s="292">
        <v>126</v>
      </c>
      <c r="O23" s="310">
        <v>1062</v>
      </c>
      <c r="P23" s="310">
        <v>988</v>
      </c>
      <c r="Q23" s="310">
        <v>2050</v>
      </c>
    </row>
    <row r="24" spans="2:17" ht="30" x14ac:dyDescent="0.25">
      <c r="B24" s="160" t="s">
        <v>515</v>
      </c>
      <c r="C24" s="269">
        <v>1</v>
      </c>
      <c r="D24" s="269"/>
      <c r="E24" s="269">
        <v>1</v>
      </c>
      <c r="F24" s="269">
        <v>112</v>
      </c>
      <c r="G24" s="269">
        <v>115</v>
      </c>
      <c r="H24" s="269">
        <v>227</v>
      </c>
      <c r="I24" s="266"/>
      <c r="J24" s="292">
        <v>1</v>
      </c>
      <c r="K24" s="269">
        <v>1</v>
      </c>
      <c r="L24" s="269">
        <v>2</v>
      </c>
      <c r="M24" s="266">
        <v>8</v>
      </c>
      <c r="N24" s="292">
        <v>10</v>
      </c>
      <c r="O24" s="310">
        <v>115</v>
      </c>
      <c r="P24" s="310">
        <v>124</v>
      </c>
      <c r="Q24" s="310">
        <v>239</v>
      </c>
    </row>
    <row r="25" spans="2:17" x14ac:dyDescent="0.25">
      <c r="B25" s="287" t="s">
        <v>516</v>
      </c>
      <c r="C25" s="269">
        <v>3</v>
      </c>
      <c r="D25" s="269"/>
      <c r="E25" s="269">
        <v>3</v>
      </c>
      <c r="F25" s="269">
        <v>197</v>
      </c>
      <c r="G25" s="269">
        <v>146</v>
      </c>
      <c r="H25" s="269">
        <v>343</v>
      </c>
      <c r="I25" s="266">
        <v>2</v>
      </c>
      <c r="J25" s="292">
        <v>2</v>
      </c>
      <c r="K25" s="269">
        <v>4</v>
      </c>
      <c r="L25" s="269">
        <v>4</v>
      </c>
      <c r="M25" s="266">
        <v>10</v>
      </c>
      <c r="N25" s="292">
        <v>14</v>
      </c>
      <c r="O25" s="310">
        <v>206</v>
      </c>
      <c r="P25" s="310">
        <v>158</v>
      </c>
      <c r="Q25" s="310">
        <v>364</v>
      </c>
    </row>
    <row r="26" spans="2:17" x14ac:dyDescent="0.25">
      <c r="B26" s="350" t="s">
        <v>921</v>
      </c>
      <c r="C26" s="310">
        <v>453</v>
      </c>
      <c r="D26" s="310">
        <v>44</v>
      </c>
      <c r="E26" s="310">
        <v>497</v>
      </c>
      <c r="F26" s="310">
        <v>20905</v>
      </c>
      <c r="G26" s="310">
        <v>17703</v>
      </c>
      <c r="H26" s="310">
        <v>38608</v>
      </c>
      <c r="I26" s="310">
        <v>286</v>
      </c>
      <c r="J26" s="310">
        <v>204</v>
      </c>
      <c r="K26" s="310">
        <v>490</v>
      </c>
      <c r="L26" s="310">
        <v>596</v>
      </c>
      <c r="M26" s="310">
        <v>1021</v>
      </c>
      <c r="N26" s="310">
        <v>1617</v>
      </c>
      <c r="O26" s="310">
        <v>22240</v>
      </c>
      <c r="P26" s="310">
        <v>18972</v>
      </c>
      <c r="Q26" s="310">
        <v>41212</v>
      </c>
    </row>
    <row r="27" spans="2:17" ht="81" customHeight="1" x14ac:dyDescent="0.25">
      <c r="B27" s="445" t="s">
        <v>938</v>
      </c>
      <c r="C27" s="445"/>
      <c r="D27" s="445"/>
      <c r="E27" s="445"/>
      <c r="F27" s="445"/>
      <c r="G27" s="445"/>
      <c r="H27" s="445"/>
      <c r="I27" s="445"/>
      <c r="J27" s="445"/>
      <c r="K27" s="445"/>
      <c r="L27" s="445"/>
      <c r="M27" s="445"/>
      <c r="N27" s="445"/>
      <c r="O27" s="445"/>
      <c r="P27" s="445"/>
      <c r="Q27" s="445"/>
    </row>
    <row r="28" spans="2:17" x14ac:dyDescent="0.25">
      <c r="B28" s="13"/>
      <c r="C28" s="13"/>
      <c r="D28" s="13"/>
      <c r="E28" s="13"/>
      <c r="F28" s="13"/>
      <c r="G28" s="13"/>
      <c r="H28" s="13"/>
      <c r="I28" s="13"/>
      <c r="J28" s="13"/>
      <c r="K28" s="13"/>
      <c r="L28" s="13"/>
      <c r="M28" s="13"/>
      <c r="N28" s="13"/>
      <c r="O28" s="13"/>
      <c r="P28" s="13"/>
      <c r="Q28" s="13"/>
    </row>
    <row r="29" spans="2:17" ht="18.75" x14ac:dyDescent="0.3">
      <c r="B29" s="2" t="s">
        <v>861</v>
      </c>
      <c r="C29" s="2"/>
      <c r="D29" s="2"/>
      <c r="E29" s="8"/>
      <c r="F29" s="8"/>
      <c r="G29" s="8"/>
      <c r="H29" s="13"/>
      <c r="I29" s="13"/>
      <c r="J29" s="13"/>
      <c r="K29" s="13"/>
      <c r="L29" s="13"/>
      <c r="M29" s="13"/>
      <c r="N29" s="13"/>
      <c r="O29" s="13"/>
      <c r="P29" s="13"/>
      <c r="Q29" s="13"/>
    </row>
    <row r="30" spans="2:17" x14ac:dyDescent="0.25">
      <c r="B30" s="15" t="s">
        <v>867</v>
      </c>
      <c r="C30" s="13"/>
      <c r="D30" s="13"/>
      <c r="E30" s="13"/>
      <c r="F30" s="13"/>
      <c r="G30" s="13"/>
      <c r="H30" s="13"/>
      <c r="I30" s="13"/>
      <c r="J30" s="13"/>
      <c r="K30" s="13"/>
      <c r="L30" s="13"/>
      <c r="M30" s="13"/>
      <c r="N30" s="13"/>
      <c r="O30" s="13"/>
      <c r="P30" s="13"/>
      <c r="Q30" s="13"/>
    </row>
    <row r="31" spans="2:17" x14ac:dyDescent="0.25">
      <c r="C31" s="13"/>
      <c r="D31" s="13"/>
      <c r="E31" s="13"/>
      <c r="F31" s="13"/>
      <c r="G31" s="13"/>
      <c r="H31" s="13"/>
      <c r="I31" s="13"/>
      <c r="J31" s="13"/>
      <c r="K31" s="13"/>
      <c r="L31" s="13"/>
      <c r="M31" s="13"/>
      <c r="N31" s="13"/>
      <c r="O31" s="13"/>
      <c r="P31" s="13"/>
      <c r="Q31" s="13"/>
    </row>
    <row r="32" spans="2:17" ht="15" customHeight="1" x14ac:dyDescent="0.25">
      <c r="B32" s="413" t="s">
        <v>521</v>
      </c>
      <c r="C32" s="414" t="s">
        <v>477</v>
      </c>
      <c r="D32" s="414"/>
      <c r="E32" s="414"/>
      <c r="F32" s="414"/>
      <c r="G32" s="414"/>
      <c r="H32" s="414"/>
      <c r="I32" s="414"/>
      <c r="J32" s="414"/>
      <c r="K32" s="414"/>
      <c r="L32" s="414"/>
      <c r="M32" s="414"/>
      <c r="N32" s="414"/>
      <c r="O32" s="447" t="s">
        <v>945</v>
      </c>
      <c r="P32" s="448"/>
      <c r="Q32" s="449"/>
    </row>
    <row r="33" spans="2:17" ht="15" customHeight="1" x14ac:dyDescent="0.25">
      <c r="B33" s="413"/>
      <c r="C33" s="414" t="s">
        <v>885</v>
      </c>
      <c r="D33" s="414"/>
      <c r="E33" s="414"/>
      <c r="F33" s="414" t="s">
        <v>886</v>
      </c>
      <c r="G33" s="414"/>
      <c r="H33" s="414"/>
      <c r="I33" s="414" t="s">
        <v>2</v>
      </c>
      <c r="J33" s="414"/>
      <c r="K33" s="414"/>
      <c r="L33" s="414" t="s">
        <v>3</v>
      </c>
      <c r="M33" s="414"/>
      <c r="N33" s="414"/>
      <c r="O33" s="450"/>
      <c r="P33" s="451"/>
      <c r="Q33" s="452"/>
    </row>
    <row r="34" spans="2:17" x14ac:dyDescent="0.25">
      <c r="B34" s="413"/>
      <c r="C34" s="161" t="s">
        <v>73</v>
      </c>
      <c r="D34" s="161" t="s">
        <v>74</v>
      </c>
      <c r="E34" s="161" t="s">
        <v>25</v>
      </c>
      <c r="F34" s="161" t="s">
        <v>73</v>
      </c>
      <c r="G34" s="161" t="s">
        <v>74</v>
      </c>
      <c r="H34" s="161" t="s">
        <v>25</v>
      </c>
      <c r="I34" s="161" t="s">
        <v>73</v>
      </c>
      <c r="J34" s="161" t="s">
        <v>74</v>
      </c>
      <c r="K34" s="161" t="s">
        <v>25</v>
      </c>
      <c r="L34" s="161" t="s">
        <v>73</v>
      </c>
      <c r="M34" s="161" t="s">
        <v>74</v>
      </c>
      <c r="N34" s="161" t="s">
        <v>25</v>
      </c>
      <c r="O34" s="299" t="s">
        <v>73</v>
      </c>
      <c r="P34" s="299" t="s">
        <v>74</v>
      </c>
      <c r="Q34" s="299" t="s">
        <v>25</v>
      </c>
    </row>
    <row r="35" spans="2:17" x14ac:dyDescent="0.25">
      <c r="B35" s="288" t="s">
        <v>519</v>
      </c>
      <c r="C35" s="269">
        <v>85</v>
      </c>
      <c r="D35" s="269">
        <v>24</v>
      </c>
      <c r="E35" s="269">
        <v>109</v>
      </c>
      <c r="F35" s="269">
        <v>1273</v>
      </c>
      <c r="G35" s="269">
        <v>1132</v>
      </c>
      <c r="H35" s="269">
        <v>2405</v>
      </c>
      <c r="I35" s="266">
        <v>86</v>
      </c>
      <c r="J35" s="292">
        <v>66</v>
      </c>
      <c r="K35" s="269">
        <v>152</v>
      </c>
      <c r="L35" s="269">
        <v>63</v>
      </c>
      <c r="M35" s="266">
        <v>94</v>
      </c>
      <c r="N35" s="292">
        <v>157</v>
      </c>
      <c r="O35" s="310">
        <v>1507</v>
      </c>
      <c r="P35" s="310">
        <v>1316</v>
      </c>
      <c r="Q35" s="310">
        <v>2823</v>
      </c>
    </row>
    <row r="36" spans="2:17" x14ac:dyDescent="0.25">
      <c r="B36" s="289" t="s">
        <v>505</v>
      </c>
      <c r="C36" s="269">
        <v>83</v>
      </c>
      <c r="D36" s="269">
        <v>14</v>
      </c>
      <c r="E36" s="269">
        <v>97</v>
      </c>
      <c r="F36" s="269">
        <v>1402</v>
      </c>
      <c r="G36" s="269">
        <v>1445</v>
      </c>
      <c r="H36" s="269">
        <v>2847</v>
      </c>
      <c r="I36" s="266">
        <v>79</v>
      </c>
      <c r="J36" s="292">
        <v>62</v>
      </c>
      <c r="K36" s="269">
        <v>141</v>
      </c>
      <c r="L36" s="269">
        <v>70</v>
      </c>
      <c r="M36" s="266">
        <v>114</v>
      </c>
      <c r="N36" s="292">
        <v>184</v>
      </c>
      <c r="O36" s="310">
        <v>1634</v>
      </c>
      <c r="P36" s="310">
        <v>1635</v>
      </c>
      <c r="Q36" s="310">
        <v>3269</v>
      </c>
    </row>
    <row r="37" spans="2:17" x14ac:dyDescent="0.25">
      <c r="B37" s="289" t="s">
        <v>506</v>
      </c>
      <c r="C37" s="269">
        <v>155</v>
      </c>
      <c r="D37" s="269">
        <v>24</v>
      </c>
      <c r="E37" s="269">
        <v>179</v>
      </c>
      <c r="F37" s="269">
        <v>3136</v>
      </c>
      <c r="G37" s="269">
        <v>2878</v>
      </c>
      <c r="H37" s="269">
        <v>6014</v>
      </c>
      <c r="I37" s="266">
        <v>111</v>
      </c>
      <c r="J37" s="292">
        <v>57</v>
      </c>
      <c r="K37" s="269">
        <v>168</v>
      </c>
      <c r="L37" s="269">
        <v>73</v>
      </c>
      <c r="M37" s="266">
        <v>119</v>
      </c>
      <c r="N37" s="292">
        <v>192</v>
      </c>
      <c r="O37" s="310">
        <v>3475</v>
      </c>
      <c r="P37" s="310">
        <v>3078</v>
      </c>
      <c r="Q37" s="310">
        <v>6553</v>
      </c>
    </row>
    <row r="38" spans="2:17" x14ac:dyDescent="0.25">
      <c r="B38" s="289" t="s">
        <v>507</v>
      </c>
      <c r="C38" s="269">
        <v>129</v>
      </c>
      <c r="D38" s="269">
        <v>31</v>
      </c>
      <c r="E38" s="269">
        <v>160</v>
      </c>
      <c r="F38" s="269">
        <v>1737</v>
      </c>
      <c r="G38" s="269">
        <v>1756</v>
      </c>
      <c r="H38" s="269">
        <v>3493</v>
      </c>
      <c r="I38" s="266">
        <v>91</v>
      </c>
      <c r="J38" s="292">
        <v>60</v>
      </c>
      <c r="K38" s="269">
        <v>151</v>
      </c>
      <c r="L38" s="269">
        <v>43</v>
      </c>
      <c r="M38" s="266">
        <v>103</v>
      </c>
      <c r="N38" s="292">
        <v>146</v>
      </c>
      <c r="O38" s="310">
        <v>2000</v>
      </c>
      <c r="P38" s="310">
        <v>1950</v>
      </c>
      <c r="Q38" s="310">
        <v>3950</v>
      </c>
    </row>
    <row r="39" spans="2:17" x14ac:dyDescent="0.25">
      <c r="B39" s="289" t="s">
        <v>508</v>
      </c>
      <c r="C39" s="269">
        <v>331</v>
      </c>
      <c r="D39" s="269">
        <v>113</v>
      </c>
      <c r="E39" s="269">
        <v>444</v>
      </c>
      <c r="F39" s="269">
        <v>4937</v>
      </c>
      <c r="G39" s="269">
        <v>4700</v>
      </c>
      <c r="H39" s="269">
        <v>9637</v>
      </c>
      <c r="I39" s="266">
        <v>323</v>
      </c>
      <c r="J39" s="292">
        <v>219</v>
      </c>
      <c r="K39" s="269">
        <v>542</v>
      </c>
      <c r="L39" s="269">
        <v>196</v>
      </c>
      <c r="M39" s="266">
        <v>352</v>
      </c>
      <c r="N39" s="292">
        <v>548</v>
      </c>
      <c r="O39" s="310">
        <v>5787</v>
      </c>
      <c r="P39" s="310">
        <v>5384</v>
      </c>
      <c r="Q39" s="310">
        <v>11171</v>
      </c>
    </row>
    <row r="40" spans="2:17" x14ac:dyDescent="0.25">
      <c r="B40" s="289" t="s">
        <v>509</v>
      </c>
      <c r="C40" s="269">
        <v>939</v>
      </c>
      <c r="D40" s="269">
        <v>239</v>
      </c>
      <c r="E40" s="269">
        <v>1178</v>
      </c>
      <c r="F40" s="269">
        <v>13845</v>
      </c>
      <c r="G40" s="269">
        <v>11779</v>
      </c>
      <c r="H40" s="269">
        <v>25624</v>
      </c>
      <c r="I40" s="266">
        <v>519</v>
      </c>
      <c r="J40" s="292">
        <v>383</v>
      </c>
      <c r="K40" s="269">
        <v>902</v>
      </c>
      <c r="L40" s="269">
        <v>488</v>
      </c>
      <c r="M40" s="266">
        <v>753</v>
      </c>
      <c r="N40" s="292">
        <v>1241</v>
      </c>
      <c r="O40" s="310">
        <v>15791</v>
      </c>
      <c r="P40" s="310">
        <v>13154</v>
      </c>
      <c r="Q40" s="310">
        <v>28945</v>
      </c>
    </row>
    <row r="41" spans="2:17" x14ac:dyDescent="0.25">
      <c r="B41" s="289" t="s">
        <v>517</v>
      </c>
      <c r="C41" s="269">
        <v>2522</v>
      </c>
      <c r="D41" s="269">
        <v>548</v>
      </c>
      <c r="E41" s="269">
        <v>3070</v>
      </c>
      <c r="F41" s="269">
        <v>42728</v>
      </c>
      <c r="G41" s="269">
        <v>36222</v>
      </c>
      <c r="H41" s="269">
        <v>78950</v>
      </c>
      <c r="I41" s="266">
        <v>1022</v>
      </c>
      <c r="J41" s="292">
        <v>912</v>
      </c>
      <c r="K41" s="269">
        <v>1934</v>
      </c>
      <c r="L41" s="269">
        <v>1228</v>
      </c>
      <c r="M41" s="266">
        <v>1896</v>
      </c>
      <c r="N41" s="292">
        <v>3124</v>
      </c>
      <c r="O41" s="310">
        <v>47500</v>
      </c>
      <c r="P41" s="310">
        <v>39578</v>
      </c>
      <c r="Q41" s="310">
        <v>87078</v>
      </c>
    </row>
    <row r="42" spans="2:17" ht="30" x14ac:dyDescent="0.25">
      <c r="B42" s="289" t="s">
        <v>510</v>
      </c>
      <c r="C42" s="269">
        <v>563</v>
      </c>
      <c r="D42" s="269">
        <v>217</v>
      </c>
      <c r="E42" s="269">
        <v>780</v>
      </c>
      <c r="F42" s="269">
        <v>6522</v>
      </c>
      <c r="G42" s="269">
        <v>6115</v>
      </c>
      <c r="H42" s="269">
        <v>12637</v>
      </c>
      <c r="I42" s="266">
        <v>388</v>
      </c>
      <c r="J42" s="292">
        <v>204</v>
      </c>
      <c r="K42" s="269">
        <v>592</v>
      </c>
      <c r="L42" s="269">
        <v>340</v>
      </c>
      <c r="M42" s="266">
        <v>565</v>
      </c>
      <c r="N42" s="292">
        <v>905</v>
      </c>
      <c r="O42" s="310">
        <v>7813</v>
      </c>
      <c r="P42" s="310">
        <v>7101</v>
      </c>
      <c r="Q42" s="310">
        <v>14914</v>
      </c>
    </row>
    <row r="43" spans="2:17" x14ac:dyDescent="0.25">
      <c r="B43" s="160" t="s">
        <v>511</v>
      </c>
      <c r="C43" s="269">
        <v>702</v>
      </c>
      <c r="D43" s="269">
        <v>331</v>
      </c>
      <c r="E43" s="269">
        <v>1033</v>
      </c>
      <c r="F43" s="269">
        <v>6925</v>
      </c>
      <c r="G43" s="269">
        <v>6634</v>
      </c>
      <c r="H43" s="269">
        <v>13559</v>
      </c>
      <c r="I43" s="266">
        <v>442</v>
      </c>
      <c r="J43" s="292">
        <v>300</v>
      </c>
      <c r="K43" s="269">
        <v>742</v>
      </c>
      <c r="L43" s="269">
        <v>318</v>
      </c>
      <c r="M43" s="266">
        <v>526</v>
      </c>
      <c r="N43" s="292">
        <v>844</v>
      </c>
      <c r="O43" s="310">
        <v>8387</v>
      </c>
      <c r="P43" s="310">
        <v>7791</v>
      </c>
      <c r="Q43" s="310">
        <v>16178</v>
      </c>
    </row>
    <row r="44" spans="2:17" x14ac:dyDescent="0.25">
      <c r="B44" s="287" t="s">
        <v>813</v>
      </c>
      <c r="C44" s="269">
        <v>360</v>
      </c>
      <c r="D44" s="269">
        <v>158</v>
      </c>
      <c r="E44" s="269">
        <v>518</v>
      </c>
      <c r="F44" s="269">
        <v>3319</v>
      </c>
      <c r="G44" s="269">
        <v>2980</v>
      </c>
      <c r="H44" s="269">
        <v>6299</v>
      </c>
      <c r="I44" s="266">
        <v>407</v>
      </c>
      <c r="J44" s="292">
        <v>206</v>
      </c>
      <c r="K44" s="269">
        <v>613</v>
      </c>
      <c r="L44" s="269">
        <v>197</v>
      </c>
      <c r="M44" s="266">
        <v>325</v>
      </c>
      <c r="N44" s="292">
        <v>522</v>
      </c>
      <c r="O44" s="310">
        <v>4283</v>
      </c>
      <c r="P44" s="310">
        <v>3669</v>
      </c>
      <c r="Q44" s="310">
        <v>7952</v>
      </c>
    </row>
    <row r="45" spans="2:17" x14ac:dyDescent="0.25">
      <c r="B45" s="287" t="s">
        <v>512</v>
      </c>
      <c r="C45" s="269">
        <v>893</v>
      </c>
      <c r="D45" s="269">
        <v>310</v>
      </c>
      <c r="E45" s="269">
        <v>1203</v>
      </c>
      <c r="F45" s="269">
        <v>10398</v>
      </c>
      <c r="G45" s="269">
        <v>9380</v>
      </c>
      <c r="H45" s="269">
        <v>19778</v>
      </c>
      <c r="I45" s="266">
        <v>839</v>
      </c>
      <c r="J45" s="292">
        <v>450</v>
      </c>
      <c r="K45" s="269">
        <v>1289</v>
      </c>
      <c r="L45" s="269">
        <v>425</v>
      </c>
      <c r="M45" s="266">
        <v>728</v>
      </c>
      <c r="N45" s="292">
        <v>1153</v>
      </c>
      <c r="O45" s="310">
        <v>12555</v>
      </c>
      <c r="P45" s="310">
        <v>10868</v>
      </c>
      <c r="Q45" s="310">
        <v>23423</v>
      </c>
    </row>
    <row r="46" spans="2:17" x14ac:dyDescent="0.25">
      <c r="B46" s="287" t="s">
        <v>513</v>
      </c>
      <c r="C46" s="269">
        <v>507</v>
      </c>
      <c r="D46" s="269">
        <v>181</v>
      </c>
      <c r="E46" s="269">
        <v>688</v>
      </c>
      <c r="F46" s="269">
        <v>6098</v>
      </c>
      <c r="G46" s="269">
        <v>5618</v>
      </c>
      <c r="H46" s="269">
        <v>11716</v>
      </c>
      <c r="I46" s="266">
        <v>380</v>
      </c>
      <c r="J46" s="292">
        <v>312</v>
      </c>
      <c r="K46" s="269">
        <v>692</v>
      </c>
      <c r="L46" s="269">
        <v>215</v>
      </c>
      <c r="M46" s="266">
        <v>445</v>
      </c>
      <c r="N46" s="292">
        <v>660</v>
      </c>
      <c r="O46" s="310">
        <v>7200</v>
      </c>
      <c r="P46" s="310">
        <v>6556</v>
      </c>
      <c r="Q46" s="310">
        <v>13756</v>
      </c>
    </row>
    <row r="47" spans="2:17" x14ac:dyDescent="0.25">
      <c r="B47" s="287" t="s">
        <v>518</v>
      </c>
      <c r="C47" s="269">
        <v>269</v>
      </c>
      <c r="D47" s="269">
        <v>88</v>
      </c>
      <c r="E47" s="269">
        <v>357</v>
      </c>
      <c r="F47" s="269">
        <v>2545</v>
      </c>
      <c r="G47" s="269">
        <v>2467</v>
      </c>
      <c r="H47" s="269">
        <v>5012</v>
      </c>
      <c r="I47" s="266">
        <v>260</v>
      </c>
      <c r="J47" s="292">
        <v>131</v>
      </c>
      <c r="K47" s="269">
        <v>391</v>
      </c>
      <c r="L47" s="269">
        <v>120</v>
      </c>
      <c r="M47" s="266">
        <v>281</v>
      </c>
      <c r="N47" s="292">
        <v>401</v>
      </c>
      <c r="O47" s="310">
        <v>3194</v>
      </c>
      <c r="P47" s="310">
        <v>2967</v>
      </c>
      <c r="Q47" s="310">
        <v>6161</v>
      </c>
    </row>
    <row r="48" spans="2:17" x14ac:dyDescent="0.25">
      <c r="B48" s="287" t="s">
        <v>514</v>
      </c>
      <c r="C48" s="269">
        <v>462</v>
      </c>
      <c r="D48" s="269">
        <v>134</v>
      </c>
      <c r="E48" s="269">
        <v>596</v>
      </c>
      <c r="F48" s="269">
        <v>4982</v>
      </c>
      <c r="G48" s="269">
        <v>4709</v>
      </c>
      <c r="H48" s="269">
        <v>9691</v>
      </c>
      <c r="I48" s="266">
        <v>418</v>
      </c>
      <c r="J48" s="292">
        <v>262</v>
      </c>
      <c r="K48" s="269">
        <v>680</v>
      </c>
      <c r="L48" s="269">
        <v>285</v>
      </c>
      <c r="M48" s="266">
        <v>484</v>
      </c>
      <c r="N48" s="292">
        <v>769</v>
      </c>
      <c r="O48" s="310">
        <v>6147</v>
      </c>
      <c r="P48" s="310">
        <v>5589</v>
      </c>
      <c r="Q48" s="310">
        <v>11736</v>
      </c>
    </row>
    <row r="49" spans="2:17" ht="30" x14ac:dyDescent="0.25">
      <c r="B49" s="160" t="s">
        <v>515</v>
      </c>
      <c r="C49" s="269">
        <v>42</v>
      </c>
      <c r="D49" s="269">
        <v>11</v>
      </c>
      <c r="E49" s="269">
        <v>53</v>
      </c>
      <c r="F49" s="269">
        <v>610</v>
      </c>
      <c r="G49" s="269">
        <v>615</v>
      </c>
      <c r="H49" s="269">
        <v>1225</v>
      </c>
      <c r="I49" s="266">
        <v>27</v>
      </c>
      <c r="J49" s="292">
        <v>19</v>
      </c>
      <c r="K49" s="269">
        <v>46</v>
      </c>
      <c r="L49" s="269">
        <v>21</v>
      </c>
      <c r="M49" s="266">
        <v>48</v>
      </c>
      <c r="N49" s="292">
        <v>69</v>
      </c>
      <c r="O49" s="310">
        <v>700</v>
      </c>
      <c r="P49" s="310">
        <v>693</v>
      </c>
      <c r="Q49" s="310">
        <v>1393</v>
      </c>
    </row>
    <row r="50" spans="2:17" x14ac:dyDescent="0.25">
      <c r="B50" s="287" t="s">
        <v>516</v>
      </c>
      <c r="C50" s="269">
        <v>76</v>
      </c>
      <c r="D50" s="269">
        <v>19</v>
      </c>
      <c r="E50" s="269">
        <v>95</v>
      </c>
      <c r="F50" s="269">
        <v>1111</v>
      </c>
      <c r="G50" s="269">
        <v>992</v>
      </c>
      <c r="H50" s="269">
        <v>2103</v>
      </c>
      <c r="I50" s="266">
        <v>39</v>
      </c>
      <c r="J50" s="292">
        <v>30</v>
      </c>
      <c r="K50" s="269">
        <v>69</v>
      </c>
      <c r="L50" s="269">
        <v>50</v>
      </c>
      <c r="M50" s="266">
        <v>58</v>
      </c>
      <c r="N50" s="292">
        <v>108</v>
      </c>
      <c r="O50" s="310">
        <v>1276</v>
      </c>
      <c r="P50" s="310">
        <v>1099</v>
      </c>
      <c r="Q50" s="310">
        <v>2375</v>
      </c>
    </row>
    <row r="51" spans="2:17" x14ac:dyDescent="0.25">
      <c r="B51" s="350" t="s">
        <v>921</v>
      </c>
      <c r="C51" s="310">
        <v>8118</v>
      </c>
      <c r="D51" s="310">
        <v>2442</v>
      </c>
      <c r="E51" s="310">
        <v>10560</v>
      </c>
      <c r="F51" s="310">
        <v>111568</v>
      </c>
      <c r="G51" s="310">
        <v>99422</v>
      </c>
      <c r="H51" s="310">
        <v>210990</v>
      </c>
      <c r="I51" s="310">
        <v>5431</v>
      </c>
      <c r="J51" s="310">
        <v>3673</v>
      </c>
      <c r="K51" s="310">
        <v>9104</v>
      </c>
      <c r="L51" s="310">
        <v>4132</v>
      </c>
      <c r="M51" s="310">
        <v>6891</v>
      </c>
      <c r="N51" s="310">
        <v>11023</v>
      </c>
      <c r="O51" s="310">
        <v>129249</v>
      </c>
      <c r="P51" s="310">
        <v>112428</v>
      </c>
      <c r="Q51" s="310">
        <v>241677</v>
      </c>
    </row>
    <row r="52" spans="2:17" ht="82.5" customHeight="1" x14ac:dyDescent="0.25">
      <c r="B52" s="445" t="s">
        <v>938</v>
      </c>
      <c r="C52" s="445"/>
      <c r="D52" s="445"/>
      <c r="E52" s="445"/>
      <c r="F52" s="445"/>
      <c r="G52" s="445"/>
      <c r="H52" s="445"/>
      <c r="I52" s="445"/>
      <c r="J52" s="445"/>
      <c r="K52" s="445"/>
      <c r="L52" s="445"/>
      <c r="M52" s="445"/>
      <c r="N52" s="445"/>
      <c r="O52" s="445"/>
      <c r="P52" s="445"/>
      <c r="Q52" s="445"/>
    </row>
    <row r="54" spans="2:17" ht="18.75" x14ac:dyDescent="0.3">
      <c r="B54" s="2" t="s">
        <v>765</v>
      </c>
      <c r="C54" s="2"/>
      <c r="D54" s="2"/>
      <c r="E54" s="8"/>
      <c r="F54" s="8"/>
      <c r="G54" s="8"/>
    </row>
    <row r="55" spans="2:17" x14ac:dyDescent="0.25">
      <c r="B55" s="15" t="s">
        <v>866</v>
      </c>
      <c r="C55"/>
      <c r="D55"/>
      <c r="E55"/>
      <c r="F55"/>
      <c r="G55"/>
    </row>
    <row r="56" spans="2:17" x14ac:dyDescent="0.25">
      <c r="B56" s="6"/>
      <c r="C56"/>
      <c r="D56"/>
      <c r="E56"/>
      <c r="F56"/>
      <c r="G56"/>
    </row>
    <row r="57" spans="2:17" x14ac:dyDescent="0.25">
      <c r="B57" s="187" t="s">
        <v>519</v>
      </c>
      <c r="C57"/>
      <c r="D57"/>
      <c r="E57"/>
      <c r="F57"/>
      <c r="G57"/>
    </row>
    <row r="58" spans="2:17" x14ac:dyDescent="0.25">
      <c r="B58" s="187"/>
      <c r="C58"/>
      <c r="D58"/>
      <c r="E58"/>
      <c r="F58"/>
      <c r="G58"/>
    </row>
    <row r="59" spans="2:17" ht="15" customHeight="1" x14ac:dyDescent="0.25">
      <c r="B59" s="408" t="s">
        <v>532</v>
      </c>
      <c r="C59" s="414" t="s">
        <v>477</v>
      </c>
      <c r="D59" s="414"/>
      <c r="E59" s="414"/>
      <c r="F59" s="414"/>
      <c r="G59" s="414"/>
      <c r="H59" s="414"/>
      <c r="I59" s="414"/>
      <c r="J59" s="414"/>
      <c r="K59" s="414"/>
      <c r="L59" s="414"/>
      <c r="M59" s="414"/>
      <c r="N59" s="414"/>
      <c r="O59" s="447" t="s">
        <v>945</v>
      </c>
      <c r="P59" s="448"/>
      <c r="Q59" s="449"/>
    </row>
    <row r="60" spans="2:17" ht="15" customHeight="1" x14ac:dyDescent="0.25">
      <c r="B60" s="409"/>
      <c r="C60" s="414" t="s">
        <v>885</v>
      </c>
      <c r="D60" s="414"/>
      <c r="E60" s="414"/>
      <c r="F60" s="414" t="s">
        <v>886</v>
      </c>
      <c r="G60" s="414"/>
      <c r="H60" s="414"/>
      <c r="I60" s="414" t="s">
        <v>2</v>
      </c>
      <c r="J60" s="414"/>
      <c r="K60" s="414"/>
      <c r="L60" s="414" t="s">
        <v>3</v>
      </c>
      <c r="M60" s="414"/>
      <c r="N60" s="414"/>
      <c r="O60" s="450"/>
      <c r="P60" s="451"/>
      <c r="Q60" s="452"/>
    </row>
    <row r="61" spans="2:17" x14ac:dyDescent="0.25">
      <c r="B61" s="410"/>
      <c r="C61" s="161" t="s">
        <v>73</v>
      </c>
      <c r="D61" s="161" t="s">
        <v>74</v>
      </c>
      <c r="E61" s="161" t="s">
        <v>25</v>
      </c>
      <c r="F61" s="161" t="s">
        <v>73</v>
      </c>
      <c r="G61" s="161" t="s">
        <v>74</v>
      </c>
      <c r="H61" s="161" t="s">
        <v>25</v>
      </c>
      <c r="I61" s="161" t="s">
        <v>73</v>
      </c>
      <c r="J61" s="161" t="s">
        <v>74</v>
      </c>
      <c r="K61" s="161" t="s">
        <v>25</v>
      </c>
      <c r="L61" s="161" t="s">
        <v>73</v>
      </c>
      <c r="M61" s="161" t="s">
        <v>74</v>
      </c>
      <c r="N61" s="161" t="s">
        <v>25</v>
      </c>
      <c r="O61" s="299" t="s">
        <v>73</v>
      </c>
      <c r="P61" s="299" t="s">
        <v>74</v>
      </c>
      <c r="Q61" s="299" t="s">
        <v>25</v>
      </c>
    </row>
    <row r="62" spans="2:17" x14ac:dyDescent="0.25">
      <c r="B62" s="235" t="s">
        <v>447</v>
      </c>
      <c r="C62" s="269">
        <v>3</v>
      </c>
      <c r="D62" s="269"/>
      <c r="E62" s="269">
        <v>3</v>
      </c>
      <c r="F62" s="269">
        <v>215</v>
      </c>
      <c r="G62" s="269">
        <v>200</v>
      </c>
      <c r="H62" s="250">
        <v>415</v>
      </c>
      <c r="I62" s="269">
        <v>2</v>
      </c>
      <c r="J62" s="250">
        <v>2</v>
      </c>
      <c r="K62" s="269">
        <v>4</v>
      </c>
      <c r="L62" s="250">
        <v>9</v>
      </c>
      <c r="M62" s="269">
        <v>14</v>
      </c>
      <c r="N62" s="250">
        <v>23</v>
      </c>
      <c r="O62" s="294">
        <v>229</v>
      </c>
      <c r="P62" s="294">
        <v>216</v>
      </c>
      <c r="Q62" s="294">
        <v>445</v>
      </c>
    </row>
    <row r="63" spans="2:17" x14ac:dyDescent="0.25">
      <c r="B63" s="235" t="s">
        <v>448</v>
      </c>
      <c r="C63" s="269"/>
      <c r="D63" s="269"/>
      <c r="E63" s="269"/>
      <c r="F63" s="269">
        <v>1</v>
      </c>
      <c r="G63" s="269">
        <v>1</v>
      </c>
      <c r="H63" s="250">
        <v>2</v>
      </c>
      <c r="I63" s="269"/>
      <c r="J63" s="250"/>
      <c r="K63" s="269"/>
      <c r="L63" s="250"/>
      <c r="M63" s="269"/>
      <c r="N63" s="250"/>
      <c r="O63" s="294">
        <v>1</v>
      </c>
      <c r="P63" s="294">
        <v>1</v>
      </c>
      <c r="Q63" s="294">
        <v>2</v>
      </c>
    </row>
    <row r="64" spans="2:17" x14ac:dyDescent="0.25">
      <c r="B64" s="235" t="s">
        <v>449</v>
      </c>
      <c r="C64" s="269"/>
      <c r="D64" s="269"/>
      <c r="E64" s="269"/>
      <c r="F64" s="269">
        <v>1</v>
      </c>
      <c r="G64" s="269"/>
      <c r="H64" s="250">
        <v>1</v>
      </c>
      <c r="I64" s="269"/>
      <c r="J64" s="250"/>
      <c r="K64" s="269"/>
      <c r="L64" s="250"/>
      <c r="M64" s="269"/>
      <c r="N64" s="250"/>
      <c r="O64" s="294">
        <v>1</v>
      </c>
      <c r="P64" s="294"/>
      <c r="Q64" s="294">
        <v>1</v>
      </c>
    </row>
    <row r="65" spans="2:17" x14ac:dyDescent="0.25">
      <c r="B65" s="371" t="s">
        <v>923</v>
      </c>
      <c r="C65" s="310">
        <v>3</v>
      </c>
      <c r="D65" s="310"/>
      <c r="E65" s="310">
        <v>3</v>
      </c>
      <c r="F65" s="310">
        <v>217</v>
      </c>
      <c r="G65" s="310">
        <v>201</v>
      </c>
      <c r="H65" s="294">
        <v>418</v>
      </c>
      <c r="I65" s="310">
        <v>2</v>
      </c>
      <c r="J65" s="294">
        <v>2</v>
      </c>
      <c r="K65" s="310">
        <v>4</v>
      </c>
      <c r="L65" s="294">
        <v>9</v>
      </c>
      <c r="M65" s="310">
        <v>14</v>
      </c>
      <c r="N65" s="294">
        <v>23</v>
      </c>
      <c r="O65" s="294">
        <v>231</v>
      </c>
      <c r="P65" s="294">
        <v>217</v>
      </c>
      <c r="Q65" s="294">
        <v>448</v>
      </c>
    </row>
    <row r="66" spans="2:17" ht="83.25" customHeight="1" x14ac:dyDescent="0.25">
      <c r="B66" s="428" t="s">
        <v>938</v>
      </c>
      <c r="C66" s="428"/>
      <c r="D66" s="428"/>
      <c r="E66" s="428"/>
      <c r="F66" s="428"/>
      <c r="G66" s="428"/>
      <c r="H66" s="428"/>
      <c r="I66" s="428"/>
      <c r="J66" s="428"/>
      <c r="K66" s="428"/>
      <c r="L66" s="428"/>
      <c r="M66" s="428"/>
      <c r="N66" s="428"/>
      <c r="O66" s="428"/>
      <c r="P66" s="428"/>
      <c r="Q66" s="428"/>
    </row>
    <row r="67" spans="2:17" x14ac:dyDescent="0.25">
      <c r="B67" s="13"/>
      <c r="C67" s="13"/>
      <c r="D67" s="13"/>
      <c r="E67" s="13"/>
      <c r="F67" s="13"/>
      <c r="G67" s="13"/>
      <c r="H67" s="13"/>
      <c r="I67" s="13"/>
      <c r="J67" s="13"/>
      <c r="K67" s="13"/>
      <c r="L67" s="13"/>
      <c r="M67" s="13"/>
      <c r="N67" s="13"/>
      <c r="O67" s="13"/>
      <c r="P67" s="13"/>
      <c r="Q67" s="13"/>
    </row>
    <row r="68" spans="2:17" x14ac:dyDescent="0.25">
      <c r="B68" s="187" t="s">
        <v>505</v>
      </c>
      <c r="C68"/>
      <c r="D68"/>
      <c r="E68"/>
      <c r="F68"/>
      <c r="G68"/>
    </row>
    <row r="69" spans="2:17" x14ac:dyDescent="0.25">
      <c r="B69" s="187"/>
      <c r="C69"/>
      <c r="D69"/>
      <c r="E69"/>
      <c r="F69"/>
      <c r="G69"/>
    </row>
    <row r="70" spans="2:17" ht="15" customHeight="1" x14ac:dyDescent="0.25">
      <c r="B70" s="408" t="s">
        <v>532</v>
      </c>
      <c r="C70" s="414" t="s">
        <v>477</v>
      </c>
      <c r="D70" s="414"/>
      <c r="E70" s="414"/>
      <c r="F70" s="414"/>
      <c r="G70" s="414"/>
      <c r="H70" s="414"/>
      <c r="I70" s="414"/>
      <c r="J70" s="414"/>
      <c r="K70" s="414"/>
      <c r="L70" s="414"/>
      <c r="M70" s="414"/>
      <c r="N70" s="414"/>
      <c r="O70" s="447" t="s">
        <v>945</v>
      </c>
      <c r="P70" s="448"/>
      <c r="Q70" s="449"/>
    </row>
    <row r="71" spans="2:17" ht="15" customHeight="1" x14ac:dyDescent="0.25">
      <c r="B71" s="409"/>
      <c r="C71" s="414" t="s">
        <v>885</v>
      </c>
      <c r="D71" s="414"/>
      <c r="E71" s="414"/>
      <c r="F71" s="414" t="s">
        <v>886</v>
      </c>
      <c r="G71" s="414"/>
      <c r="H71" s="414"/>
      <c r="I71" s="414" t="s">
        <v>2</v>
      </c>
      <c r="J71" s="414"/>
      <c r="K71" s="414"/>
      <c r="L71" s="414" t="s">
        <v>3</v>
      </c>
      <c r="M71" s="414"/>
      <c r="N71" s="414"/>
      <c r="O71" s="450"/>
      <c r="P71" s="451"/>
      <c r="Q71" s="452"/>
    </row>
    <row r="72" spans="2:17" x14ac:dyDescent="0.25">
      <c r="B72" s="410"/>
      <c r="C72" s="161" t="s">
        <v>73</v>
      </c>
      <c r="D72" s="161" t="s">
        <v>74</v>
      </c>
      <c r="E72" s="161" t="s">
        <v>25</v>
      </c>
      <c r="F72" s="161" t="s">
        <v>73</v>
      </c>
      <c r="G72" s="161" t="s">
        <v>74</v>
      </c>
      <c r="H72" s="161" t="s">
        <v>25</v>
      </c>
      <c r="I72" s="161" t="s">
        <v>73</v>
      </c>
      <c r="J72" s="161" t="s">
        <v>74</v>
      </c>
      <c r="K72" s="161" t="s">
        <v>25</v>
      </c>
      <c r="L72" s="161" t="s">
        <v>73</v>
      </c>
      <c r="M72" s="161" t="s">
        <v>74</v>
      </c>
      <c r="N72" s="161" t="s">
        <v>25</v>
      </c>
      <c r="O72" s="299" t="s">
        <v>73</v>
      </c>
      <c r="P72" s="299" t="s">
        <v>74</v>
      </c>
      <c r="Q72" s="299" t="s">
        <v>25</v>
      </c>
    </row>
    <row r="73" spans="2:17" x14ac:dyDescent="0.25">
      <c r="B73" s="235" t="s">
        <v>131</v>
      </c>
      <c r="C73" s="269">
        <v>3</v>
      </c>
      <c r="D73" s="269"/>
      <c r="E73" s="269">
        <v>3</v>
      </c>
      <c r="F73" s="269">
        <v>73</v>
      </c>
      <c r="G73" s="269">
        <v>67</v>
      </c>
      <c r="H73" s="264">
        <v>140</v>
      </c>
      <c r="I73" s="264">
        <v>2</v>
      </c>
      <c r="J73" s="261">
        <v>1</v>
      </c>
      <c r="K73" s="269">
        <v>3</v>
      </c>
      <c r="L73" s="264">
        <v>3</v>
      </c>
      <c r="M73" s="264">
        <v>4</v>
      </c>
      <c r="N73" s="261">
        <v>7</v>
      </c>
      <c r="O73" s="324">
        <v>81</v>
      </c>
      <c r="P73" s="324">
        <v>72</v>
      </c>
      <c r="Q73" s="324">
        <v>153</v>
      </c>
    </row>
    <row r="74" spans="2:17" x14ac:dyDescent="0.25">
      <c r="B74" s="236" t="s">
        <v>137</v>
      </c>
      <c r="C74" s="269"/>
      <c r="D74" s="269"/>
      <c r="E74" s="269"/>
      <c r="F74" s="269">
        <v>3</v>
      </c>
      <c r="G74" s="269"/>
      <c r="H74" s="264">
        <v>3</v>
      </c>
      <c r="I74" s="264"/>
      <c r="J74" s="261"/>
      <c r="K74" s="269"/>
      <c r="L74" s="264"/>
      <c r="M74" s="264"/>
      <c r="N74" s="261"/>
      <c r="O74" s="324">
        <v>3</v>
      </c>
      <c r="P74" s="324"/>
      <c r="Q74" s="324">
        <v>3</v>
      </c>
    </row>
    <row r="75" spans="2:17" x14ac:dyDescent="0.25">
      <c r="B75" s="236" t="s">
        <v>132</v>
      </c>
      <c r="C75" s="269"/>
      <c r="D75" s="269"/>
      <c r="E75" s="269"/>
      <c r="F75" s="269">
        <v>1</v>
      </c>
      <c r="G75" s="269"/>
      <c r="H75" s="264">
        <v>1</v>
      </c>
      <c r="I75" s="264"/>
      <c r="J75" s="261"/>
      <c r="K75" s="269"/>
      <c r="L75" s="264"/>
      <c r="M75" s="264"/>
      <c r="N75" s="261"/>
      <c r="O75" s="324">
        <v>1</v>
      </c>
      <c r="P75" s="324"/>
      <c r="Q75" s="324">
        <v>1</v>
      </c>
    </row>
    <row r="76" spans="2:17" x14ac:dyDescent="0.25">
      <c r="B76" s="236" t="s">
        <v>133</v>
      </c>
      <c r="C76" s="269"/>
      <c r="D76" s="269"/>
      <c r="E76" s="269"/>
      <c r="F76" s="269">
        <v>2</v>
      </c>
      <c r="G76" s="269">
        <v>1</v>
      </c>
      <c r="H76" s="264">
        <v>3</v>
      </c>
      <c r="I76" s="264"/>
      <c r="J76" s="261"/>
      <c r="K76" s="269"/>
      <c r="L76" s="264"/>
      <c r="M76" s="264"/>
      <c r="N76" s="261"/>
      <c r="O76" s="324">
        <v>2</v>
      </c>
      <c r="P76" s="324">
        <v>1</v>
      </c>
      <c r="Q76" s="324">
        <v>3</v>
      </c>
    </row>
    <row r="77" spans="2:17" x14ac:dyDescent="0.25">
      <c r="B77" s="237" t="s">
        <v>134</v>
      </c>
      <c r="C77" s="269">
        <v>1</v>
      </c>
      <c r="D77" s="269">
        <v>1</v>
      </c>
      <c r="E77" s="269">
        <v>2</v>
      </c>
      <c r="F77" s="269">
        <v>158</v>
      </c>
      <c r="G77" s="269">
        <v>158</v>
      </c>
      <c r="H77" s="264">
        <v>316</v>
      </c>
      <c r="I77" s="264">
        <v>2</v>
      </c>
      <c r="J77" s="261">
        <v>1</v>
      </c>
      <c r="K77" s="269">
        <v>3</v>
      </c>
      <c r="L77" s="264">
        <v>2</v>
      </c>
      <c r="M77" s="264">
        <v>11</v>
      </c>
      <c r="N77" s="261">
        <v>13</v>
      </c>
      <c r="O77" s="324">
        <v>163</v>
      </c>
      <c r="P77" s="324">
        <v>171</v>
      </c>
      <c r="Q77" s="324">
        <v>334</v>
      </c>
    </row>
    <row r="78" spans="2:17" x14ac:dyDescent="0.25">
      <c r="B78" s="176" t="s">
        <v>135</v>
      </c>
      <c r="C78" s="269"/>
      <c r="D78" s="269"/>
      <c r="E78" s="269"/>
      <c r="F78" s="269">
        <v>3</v>
      </c>
      <c r="G78" s="269">
        <v>4</v>
      </c>
      <c r="H78" s="264">
        <v>7</v>
      </c>
      <c r="I78" s="264"/>
      <c r="J78" s="261"/>
      <c r="K78" s="269"/>
      <c r="L78" s="264"/>
      <c r="M78" s="264"/>
      <c r="N78" s="261"/>
      <c r="O78" s="324">
        <v>3</v>
      </c>
      <c r="P78" s="324">
        <v>4</v>
      </c>
      <c r="Q78" s="324">
        <v>7</v>
      </c>
    </row>
    <row r="79" spans="2:17" x14ac:dyDescent="0.25">
      <c r="B79" s="176" t="s">
        <v>136</v>
      </c>
      <c r="C79" s="269"/>
      <c r="D79" s="269"/>
      <c r="E79" s="269"/>
      <c r="F79" s="269">
        <v>13</v>
      </c>
      <c r="G79" s="269">
        <v>16</v>
      </c>
      <c r="H79" s="264">
        <v>29</v>
      </c>
      <c r="I79" s="264"/>
      <c r="J79" s="261"/>
      <c r="K79" s="269"/>
      <c r="L79" s="264"/>
      <c r="M79" s="264"/>
      <c r="N79" s="261"/>
      <c r="O79" s="324">
        <v>13</v>
      </c>
      <c r="P79" s="324">
        <v>16</v>
      </c>
      <c r="Q79" s="324">
        <v>29</v>
      </c>
    </row>
    <row r="80" spans="2:17" x14ac:dyDescent="0.25">
      <c r="B80" s="371" t="s">
        <v>923</v>
      </c>
      <c r="C80" s="310">
        <v>4</v>
      </c>
      <c r="D80" s="310">
        <v>1</v>
      </c>
      <c r="E80" s="310">
        <v>5</v>
      </c>
      <c r="F80" s="310">
        <v>253</v>
      </c>
      <c r="G80" s="310">
        <v>246</v>
      </c>
      <c r="H80" s="294">
        <v>499</v>
      </c>
      <c r="I80" s="310">
        <v>4</v>
      </c>
      <c r="J80" s="294">
        <v>2</v>
      </c>
      <c r="K80" s="310">
        <v>6</v>
      </c>
      <c r="L80" s="294">
        <v>5</v>
      </c>
      <c r="M80" s="310">
        <v>15</v>
      </c>
      <c r="N80" s="294">
        <v>20</v>
      </c>
      <c r="O80" s="294">
        <v>266</v>
      </c>
      <c r="P80" s="294">
        <v>264</v>
      </c>
      <c r="Q80" s="294">
        <v>530</v>
      </c>
    </row>
    <row r="81" spans="2:17" ht="84" customHeight="1" x14ac:dyDescent="0.25">
      <c r="B81" s="428" t="s">
        <v>938</v>
      </c>
      <c r="C81" s="428"/>
      <c r="D81" s="428"/>
      <c r="E81" s="428"/>
      <c r="F81" s="428"/>
      <c r="G81" s="428"/>
      <c r="H81" s="428"/>
      <c r="I81" s="428"/>
      <c r="J81" s="428"/>
      <c r="K81" s="428"/>
      <c r="L81" s="428"/>
      <c r="M81" s="428"/>
      <c r="N81" s="428"/>
      <c r="O81" s="428"/>
      <c r="P81" s="428"/>
      <c r="Q81" s="428"/>
    </row>
    <row r="82" spans="2:17" x14ac:dyDescent="0.25">
      <c r="B82" s="158"/>
      <c r="C82" s="158"/>
      <c r="D82" s="158"/>
      <c r="E82" s="158"/>
      <c r="F82" s="158"/>
      <c r="G82"/>
    </row>
    <row r="83" spans="2:17" x14ac:dyDescent="0.25">
      <c r="B83" s="187" t="s">
        <v>506</v>
      </c>
      <c r="C83"/>
      <c r="D83"/>
      <c r="E83"/>
      <c r="F83"/>
      <c r="G83"/>
    </row>
    <row r="84" spans="2:17" x14ac:dyDescent="0.25">
      <c r="B84" s="187"/>
      <c r="C84"/>
      <c r="D84"/>
      <c r="E84"/>
      <c r="F84"/>
      <c r="G84"/>
    </row>
    <row r="85" spans="2:17" ht="15" customHeight="1" x14ac:dyDescent="0.25">
      <c r="B85" s="408" t="s">
        <v>532</v>
      </c>
      <c r="C85" s="414" t="s">
        <v>477</v>
      </c>
      <c r="D85" s="414"/>
      <c r="E85" s="414"/>
      <c r="F85" s="414"/>
      <c r="G85" s="414"/>
      <c r="H85" s="414"/>
      <c r="I85" s="414"/>
      <c r="J85" s="414"/>
      <c r="K85" s="414"/>
      <c r="L85" s="414"/>
      <c r="M85" s="414"/>
      <c r="N85" s="414"/>
      <c r="O85" s="447" t="s">
        <v>945</v>
      </c>
      <c r="P85" s="448"/>
      <c r="Q85" s="449"/>
    </row>
    <row r="86" spans="2:17" ht="15" customHeight="1" x14ac:dyDescent="0.25">
      <c r="B86" s="409"/>
      <c r="C86" s="414" t="s">
        <v>885</v>
      </c>
      <c r="D86" s="414"/>
      <c r="E86" s="414"/>
      <c r="F86" s="414" t="s">
        <v>886</v>
      </c>
      <c r="G86" s="414"/>
      <c r="H86" s="414"/>
      <c r="I86" s="414" t="s">
        <v>2</v>
      </c>
      <c r="J86" s="414"/>
      <c r="K86" s="414"/>
      <c r="L86" s="414" t="s">
        <v>3</v>
      </c>
      <c r="M86" s="414"/>
      <c r="N86" s="414"/>
      <c r="O86" s="450"/>
      <c r="P86" s="451"/>
      <c r="Q86" s="452"/>
    </row>
    <row r="87" spans="2:17" x14ac:dyDescent="0.25">
      <c r="B87" s="410"/>
      <c r="C87" s="161" t="s">
        <v>73</v>
      </c>
      <c r="D87" s="161" t="s">
        <v>74</v>
      </c>
      <c r="E87" s="161" t="s">
        <v>25</v>
      </c>
      <c r="F87" s="161" t="s">
        <v>73</v>
      </c>
      <c r="G87" s="161" t="s">
        <v>74</v>
      </c>
      <c r="H87" s="161" t="s">
        <v>25</v>
      </c>
      <c r="I87" s="161" t="s">
        <v>73</v>
      </c>
      <c r="J87" s="161" t="s">
        <v>74</v>
      </c>
      <c r="K87" s="161" t="s">
        <v>25</v>
      </c>
      <c r="L87" s="161" t="s">
        <v>73</v>
      </c>
      <c r="M87" s="161" t="s">
        <v>74</v>
      </c>
      <c r="N87" s="161" t="s">
        <v>25</v>
      </c>
      <c r="O87" s="299" t="s">
        <v>73</v>
      </c>
      <c r="P87" s="299" t="s">
        <v>74</v>
      </c>
      <c r="Q87" s="299" t="s">
        <v>25</v>
      </c>
    </row>
    <row r="88" spans="2:17" x14ac:dyDescent="0.25">
      <c r="B88" s="235" t="s">
        <v>139</v>
      </c>
      <c r="C88" s="269">
        <v>2</v>
      </c>
      <c r="D88" s="269"/>
      <c r="E88" s="269">
        <v>2</v>
      </c>
      <c r="F88" s="269">
        <v>291</v>
      </c>
      <c r="G88" s="269">
        <v>254</v>
      </c>
      <c r="H88" s="250">
        <v>545</v>
      </c>
      <c r="I88" s="269">
        <v>4</v>
      </c>
      <c r="J88" s="250">
        <v>3</v>
      </c>
      <c r="K88" s="269">
        <v>7</v>
      </c>
      <c r="L88" s="250">
        <v>12</v>
      </c>
      <c r="M88" s="269">
        <v>17</v>
      </c>
      <c r="N88" s="250">
        <v>29</v>
      </c>
      <c r="O88" s="294">
        <v>309</v>
      </c>
      <c r="P88" s="294">
        <v>274</v>
      </c>
      <c r="Q88" s="294">
        <v>583</v>
      </c>
    </row>
    <row r="89" spans="2:17" x14ac:dyDescent="0.25">
      <c r="B89" s="236" t="s">
        <v>140</v>
      </c>
      <c r="C89" s="269"/>
      <c r="D89" s="269"/>
      <c r="E89" s="269"/>
      <c r="F89" s="269">
        <v>132</v>
      </c>
      <c r="G89" s="269">
        <v>127</v>
      </c>
      <c r="H89" s="250">
        <v>259</v>
      </c>
      <c r="I89" s="269">
        <v>2</v>
      </c>
      <c r="J89" s="250">
        <v>1</v>
      </c>
      <c r="K89" s="269">
        <v>3</v>
      </c>
      <c r="L89" s="250">
        <v>2</v>
      </c>
      <c r="M89" s="269">
        <v>2</v>
      </c>
      <c r="N89" s="250">
        <v>4</v>
      </c>
      <c r="O89" s="294">
        <v>136</v>
      </c>
      <c r="P89" s="294">
        <v>130</v>
      </c>
      <c r="Q89" s="294">
        <v>266</v>
      </c>
    </row>
    <row r="90" spans="2:17" x14ac:dyDescent="0.25">
      <c r="B90" s="236" t="s">
        <v>141</v>
      </c>
      <c r="C90" s="269"/>
      <c r="D90" s="269"/>
      <c r="E90" s="269"/>
      <c r="F90" s="269">
        <v>2</v>
      </c>
      <c r="G90" s="269">
        <v>8</v>
      </c>
      <c r="H90" s="250">
        <v>10</v>
      </c>
      <c r="I90" s="269"/>
      <c r="J90" s="250"/>
      <c r="K90" s="269"/>
      <c r="L90" s="250"/>
      <c r="M90" s="269"/>
      <c r="N90" s="250"/>
      <c r="O90" s="294">
        <v>2</v>
      </c>
      <c r="P90" s="294">
        <v>8</v>
      </c>
      <c r="Q90" s="294">
        <v>10</v>
      </c>
    </row>
    <row r="91" spans="2:17" x14ac:dyDescent="0.25">
      <c r="B91" s="236" t="s">
        <v>142</v>
      </c>
      <c r="C91" s="269"/>
      <c r="D91" s="269"/>
      <c r="E91" s="269"/>
      <c r="F91" s="269">
        <v>19</v>
      </c>
      <c r="G91" s="269">
        <v>9</v>
      </c>
      <c r="H91" s="250">
        <v>28</v>
      </c>
      <c r="I91" s="269"/>
      <c r="J91" s="250"/>
      <c r="K91" s="269"/>
      <c r="L91" s="250"/>
      <c r="M91" s="269"/>
      <c r="N91" s="250"/>
      <c r="O91" s="294">
        <v>19</v>
      </c>
      <c r="P91" s="294">
        <v>9</v>
      </c>
      <c r="Q91" s="294">
        <v>28</v>
      </c>
    </row>
    <row r="92" spans="2:17" x14ac:dyDescent="0.25">
      <c r="B92" s="236" t="s">
        <v>144</v>
      </c>
      <c r="C92" s="269"/>
      <c r="D92" s="269"/>
      <c r="E92" s="269"/>
      <c r="F92" s="269">
        <v>4</v>
      </c>
      <c r="G92" s="269">
        <v>6</v>
      </c>
      <c r="H92" s="250">
        <v>10</v>
      </c>
      <c r="I92" s="269"/>
      <c r="J92" s="250"/>
      <c r="K92" s="269"/>
      <c r="L92" s="250"/>
      <c r="M92" s="269"/>
      <c r="N92" s="250"/>
      <c r="O92" s="294">
        <v>4</v>
      </c>
      <c r="P92" s="294">
        <v>6</v>
      </c>
      <c r="Q92" s="294">
        <v>10</v>
      </c>
    </row>
    <row r="93" spans="2:17" x14ac:dyDescent="0.25">
      <c r="B93" s="236" t="s">
        <v>145</v>
      </c>
      <c r="C93" s="269"/>
      <c r="D93" s="269"/>
      <c r="E93" s="269"/>
      <c r="F93" s="269"/>
      <c r="G93" s="269">
        <v>1</v>
      </c>
      <c r="H93" s="250">
        <v>1</v>
      </c>
      <c r="I93" s="269"/>
      <c r="J93" s="250"/>
      <c r="K93" s="269"/>
      <c r="L93" s="250"/>
      <c r="M93" s="269"/>
      <c r="N93" s="250"/>
      <c r="O93" s="294"/>
      <c r="P93" s="294">
        <v>1</v>
      </c>
      <c r="Q93" s="294">
        <v>1</v>
      </c>
    </row>
    <row r="94" spans="2:17" x14ac:dyDescent="0.25">
      <c r="B94" s="236" t="s">
        <v>146</v>
      </c>
      <c r="C94" s="269"/>
      <c r="D94" s="269"/>
      <c r="E94" s="269"/>
      <c r="F94" s="269">
        <v>15</v>
      </c>
      <c r="G94" s="269">
        <v>17</v>
      </c>
      <c r="H94" s="250">
        <v>32</v>
      </c>
      <c r="I94" s="269"/>
      <c r="J94" s="250"/>
      <c r="K94" s="269"/>
      <c r="L94" s="250"/>
      <c r="M94" s="269"/>
      <c r="N94" s="250"/>
      <c r="O94" s="294">
        <v>15</v>
      </c>
      <c r="P94" s="294">
        <v>17</v>
      </c>
      <c r="Q94" s="294">
        <v>32</v>
      </c>
    </row>
    <row r="95" spans="2:17" x14ac:dyDescent="0.25">
      <c r="B95" s="236" t="s">
        <v>147</v>
      </c>
      <c r="C95" s="269"/>
      <c r="D95" s="269"/>
      <c r="E95" s="269"/>
      <c r="F95" s="269">
        <v>30</v>
      </c>
      <c r="G95" s="269">
        <v>28</v>
      </c>
      <c r="H95" s="250">
        <v>58</v>
      </c>
      <c r="I95" s="269"/>
      <c r="J95" s="250"/>
      <c r="K95" s="269"/>
      <c r="L95" s="250"/>
      <c r="M95" s="269">
        <v>2</v>
      </c>
      <c r="N95" s="250">
        <v>2</v>
      </c>
      <c r="O95" s="294">
        <v>30</v>
      </c>
      <c r="P95" s="294">
        <v>30</v>
      </c>
      <c r="Q95" s="294">
        <v>60</v>
      </c>
    </row>
    <row r="96" spans="2:17" x14ac:dyDescent="0.25">
      <c r="B96" s="371" t="s">
        <v>923</v>
      </c>
      <c r="C96" s="310">
        <v>2</v>
      </c>
      <c r="D96" s="310"/>
      <c r="E96" s="310">
        <v>2</v>
      </c>
      <c r="F96" s="310">
        <v>493</v>
      </c>
      <c r="G96" s="310">
        <v>450</v>
      </c>
      <c r="H96" s="294">
        <v>943</v>
      </c>
      <c r="I96" s="310">
        <v>6</v>
      </c>
      <c r="J96" s="294">
        <v>4</v>
      </c>
      <c r="K96" s="310">
        <v>10</v>
      </c>
      <c r="L96" s="294">
        <v>14</v>
      </c>
      <c r="M96" s="310">
        <v>21</v>
      </c>
      <c r="N96" s="294">
        <v>35</v>
      </c>
      <c r="O96" s="294">
        <v>515</v>
      </c>
      <c r="P96" s="294">
        <v>475</v>
      </c>
      <c r="Q96" s="294">
        <v>990</v>
      </c>
    </row>
    <row r="97" spans="2:17" ht="83.25" customHeight="1" x14ac:dyDescent="0.25">
      <c r="B97" s="428" t="s">
        <v>938</v>
      </c>
      <c r="C97" s="428"/>
      <c r="D97" s="428"/>
      <c r="E97" s="428"/>
      <c r="F97" s="428"/>
      <c r="G97" s="428"/>
      <c r="H97" s="428"/>
      <c r="I97" s="428"/>
      <c r="J97" s="428"/>
      <c r="K97" s="428"/>
      <c r="L97" s="428"/>
      <c r="M97" s="428"/>
      <c r="N97" s="428"/>
      <c r="O97" s="428"/>
      <c r="P97" s="428"/>
      <c r="Q97" s="428"/>
    </row>
    <row r="98" spans="2:17" x14ac:dyDescent="0.25">
      <c r="B98" s="158"/>
      <c r="C98" s="158"/>
      <c r="D98" s="158"/>
      <c r="E98"/>
      <c r="F98"/>
      <c r="G98"/>
    </row>
    <row r="99" spans="2:17" x14ac:dyDescent="0.25">
      <c r="B99" s="187" t="s">
        <v>507</v>
      </c>
      <c r="C99"/>
      <c r="D99"/>
      <c r="E99"/>
      <c r="F99"/>
      <c r="G99"/>
    </row>
    <row r="100" spans="2:17" x14ac:dyDescent="0.25">
      <c r="B100" s="187"/>
      <c r="C100"/>
      <c r="D100"/>
      <c r="E100"/>
      <c r="F100"/>
      <c r="G100"/>
    </row>
    <row r="101" spans="2:17" ht="15" customHeight="1" x14ac:dyDescent="0.25">
      <c r="B101" s="408" t="s">
        <v>532</v>
      </c>
      <c r="C101" s="414" t="s">
        <v>477</v>
      </c>
      <c r="D101" s="414"/>
      <c r="E101" s="414"/>
      <c r="F101" s="414"/>
      <c r="G101" s="414"/>
      <c r="H101" s="414"/>
      <c r="I101" s="414"/>
      <c r="J101" s="414"/>
      <c r="K101" s="414"/>
      <c r="L101" s="414"/>
      <c r="M101" s="414"/>
      <c r="N101" s="414"/>
      <c r="O101" s="447" t="s">
        <v>945</v>
      </c>
      <c r="P101" s="448"/>
      <c r="Q101" s="449"/>
    </row>
    <row r="102" spans="2:17" ht="15" customHeight="1" x14ac:dyDescent="0.25">
      <c r="B102" s="409"/>
      <c r="C102" s="414" t="s">
        <v>885</v>
      </c>
      <c r="D102" s="414"/>
      <c r="E102" s="414"/>
      <c r="F102" s="414" t="s">
        <v>886</v>
      </c>
      <c r="G102" s="414"/>
      <c r="H102" s="414"/>
      <c r="I102" s="414" t="s">
        <v>2</v>
      </c>
      <c r="J102" s="414"/>
      <c r="K102" s="414"/>
      <c r="L102" s="414" t="s">
        <v>3</v>
      </c>
      <c r="M102" s="414"/>
      <c r="N102" s="414"/>
      <c r="O102" s="450"/>
      <c r="P102" s="451"/>
      <c r="Q102" s="452"/>
    </row>
    <row r="103" spans="2:17" x14ac:dyDescent="0.25">
      <c r="B103" s="410"/>
      <c r="C103" s="161" t="s">
        <v>73</v>
      </c>
      <c r="D103" s="161" t="s">
        <v>74</v>
      </c>
      <c r="E103" s="161" t="s">
        <v>25</v>
      </c>
      <c r="F103" s="161" t="s">
        <v>73</v>
      </c>
      <c r="G103" s="161" t="s">
        <v>74</v>
      </c>
      <c r="H103" s="161" t="s">
        <v>25</v>
      </c>
      <c r="I103" s="161" t="s">
        <v>73</v>
      </c>
      <c r="J103" s="161" t="s">
        <v>74</v>
      </c>
      <c r="K103" s="161" t="s">
        <v>25</v>
      </c>
      <c r="L103" s="161" t="s">
        <v>73</v>
      </c>
      <c r="M103" s="161" t="s">
        <v>74</v>
      </c>
      <c r="N103" s="161" t="s">
        <v>25</v>
      </c>
      <c r="O103" s="299" t="s">
        <v>73</v>
      </c>
      <c r="P103" s="299" t="s">
        <v>74</v>
      </c>
      <c r="Q103" s="299" t="s">
        <v>25</v>
      </c>
    </row>
    <row r="104" spans="2:17" x14ac:dyDescent="0.25">
      <c r="B104" s="314" t="s">
        <v>148</v>
      </c>
      <c r="C104" s="269"/>
      <c r="D104" s="269"/>
      <c r="E104" s="269"/>
      <c r="F104" s="269">
        <v>4</v>
      </c>
      <c r="G104" s="269">
        <v>4</v>
      </c>
      <c r="H104" s="250">
        <v>8</v>
      </c>
      <c r="I104" s="269">
        <v>1</v>
      </c>
      <c r="J104" s="250"/>
      <c r="K104" s="269">
        <v>1</v>
      </c>
      <c r="L104" s="250"/>
      <c r="M104" s="269"/>
      <c r="N104" s="250"/>
      <c r="O104" s="294">
        <v>5</v>
      </c>
      <c r="P104" s="294">
        <v>4</v>
      </c>
      <c r="Q104" s="294">
        <v>9</v>
      </c>
    </row>
    <row r="105" spans="2:17" x14ac:dyDescent="0.25">
      <c r="B105" s="314" t="s">
        <v>149</v>
      </c>
      <c r="C105" s="269"/>
      <c r="D105" s="269"/>
      <c r="E105" s="269"/>
      <c r="F105" s="269">
        <v>29</v>
      </c>
      <c r="G105" s="269">
        <v>17</v>
      </c>
      <c r="H105" s="250">
        <v>46</v>
      </c>
      <c r="I105" s="269">
        <v>2</v>
      </c>
      <c r="J105" s="250">
        <v>1</v>
      </c>
      <c r="K105" s="269">
        <v>3</v>
      </c>
      <c r="L105" s="250"/>
      <c r="M105" s="269">
        <v>2</v>
      </c>
      <c r="N105" s="250">
        <v>2</v>
      </c>
      <c r="O105" s="294">
        <v>31</v>
      </c>
      <c r="P105" s="294">
        <v>20</v>
      </c>
      <c r="Q105" s="294">
        <v>51</v>
      </c>
    </row>
    <row r="106" spans="2:17" x14ac:dyDescent="0.25">
      <c r="B106" s="314" t="s">
        <v>490</v>
      </c>
      <c r="C106" s="269">
        <v>1</v>
      </c>
      <c r="D106" s="269"/>
      <c r="E106" s="269">
        <v>1</v>
      </c>
      <c r="F106" s="269">
        <v>14</v>
      </c>
      <c r="G106" s="269">
        <v>11</v>
      </c>
      <c r="H106" s="250">
        <v>25</v>
      </c>
      <c r="I106" s="269"/>
      <c r="J106" s="250">
        <v>1</v>
      </c>
      <c r="K106" s="269">
        <v>1</v>
      </c>
      <c r="L106" s="250"/>
      <c r="M106" s="269"/>
      <c r="N106" s="250"/>
      <c r="O106" s="294">
        <v>15</v>
      </c>
      <c r="P106" s="294">
        <v>12</v>
      </c>
      <c r="Q106" s="294">
        <v>27</v>
      </c>
    </row>
    <row r="107" spans="2:17" x14ac:dyDescent="0.25">
      <c r="B107" s="314" t="s">
        <v>150</v>
      </c>
      <c r="C107" s="269">
        <v>3</v>
      </c>
      <c r="D107" s="269"/>
      <c r="E107" s="269">
        <v>3</v>
      </c>
      <c r="F107" s="269">
        <v>148</v>
      </c>
      <c r="G107" s="269">
        <v>143</v>
      </c>
      <c r="H107" s="250">
        <v>291</v>
      </c>
      <c r="I107" s="269">
        <v>3</v>
      </c>
      <c r="J107" s="250">
        <v>1</v>
      </c>
      <c r="K107" s="269">
        <v>4</v>
      </c>
      <c r="L107" s="250">
        <v>1</v>
      </c>
      <c r="M107" s="269">
        <v>6</v>
      </c>
      <c r="N107" s="250">
        <v>7</v>
      </c>
      <c r="O107" s="294">
        <v>155</v>
      </c>
      <c r="P107" s="294">
        <v>150</v>
      </c>
      <c r="Q107" s="294">
        <v>305</v>
      </c>
    </row>
    <row r="108" spans="2:17" x14ac:dyDescent="0.25">
      <c r="B108" s="314" t="s">
        <v>151</v>
      </c>
      <c r="C108" s="269"/>
      <c r="D108" s="269"/>
      <c r="E108" s="269"/>
      <c r="F108" s="269">
        <v>10</v>
      </c>
      <c r="G108" s="269">
        <v>14</v>
      </c>
      <c r="H108" s="250">
        <v>24</v>
      </c>
      <c r="I108" s="269"/>
      <c r="J108" s="250"/>
      <c r="K108" s="269"/>
      <c r="L108" s="250"/>
      <c r="M108" s="269">
        <v>1</v>
      </c>
      <c r="N108" s="250">
        <v>1</v>
      </c>
      <c r="O108" s="294">
        <v>10</v>
      </c>
      <c r="P108" s="294">
        <v>15</v>
      </c>
      <c r="Q108" s="294">
        <v>25</v>
      </c>
    </row>
    <row r="109" spans="2:17" x14ac:dyDescent="0.25">
      <c r="B109" s="314" t="s">
        <v>152</v>
      </c>
      <c r="C109" s="269"/>
      <c r="D109" s="269"/>
      <c r="E109" s="269"/>
      <c r="F109" s="269">
        <v>10</v>
      </c>
      <c r="G109" s="269">
        <v>8</v>
      </c>
      <c r="H109" s="250">
        <v>18</v>
      </c>
      <c r="I109" s="269"/>
      <c r="J109" s="250"/>
      <c r="K109" s="269"/>
      <c r="L109" s="250"/>
      <c r="M109" s="269"/>
      <c r="N109" s="250"/>
      <c r="O109" s="294">
        <v>10</v>
      </c>
      <c r="P109" s="294">
        <v>8</v>
      </c>
      <c r="Q109" s="294">
        <v>18</v>
      </c>
    </row>
    <row r="110" spans="2:17" x14ac:dyDescent="0.25">
      <c r="B110" s="314" t="s">
        <v>153</v>
      </c>
      <c r="C110" s="269"/>
      <c r="D110" s="269"/>
      <c r="E110" s="269"/>
      <c r="F110" s="269">
        <v>21</v>
      </c>
      <c r="G110" s="269">
        <v>16</v>
      </c>
      <c r="H110" s="250">
        <v>37</v>
      </c>
      <c r="I110" s="269"/>
      <c r="J110" s="250">
        <v>1</v>
      </c>
      <c r="K110" s="269">
        <v>1</v>
      </c>
      <c r="L110" s="250"/>
      <c r="M110" s="269"/>
      <c r="N110" s="250"/>
      <c r="O110" s="294">
        <v>21</v>
      </c>
      <c r="P110" s="294">
        <v>17</v>
      </c>
      <c r="Q110" s="294">
        <v>38</v>
      </c>
    </row>
    <row r="111" spans="2:17" x14ac:dyDescent="0.25">
      <c r="B111" s="314" t="s">
        <v>154</v>
      </c>
      <c r="C111" s="269">
        <v>1</v>
      </c>
      <c r="D111" s="269"/>
      <c r="E111" s="269">
        <v>1</v>
      </c>
      <c r="F111" s="269">
        <v>10</v>
      </c>
      <c r="G111" s="269">
        <v>12</v>
      </c>
      <c r="H111" s="250">
        <v>22</v>
      </c>
      <c r="I111" s="269"/>
      <c r="J111" s="250"/>
      <c r="K111" s="269"/>
      <c r="L111" s="250">
        <v>1</v>
      </c>
      <c r="M111" s="269"/>
      <c r="N111" s="250">
        <v>1</v>
      </c>
      <c r="O111" s="294">
        <v>12</v>
      </c>
      <c r="P111" s="294">
        <v>12</v>
      </c>
      <c r="Q111" s="294">
        <v>24</v>
      </c>
    </row>
    <row r="112" spans="2:17" x14ac:dyDescent="0.25">
      <c r="B112" s="315" t="s">
        <v>155</v>
      </c>
      <c r="C112" s="269"/>
      <c r="D112" s="269">
        <v>1</v>
      </c>
      <c r="E112" s="269">
        <v>1</v>
      </c>
      <c r="F112" s="269">
        <v>80</v>
      </c>
      <c r="G112" s="269">
        <v>64</v>
      </c>
      <c r="H112" s="250">
        <v>144</v>
      </c>
      <c r="I112" s="269"/>
      <c r="J112" s="250">
        <v>1</v>
      </c>
      <c r="K112" s="269">
        <v>1</v>
      </c>
      <c r="L112" s="250">
        <v>2</v>
      </c>
      <c r="M112" s="269">
        <v>2</v>
      </c>
      <c r="N112" s="250">
        <v>4</v>
      </c>
      <c r="O112" s="294">
        <v>82</v>
      </c>
      <c r="P112" s="294">
        <v>68</v>
      </c>
      <c r="Q112" s="294">
        <v>150</v>
      </c>
    </row>
    <row r="113" spans="2:17" x14ac:dyDescent="0.25">
      <c r="B113" s="371" t="s">
        <v>923</v>
      </c>
      <c r="C113" s="310">
        <v>5</v>
      </c>
      <c r="D113" s="310">
        <v>1</v>
      </c>
      <c r="E113" s="310">
        <v>6</v>
      </c>
      <c r="F113" s="310">
        <v>326</v>
      </c>
      <c r="G113" s="310">
        <v>289</v>
      </c>
      <c r="H113" s="294">
        <v>615</v>
      </c>
      <c r="I113" s="310">
        <v>6</v>
      </c>
      <c r="J113" s="294">
        <v>5</v>
      </c>
      <c r="K113" s="310">
        <v>11</v>
      </c>
      <c r="L113" s="294">
        <v>4</v>
      </c>
      <c r="M113" s="310">
        <v>11</v>
      </c>
      <c r="N113" s="294">
        <v>15</v>
      </c>
      <c r="O113" s="294">
        <v>341</v>
      </c>
      <c r="P113" s="294">
        <v>306</v>
      </c>
      <c r="Q113" s="294">
        <v>647</v>
      </c>
    </row>
    <row r="114" spans="2:17" ht="81" customHeight="1" x14ac:dyDescent="0.25">
      <c r="B114" s="428" t="s">
        <v>938</v>
      </c>
      <c r="C114" s="428"/>
      <c r="D114" s="428"/>
      <c r="E114" s="428"/>
      <c r="F114" s="428"/>
      <c r="G114" s="428"/>
      <c r="H114" s="428"/>
      <c r="I114" s="428"/>
      <c r="J114" s="428"/>
      <c r="K114" s="428"/>
      <c r="L114" s="428"/>
      <c r="M114" s="428"/>
      <c r="N114" s="428"/>
      <c r="O114" s="428"/>
      <c r="P114" s="428"/>
      <c r="Q114" s="428"/>
    </row>
    <row r="115" spans="2:17" x14ac:dyDescent="0.25">
      <c r="B115" s="158"/>
      <c r="C115" s="158"/>
      <c r="D115" s="158"/>
      <c r="E115"/>
      <c r="F115"/>
      <c r="G115"/>
    </row>
    <row r="116" spans="2:17" x14ac:dyDescent="0.25">
      <c r="B116" s="187" t="s">
        <v>508</v>
      </c>
      <c r="C116"/>
      <c r="D116"/>
      <c r="E116"/>
      <c r="F116"/>
      <c r="G116"/>
    </row>
    <row r="117" spans="2:17" x14ac:dyDescent="0.25">
      <c r="B117" s="187"/>
      <c r="C117"/>
      <c r="D117"/>
      <c r="E117"/>
      <c r="F117"/>
      <c r="G117"/>
    </row>
    <row r="118" spans="2:17" ht="15" customHeight="1" x14ac:dyDescent="0.25">
      <c r="B118" s="408" t="s">
        <v>532</v>
      </c>
      <c r="C118" s="414" t="s">
        <v>477</v>
      </c>
      <c r="D118" s="414"/>
      <c r="E118" s="414"/>
      <c r="F118" s="414"/>
      <c r="G118" s="414"/>
      <c r="H118" s="414"/>
      <c r="I118" s="414"/>
      <c r="J118" s="414"/>
      <c r="K118" s="414"/>
      <c r="L118" s="414"/>
      <c r="M118" s="414"/>
      <c r="N118" s="414"/>
      <c r="O118" s="447" t="s">
        <v>945</v>
      </c>
      <c r="P118" s="448"/>
      <c r="Q118" s="449"/>
    </row>
    <row r="119" spans="2:17" ht="15" customHeight="1" x14ac:dyDescent="0.25">
      <c r="B119" s="409"/>
      <c r="C119" s="414" t="s">
        <v>885</v>
      </c>
      <c r="D119" s="414"/>
      <c r="E119" s="414"/>
      <c r="F119" s="414" t="s">
        <v>886</v>
      </c>
      <c r="G119" s="414"/>
      <c r="H119" s="414"/>
      <c r="I119" s="414" t="s">
        <v>2</v>
      </c>
      <c r="J119" s="414"/>
      <c r="K119" s="414"/>
      <c r="L119" s="414" t="s">
        <v>3</v>
      </c>
      <c r="M119" s="414"/>
      <c r="N119" s="414"/>
      <c r="O119" s="450"/>
      <c r="P119" s="451"/>
      <c r="Q119" s="452"/>
    </row>
    <row r="120" spans="2:17" x14ac:dyDescent="0.25">
      <c r="B120" s="410"/>
      <c r="C120" s="161" t="s">
        <v>73</v>
      </c>
      <c r="D120" s="161" t="s">
        <v>74</v>
      </c>
      <c r="E120" s="161" t="s">
        <v>25</v>
      </c>
      <c r="F120" s="161" t="s">
        <v>73</v>
      </c>
      <c r="G120" s="161" t="s">
        <v>74</v>
      </c>
      <c r="H120" s="161" t="s">
        <v>25</v>
      </c>
      <c r="I120" s="161" t="s">
        <v>73</v>
      </c>
      <c r="J120" s="161" t="s">
        <v>74</v>
      </c>
      <c r="K120" s="161" t="s">
        <v>25</v>
      </c>
      <c r="L120" s="161" t="s">
        <v>73</v>
      </c>
      <c r="M120" s="161" t="s">
        <v>74</v>
      </c>
      <c r="N120" s="161" t="s">
        <v>25</v>
      </c>
      <c r="O120" s="299" t="s">
        <v>73</v>
      </c>
      <c r="P120" s="299" t="s">
        <v>74</v>
      </c>
      <c r="Q120" s="299" t="s">
        <v>25</v>
      </c>
    </row>
    <row r="121" spans="2:17" x14ac:dyDescent="0.25">
      <c r="B121" s="235" t="s">
        <v>156</v>
      </c>
      <c r="C121" s="269"/>
      <c r="D121" s="269"/>
      <c r="E121" s="269"/>
      <c r="F121" s="269">
        <v>9</v>
      </c>
      <c r="G121" s="269">
        <v>12</v>
      </c>
      <c r="H121" s="250">
        <v>21</v>
      </c>
      <c r="I121" s="269">
        <v>1</v>
      </c>
      <c r="J121" s="250"/>
      <c r="K121" s="269">
        <v>1</v>
      </c>
      <c r="L121" s="250">
        <v>1</v>
      </c>
      <c r="M121" s="269"/>
      <c r="N121" s="250">
        <v>1</v>
      </c>
      <c r="O121" s="324">
        <v>11</v>
      </c>
      <c r="P121" s="324">
        <v>12</v>
      </c>
      <c r="Q121" s="324">
        <v>23</v>
      </c>
    </row>
    <row r="122" spans="2:17" x14ac:dyDescent="0.25">
      <c r="B122" s="236" t="s">
        <v>157</v>
      </c>
      <c r="C122" s="269"/>
      <c r="D122" s="269"/>
      <c r="E122" s="269"/>
      <c r="F122" s="269">
        <v>19</v>
      </c>
      <c r="G122" s="269">
        <v>16</v>
      </c>
      <c r="H122" s="250">
        <v>35</v>
      </c>
      <c r="I122" s="269"/>
      <c r="J122" s="250">
        <v>1</v>
      </c>
      <c r="K122" s="269">
        <v>1</v>
      </c>
      <c r="L122" s="250"/>
      <c r="M122" s="269">
        <v>1</v>
      </c>
      <c r="N122" s="250">
        <v>1</v>
      </c>
      <c r="O122" s="324">
        <v>19</v>
      </c>
      <c r="P122" s="324">
        <v>18</v>
      </c>
      <c r="Q122" s="324">
        <v>37</v>
      </c>
    </row>
    <row r="123" spans="2:17" x14ac:dyDescent="0.25">
      <c r="B123" s="236" t="s">
        <v>158</v>
      </c>
      <c r="C123" s="269"/>
      <c r="D123" s="269"/>
      <c r="E123" s="269"/>
      <c r="F123" s="269">
        <v>21</v>
      </c>
      <c r="G123" s="269">
        <v>18</v>
      </c>
      <c r="H123" s="250">
        <v>39</v>
      </c>
      <c r="I123" s="269">
        <v>1</v>
      </c>
      <c r="J123" s="250"/>
      <c r="K123" s="269">
        <v>1</v>
      </c>
      <c r="L123" s="250"/>
      <c r="M123" s="269">
        <v>1</v>
      </c>
      <c r="N123" s="250">
        <v>1</v>
      </c>
      <c r="O123" s="324">
        <v>22</v>
      </c>
      <c r="P123" s="324">
        <v>19</v>
      </c>
      <c r="Q123" s="324">
        <v>41</v>
      </c>
    </row>
    <row r="124" spans="2:17" x14ac:dyDescent="0.25">
      <c r="B124" s="236" t="s">
        <v>159</v>
      </c>
      <c r="C124" s="269">
        <v>4</v>
      </c>
      <c r="D124" s="269">
        <v>2</v>
      </c>
      <c r="E124" s="269">
        <v>6</v>
      </c>
      <c r="F124" s="269">
        <v>246</v>
      </c>
      <c r="G124" s="269">
        <v>215</v>
      </c>
      <c r="H124" s="250">
        <v>461</v>
      </c>
      <c r="I124" s="269">
        <v>2</v>
      </c>
      <c r="J124" s="250">
        <v>1</v>
      </c>
      <c r="K124" s="269">
        <v>3</v>
      </c>
      <c r="L124" s="250">
        <v>9</v>
      </c>
      <c r="M124" s="269">
        <v>14</v>
      </c>
      <c r="N124" s="250">
        <v>23</v>
      </c>
      <c r="O124" s="324">
        <v>261</v>
      </c>
      <c r="P124" s="324">
        <v>232</v>
      </c>
      <c r="Q124" s="324">
        <v>493</v>
      </c>
    </row>
    <row r="125" spans="2:17" x14ac:dyDescent="0.25">
      <c r="B125" s="236" t="s">
        <v>160</v>
      </c>
      <c r="C125" s="269">
        <v>1</v>
      </c>
      <c r="D125" s="269"/>
      <c r="E125" s="269">
        <v>1</v>
      </c>
      <c r="F125" s="269">
        <v>39</v>
      </c>
      <c r="G125" s="269">
        <v>43</v>
      </c>
      <c r="H125" s="250">
        <v>82</v>
      </c>
      <c r="I125" s="269">
        <v>2</v>
      </c>
      <c r="J125" s="250">
        <v>1</v>
      </c>
      <c r="K125" s="269">
        <v>3</v>
      </c>
      <c r="L125" s="250"/>
      <c r="M125" s="269">
        <v>2</v>
      </c>
      <c r="N125" s="250">
        <v>2</v>
      </c>
      <c r="O125" s="324">
        <v>42</v>
      </c>
      <c r="P125" s="324">
        <v>46</v>
      </c>
      <c r="Q125" s="324">
        <v>88</v>
      </c>
    </row>
    <row r="126" spans="2:17" x14ac:dyDescent="0.25">
      <c r="B126" s="236" t="s">
        <v>161</v>
      </c>
      <c r="C126" s="269"/>
      <c r="D126" s="269"/>
      <c r="E126" s="269"/>
      <c r="F126" s="269">
        <v>4</v>
      </c>
      <c r="G126" s="269">
        <v>9</v>
      </c>
      <c r="H126" s="250">
        <v>13</v>
      </c>
      <c r="I126" s="269"/>
      <c r="J126" s="250">
        <v>1</v>
      </c>
      <c r="K126" s="269">
        <v>1</v>
      </c>
      <c r="L126" s="250"/>
      <c r="M126" s="269"/>
      <c r="N126" s="250"/>
      <c r="O126" s="324">
        <v>4</v>
      </c>
      <c r="P126" s="324">
        <v>10</v>
      </c>
      <c r="Q126" s="324">
        <v>14</v>
      </c>
    </row>
    <row r="127" spans="2:17" x14ac:dyDescent="0.25">
      <c r="B127" s="236" t="s">
        <v>162</v>
      </c>
      <c r="C127" s="269">
        <v>2</v>
      </c>
      <c r="D127" s="269">
        <v>1</v>
      </c>
      <c r="E127" s="269">
        <v>3</v>
      </c>
      <c r="F127" s="269">
        <v>275</v>
      </c>
      <c r="G127" s="269">
        <v>239</v>
      </c>
      <c r="H127" s="250">
        <v>514</v>
      </c>
      <c r="I127" s="269">
        <v>5</v>
      </c>
      <c r="J127" s="250">
        <v>3</v>
      </c>
      <c r="K127" s="269">
        <v>8</v>
      </c>
      <c r="L127" s="250">
        <v>10</v>
      </c>
      <c r="M127" s="269">
        <v>18</v>
      </c>
      <c r="N127" s="250">
        <v>28</v>
      </c>
      <c r="O127" s="324">
        <v>292</v>
      </c>
      <c r="P127" s="324">
        <v>261</v>
      </c>
      <c r="Q127" s="324">
        <v>553</v>
      </c>
    </row>
    <row r="128" spans="2:17" x14ac:dyDescent="0.25">
      <c r="B128" s="236" t="s">
        <v>163</v>
      </c>
      <c r="C128" s="269"/>
      <c r="D128" s="269"/>
      <c r="E128" s="269"/>
      <c r="F128" s="269">
        <v>26</v>
      </c>
      <c r="G128" s="269">
        <v>28</v>
      </c>
      <c r="H128" s="250">
        <v>54</v>
      </c>
      <c r="I128" s="269"/>
      <c r="J128" s="250"/>
      <c r="K128" s="269"/>
      <c r="L128" s="250">
        <v>1</v>
      </c>
      <c r="M128" s="269"/>
      <c r="N128" s="250">
        <v>1</v>
      </c>
      <c r="O128" s="324">
        <v>27</v>
      </c>
      <c r="P128" s="324">
        <v>28</v>
      </c>
      <c r="Q128" s="324">
        <v>55</v>
      </c>
    </row>
    <row r="129" spans="2:17" x14ac:dyDescent="0.25">
      <c r="B129" s="236" t="s">
        <v>164</v>
      </c>
      <c r="C129" s="269">
        <v>1</v>
      </c>
      <c r="D129" s="269"/>
      <c r="E129" s="269">
        <v>1</v>
      </c>
      <c r="F129" s="269">
        <v>36</v>
      </c>
      <c r="G129" s="269">
        <v>39</v>
      </c>
      <c r="H129" s="250">
        <v>75</v>
      </c>
      <c r="I129" s="269"/>
      <c r="J129" s="250"/>
      <c r="K129" s="269"/>
      <c r="L129" s="250">
        <v>2</v>
      </c>
      <c r="M129" s="269">
        <v>2</v>
      </c>
      <c r="N129" s="250">
        <v>4</v>
      </c>
      <c r="O129" s="324">
        <v>39</v>
      </c>
      <c r="P129" s="324">
        <v>41</v>
      </c>
      <c r="Q129" s="324">
        <v>80</v>
      </c>
    </row>
    <row r="130" spans="2:17" x14ac:dyDescent="0.25">
      <c r="B130" s="236" t="s">
        <v>165</v>
      </c>
      <c r="C130" s="269">
        <v>1</v>
      </c>
      <c r="D130" s="269"/>
      <c r="E130" s="269">
        <v>1</v>
      </c>
      <c r="F130" s="269">
        <v>165</v>
      </c>
      <c r="G130" s="269">
        <v>155</v>
      </c>
      <c r="H130" s="250">
        <v>320</v>
      </c>
      <c r="I130" s="269">
        <v>1</v>
      </c>
      <c r="J130" s="250">
        <v>1</v>
      </c>
      <c r="K130" s="269">
        <v>2</v>
      </c>
      <c r="L130" s="250">
        <v>5</v>
      </c>
      <c r="M130" s="269">
        <v>6</v>
      </c>
      <c r="N130" s="250">
        <v>11</v>
      </c>
      <c r="O130" s="324">
        <v>172</v>
      </c>
      <c r="P130" s="324">
        <v>162</v>
      </c>
      <c r="Q130" s="324">
        <v>334</v>
      </c>
    </row>
    <row r="131" spans="2:17" x14ac:dyDescent="0.25">
      <c r="B131" s="236" t="s">
        <v>166</v>
      </c>
      <c r="C131" s="269"/>
      <c r="D131" s="269"/>
      <c r="E131" s="269"/>
      <c r="F131" s="269">
        <v>6</v>
      </c>
      <c r="G131" s="269">
        <v>7</v>
      </c>
      <c r="H131" s="250">
        <v>13</v>
      </c>
      <c r="I131" s="269"/>
      <c r="J131" s="250"/>
      <c r="K131" s="269"/>
      <c r="L131" s="250"/>
      <c r="M131" s="269"/>
      <c r="N131" s="250"/>
      <c r="O131" s="324">
        <v>6</v>
      </c>
      <c r="P131" s="324">
        <v>7</v>
      </c>
      <c r="Q131" s="324">
        <v>13</v>
      </c>
    </row>
    <row r="132" spans="2:17" x14ac:dyDescent="0.25">
      <c r="B132" s="236" t="s">
        <v>167</v>
      </c>
      <c r="C132" s="269"/>
      <c r="D132" s="269"/>
      <c r="E132" s="269"/>
      <c r="F132" s="269">
        <v>13</v>
      </c>
      <c r="G132" s="269">
        <v>11</v>
      </c>
      <c r="H132" s="250">
        <v>24</v>
      </c>
      <c r="I132" s="269"/>
      <c r="J132" s="250"/>
      <c r="K132" s="269"/>
      <c r="L132" s="250"/>
      <c r="M132" s="269">
        <v>2</v>
      </c>
      <c r="N132" s="250">
        <v>2</v>
      </c>
      <c r="O132" s="324">
        <v>13</v>
      </c>
      <c r="P132" s="324">
        <v>13</v>
      </c>
      <c r="Q132" s="324">
        <v>26</v>
      </c>
    </row>
    <row r="133" spans="2:17" x14ac:dyDescent="0.25">
      <c r="B133" s="236" t="s">
        <v>168</v>
      </c>
      <c r="C133" s="269"/>
      <c r="D133" s="269"/>
      <c r="E133" s="269"/>
      <c r="F133" s="269">
        <v>5</v>
      </c>
      <c r="G133" s="269">
        <v>11</v>
      </c>
      <c r="H133" s="250">
        <v>16</v>
      </c>
      <c r="I133" s="269"/>
      <c r="J133" s="250"/>
      <c r="K133" s="269"/>
      <c r="L133" s="250">
        <v>2</v>
      </c>
      <c r="M133" s="269"/>
      <c r="N133" s="250">
        <v>2</v>
      </c>
      <c r="O133" s="324">
        <v>7</v>
      </c>
      <c r="P133" s="324">
        <v>11</v>
      </c>
      <c r="Q133" s="324">
        <v>18</v>
      </c>
    </row>
    <row r="134" spans="2:17" x14ac:dyDescent="0.25">
      <c r="B134" s="237" t="s">
        <v>169</v>
      </c>
      <c r="C134" s="269">
        <v>2</v>
      </c>
      <c r="D134" s="269"/>
      <c r="E134" s="269">
        <v>2</v>
      </c>
      <c r="F134" s="269">
        <v>28</v>
      </c>
      <c r="G134" s="269">
        <v>26</v>
      </c>
      <c r="H134" s="250">
        <v>54</v>
      </c>
      <c r="I134" s="269"/>
      <c r="J134" s="250"/>
      <c r="K134" s="269"/>
      <c r="L134" s="250"/>
      <c r="M134" s="269">
        <v>3</v>
      </c>
      <c r="N134" s="250">
        <v>3</v>
      </c>
      <c r="O134" s="324">
        <v>30</v>
      </c>
      <c r="P134" s="324">
        <v>29</v>
      </c>
      <c r="Q134" s="324">
        <v>59</v>
      </c>
    </row>
    <row r="135" spans="2:17" x14ac:dyDescent="0.25">
      <c r="B135" s="176" t="s">
        <v>491</v>
      </c>
      <c r="C135" s="269"/>
      <c r="D135" s="269"/>
      <c r="E135" s="269"/>
      <c r="F135" s="269">
        <v>35</v>
      </c>
      <c r="G135" s="269">
        <v>45</v>
      </c>
      <c r="H135" s="250">
        <v>80</v>
      </c>
      <c r="I135" s="269">
        <v>1</v>
      </c>
      <c r="J135" s="250">
        <v>1</v>
      </c>
      <c r="K135" s="269">
        <v>2</v>
      </c>
      <c r="L135" s="250">
        <v>2</v>
      </c>
      <c r="M135" s="269">
        <v>2</v>
      </c>
      <c r="N135" s="250">
        <v>4</v>
      </c>
      <c r="O135" s="324">
        <v>38</v>
      </c>
      <c r="P135" s="324">
        <v>48</v>
      </c>
      <c r="Q135" s="324">
        <v>86</v>
      </c>
    </row>
    <row r="136" spans="2:17" x14ac:dyDescent="0.25">
      <c r="B136" s="371" t="s">
        <v>923</v>
      </c>
      <c r="C136" s="310">
        <v>11</v>
      </c>
      <c r="D136" s="310">
        <v>3</v>
      </c>
      <c r="E136" s="310">
        <v>14</v>
      </c>
      <c r="F136" s="310">
        <v>927</v>
      </c>
      <c r="G136" s="310">
        <v>874</v>
      </c>
      <c r="H136" s="294">
        <v>1801</v>
      </c>
      <c r="I136" s="310">
        <v>13</v>
      </c>
      <c r="J136" s="294">
        <v>9</v>
      </c>
      <c r="K136" s="310">
        <v>22</v>
      </c>
      <c r="L136" s="294">
        <v>32</v>
      </c>
      <c r="M136" s="310">
        <v>51</v>
      </c>
      <c r="N136" s="294">
        <v>83</v>
      </c>
      <c r="O136" s="294">
        <v>983</v>
      </c>
      <c r="P136" s="294">
        <v>937</v>
      </c>
      <c r="Q136" s="294">
        <v>1920</v>
      </c>
    </row>
    <row r="137" spans="2:17" ht="81.75" customHeight="1" x14ac:dyDescent="0.25">
      <c r="B137" s="428" t="s">
        <v>938</v>
      </c>
      <c r="C137" s="428"/>
      <c r="D137" s="428"/>
      <c r="E137" s="428"/>
      <c r="F137" s="428"/>
      <c r="G137" s="428"/>
      <c r="H137" s="428"/>
      <c r="I137" s="428"/>
      <c r="J137" s="428"/>
      <c r="K137" s="428"/>
      <c r="L137" s="428"/>
      <c r="M137" s="428"/>
      <c r="N137" s="428"/>
      <c r="O137" s="428"/>
      <c r="P137" s="428"/>
      <c r="Q137" s="428"/>
    </row>
    <row r="138" spans="2:17" x14ac:dyDescent="0.25">
      <c r="B138" s="158"/>
      <c r="C138" s="190"/>
      <c r="D138" s="190"/>
      <c r="E138" s="190"/>
      <c r="F138" s="190"/>
      <c r="G138"/>
    </row>
    <row r="139" spans="2:17" x14ac:dyDescent="0.25">
      <c r="B139" s="187" t="s">
        <v>509</v>
      </c>
      <c r="C139"/>
      <c r="D139"/>
      <c r="E139"/>
      <c r="F139"/>
      <c r="G139"/>
    </row>
    <row r="140" spans="2:17" x14ac:dyDescent="0.25">
      <c r="B140" s="187"/>
      <c r="C140"/>
      <c r="D140"/>
      <c r="E140"/>
      <c r="F140"/>
      <c r="G140"/>
    </row>
    <row r="141" spans="2:17" ht="15" customHeight="1" x14ac:dyDescent="0.25">
      <c r="B141" s="408" t="s">
        <v>532</v>
      </c>
      <c r="C141" s="414" t="s">
        <v>477</v>
      </c>
      <c r="D141" s="414"/>
      <c r="E141" s="414"/>
      <c r="F141" s="414"/>
      <c r="G141" s="414"/>
      <c r="H141" s="414"/>
      <c r="I141" s="414"/>
      <c r="J141" s="414"/>
      <c r="K141" s="414"/>
      <c r="L141" s="414"/>
      <c r="M141" s="414"/>
      <c r="N141" s="414"/>
      <c r="O141" s="447" t="s">
        <v>945</v>
      </c>
      <c r="P141" s="448"/>
      <c r="Q141" s="449"/>
    </row>
    <row r="142" spans="2:17" ht="15" customHeight="1" x14ac:dyDescent="0.25">
      <c r="B142" s="409"/>
      <c r="C142" s="414" t="s">
        <v>885</v>
      </c>
      <c r="D142" s="414"/>
      <c r="E142" s="414"/>
      <c r="F142" s="414" t="s">
        <v>886</v>
      </c>
      <c r="G142" s="414"/>
      <c r="H142" s="414"/>
      <c r="I142" s="414" t="s">
        <v>2</v>
      </c>
      <c r="J142" s="414"/>
      <c r="K142" s="414"/>
      <c r="L142" s="414" t="s">
        <v>3</v>
      </c>
      <c r="M142" s="414"/>
      <c r="N142" s="414"/>
      <c r="O142" s="450"/>
      <c r="P142" s="451"/>
      <c r="Q142" s="452"/>
    </row>
    <row r="143" spans="2:17" x14ac:dyDescent="0.25">
      <c r="B143" s="410"/>
      <c r="C143" s="161" t="s">
        <v>73</v>
      </c>
      <c r="D143" s="161" t="s">
        <v>74</v>
      </c>
      <c r="E143" s="161" t="s">
        <v>25</v>
      </c>
      <c r="F143" s="161" t="s">
        <v>73</v>
      </c>
      <c r="G143" s="161" t="s">
        <v>74</v>
      </c>
      <c r="H143" s="161" t="s">
        <v>25</v>
      </c>
      <c r="I143" s="161" t="s">
        <v>73</v>
      </c>
      <c r="J143" s="161" t="s">
        <v>74</v>
      </c>
      <c r="K143" s="161" t="s">
        <v>25</v>
      </c>
      <c r="L143" s="161" t="s">
        <v>73</v>
      </c>
      <c r="M143" s="161" t="s">
        <v>74</v>
      </c>
      <c r="N143" s="161" t="s">
        <v>25</v>
      </c>
      <c r="O143" s="299" t="s">
        <v>73</v>
      </c>
      <c r="P143" s="299" t="s">
        <v>74</v>
      </c>
      <c r="Q143" s="299" t="s">
        <v>25</v>
      </c>
    </row>
    <row r="144" spans="2:17" x14ac:dyDescent="0.25">
      <c r="B144" s="236" t="s">
        <v>170</v>
      </c>
      <c r="C144" s="269"/>
      <c r="D144" s="269"/>
      <c r="E144" s="269"/>
      <c r="F144" s="269">
        <v>33</v>
      </c>
      <c r="G144" s="269">
        <v>18</v>
      </c>
      <c r="H144" s="250">
        <v>51</v>
      </c>
      <c r="I144" s="269"/>
      <c r="J144" s="250">
        <v>1</v>
      </c>
      <c r="K144" s="269">
        <v>1</v>
      </c>
      <c r="L144" s="269">
        <v>1</v>
      </c>
      <c r="M144" s="250"/>
      <c r="N144" s="269">
        <v>1</v>
      </c>
      <c r="O144" s="294">
        <v>34</v>
      </c>
      <c r="P144" s="294">
        <v>19</v>
      </c>
      <c r="Q144" s="294">
        <v>53</v>
      </c>
    </row>
    <row r="145" spans="2:17" x14ac:dyDescent="0.25">
      <c r="B145" s="236" t="s">
        <v>171</v>
      </c>
      <c r="C145" s="269"/>
      <c r="D145" s="269"/>
      <c r="E145" s="269"/>
      <c r="F145" s="269">
        <v>28</v>
      </c>
      <c r="G145" s="269">
        <v>29</v>
      </c>
      <c r="H145" s="250">
        <v>57</v>
      </c>
      <c r="I145" s="269"/>
      <c r="J145" s="250"/>
      <c r="K145" s="269"/>
      <c r="L145" s="269"/>
      <c r="M145" s="250">
        <v>2</v>
      </c>
      <c r="N145" s="269">
        <v>2</v>
      </c>
      <c r="O145" s="294">
        <v>28</v>
      </c>
      <c r="P145" s="294">
        <v>31</v>
      </c>
      <c r="Q145" s="294">
        <v>59</v>
      </c>
    </row>
    <row r="146" spans="2:17" x14ac:dyDescent="0.25">
      <c r="B146" s="236" t="s">
        <v>172</v>
      </c>
      <c r="C146" s="269">
        <v>2</v>
      </c>
      <c r="D146" s="269"/>
      <c r="E146" s="269">
        <v>2</v>
      </c>
      <c r="F146" s="269">
        <v>21</v>
      </c>
      <c r="G146" s="269">
        <v>11</v>
      </c>
      <c r="H146" s="250">
        <v>32</v>
      </c>
      <c r="I146" s="269"/>
      <c r="J146" s="250"/>
      <c r="K146" s="269"/>
      <c r="L146" s="269">
        <v>1</v>
      </c>
      <c r="M146" s="250"/>
      <c r="N146" s="269">
        <v>1</v>
      </c>
      <c r="O146" s="294">
        <v>24</v>
      </c>
      <c r="P146" s="294">
        <v>11</v>
      </c>
      <c r="Q146" s="294">
        <v>35</v>
      </c>
    </row>
    <row r="147" spans="2:17" x14ac:dyDescent="0.25">
      <c r="B147" s="236" t="s">
        <v>173</v>
      </c>
      <c r="C147" s="269">
        <v>2</v>
      </c>
      <c r="D147" s="269"/>
      <c r="E147" s="269">
        <v>2</v>
      </c>
      <c r="F147" s="269">
        <v>23</v>
      </c>
      <c r="G147" s="269">
        <v>28</v>
      </c>
      <c r="H147" s="250">
        <v>51</v>
      </c>
      <c r="I147" s="269">
        <v>1</v>
      </c>
      <c r="J147" s="250"/>
      <c r="K147" s="269">
        <v>1</v>
      </c>
      <c r="L147" s="269">
        <v>2</v>
      </c>
      <c r="M147" s="250">
        <v>1</v>
      </c>
      <c r="N147" s="269">
        <v>3</v>
      </c>
      <c r="O147" s="294">
        <v>28</v>
      </c>
      <c r="P147" s="294">
        <v>29</v>
      </c>
      <c r="Q147" s="294">
        <v>57</v>
      </c>
    </row>
    <row r="148" spans="2:17" x14ac:dyDescent="0.25">
      <c r="B148" s="236" t="s">
        <v>174</v>
      </c>
      <c r="C148" s="269">
        <v>1</v>
      </c>
      <c r="D148" s="269"/>
      <c r="E148" s="269">
        <v>1</v>
      </c>
      <c r="F148" s="269">
        <v>46</v>
      </c>
      <c r="G148" s="269">
        <v>28</v>
      </c>
      <c r="H148" s="250">
        <v>74</v>
      </c>
      <c r="I148" s="269"/>
      <c r="J148" s="250"/>
      <c r="K148" s="269"/>
      <c r="L148" s="269">
        <v>2</v>
      </c>
      <c r="M148" s="250">
        <v>3</v>
      </c>
      <c r="N148" s="269">
        <v>5</v>
      </c>
      <c r="O148" s="294">
        <v>49</v>
      </c>
      <c r="P148" s="294">
        <v>31</v>
      </c>
      <c r="Q148" s="294">
        <v>80</v>
      </c>
    </row>
    <row r="149" spans="2:17" x14ac:dyDescent="0.25">
      <c r="B149" s="236" t="s">
        <v>175</v>
      </c>
      <c r="C149" s="269"/>
      <c r="D149" s="269"/>
      <c r="E149" s="269"/>
      <c r="F149" s="269">
        <v>21</v>
      </c>
      <c r="G149" s="269">
        <v>15</v>
      </c>
      <c r="H149" s="250">
        <v>36</v>
      </c>
      <c r="I149" s="269">
        <v>1</v>
      </c>
      <c r="J149" s="250"/>
      <c r="K149" s="269">
        <v>1</v>
      </c>
      <c r="L149" s="269"/>
      <c r="M149" s="250">
        <v>1</v>
      </c>
      <c r="N149" s="269">
        <v>1</v>
      </c>
      <c r="O149" s="294">
        <v>22</v>
      </c>
      <c r="P149" s="294">
        <v>16</v>
      </c>
      <c r="Q149" s="294">
        <v>38</v>
      </c>
    </row>
    <row r="150" spans="2:17" x14ac:dyDescent="0.25">
      <c r="B150" s="236" t="s">
        <v>176</v>
      </c>
      <c r="C150" s="269"/>
      <c r="D150" s="269"/>
      <c r="E150" s="269"/>
      <c r="F150" s="269">
        <v>61</v>
      </c>
      <c r="G150" s="269">
        <v>38</v>
      </c>
      <c r="H150" s="250">
        <v>99</v>
      </c>
      <c r="I150" s="269"/>
      <c r="J150" s="250"/>
      <c r="K150" s="269"/>
      <c r="L150" s="269">
        <v>3</v>
      </c>
      <c r="M150" s="250">
        <v>1</v>
      </c>
      <c r="N150" s="269">
        <v>4</v>
      </c>
      <c r="O150" s="294">
        <v>64</v>
      </c>
      <c r="P150" s="294">
        <v>39</v>
      </c>
      <c r="Q150" s="294">
        <v>103</v>
      </c>
    </row>
    <row r="151" spans="2:17" x14ac:dyDescent="0.25">
      <c r="B151" s="236" t="s">
        <v>177</v>
      </c>
      <c r="C151" s="269">
        <v>1</v>
      </c>
      <c r="D151" s="269"/>
      <c r="E151" s="269">
        <v>1</v>
      </c>
      <c r="F151" s="269">
        <v>41</v>
      </c>
      <c r="G151" s="269">
        <v>42</v>
      </c>
      <c r="H151" s="250">
        <v>83</v>
      </c>
      <c r="I151" s="269"/>
      <c r="J151" s="250"/>
      <c r="K151" s="269"/>
      <c r="L151" s="269">
        <v>3</v>
      </c>
      <c r="M151" s="250"/>
      <c r="N151" s="269">
        <v>3</v>
      </c>
      <c r="O151" s="294">
        <v>45</v>
      </c>
      <c r="P151" s="294">
        <v>42</v>
      </c>
      <c r="Q151" s="294">
        <v>87</v>
      </c>
    </row>
    <row r="152" spans="2:17" x14ac:dyDescent="0.25">
      <c r="B152" s="236" t="s">
        <v>178</v>
      </c>
      <c r="C152" s="269"/>
      <c r="D152" s="269"/>
      <c r="E152" s="269"/>
      <c r="F152" s="269">
        <v>27</v>
      </c>
      <c r="G152" s="269">
        <v>17</v>
      </c>
      <c r="H152" s="250">
        <v>44</v>
      </c>
      <c r="I152" s="269"/>
      <c r="J152" s="250">
        <v>1</v>
      </c>
      <c r="K152" s="269">
        <v>1</v>
      </c>
      <c r="L152" s="269">
        <v>2</v>
      </c>
      <c r="M152" s="250">
        <v>3</v>
      </c>
      <c r="N152" s="269">
        <v>5</v>
      </c>
      <c r="O152" s="294">
        <v>29</v>
      </c>
      <c r="P152" s="294">
        <v>21</v>
      </c>
      <c r="Q152" s="294">
        <v>50</v>
      </c>
    </row>
    <row r="153" spans="2:17" x14ac:dyDescent="0.25">
      <c r="B153" s="236" t="s">
        <v>179</v>
      </c>
      <c r="C153" s="269">
        <v>2</v>
      </c>
      <c r="D153" s="269"/>
      <c r="E153" s="269">
        <v>2</v>
      </c>
      <c r="F153" s="269">
        <v>22</v>
      </c>
      <c r="G153" s="269">
        <v>22</v>
      </c>
      <c r="H153" s="250">
        <v>44</v>
      </c>
      <c r="I153" s="269">
        <v>1</v>
      </c>
      <c r="J153" s="250"/>
      <c r="K153" s="269">
        <v>1</v>
      </c>
      <c r="L153" s="269">
        <v>1</v>
      </c>
      <c r="M153" s="250">
        <v>2</v>
      </c>
      <c r="N153" s="269">
        <v>3</v>
      </c>
      <c r="O153" s="294">
        <v>26</v>
      </c>
      <c r="P153" s="294">
        <v>24</v>
      </c>
      <c r="Q153" s="294">
        <v>50</v>
      </c>
    </row>
    <row r="154" spans="2:17" x14ac:dyDescent="0.25">
      <c r="B154" s="236" t="s">
        <v>180</v>
      </c>
      <c r="C154" s="269"/>
      <c r="D154" s="269"/>
      <c r="E154" s="269"/>
      <c r="F154" s="269">
        <v>11</v>
      </c>
      <c r="G154" s="269">
        <v>2</v>
      </c>
      <c r="H154" s="250">
        <v>13</v>
      </c>
      <c r="I154" s="269"/>
      <c r="J154" s="250"/>
      <c r="K154" s="269"/>
      <c r="L154" s="269"/>
      <c r="M154" s="250">
        <v>1</v>
      </c>
      <c r="N154" s="269">
        <v>1</v>
      </c>
      <c r="O154" s="294">
        <v>11</v>
      </c>
      <c r="P154" s="294">
        <v>3</v>
      </c>
      <c r="Q154" s="294">
        <v>14</v>
      </c>
    </row>
    <row r="155" spans="2:17" x14ac:dyDescent="0.25">
      <c r="B155" s="236" t="s">
        <v>181</v>
      </c>
      <c r="C155" s="269"/>
      <c r="D155" s="269"/>
      <c r="E155" s="269"/>
      <c r="F155" s="269">
        <v>3</v>
      </c>
      <c r="G155" s="269"/>
      <c r="H155" s="250">
        <v>3</v>
      </c>
      <c r="I155" s="269"/>
      <c r="J155" s="250"/>
      <c r="K155" s="269"/>
      <c r="L155" s="269"/>
      <c r="M155" s="250"/>
      <c r="N155" s="269"/>
      <c r="O155" s="294">
        <v>3</v>
      </c>
      <c r="P155" s="294"/>
      <c r="Q155" s="294">
        <v>3</v>
      </c>
    </row>
    <row r="156" spans="2:17" x14ac:dyDescent="0.25">
      <c r="B156" s="236" t="s">
        <v>182</v>
      </c>
      <c r="C156" s="269">
        <v>1</v>
      </c>
      <c r="D156" s="269"/>
      <c r="E156" s="269">
        <v>1</v>
      </c>
      <c r="F156" s="269">
        <v>57</v>
      </c>
      <c r="G156" s="269">
        <v>53</v>
      </c>
      <c r="H156" s="250">
        <v>110</v>
      </c>
      <c r="I156" s="269">
        <v>2</v>
      </c>
      <c r="J156" s="250"/>
      <c r="K156" s="269">
        <v>2</v>
      </c>
      <c r="L156" s="269"/>
      <c r="M156" s="250">
        <v>3</v>
      </c>
      <c r="N156" s="269">
        <v>3</v>
      </c>
      <c r="O156" s="294">
        <v>60</v>
      </c>
      <c r="P156" s="294">
        <v>56</v>
      </c>
      <c r="Q156" s="294">
        <v>116</v>
      </c>
    </row>
    <row r="157" spans="2:17" x14ac:dyDescent="0.25">
      <c r="B157" s="236" t="s">
        <v>183</v>
      </c>
      <c r="C157" s="269"/>
      <c r="D157" s="269"/>
      <c r="E157" s="269"/>
      <c r="F157" s="269">
        <v>25</v>
      </c>
      <c r="G157" s="269">
        <v>24</v>
      </c>
      <c r="H157" s="250">
        <v>49</v>
      </c>
      <c r="I157" s="269"/>
      <c r="J157" s="250"/>
      <c r="K157" s="269"/>
      <c r="L157" s="269">
        <v>1</v>
      </c>
      <c r="M157" s="250">
        <v>1</v>
      </c>
      <c r="N157" s="269">
        <v>2</v>
      </c>
      <c r="O157" s="294">
        <v>26</v>
      </c>
      <c r="P157" s="294">
        <v>25</v>
      </c>
      <c r="Q157" s="294">
        <v>51</v>
      </c>
    </row>
    <row r="158" spans="2:17" x14ac:dyDescent="0.25">
      <c r="B158" s="236" t="s">
        <v>184</v>
      </c>
      <c r="C158" s="269">
        <v>1</v>
      </c>
      <c r="D158" s="269"/>
      <c r="E158" s="269">
        <v>1</v>
      </c>
      <c r="F158" s="269">
        <v>47</v>
      </c>
      <c r="G158" s="269">
        <v>62</v>
      </c>
      <c r="H158" s="250">
        <v>109</v>
      </c>
      <c r="I158" s="269"/>
      <c r="J158" s="250"/>
      <c r="K158" s="269"/>
      <c r="L158" s="269">
        <v>2</v>
      </c>
      <c r="M158" s="250">
        <v>2</v>
      </c>
      <c r="N158" s="269">
        <v>4</v>
      </c>
      <c r="O158" s="294">
        <v>50</v>
      </c>
      <c r="P158" s="294">
        <v>64</v>
      </c>
      <c r="Q158" s="294">
        <v>114</v>
      </c>
    </row>
    <row r="159" spans="2:17" x14ac:dyDescent="0.25">
      <c r="B159" s="236" t="s">
        <v>185</v>
      </c>
      <c r="C159" s="269">
        <v>2</v>
      </c>
      <c r="D159" s="269"/>
      <c r="E159" s="269">
        <v>2</v>
      </c>
      <c r="F159" s="269">
        <v>65</v>
      </c>
      <c r="G159" s="269">
        <v>53</v>
      </c>
      <c r="H159" s="250">
        <v>118</v>
      </c>
      <c r="I159" s="269"/>
      <c r="J159" s="250"/>
      <c r="K159" s="269"/>
      <c r="L159" s="269">
        <v>1</v>
      </c>
      <c r="M159" s="250">
        <v>4</v>
      </c>
      <c r="N159" s="269">
        <v>5</v>
      </c>
      <c r="O159" s="294">
        <v>68</v>
      </c>
      <c r="P159" s="294">
        <v>57</v>
      </c>
      <c r="Q159" s="294">
        <v>125</v>
      </c>
    </row>
    <row r="160" spans="2:17" x14ac:dyDescent="0.25">
      <c r="B160" s="236" t="s">
        <v>186</v>
      </c>
      <c r="C160" s="269"/>
      <c r="D160" s="269"/>
      <c r="E160" s="269"/>
      <c r="F160" s="269">
        <v>25</v>
      </c>
      <c r="G160" s="269">
        <v>18</v>
      </c>
      <c r="H160" s="250">
        <v>43</v>
      </c>
      <c r="I160" s="269"/>
      <c r="J160" s="250"/>
      <c r="K160" s="269"/>
      <c r="L160" s="269">
        <v>2</v>
      </c>
      <c r="M160" s="250">
        <v>2</v>
      </c>
      <c r="N160" s="269">
        <v>4</v>
      </c>
      <c r="O160" s="294">
        <v>27</v>
      </c>
      <c r="P160" s="294">
        <v>20</v>
      </c>
      <c r="Q160" s="294">
        <v>47</v>
      </c>
    </row>
    <row r="161" spans="2:17" x14ac:dyDescent="0.25">
      <c r="B161" s="236" t="s">
        <v>187</v>
      </c>
      <c r="C161" s="269">
        <v>2</v>
      </c>
      <c r="D161" s="269"/>
      <c r="E161" s="269">
        <v>2</v>
      </c>
      <c r="F161" s="269">
        <v>73</v>
      </c>
      <c r="G161" s="269">
        <v>62</v>
      </c>
      <c r="H161" s="250">
        <v>135</v>
      </c>
      <c r="I161" s="269">
        <v>4</v>
      </c>
      <c r="J161" s="250"/>
      <c r="K161" s="269">
        <v>4</v>
      </c>
      <c r="L161" s="269">
        <v>1</v>
      </c>
      <c r="M161" s="250">
        <v>5</v>
      </c>
      <c r="N161" s="269">
        <v>6</v>
      </c>
      <c r="O161" s="294">
        <v>80</v>
      </c>
      <c r="P161" s="294">
        <v>67</v>
      </c>
      <c r="Q161" s="294">
        <v>147</v>
      </c>
    </row>
    <row r="162" spans="2:17" x14ac:dyDescent="0.25">
      <c r="B162" s="236" t="s">
        <v>188</v>
      </c>
      <c r="C162" s="269">
        <v>1</v>
      </c>
      <c r="D162" s="269"/>
      <c r="E162" s="269">
        <v>1</v>
      </c>
      <c r="F162" s="269">
        <v>25</v>
      </c>
      <c r="G162" s="269">
        <v>25</v>
      </c>
      <c r="H162" s="250">
        <v>50</v>
      </c>
      <c r="I162" s="269">
        <v>1</v>
      </c>
      <c r="J162" s="250"/>
      <c r="K162" s="269">
        <v>1</v>
      </c>
      <c r="L162" s="269">
        <v>1</v>
      </c>
      <c r="M162" s="250"/>
      <c r="N162" s="269">
        <v>1</v>
      </c>
      <c r="O162" s="294">
        <v>28</v>
      </c>
      <c r="P162" s="294">
        <v>25</v>
      </c>
      <c r="Q162" s="294">
        <v>53</v>
      </c>
    </row>
    <row r="163" spans="2:17" x14ac:dyDescent="0.25">
      <c r="B163" s="236" t="s">
        <v>189</v>
      </c>
      <c r="C163" s="269"/>
      <c r="D163" s="269"/>
      <c r="E163" s="269"/>
      <c r="F163" s="269">
        <v>30</v>
      </c>
      <c r="G163" s="269">
        <v>30</v>
      </c>
      <c r="H163" s="250">
        <v>60</v>
      </c>
      <c r="I163" s="269"/>
      <c r="J163" s="250">
        <v>1</v>
      </c>
      <c r="K163" s="269">
        <v>1</v>
      </c>
      <c r="L163" s="269">
        <v>2</v>
      </c>
      <c r="M163" s="250">
        <v>1</v>
      </c>
      <c r="N163" s="269">
        <v>3</v>
      </c>
      <c r="O163" s="294">
        <v>32</v>
      </c>
      <c r="P163" s="294">
        <v>32</v>
      </c>
      <c r="Q163" s="294">
        <v>64</v>
      </c>
    </row>
    <row r="164" spans="2:17" x14ac:dyDescent="0.25">
      <c r="B164" s="236" t="s">
        <v>190</v>
      </c>
      <c r="C164" s="269"/>
      <c r="D164" s="269"/>
      <c r="E164" s="269"/>
      <c r="F164" s="269">
        <v>11</v>
      </c>
      <c r="G164" s="269">
        <v>5</v>
      </c>
      <c r="H164" s="250">
        <v>16</v>
      </c>
      <c r="I164" s="269"/>
      <c r="J164" s="250"/>
      <c r="K164" s="269"/>
      <c r="L164" s="269"/>
      <c r="M164" s="250"/>
      <c r="N164" s="269"/>
      <c r="O164" s="294">
        <v>11</v>
      </c>
      <c r="P164" s="294">
        <v>5</v>
      </c>
      <c r="Q164" s="294">
        <v>16</v>
      </c>
    </row>
    <row r="165" spans="2:17" x14ac:dyDescent="0.25">
      <c r="B165" s="236" t="s">
        <v>191</v>
      </c>
      <c r="C165" s="269"/>
      <c r="D165" s="269"/>
      <c r="E165" s="269"/>
      <c r="F165" s="269">
        <v>9</v>
      </c>
      <c r="G165" s="269">
        <v>12</v>
      </c>
      <c r="H165" s="250">
        <v>21</v>
      </c>
      <c r="I165" s="269"/>
      <c r="J165" s="250"/>
      <c r="K165" s="269"/>
      <c r="L165" s="269"/>
      <c r="M165" s="250"/>
      <c r="N165" s="269"/>
      <c r="O165" s="294">
        <v>9</v>
      </c>
      <c r="P165" s="294">
        <v>12</v>
      </c>
      <c r="Q165" s="294">
        <v>21</v>
      </c>
    </row>
    <row r="166" spans="2:17" x14ac:dyDescent="0.25">
      <c r="B166" s="236" t="s">
        <v>192</v>
      </c>
      <c r="C166" s="269"/>
      <c r="D166" s="269"/>
      <c r="E166" s="269"/>
      <c r="F166" s="269">
        <v>9</v>
      </c>
      <c r="G166" s="269">
        <v>11</v>
      </c>
      <c r="H166" s="250">
        <v>20</v>
      </c>
      <c r="I166" s="269">
        <v>1</v>
      </c>
      <c r="J166" s="250"/>
      <c r="K166" s="269">
        <v>1</v>
      </c>
      <c r="L166" s="269">
        <v>2</v>
      </c>
      <c r="M166" s="250">
        <v>1</v>
      </c>
      <c r="N166" s="269">
        <v>3</v>
      </c>
      <c r="O166" s="294">
        <v>12</v>
      </c>
      <c r="P166" s="294">
        <v>12</v>
      </c>
      <c r="Q166" s="294">
        <v>24</v>
      </c>
    </row>
    <row r="167" spans="2:17" x14ac:dyDescent="0.25">
      <c r="B167" s="236" t="s">
        <v>193</v>
      </c>
      <c r="C167" s="269">
        <v>2</v>
      </c>
      <c r="D167" s="269"/>
      <c r="E167" s="269">
        <v>2</v>
      </c>
      <c r="F167" s="269">
        <v>42</v>
      </c>
      <c r="G167" s="269">
        <v>42</v>
      </c>
      <c r="H167" s="250">
        <v>84</v>
      </c>
      <c r="I167" s="269">
        <v>2</v>
      </c>
      <c r="J167" s="250"/>
      <c r="K167" s="269">
        <v>2</v>
      </c>
      <c r="L167" s="269"/>
      <c r="M167" s="250"/>
      <c r="N167" s="269"/>
      <c r="O167" s="294">
        <v>46</v>
      </c>
      <c r="P167" s="294">
        <v>42</v>
      </c>
      <c r="Q167" s="294">
        <v>88</v>
      </c>
    </row>
    <row r="168" spans="2:17" x14ac:dyDescent="0.25">
      <c r="B168" s="236" t="s">
        <v>194</v>
      </c>
      <c r="C168" s="269"/>
      <c r="D168" s="269"/>
      <c r="E168" s="269"/>
      <c r="F168" s="269">
        <v>21</v>
      </c>
      <c r="G168" s="269">
        <v>23</v>
      </c>
      <c r="H168" s="250">
        <v>44</v>
      </c>
      <c r="I168" s="269"/>
      <c r="J168" s="250"/>
      <c r="K168" s="269"/>
      <c r="L168" s="269"/>
      <c r="M168" s="250">
        <v>2</v>
      </c>
      <c r="N168" s="269">
        <v>2</v>
      </c>
      <c r="O168" s="294">
        <v>21</v>
      </c>
      <c r="P168" s="294">
        <v>25</v>
      </c>
      <c r="Q168" s="294">
        <v>46</v>
      </c>
    </row>
    <row r="169" spans="2:17" x14ac:dyDescent="0.25">
      <c r="B169" s="236" t="s">
        <v>195</v>
      </c>
      <c r="C169" s="269">
        <v>3</v>
      </c>
      <c r="D169" s="269"/>
      <c r="E169" s="269">
        <v>3</v>
      </c>
      <c r="F169" s="269">
        <v>111</v>
      </c>
      <c r="G169" s="269">
        <v>98</v>
      </c>
      <c r="H169" s="250">
        <v>209</v>
      </c>
      <c r="I169" s="269"/>
      <c r="J169" s="250">
        <v>1</v>
      </c>
      <c r="K169" s="269">
        <v>1</v>
      </c>
      <c r="L169" s="269">
        <v>3</v>
      </c>
      <c r="M169" s="250">
        <v>3</v>
      </c>
      <c r="N169" s="269">
        <v>6</v>
      </c>
      <c r="O169" s="294">
        <v>117</v>
      </c>
      <c r="P169" s="294">
        <v>102</v>
      </c>
      <c r="Q169" s="294">
        <v>219</v>
      </c>
    </row>
    <row r="170" spans="2:17" x14ac:dyDescent="0.25">
      <c r="B170" s="236" t="s">
        <v>196</v>
      </c>
      <c r="C170" s="269">
        <v>4</v>
      </c>
      <c r="D170" s="269">
        <v>1</v>
      </c>
      <c r="E170" s="269">
        <v>5</v>
      </c>
      <c r="F170" s="269">
        <v>214</v>
      </c>
      <c r="G170" s="269">
        <v>140</v>
      </c>
      <c r="H170" s="250">
        <v>354</v>
      </c>
      <c r="I170" s="269">
        <v>4</v>
      </c>
      <c r="J170" s="250">
        <v>2</v>
      </c>
      <c r="K170" s="269">
        <v>6</v>
      </c>
      <c r="L170" s="269">
        <v>5</v>
      </c>
      <c r="M170" s="250">
        <v>7</v>
      </c>
      <c r="N170" s="269">
        <v>12</v>
      </c>
      <c r="O170" s="294">
        <v>227</v>
      </c>
      <c r="P170" s="294">
        <v>150</v>
      </c>
      <c r="Q170" s="294">
        <v>377</v>
      </c>
    </row>
    <row r="171" spans="2:17" x14ac:dyDescent="0.25">
      <c r="B171" s="236" t="s">
        <v>197</v>
      </c>
      <c r="C171" s="269">
        <v>1</v>
      </c>
      <c r="D171" s="269"/>
      <c r="E171" s="269">
        <v>1</v>
      </c>
      <c r="F171" s="269">
        <v>52</v>
      </c>
      <c r="G171" s="269">
        <v>40</v>
      </c>
      <c r="H171" s="250">
        <v>92</v>
      </c>
      <c r="I171" s="269"/>
      <c r="J171" s="250">
        <v>1</v>
      </c>
      <c r="K171" s="269">
        <v>1</v>
      </c>
      <c r="L171" s="269">
        <v>3</v>
      </c>
      <c r="M171" s="250">
        <v>5</v>
      </c>
      <c r="N171" s="269">
        <v>8</v>
      </c>
      <c r="O171" s="294">
        <v>56</v>
      </c>
      <c r="P171" s="294">
        <v>46</v>
      </c>
      <c r="Q171" s="294">
        <v>102</v>
      </c>
    </row>
    <row r="172" spans="2:17" x14ac:dyDescent="0.25">
      <c r="B172" s="236" t="s">
        <v>198</v>
      </c>
      <c r="C172" s="269"/>
      <c r="D172" s="269"/>
      <c r="E172" s="269"/>
      <c r="F172" s="269">
        <v>14</v>
      </c>
      <c r="G172" s="269">
        <v>9</v>
      </c>
      <c r="H172" s="250">
        <v>23</v>
      </c>
      <c r="I172" s="269"/>
      <c r="J172" s="250"/>
      <c r="K172" s="269"/>
      <c r="L172" s="269">
        <v>1</v>
      </c>
      <c r="M172" s="250">
        <v>1</v>
      </c>
      <c r="N172" s="269">
        <v>2</v>
      </c>
      <c r="O172" s="294">
        <v>15</v>
      </c>
      <c r="P172" s="294">
        <v>10</v>
      </c>
      <c r="Q172" s="294">
        <v>25</v>
      </c>
    </row>
    <row r="173" spans="2:17" x14ac:dyDescent="0.25">
      <c r="B173" s="236" t="s">
        <v>199</v>
      </c>
      <c r="C173" s="269">
        <v>3</v>
      </c>
      <c r="D173" s="269">
        <v>3</v>
      </c>
      <c r="E173" s="269">
        <v>6</v>
      </c>
      <c r="F173" s="269">
        <v>117</v>
      </c>
      <c r="G173" s="269">
        <v>112</v>
      </c>
      <c r="H173" s="250">
        <v>229</v>
      </c>
      <c r="I173" s="269">
        <v>3</v>
      </c>
      <c r="J173" s="250">
        <v>1</v>
      </c>
      <c r="K173" s="269">
        <v>4</v>
      </c>
      <c r="L173" s="269">
        <v>6</v>
      </c>
      <c r="M173" s="250">
        <v>11</v>
      </c>
      <c r="N173" s="269">
        <v>17</v>
      </c>
      <c r="O173" s="294">
        <v>129</v>
      </c>
      <c r="P173" s="294">
        <v>127</v>
      </c>
      <c r="Q173" s="294">
        <v>256</v>
      </c>
    </row>
    <row r="174" spans="2:17" x14ac:dyDescent="0.25">
      <c r="B174" s="236" t="s">
        <v>200</v>
      </c>
      <c r="C174" s="269"/>
      <c r="D174" s="269"/>
      <c r="E174" s="269"/>
      <c r="F174" s="269">
        <v>20</v>
      </c>
      <c r="G174" s="269">
        <v>19</v>
      </c>
      <c r="H174" s="250">
        <v>39</v>
      </c>
      <c r="I174" s="269"/>
      <c r="J174" s="250"/>
      <c r="K174" s="269"/>
      <c r="L174" s="269"/>
      <c r="M174" s="250">
        <v>1</v>
      </c>
      <c r="N174" s="269">
        <v>1</v>
      </c>
      <c r="O174" s="294">
        <v>20</v>
      </c>
      <c r="P174" s="294">
        <v>20</v>
      </c>
      <c r="Q174" s="294">
        <v>40</v>
      </c>
    </row>
    <row r="175" spans="2:17" x14ac:dyDescent="0.25">
      <c r="B175" s="236" t="s">
        <v>201</v>
      </c>
      <c r="C175" s="269">
        <v>2</v>
      </c>
      <c r="D175" s="269"/>
      <c r="E175" s="269">
        <v>2</v>
      </c>
      <c r="F175" s="269">
        <v>89</v>
      </c>
      <c r="G175" s="269">
        <v>75</v>
      </c>
      <c r="H175" s="250">
        <v>164</v>
      </c>
      <c r="I175" s="269">
        <v>1</v>
      </c>
      <c r="J175" s="250"/>
      <c r="K175" s="269">
        <v>1</v>
      </c>
      <c r="L175" s="269">
        <v>3</v>
      </c>
      <c r="M175" s="250">
        <v>3</v>
      </c>
      <c r="N175" s="269">
        <v>6</v>
      </c>
      <c r="O175" s="294">
        <v>95</v>
      </c>
      <c r="P175" s="294">
        <v>78</v>
      </c>
      <c r="Q175" s="294">
        <v>173</v>
      </c>
    </row>
    <row r="176" spans="2:17" x14ac:dyDescent="0.25">
      <c r="B176" s="236" t="s">
        <v>202</v>
      </c>
      <c r="C176" s="269">
        <v>1</v>
      </c>
      <c r="D176" s="269"/>
      <c r="E176" s="269">
        <v>1</v>
      </c>
      <c r="F176" s="269">
        <v>20</v>
      </c>
      <c r="G176" s="269">
        <v>24</v>
      </c>
      <c r="H176" s="250">
        <v>44</v>
      </c>
      <c r="I176" s="269"/>
      <c r="J176" s="250">
        <v>1</v>
      </c>
      <c r="K176" s="269">
        <v>1</v>
      </c>
      <c r="L176" s="269"/>
      <c r="M176" s="250"/>
      <c r="N176" s="269"/>
      <c r="O176" s="294">
        <v>21</v>
      </c>
      <c r="P176" s="294">
        <v>25</v>
      </c>
      <c r="Q176" s="294">
        <v>46</v>
      </c>
    </row>
    <row r="177" spans="2:17" x14ac:dyDescent="0.25">
      <c r="B177" s="236" t="s">
        <v>203</v>
      </c>
      <c r="C177" s="269"/>
      <c r="D177" s="269"/>
      <c r="E177" s="269"/>
      <c r="F177" s="269">
        <v>15</v>
      </c>
      <c r="G177" s="269">
        <v>13</v>
      </c>
      <c r="H177" s="250">
        <v>28</v>
      </c>
      <c r="I177" s="269"/>
      <c r="J177" s="250"/>
      <c r="K177" s="269"/>
      <c r="L177" s="269">
        <v>1</v>
      </c>
      <c r="M177" s="250">
        <v>1</v>
      </c>
      <c r="N177" s="269">
        <v>2</v>
      </c>
      <c r="O177" s="294">
        <v>16</v>
      </c>
      <c r="P177" s="294">
        <v>14</v>
      </c>
      <c r="Q177" s="294">
        <v>30</v>
      </c>
    </row>
    <row r="178" spans="2:17" x14ac:dyDescent="0.25">
      <c r="B178" s="236" t="s">
        <v>204</v>
      </c>
      <c r="C178" s="269">
        <v>9</v>
      </c>
      <c r="D178" s="269"/>
      <c r="E178" s="269">
        <v>9</v>
      </c>
      <c r="F178" s="269">
        <v>366</v>
      </c>
      <c r="G178" s="269">
        <v>298</v>
      </c>
      <c r="H178" s="250">
        <v>664</v>
      </c>
      <c r="I178" s="269">
        <v>5</v>
      </c>
      <c r="J178" s="250">
        <v>1</v>
      </c>
      <c r="K178" s="269">
        <v>6</v>
      </c>
      <c r="L178" s="269">
        <v>4</v>
      </c>
      <c r="M178" s="250">
        <v>19</v>
      </c>
      <c r="N178" s="269">
        <v>23</v>
      </c>
      <c r="O178" s="294">
        <v>384</v>
      </c>
      <c r="P178" s="294">
        <v>318</v>
      </c>
      <c r="Q178" s="294">
        <v>702</v>
      </c>
    </row>
    <row r="179" spans="2:17" x14ac:dyDescent="0.25">
      <c r="B179" s="236" t="s">
        <v>205</v>
      </c>
      <c r="C179" s="269">
        <v>3</v>
      </c>
      <c r="D179" s="269"/>
      <c r="E179" s="269">
        <v>3</v>
      </c>
      <c r="F179" s="269">
        <v>185</v>
      </c>
      <c r="G179" s="269">
        <v>116</v>
      </c>
      <c r="H179" s="250">
        <v>301</v>
      </c>
      <c r="I179" s="269">
        <v>1</v>
      </c>
      <c r="J179" s="250">
        <v>2</v>
      </c>
      <c r="K179" s="269">
        <v>3</v>
      </c>
      <c r="L179" s="269">
        <v>4</v>
      </c>
      <c r="M179" s="250">
        <v>3</v>
      </c>
      <c r="N179" s="269">
        <v>7</v>
      </c>
      <c r="O179" s="294">
        <v>193</v>
      </c>
      <c r="P179" s="294">
        <v>121</v>
      </c>
      <c r="Q179" s="294">
        <v>314</v>
      </c>
    </row>
    <row r="180" spans="2:17" x14ac:dyDescent="0.25">
      <c r="B180" s="237" t="s">
        <v>492</v>
      </c>
      <c r="C180" s="269">
        <v>6</v>
      </c>
      <c r="D180" s="269">
        <v>1</v>
      </c>
      <c r="E180" s="269">
        <v>7</v>
      </c>
      <c r="F180" s="269">
        <v>454</v>
      </c>
      <c r="G180" s="269">
        <v>328</v>
      </c>
      <c r="H180" s="250">
        <v>782</v>
      </c>
      <c r="I180" s="269">
        <v>9</v>
      </c>
      <c r="J180" s="250">
        <v>6</v>
      </c>
      <c r="K180" s="269">
        <v>15</v>
      </c>
      <c r="L180" s="269">
        <v>13</v>
      </c>
      <c r="M180" s="250">
        <v>9</v>
      </c>
      <c r="N180" s="269">
        <v>22</v>
      </c>
      <c r="O180" s="294">
        <v>482</v>
      </c>
      <c r="P180" s="294">
        <v>344</v>
      </c>
      <c r="Q180" s="294">
        <v>826</v>
      </c>
    </row>
    <row r="181" spans="2:17" x14ac:dyDescent="0.25">
      <c r="B181" s="176" t="s">
        <v>206</v>
      </c>
      <c r="C181" s="269">
        <v>1</v>
      </c>
      <c r="D181" s="269"/>
      <c r="E181" s="269">
        <v>1</v>
      </c>
      <c r="F181" s="269">
        <v>6</v>
      </c>
      <c r="G181" s="269">
        <v>15</v>
      </c>
      <c r="H181" s="250">
        <v>21</v>
      </c>
      <c r="I181" s="269"/>
      <c r="J181" s="250"/>
      <c r="K181" s="269"/>
      <c r="L181" s="269"/>
      <c r="M181" s="250"/>
      <c r="N181" s="269"/>
      <c r="O181" s="294">
        <v>7</v>
      </c>
      <c r="P181" s="294">
        <v>15</v>
      </c>
      <c r="Q181" s="294">
        <v>22</v>
      </c>
    </row>
    <row r="182" spans="2:17" x14ac:dyDescent="0.25">
      <c r="B182" s="371" t="s">
        <v>923</v>
      </c>
      <c r="C182" s="310">
        <v>50</v>
      </c>
      <c r="D182" s="310">
        <v>5</v>
      </c>
      <c r="E182" s="310">
        <v>55</v>
      </c>
      <c r="F182" s="310">
        <v>2439</v>
      </c>
      <c r="G182" s="310">
        <v>1957</v>
      </c>
      <c r="H182" s="294">
        <v>4396</v>
      </c>
      <c r="I182" s="310">
        <v>36</v>
      </c>
      <c r="J182" s="294">
        <v>18</v>
      </c>
      <c r="K182" s="310">
        <v>54</v>
      </c>
      <c r="L182" s="294">
        <v>70</v>
      </c>
      <c r="M182" s="310">
        <v>98</v>
      </c>
      <c r="N182" s="294">
        <v>168</v>
      </c>
      <c r="O182" s="294">
        <v>2595</v>
      </c>
      <c r="P182" s="294">
        <v>2078</v>
      </c>
      <c r="Q182" s="294">
        <v>4673</v>
      </c>
    </row>
    <row r="183" spans="2:17" ht="81.75" customHeight="1" x14ac:dyDescent="0.25">
      <c r="B183" s="428" t="s">
        <v>938</v>
      </c>
      <c r="C183" s="428"/>
      <c r="D183" s="428"/>
      <c r="E183" s="428"/>
      <c r="F183" s="428"/>
      <c r="G183" s="428"/>
      <c r="H183" s="428"/>
      <c r="I183" s="428"/>
      <c r="J183" s="428"/>
      <c r="K183" s="428"/>
      <c r="L183" s="428"/>
      <c r="M183" s="428"/>
      <c r="N183" s="428"/>
      <c r="O183" s="428"/>
      <c r="P183" s="428"/>
      <c r="Q183" s="428"/>
    </row>
    <row r="184" spans="2:17" x14ac:dyDescent="0.25">
      <c r="B184" s="158"/>
      <c r="C184" s="158"/>
      <c r="D184" s="158"/>
      <c r="E184" s="158"/>
      <c r="F184" s="158"/>
      <c r="G184"/>
    </row>
    <row r="185" spans="2:17" x14ac:dyDescent="0.25">
      <c r="B185" s="187" t="s">
        <v>517</v>
      </c>
      <c r="C185"/>
      <c r="D185"/>
      <c r="E185"/>
      <c r="F185"/>
      <c r="G185"/>
    </row>
    <row r="186" spans="2:17" x14ac:dyDescent="0.25">
      <c r="B186" s="187"/>
      <c r="C186"/>
      <c r="D186"/>
      <c r="E186"/>
      <c r="F186"/>
      <c r="G186"/>
    </row>
    <row r="187" spans="2:17" ht="15" customHeight="1" x14ac:dyDescent="0.25">
      <c r="B187" s="408" t="s">
        <v>532</v>
      </c>
      <c r="C187" s="414" t="s">
        <v>477</v>
      </c>
      <c r="D187" s="414"/>
      <c r="E187" s="414"/>
      <c r="F187" s="414"/>
      <c r="G187" s="414"/>
      <c r="H187" s="414"/>
      <c r="I187" s="414"/>
      <c r="J187" s="414"/>
      <c r="K187" s="414"/>
      <c r="L187" s="414"/>
      <c r="M187" s="414"/>
      <c r="N187" s="414"/>
      <c r="O187" s="447" t="s">
        <v>945</v>
      </c>
      <c r="P187" s="448"/>
      <c r="Q187" s="449"/>
    </row>
    <row r="188" spans="2:17" ht="15" customHeight="1" x14ac:dyDescent="0.25">
      <c r="B188" s="409"/>
      <c r="C188" s="414" t="s">
        <v>885</v>
      </c>
      <c r="D188" s="414"/>
      <c r="E188" s="414"/>
      <c r="F188" s="414" t="s">
        <v>886</v>
      </c>
      <c r="G188" s="414"/>
      <c r="H188" s="414"/>
      <c r="I188" s="414" t="s">
        <v>2</v>
      </c>
      <c r="J188" s="414"/>
      <c r="K188" s="414"/>
      <c r="L188" s="414" t="s">
        <v>3</v>
      </c>
      <c r="M188" s="414"/>
      <c r="N188" s="414"/>
      <c r="O188" s="450"/>
      <c r="P188" s="451"/>
      <c r="Q188" s="452"/>
    </row>
    <row r="189" spans="2:17" x14ac:dyDescent="0.25">
      <c r="B189" s="410"/>
      <c r="C189" s="161" t="s">
        <v>73</v>
      </c>
      <c r="D189" s="161" t="s">
        <v>74</v>
      </c>
      <c r="E189" s="161" t="s">
        <v>25</v>
      </c>
      <c r="F189" s="161" t="s">
        <v>73</v>
      </c>
      <c r="G189" s="161" t="s">
        <v>74</v>
      </c>
      <c r="H189" s="161" t="s">
        <v>25</v>
      </c>
      <c r="I189" s="161" t="s">
        <v>73</v>
      </c>
      <c r="J189" s="161" t="s">
        <v>74</v>
      </c>
      <c r="K189" s="161" t="s">
        <v>25</v>
      </c>
      <c r="L189" s="161" t="s">
        <v>73</v>
      </c>
      <c r="M189" s="161" t="s">
        <v>74</v>
      </c>
      <c r="N189" s="161" t="s">
        <v>25</v>
      </c>
      <c r="O189" s="299" t="s">
        <v>73</v>
      </c>
      <c r="P189" s="299" t="s">
        <v>74</v>
      </c>
      <c r="Q189" s="299" t="s">
        <v>25</v>
      </c>
    </row>
    <row r="190" spans="2:17" x14ac:dyDescent="0.25">
      <c r="B190" s="235" t="s">
        <v>385</v>
      </c>
      <c r="C190" s="269"/>
      <c r="D190" s="269"/>
      <c r="E190" s="269"/>
      <c r="F190" s="269">
        <v>8</v>
      </c>
      <c r="G190" s="269">
        <v>3</v>
      </c>
      <c r="H190" s="250">
        <v>11</v>
      </c>
      <c r="I190" s="269"/>
      <c r="J190" s="250"/>
      <c r="K190" s="269"/>
      <c r="L190" s="250"/>
      <c r="M190" s="269">
        <v>1</v>
      </c>
      <c r="N190" s="250">
        <v>1</v>
      </c>
      <c r="O190" s="294">
        <v>8</v>
      </c>
      <c r="P190" s="294">
        <v>4</v>
      </c>
      <c r="Q190" s="294">
        <v>12</v>
      </c>
    </row>
    <row r="191" spans="2:17" x14ac:dyDescent="0.25">
      <c r="B191" s="236" t="s">
        <v>386</v>
      </c>
      <c r="C191" s="269">
        <v>2</v>
      </c>
      <c r="D191" s="269">
        <v>1</v>
      </c>
      <c r="E191" s="269">
        <v>3</v>
      </c>
      <c r="F191" s="269">
        <v>112</v>
      </c>
      <c r="G191" s="269">
        <v>107</v>
      </c>
      <c r="H191" s="250">
        <v>219</v>
      </c>
      <c r="I191" s="269">
        <v>1</v>
      </c>
      <c r="J191" s="250"/>
      <c r="K191" s="269">
        <v>1</v>
      </c>
      <c r="L191" s="250">
        <v>4</v>
      </c>
      <c r="M191" s="269">
        <v>5</v>
      </c>
      <c r="N191" s="250">
        <v>9</v>
      </c>
      <c r="O191" s="294">
        <v>119</v>
      </c>
      <c r="P191" s="294">
        <v>113</v>
      </c>
      <c r="Q191" s="294">
        <v>232</v>
      </c>
    </row>
    <row r="192" spans="2:17" x14ac:dyDescent="0.25">
      <c r="B192" s="236" t="s">
        <v>387</v>
      </c>
      <c r="C192" s="269">
        <v>1</v>
      </c>
      <c r="D192" s="269"/>
      <c r="E192" s="269">
        <v>1</v>
      </c>
      <c r="F192" s="269">
        <v>35</v>
      </c>
      <c r="G192" s="269">
        <v>17</v>
      </c>
      <c r="H192" s="250">
        <v>52</v>
      </c>
      <c r="I192" s="269"/>
      <c r="J192" s="250"/>
      <c r="K192" s="269"/>
      <c r="L192" s="250">
        <v>1</v>
      </c>
      <c r="M192" s="269">
        <v>3</v>
      </c>
      <c r="N192" s="250">
        <v>4</v>
      </c>
      <c r="O192" s="294">
        <v>37</v>
      </c>
      <c r="P192" s="294">
        <v>20</v>
      </c>
      <c r="Q192" s="294">
        <v>57</v>
      </c>
    </row>
    <row r="193" spans="2:17" x14ac:dyDescent="0.25">
      <c r="B193" s="236" t="s">
        <v>388</v>
      </c>
      <c r="C193" s="269"/>
      <c r="D193" s="269">
        <v>1</v>
      </c>
      <c r="E193" s="269">
        <v>1</v>
      </c>
      <c r="F193" s="269">
        <v>87</v>
      </c>
      <c r="G193" s="269">
        <v>66</v>
      </c>
      <c r="H193" s="250">
        <v>153</v>
      </c>
      <c r="I193" s="269">
        <v>1</v>
      </c>
      <c r="J193" s="250"/>
      <c r="K193" s="269">
        <v>1</v>
      </c>
      <c r="L193" s="250">
        <v>4</v>
      </c>
      <c r="M193" s="269">
        <v>4</v>
      </c>
      <c r="N193" s="250">
        <v>8</v>
      </c>
      <c r="O193" s="294">
        <v>92</v>
      </c>
      <c r="P193" s="294">
        <v>71</v>
      </c>
      <c r="Q193" s="294">
        <v>163</v>
      </c>
    </row>
    <row r="194" spans="2:17" x14ac:dyDescent="0.25">
      <c r="B194" s="236" t="s">
        <v>389</v>
      </c>
      <c r="C194" s="269">
        <v>2</v>
      </c>
      <c r="D194" s="269"/>
      <c r="E194" s="269">
        <v>2</v>
      </c>
      <c r="F194" s="269">
        <v>137</v>
      </c>
      <c r="G194" s="269">
        <v>124</v>
      </c>
      <c r="H194" s="250">
        <v>261</v>
      </c>
      <c r="I194" s="269">
        <v>4</v>
      </c>
      <c r="J194" s="250">
        <v>5</v>
      </c>
      <c r="K194" s="269">
        <v>9</v>
      </c>
      <c r="L194" s="250">
        <v>5</v>
      </c>
      <c r="M194" s="269">
        <v>5</v>
      </c>
      <c r="N194" s="250">
        <v>10</v>
      </c>
      <c r="O194" s="294">
        <v>148</v>
      </c>
      <c r="P194" s="294">
        <v>134</v>
      </c>
      <c r="Q194" s="294">
        <v>282</v>
      </c>
    </row>
    <row r="195" spans="2:17" x14ac:dyDescent="0.25">
      <c r="B195" s="236" t="s">
        <v>390</v>
      </c>
      <c r="C195" s="269">
        <v>1</v>
      </c>
      <c r="D195" s="269"/>
      <c r="E195" s="269">
        <v>1</v>
      </c>
      <c r="F195" s="269">
        <v>114</v>
      </c>
      <c r="G195" s="269">
        <v>86</v>
      </c>
      <c r="H195" s="250">
        <v>200</v>
      </c>
      <c r="I195" s="269">
        <v>1</v>
      </c>
      <c r="J195" s="250"/>
      <c r="K195" s="269">
        <v>1</v>
      </c>
      <c r="L195" s="250">
        <v>3</v>
      </c>
      <c r="M195" s="269">
        <v>5</v>
      </c>
      <c r="N195" s="250">
        <v>8</v>
      </c>
      <c r="O195" s="294">
        <v>119</v>
      </c>
      <c r="P195" s="294">
        <v>91</v>
      </c>
      <c r="Q195" s="294">
        <v>210</v>
      </c>
    </row>
    <row r="196" spans="2:17" x14ac:dyDescent="0.25">
      <c r="B196" s="236" t="s">
        <v>391</v>
      </c>
      <c r="C196" s="269">
        <v>5</v>
      </c>
      <c r="D196" s="269">
        <v>1</v>
      </c>
      <c r="E196" s="269">
        <v>6</v>
      </c>
      <c r="F196" s="269">
        <v>140</v>
      </c>
      <c r="G196" s="269">
        <v>137</v>
      </c>
      <c r="H196" s="250">
        <v>277</v>
      </c>
      <c r="I196" s="269">
        <v>2</v>
      </c>
      <c r="J196" s="250">
        <v>1</v>
      </c>
      <c r="K196" s="269">
        <v>3</v>
      </c>
      <c r="L196" s="250">
        <v>5</v>
      </c>
      <c r="M196" s="269">
        <v>7</v>
      </c>
      <c r="N196" s="250">
        <v>12</v>
      </c>
      <c r="O196" s="294">
        <v>152</v>
      </c>
      <c r="P196" s="294">
        <v>146</v>
      </c>
      <c r="Q196" s="294">
        <v>298</v>
      </c>
    </row>
    <row r="197" spans="2:17" x14ac:dyDescent="0.25">
      <c r="B197" s="236" t="s">
        <v>392</v>
      </c>
      <c r="C197" s="269">
        <v>1</v>
      </c>
      <c r="D197" s="269"/>
      <c r="E197" s="269">
        <v>1</v>
      </c>
      <c r="F197" s="269">
        <v>35</v>
      </c>
      <c r="G197" s="269">
        <v>37</v>
      </c>
      <c r="H197" s="250">
        <v>72</v>
      </c>
      <c r="I197" s="269"/>
      <c r="J197" s="250"/>
      <c r="K197" s="269"/>
      <c r="L197" s="250"/>
      <c r="M197" s="269"/>
      <c r="N197" s="250"/>
      <c r="O197" s="294">
        <v>36</v>
      </c>
      <c r="P197" s="294">
        <v>37</v>
      </c>
      <c r="Q197" s="294">
        <v>73</v>
      </c>
    </row>
    <row r="198" spans="2:17" x14ac:dyDescent="0.25">
      <c r="B198" s="236" t="s">
        <v>393</v>
      </c>
      <c r="C198" s="269">
        <v>2</v>
      </c>
      <c r="D198" s="269"/>
      <c r="E198" s="269">
        <v>2</v>
      </c>
      <c r="F198" s="269">
        <v>186</v>
      </c>
      <c r="G198" s="269">
        <v>147</v>
      </c>
      <c r="H198" s="250">
        <v>333</v>
      </c>
      <c r="I198" s="269">
        <v>2</v>
      </c>
      <c r="J198" s="250">
        <v>3</v>
      </c>
      <c r="K198" s="269">
        <v>5</v>
      </c>
      <c r="L198" s="250">
        <v>10</v>
      </c>
      <c r="M198" s="269">
        <v>9</v>
      </c>
      <c r="N198" s="250">
        <v>19</v>
      </c>
      <c r="O198" s="294">
        <v>200</v>
      </c>
      <c r="P198" s="294">
        <v>159</v>
      </c>
      <c r="Q198" s="294">
        <v>359</v>
      </c>
    </row>
    <row r="199" spans="2:17" x14ac:dyDescent="0.25">
      <c r="B199" s="236" t="s">
        <v>394</v>
      </c>
      <c r="C199" s="269">
        <v>4</v>
      </c>
      <c r="D199" s="269"/>
      <c r="E199" s="269">
        <v>4</v>
      </c>
      <c r="F199" s="269">
        <v>42</v>
      </c>
      <c r="G199" s="269">
        <v>30</v>
      </c>
      <c r="H199" s="250">
        <v>72</v>
      </c>
      <c r="I199" s="269">
        <v>2</v>
      </c>
      <c r="J199" s="250">
        <v>2</v>
      </c>
      <c r="K199" s="269">
        <v>4</v>
      </c>
      <c r="L199" s="250">
        <v>1</v>
      </c>
      <c r="M199" s="269">
        <v>1</v>
      </c>
      <c r="N199" s="250">
        <v>2</v>
      </c>
      <c r="O199" s="294">
        <v>49</v>
      </c>
      <c r="P199" s="294">
        <v>33</v>
      </c>
      <c r="Q199" s="294">
        <v>82</v>
      </c>
    </row>
    <row r="200" spans="2:17" x14ac:dyDescent="0.25">
      <c r="B200" s="236" t="s">
        <v>395</v>
      </c>
      <c r="C200" s="269">
        <v>4</v>
      </c>
      <c r="D200" s="269"/>
      <c r="E200" s="269">
        <v>4</v>
      </c>
      <c r="F200" s="269">
        <v>145</v>
      </c>
      <c r="G200" s="269">
        <v>129</v>
      </c>
      <c r="H200" s="250">
        <v>274</v>
      </c>
      <c r="I200" s="269">
        <v>3</v>
      </c>
      <c r="J200" s="250">
        <v>2</v>
      </c>
      <c r="K200" s="269">
        <v>5</v>
      </c>
      <c r="L200" s="250">
        <v>3</v>
      </c>
      <c r="M200" s="269">
        <v>10</v>
      </c>
      <c r="N200" s="250">
        <v>13</v>
      </c>
      <c r="O200" s="294">
        <v>155</v>
      </c>
      <c r="P200" s="294">
        <v>141</v>
      </c>
      <c r="Q200" s="294">
        <v>296</v>
      </c>
    </row>
    <row r="201" spans="2:17" x14ac:dyDescent="0.25">
      <c r="B201" s="236" t="s">
        <v>396</v>
      </c>
      <c r="C201" s="269">
        <v>1</v>
      </c>
      <c r="D201" s="269"/>
      <c r="E201" s="269">
        <v>1</v>
      </c>
      <c r="F201" s="269">
        <v>76</v>
      </c>
      <c r="G201" s="269">
        <v>65</v>
      </c>
      <c r="H201" s="250">
        <v>141</v>
      </c>
      <c r="I201" s="269"/>
      <c r="J201" s="250">
        <v>2</v>
      </c>
      <c r="K201" s="269">
        <v>2</v>
      </c>
      <c r="L201" s="250">
        <v>5</v>
      </c>
      <c r="M201" s="269">
        <v>11</v>
      </c>
      <c r="N201" s="250">
        <v>16</v>
      </c>
      <c r="O201" s="294">
        <v>82</v>
      </c>
      <c r="P201" s="294">
        <v>78</v>
      </c>
      <c r="Q201" s="294">
        <v>160</v>
      </c>
    </row>
    <row r="202" spans="2:17" x14ac:dyDescent="0.25">
      <c r="B202" s="236" t="s">
        <v>397</v>
      </c>
      <c r="C202" s="269">
        <v>1</v>
      </c>
      <c r="D202" s="269"/>
      <c r="E202" s="269">
        <v>1</v>
      </c>
      <c r="F202" s="269">
        <v>94</v>
      </c>
      <c r="G202" s="269">
        <v>55</v>
      </c>
      <c r="H202" s="250">
        <v>149</v>
      </c>
      <c r="I202" s="269">
        <v>1</v>
      </c>
      <c r="J202" s="250"/>
      <c r="K202" s="269">
        <v>1</v>
      </c>
      <c r="L202" s="250">
        <v>2</v>
      </c>
      <c r="M202" s="269">
        <v>1</v>
      </c>
      <c r="N202" s="250">
        <v>3</v>
      </c>
      <c r="O202" s="294">
        <v>98</v>
      </c>
      <c r="P202" s="294">
        <v>56</v>
      </c>
      <c r="Q202" s="294">
        <v>154</v>
      </c>
    </row>
    <row r="203" spans="2:17" x14ac:dyDescent="0.25">
      <c r="B203" s="236" t="s">
        <v>398</v>
      </c>
      <c r="C203" s="269"/>
      <c r="D203" s="269"/>
      <c r="E203" s="269"/>
      <c r="F203" s="269">
        <v>50</v>
      </c>
      <c r="G203" s="269">
        <v>47</v>
      </c>
      <c r="H203" s="250">
        <v>97</v>
      </c>
      <c r="I203" s="269"/>
      <c r="J203" s="250"/>
      <c r="K203" s="269"/>
      <c r="L203" s="250">
        <v>2</v>
      </c>
      <c r="M203" s="269"/>
      <c r="N203" s="250">
        <v>2</v>
      </c>
      <c r="O203" s="294">
        <v>52</v>
      </c>
      <c r="P203" s="294">
        <v>47</v>
      </c>
      <c r="Q203" s="294">
        <v>99</v>
      </c>
    </row>
    <row r="204" spans="2:17" x14ac:dyDescent="0.25">
      <c r="B204" s="236" t="s">
        <v>399</v>
      </c>
      <c r="C204" s="269">
        <v>2</v>
      </c>
      <c r="D204" s="269"/>
      <c r="E204" s="269">
        <v>2</v>
      </c>
      <c r="F204" s="269">
        <v>111</v>
      </c>
      <c r="G204" s="269">
        <v>98</v>
      </c>
      <c r="H204" s="250">
        <v>209</v>
      </c>
      <c r="I204" s="269">
        <v>2</v>
      </c>
      <c r="J204" s="250">
        <v>3</v>
      </c>
      <c r="K204" s="269">
        <v>5</v>
      </c>
      <c r="L204" s="250">
        <v>2</v>
      </c>
      <c r="M204" s="269">
        <v>6</v>
      </c>
      <c r="N204" s="250">
        <v>8</v>
      </c>
      <c r="O204" s="294">
        <v>117</v>
      </c>
      <c r="P204" s="294">
        <v>107</v>
      </c>
      <c r="Q204" s="294">
        <v>224</v>
      </c>
    </row>
    <row r="205" spans="2:17" x14ac:dyDescent="0.25">
      <c r="B205" s="236" t="s">
        <v>400</v>
      </c>
      <c r="C205" s="269">
        <v>3</v>
      </c>
      <c r="D205" s="269"/>
      <c r="E205" s="269">
        <v>3</v>
      </c>
      <c r="F205" s="269">
        <v>501</v>
      </c>
      <c r="G205" s="269">
        <v>382</v>
      </c>
      <c r="H205" s="250">
        <v>883</v>
      </c>
      <c r="I205" s="269">
        <v>6</v>
      </c>
      <c r="J205" s="250">
        <v>3</v>
      </c>
      <c r="K205" s="269">
        <v>9</v>
      </c>
      <c r="L205" s="250">
        <v>7</v>
      </c>
      <c r="M205" s="269">
        <v>12</v>
      </c>
      <c r="N205" s="250">
        <v>19</v>
      </c>
      <c r="O205" s="294">
        <v>517</v>
      </c>
      <c r="P205" s="294">
        <v>397</v>
      </c>
      <c r="Q205" s="294">
        <v>914</v>
      </c>
    </row>
    <row r="206" spans="2:17" x14ac:dyDescent="0.25">
      <c r="B206" s="236" t="s">
        <v>401</v>
      </c>
      <c r="C206" s="269">
        <v>6</v>
      </c>
      <c r="D206" s="269">
        <v>2</v>
      </c>
      <c r="E206" s="269">
        <v>8</v>
      </c>
      <c r="F206" s="269">
        <v>176</v>
      </c>
      <c r="G206" s="269">
        <v>142</v>
      </c>
      <c r="H206" s="250">
        <v>318</v>
      </c>
      <c r="I206" s="269">
        <v>2</v>
      </c>
      <c r="J206" s="250">
        <v>1</v>
      </c>
      <c r="K206" s="269">
        <v>3</v>
      </c>
      <c r="L206" s="250">
        <v>8</v>
      </c>
      <c r="M206" s="269">
        <v>6</v>
      </c>
      <c r="N206" s="250">
        <v>14</v>
      </c>
      <c r="O206" s="294">
        <v>192</v>
      </c>
      <c r="P206" s="294">
        <v>151</v>
      </c>
      <c r="Q206" s="294">
        <v>343</v>
      </c>
    </row>
    <row r="207" spans="2:17" x14ac:dyDescent="0.25">
      <c r="B207" s="236" t="s">
        <v>402</v>
      </c>
      <c r="C207" s="269">
        <v>5</v>
      </c>
      <c r="D207" s="269"/>
      <c r="E207" s="269">
        <v>5</v>
      </c>
      <c r="F207" s="269">
        <v>188</v>
      </c>
      <c r="G207" s="269">
        <v>174</v>
      </c>
      <c r="H207" s="250">
        <v>362</v>
      </c>
      <c r="I207" s="269">
        <v>3</v>
      </c>
      <c r="J207" s="250">
        <v>5</v>
      </c>
      <c r="K207" s="269">
        <v>8</v>
      </c>
      <c r="L207" s="250">
        <v>5</v>
      </c>
      <c r="M207" s="269">
        <v>9</v>
      </c>
      <c r="N207" s="250">
        <v>14</v>
      </c>
      <c r="O207" s="294">
        <v>201</v>
      </c>
      <c r="P207" s="294">
        <v>188</v>
      </c>
      <c r="Q207" s="294">
        <v>389</v>
      </c>
    </row>
    <row r="208" spans="2:17" x14ac:dyDescent="0.25">
      <c r="B208" s="236" t="s">
        <v>403</v>
      </c>
      <c r="C208" s="269">
        <v>2</v>
      </c>
      <c r="D208" s="269"/>
      <c r="E208" s="269">
        <v>2</v>
      </c>
      <c r="F208" s="269">
        <v>122</v>
      </c>
      <c r="G208" s="269">
        <v>61</v>
      </c>
      <c r="H208" s="250">
        <v>183</v>
      </c>
      <c r="I208" s="269"/>
      <c r="J208" s="250"/>
      <c r="K208" s="269"/>
      <c r="L208" s="250">
        <v>1</v>
      </c>
      <c r="M208" s="269">
        <v>2</v>
      </c>
      <c r="N208" s="250">
        <v>3</v>
      </c>
      <c r="O208" s="294">
        <v>125</v>
      </c>
      <c r="P208" s="294">
        <v>63</v>
      </c>
      <c r="Q208" s="294">
        <v>188</v>
      </c>
    </row>
    <row r="209" spans="2:17" x14ac:dyDescent="0.25">
      <c r="B209" s="236" t="s">
        <v>404</v>
      </c>
      <c r="C209" s="269">
        <v>1</v>
      </c>
      <c r="D209" s="269"/>
      <c r="E209" s="269">
        <v>1</v>
      </c>
      <c r="F209" s="269">
        <v>95</v>
      </c>
      <c r="G209" s="269">
        <v>72</v>
      </c>
      <c r="H209" s="250">
        <v>167</v>
      </c>
      <c r="I209" s="269">
        <v>2</v>
      </c>
      <c r="J209" s="250"/>
      <c r="K209" s="269">
        <v>2</v>
      </c>
      <c r="L209" s="250">
        <v>2</v>
      </c>
      <c r="M209" s="269">
        <v>1</v>
      </c>
      <c r="N209" s="250">
        <v>3</v>
      </c>
      <c r="O209" s="294">
        <v>100</v>
      </c>
      <c r="P209" s="294">
        <v>73</v>
      </c>
      <c r="Q209" s="294">
        <v>173</v>
      </c>
    </row>
    <row r="210" spans="2:17" x14ac:dyDescent="0.25">
      <c r="B210" s="236" t="s">
        <v>405</v>
      </c>
      <c r="C210" s="269"/>
      <c r="D210" s="269"/>
      <c r="E210" s="269"/>
      <c r="F210" s="269">
        <v>335</v>
      </c>
      <c r="G210" s="269">
        <v>138</v>
      </c>
      <c r="H210" s="250">
        <v>473</v>
      </c>
      <c r="I210" s="269"/>
      <c r="J210" s="250">
        <v>1</v>
      </c>
      <c r="K210" s="269">
        <v>1</v>
      </c>
      <c r="L210" s="250">
        <v>8</v>
      </c>
      <c r="M210" s="269">
        <v>1</v>
      </c>
      <c r="N210" s="250">
        <v>9</v>
      </c>
      <c r="O210" s="294">
        <v>343</v>
      </c>
      <c r="P210" s="294">
        <v>140</v>
      </c>
      <c r="Q210" s="294">
        <v>483</v>
      </c>
    </row>
    <row r="211" spans="2:17" x14ac:dyDescent="0.25">
      <c r="B211" s="236" t="s">
        <v>406</v>
      </c>
      <c r="C211" s="269">
        <v>2</v>
      </c>
      <c r="D211" s="269"/>
      <c r="E211" s="269">
        <v>2</v>
      </c>
      <c r="F211" s="269">
        <v>72</v>
      </c>
      <c r="G211" s="269">
        <v>47</v>
      </c>
      <c r="H211" s="250">
        <v>119</v>
      </c>
      <c r="I211" s="269"/>
      <c r="J211" s="250"/>
      <c r="K211" s="269"/>
      <c r="L211" s="250"/>
      <c r="M211" s="269">
        <v>2</v>
      </c>
      <c r="N211" s="250">
        <v>2</v>
      </c>
      <c r="O211" s="294">
        <v>74</v>
      </c>
      <c r="P211" s="294">
        <v>49</v>
      </c>
      <c r="Q211" s="294">
        <v>123</v>
      </c>
    </row>
    <row r="212" spans="2:17" x14ac:dyDescent="0.25">
      <c r="B212" s="236" t="s">
        <v>407</v>
      </c>
      <c r="C212" s="269">
        <v>5</v>
      </c>
      <c r="D212" s="269"/>
      <c r="E212" s="269">
        <v>5</v>
      </c>
      <c r="F212" s="269">
        <v>136</v>
      </c>
      <c r="G212" s="269">
        <v>125</v>
      </c>
      <c r="H212" s="250">
        <v>261</v>
      </c>
      <c r="I212" s="269">
        <v>2</v>
      </c>
      <c r="J212" s="250">
        <v>2</v>
      </c>
      <c r="K212" s="269">
        <v>4</v>
      </c>
      <c r="L212" s="250">
        <v>3</v>
      </c>
      <c r="M212" s="269">
        <v>7</v>
      </c>
      <c r="N212" s="250">
        <v>10</v>
      </c>
      <c r="O212" s="294">
        <v>146</v>
      </c>
      <c r="P212" s="294">
        <v>134</v>
      </c>
      <c r="Q212" s="294">
        <v>280</v>
      </c>
    </row>
    <row r="213" spans="2:17" x14ac:dyDescent="0.25">
      <c r="B213" s="236" t="s">
        <v>408</v>
      </c>
      <c r="C213" s="269">
        <v>2</v>
      </c>
      <c r="D213" s="269"/>
      <c r="E213" s="269">
        <v>2</v>
      </c>
      <c r="F213" s="269">
        <v>115</v>
      </c>
      <c r="G213" s="269">
        <v>90</v>
      </c>
      <c r="H213" s="250">
        <v>205</v>
      </c>
      <c r="I213" s="269">
        <v>1</v>
      </c>
      <c r="J213" s="250">
        <v>1</v>
      </c>
      <c r="K213" s="269">
        <v>2</v>
      </c>
      <c r="L213" s="250">
        <v>3</v>
      </c>
      <c r="M213" s="269">
        <v>3</v>
      </c>
      <c r="N213" s="250">
        <v>6</v>
      </c>
      <c r="O213" s="294">
        <v>121</v>
      </c>
      <c r="P213" s="294">
        <v>94</v>
      </c>
      <c r="Q213" s="294">
        <v>215</v>
      </c>
    </row>
    <row r="214" spans="2:17" x14ac:dyDescent="0.25">
      <c r="B214" s="236" t="s">
        <v>409</v>
      </c>
      <c r="C214" s="269">
        <v>2</v>
      </c>
      <c r="D214" s="269"/>
      <c r="E214" s="269">
        <v>2</v>
      </c>
      <c r="F214" s="269">
        <v>155</v>
      </c>
      <c r="G214" s="269">
        <v>95</v>
      </c>
      <c r="H214" s="250">
        <v>250</v>
      </c>
      <c r="I214" s="269">
        <v>1</v>
      </c>
      <c r="J214" s="250">
        <v>1</v>
      </c>
      <c r="K214" s="269">
        <v>2</v>
      </c>
      <c r="L214" s="250">
        <v>4</v>
      </c>
      <c r="M214" s="269">
        <v>7</v>
      </c>
      <c r="N214" s="250">
        <v>11</v>
      </c>
      <c r="O214" s="294">
        <v>162</v>
      </c>
      <c r="P214" s="294">
        <v>103</v>
      </c>
      <c r="Q214" s="294">
        <v>265</v>
      </c>
    </row>
    <row r="215" spans="2:17" x14ac:dyDescent="0.25">
      <c r="B215" s="236" t="s">
        <v>410</v>
      </c>
      <c r="C215" s="269">
        <v>5</v>
      </c>
      <c r="D215" s="269">
        <v>1</v>
      </c>
      <c r="E215" s="269">
        <v>6</v>
      </c>
      <c r="F215" s="269">
        <v>667</v>
      </c>
      <c r="G215" s="269">
        <v>546</v>
      </c>
      <c r="H215" s="250">
        <v>1213</v>
      </c>
      <c r="I215" s="269">
        <v>5</v>
      </c>
      <c r="J215" s="250">
        <v>4</v>
      </c>
      <c r="K215" s="269">
        <v>9</v>
      </c>
      <c r="L215" s="250">
        <v>7</v>
      </c>
      <c r="M215" s="269">
        <v>18</v>
      </c>
      <c r="N215" s="250">
        <v>25</v>
      </c>
      <c r="O215" s="294">
        <v>684</v>
      </c>
      <c r="P215" s="294">
        <v>569</v>
      </c>
      <c r="Q215" s="294">
        <v>1253</v>
      </c>
    </row>
    <row r="216" spans="2:17" x14ac:dyDescent="0.25">
      <c r="B216" s="236" t="s">
        <v>411</v>
      </c>
      <c r="C216" s="269"/>
      <c r="D216" s="269"/>
      <c r="E216" s="269"/>
      <c r="F216" s="269">
        <v>18</v>
      </c>
      <c r="G216" s="269">
        <v>12</v>
      </c>
      <c r="H216" s="250">
        <v>30</v>
      </c>
      <c r="I216" s="269"/>
      <c r="J216" s="250"/>
      <c r="K216" s="269"/>
      <c r="L216" s="250">
        <v>1</v>
      </c>
      <c r="M216" s="269"/>
      <c r="N216" s="250">
        <v>1</v>
      </c>
      <c r="O216" s="294">
        <v>19</v>
      </c>
      <c r="P216" s="294">
        <v>12</v>
      </c>
      <c r="Q216" s="294">
        <v>31</v>
      </c>
    </row>
    <row r="217" spans="2:17" x14ac:dyDescent="0.25">
      <c r="B217" s="236" t="s">
        <v>412</v>
      </c>
      <c r="C217" s="269">
        <v>6</v>
      </c>
      <c r="D217" s="269"/>
      <c r="E217" s="269">
        <v>6</v>
      </c>
      <c r="F217" s="269">
        <v>165</v>
      </c>
      <c r="G217" s="269">
        <v>142</v>
      </c>
      <c r="H217" s="250">
        <v>307</v>
      </c>
      <c r="I217" s="269">
        <v>1</v>
      </c>
      <c r="J217" s="250">
        <v>3</v>
      </c>
      <c r="K217" s="269">
        <v>4</v>
      </c>
      <c r="L217" s="250">
        <v>3</v>
      </c>
      <c r="M217" s="269">
        <v>5</v>
      </c>
      <c r="N217" s="250">
        <v>8</v>
      </c>
      <c r="O217" s="294">
        <v>175</v>
      </c>
      <c r="P217" s="294">
        <v>150</v>
      </c>
      <c r="Q217" s="294">
        <v>325</v>
      </c>
    </row>
    <row r="218" spans="2:17" x14ac:dyDescent="0.25">
      <c r="B218" s="236" t="s">
        <v>413</v>
      </c>
      <c r="C218" s="269">
        <v>3</v>
      </c>
      <c r="D218" s="269"/>
      <c r="E218" s="269">
        <v>3</v>
      </c>
      <c r="F218" s="269">
        <v>85</v>
      </c>
      <c r="G218" s="269">
        <v>54</v>
      </c>
      <c r="H218" s="250">
        <v>139</v>
      </c>
      <c r="I218" s="269"/>
      <c r="J218" s="250">
        <v>1</v>
      </c>
      <c r="K218" s="269">
        <v>1</v>
      </c>
      <c r="L218" s="250">
        <v>2</v>
      </c>
      <c r="M218" s="269">
        <v>4</v>
      </c>
      <c r="N218" s="250">
        <v>6</v>
      </c>
      <c r="O218" s="294">
        <v>90</v>
      </c>
      <c r="P218" s="294">
        <v>59</v>
      </c>
      <c r="Q218" s="294">
        <v>149</v>
      </c>
    </row>
    <row r="219" spans="2:17" x14ac:dyDescent="0.25">
      <c r="B219" s="236" t="s">
        <v>414</v>
      </c>
      <c r="C219" s="269">
        <v>1</v>
      </c>
      <c r="D219" s="269"/>
      <c r="E219" s="269">
        <v>1</v>
      </c>
      <c r="F219" s="269">
        <v>97</v>
      </c>
      <c r="G219" s="269">
        <v>77</v>
      </c>
      <c r="H219" s="250">
        <v>174</v>
      </c>
      <c r="I219" s="269">
        <v>1</v>
      </c>
      <c r="J219" s="250"/>
      <c r="K219" s="269">
        <v>1</v>
      </c>
      <c r="L219" s="250">
        <v>5</v>
      </c>
      <c r="M219" s="269">
        <v>2</v>
      </c>
      <c r="N219" s="250">
        <v>7</v>
      </c>
      <c r="O219" s="294">
        <v>104</v>
      </c>
      <c r="P219" s="294">
        <v>79</v>
      </c>
      <c r="Q219" s="294">
        <v>183</v>
      </c>
    </row>
    <row r="220" spans="2:17" x14ac:dyDescent="0.25">
      <c r="B220" s="236" t="s">
        <v>415</v>
      </c>
      <c r="C220" s="269">
        <v>3</v>
      </c>
      <c r="D220" s="269"/>
      <c r="E220" s="269">
        <v>3</v>
      </c>
      <c r="F220" s="269">
        <v>144</v>
      </c>
      <c r="G220" s="269">
        <v>140</v>
      </c>
      <c r="H220" s="250">
        <v>284</v>
      </c>
      <c r="I220" s="269">
        <v>3</v>
      </c>
      <c r="J220" s="250">
        <v>1</v>
      </c>
      <c r="K220" s="269">
        <v>4</v>
      </c>
      <c r="L220" s="250">
        <v>5</v>
      </c>
      <c r="M220" s="269">
        <v>8</v>
      </c>
      <c r="N220" s="250">
        <v>13</v>
      </c>
      <c r="O220" s="294">
        <v>155</v>
      </c>
      <c r="P220" s="294">
        <v>149</v>
      </c>
      <c r="Q220" s="294">
        <v>304</v>
      </c>
    </row>
    <row r="221" spans="2:17" x14ac:dyDescent="0.25">
      <c r="B221" s="236" t="s">
        <v>497</v>
      </c>
      <c r="C221" s="269">
        <v>4</v>
      </c>
      <c r="D221" s="269"/>
      <c r="E221" s="269">
        <v>4</v>
      </c>
      <c r="F221" s="269">
        <v>86</v>
      </c>
      <c r="G221" s="269">
        <v>78</v>
      </c>
      <c r="H221" s="250">
        <v>164</v>
      </c>
      <c r="I221" s="269">
        <v>1</v>
      </c>
      <c r="J221" s="250">
        <v>1</v>
      </c>
      <c r="K221" s="269">
        <v>2</v>
      </c>
      <c r="L221" s="250">
        <v>2</v>
      </c>
      <c r="M221" s="269">
        <v>8</v>
      </c>
      <c r="N221" s="250">
        <v>10</v>
      </c>
      <c r="O221" s="294">
        <v>93</v>
      </c>
      <c r="P221" s="294">
        <v>87</v>
      </c>
      <c r="Q221" s="294">
        <v>180</v>
      </c>
    </row>
    <row r="222" spans="2:17" x14ac:dyDescent="0.25">
      <c r="B222" s="236" t="s">
        <v>498</v>
      </c>
      <c r="C222" s="269">
        <v>3</v>
      </c>
      <c r="D222" s="269"/>
      <c r="E222" s="269">
        <v>3</v>
      </c>
      <c r="F222" s="269">
        <v>218</v>
      </c>
      <c r="G222" s="269">
        <v>173</v>
      </c>
      <c r="H222" s="250">
        <v>391</v>
      </c>
      <c r="I222" s="269">
        <v>3</v>
      </c>
      <c r="J222" s="250">
        <v>3</v>
      </c>
      <c r="K222" s="269">
        <v>6</v>
      </c>
      <c r="L222" s="250">
        <v>8</v>
      </c>
      <c r="M222" s="269">
        <v>11</v>
      </c>
      <c r="N222" s="250">
        <v>19</v>
      </c>
      <c r="O222" s="294">
        <v>232</v>
      </c>
      <c r="P222" s="294">
        <v>187</v>
      </c>
      <c r="Q222" s="294">
        <v>419</v>
      </c>
    </row>
    <row r="223" spans="2:17" x14ac:dyDescent="0.25">
      <c r="B223" s="236" t="s">
        <v>416</v>
      </c>
      <c r="C223" s="269">
        <v>1</v>
      </c>
      <c r="D223" s="269"/>
      <c r="E223" s="269">
        <v>1</v>
      </c>
      <c r="F223" s="269">
        <v>35</v>
      </c>
      <c r="G223" s="269">
        <v>33</v>
      </c>
      <c r="H223" s="250">
        <v>68</v>
      </c>
      <c r="I223" s="269"/>
      <c r="J223" s="250"/>
      <c r="K223" s="269"/>
      <c r="L223" s="250">
        <v>1</v>
      </c>
      <c r="M223" s="269">
        <v>1</v>
      </c>
      <c r="N223" s="250">
        <v>2</v>
      </c>
      <c r="O223" s="294">
        <v>37</v>
      </c>
      <c r="P223" s="294">
        <v>34</v>
      </c>
      <c r="Q223" s="294">
        <v>71</v>
      </c>
    </row>
    <row r="224" spans="2:17" x14ac:dyDescent="0.25">
      <c r="B224" s="236" t="s">
        <v>417</v>
      </c>
      <c r="C224" s="269">
        <v>2</v>
      </c>
      <c r="D224" s="269"/>
      <c r="E224" s="269">
        <v>2</v>
      </c>
      <c r="F224" s="269">
        <v>155</v>
      </c>
      <c r="G224" s="269">
        <v>82</v>
      </c>
      <c r="H224" s="250">
        <v>237</v>
      </c>
      <c r="I224" s="269"/>
      <c r="J224" s="250">
        <v>1</v>
      </c>
      <c r="K224" s="269">
        <v>1</v>
      </c>
      <c r="L224" s="250"/>
      <c r="M224" s="269">
        <v>1</v>
      </c>
      <c r="N224" s="250">
        <v>1</v>
      </c>
      <c r="O224" s="294">
        <v>157</v>
      </c>
      <c r="P224" s="294">
        <v>84</v>
      </c>
      <c r="Q224" s="294">
        <v>241</v>
      </c>
    </row>
    <row r="225" spans="2:17" x14ac:dyDescent="0.25">
      <c r="B225" s="236" t="s">
        <v>418</v>
      </c>
      <c r="C225" s="269">
        <v>4</v>
      </c>
      <c r="D225" s="269"/>
      <c r="E225" s="269">
        <v>4</v>
      </c>
      <c r="F225" s="269">
        <v>269</v>
      </c>
      <c r="G225" s="269">
        <v>248</v>
      </c>
      <c r="H225" s="250">
        <v>517</v>
      </c>
      <c r="I225" s="269">
        <v>2</v>
      </c>
      <c r="J225" s="250">
        <v>1</v>
      </c>
      <c r="K225" s="269">
        <v>3</v>
      </c>
      <c r="L225" s="250">
        <v>8</v>
      </c>
      <c r="M225" s="269">
        <v>7</v>
      </c>
      <c r="N225" s="250">
        <v>15</v>
      </c>
      <c r="O225" s="294">
        <v>283</v>
      </c>
      <c r="P225" s="294">
        <v>256</v>
      </c>
      <c r="Q225" s="294">
        <v>539</v>
      </c>
    </row>
    <row r="226" spans="2:17" x14ac:dyDescent="0.25">
      <c r="B226" s="236" t="s">
        <v>419</v>
      </c>
      <c r="C226" s="269">
        <v>15</v>
      </c>
      <c r="D226" s="269"/>
      <c r="E226" s="269">
        <v>15</v>
      </c>
      <c r="F226" s="269">
        <v>707</v>
      </c>
      <c r="G226" s="269">
        <v>575</v>
      </c>
      <c r="H226" s="250">
        <v>1282</v>
      </c>
      <c r="I226" s="269">
        <v>5</v>
      </c>
      <c r="J226" s="250">
        <v>8</v>
      </c>
      <c r="K226" s="269">
        <v>13</v>
      </c>
      <c r="L226" s="250">
        <v>15</v>
      </c>
      <c r="M226" s="269">
        <v>33</v>
      </c>
      <c r="N226" s="250">
        <v>48</v>
      </c>
      <c r="O226" s="294">
        <v>742</v>
      </c>
      <c r="P226" s="294">
        <v>616</v>
      </c>
      <c r="Q226" s="294">
        <v>1358</v>
      </c>
    </row>
    <row r="227" spans="2:17" x14ac:dyDescent="0.25">
      <c r="B227" s="236" t="s">
        <v>420</v>
      </c>
      <c r="C227" s="269">
        <v>4</v>
      </c>
      <c r="D227" s="269"/>
      <c r="E227" s="269">
        <v>4</v>
      </c>
      <c r="F227" s="269">
        <v>199</v>
      </c>
      <c r="G227" s="269">
        <v>149</v>
      </c>
      <c r="H227" s="250">
        <v>348</v>
      </c>
      <c r="I227" s="269">
        <v>5</v>
      </c>
      <c r="J227" s="250">
        <v>2</v>
      </c>
      <c r="K227" s="269">
        <v>7</v>
      </c>
      <c r="L227" s="250">
        <v>4</v>
      </c>
      <c r="M227" s="269">
        <v>8</v>
      </c>
      <c r="N227" s="250">
        <v>12</v>
      </c>
      <c r="O227" s="294">
        <v>212</v>
      </c>
      <c r="P227" s="294">
        <v>159</v>
      </c>
      <c r="Q227" s="294">
        <v>371</v>
      </c>
    </row>
    <row r="228" spans="2:17" x14ac:dyDescent="0.25">
      <c r="B228" s="236" t="s">
        <v>421</v>
      </c>
      <c r="C228" s="269">
        <v>3</v>
      </c>
      <c r="D228" s="269"/>
      <c r="E228" s="269">
        <v>3</v>
      </c>
      <c r="F228" s="269">
        <v>126</v>
      </c>
      <c r="G228" s="269">
        <v>115</v>
      </c>
      <c r="H228" s="250">
        <v>241</v>
      </c>
      <c r="I228" s="269"/>
      <c r="J228" s="250"/>
      <c r="K228" s="269"/>
      <c r="L228" s="250">
        <v>6</v>
      </c>
      <c r="M228" s="269">
        <v>7</v>
      </c>
      <c r="N228" s="250">
        <v>13</v>
      </c>
      <c r="O228" s="294">
        <v>135</v>
      </c>
      <c r="P228" s="294">
        <v>122</v>
      </c>
      <c r="Q228" s="294">
        <v>257</v>
      </c>
    </row>
    <row r="229" spans="2:17" x14ac:dyDescent="0.25">
      <c r="B229" s="236" t="s">
        <v>422</v>
      </c>
      <c r="C229" s="269"/>
      <c r="D229" s="269"/>
      <c r="E229" s="269"/>
      <c r="F229" s="269">
        <v>162</v>
      </c>
      <c r="G229" s="269">
        <v>153</v>
      </c>
      <c r="H229" s="250">
        <v>315</v>
      </c>
      <c r="I229" s="269">
        <v>3</v>
      </c>
      <c r="J229" s="250"/>
      <c r="K229" s="269">
        <v>3</v>
      </c>
      <c r="L229" s="250">
        <v>7</v>
      </c>
      <c r="M229" s="269">
        <v>13</v>
      </c>
      <c r="N229" s="250">
        <v>20</v>
      </c>
      <c r="O229" s="294">
        <v>172</v>
      </c>
      <c r="P229" s="294">
        <v>166</v>
      </c>
      <c r="Q229" s="294">
        <v>338</v>
      </c>
    </row>
    <row r="230" spans="2:17" x14ac:dyDescent="0.25">
      <c r="B230" s="236" t="s">
        <v>423</v>
      </c>
      <c r="C230" s="269">
        <v>2</v>
      </c>
      <c r="D230" s="269"/>
      <c r="E230" s="269">
        <v>2</v>
      </c>
      <c r="F230" s="269">
        <v>155</v>
      </c>
      <c r="G230" s="269">
        <v>136</v>
      </c>
      <c r="H230" s="250">
        <v>291</v>
      </c>
      <c r="I230" s="269"/>
      <c r="J230" s="250">
        <v>3</v>
      </c>
      <c r="K230" s="269">
        <v>3</v>
      </c>
      <c r="L230" s="250">
        <v>5</v>
      </c>
      <c r="M230" s="269">
        <v>6</v>
      </c>
      <c r="N230" s="250">
        <v>11</v>
      </c>
      <c r="O230" s="294">
        <v>162</v>
      </c>
      <c r="P230" s="294">
        <v>145</v>
      </c>
      <c r="Q230" s="294">
        <v>307</v>
      </c>
    </row>
    <row r="231" spans="2:17" x14ac:dyDescent="0.25">
      <c r="B231" s="236" t="s">
        <v>424</v>
      </c>
      <c r="C231" s="269">
        <v>5</v>
      </c>
      <c r="D231" s="269">
        <v>1</v>
      </c>
      <c r="E231" s="269">
        <v>6</v>
      </c>
      <c r="F231" s="269">
        <v>348</v>
      </c>
      <c r="G231" s="269">
        <v>287</v>
      </c>
      <c r="H231" s="250">
        <v>635</v>
      </c>
      <c r="I231" s="269">
        <v>6</v>
      </c>
      <c r="J231" s="250">
        <v>1</v>
      </c>
      <c r="K231" s="269">
        <v>7</v>
      </c>
      <c r="L231" s="250">
        <v>10</v>
      </c>
      <c r="M231" s="269">
        <v>20</v>
      </c>
      <c r="N231" s="250">
        <v>30</v>
      </c>
      <c r="O231" s="294">
        <v>369</v>
      </c>
      <c r="P231" s="294">
        <v>309</v>
      </c>
      <c r="Q231" s="294">
        <v>678</v>
      </c>
    </row>
    <row r="232" spans="2:17" x14ac:dyDescent="0.25">
      <c r="B232" s="236" t="s">
        <v>425</v>
      </c>
      <c r="C232" s="269">
        <v>1</v>
      </c>
      <c r="D232" s="269"/>
      <c r="E232" s="269">
        <v>1</v>
      </c>
      <c r="F232" s="269">
        <v>108</v>
      </c>
      <c r="G232" s="269">
        <v>87</v>
      </c>
      <c r="H232" s="250">
        <v>195</v>
      </c>
      <c r="I232" s="269">
        <v>2</v>
      </c>
      <c r="J232" s="250">
        <v>2</v>
      </c>
      <c r="K232" s="269">
        <v>4</v>
      </c>
      <c r="L232" s="250">
        <v>3</v>
      </c>
      <c r="M232" s="269">
        <v>6</v>
      </c>
      <c r="N232" s="250">
        <v>9</v>
      </c>
      <c r="O232" s="294">
        <v>114</v>
      </c>
      <c r="P232" s="294">
        <v>95</v>
      </c>
      <c r="Q232" s="294">
        <v>209</v>
      </c>
    </row>
    <row r="233" spans="2:17" x14ac:dyDescent="0.25">
      <c r="B233" s="236" t="s">
        <v>426</v>
      </c>
      <c r="C233" s="269">
        <v>1</v>
      </c>
      <c r="D233" s="269"/>
      <c r="E233" s="269">
        <v>1</v>
      </c>
      <c r="F233" s="269">
        <v>30</v>
      </c>
      <c r="G233" s="269">
        <v>18</v>
      </c>
      <c r="H233" s="250">
        <v>48</v>
      </c>
      <c r="I233" s="269"/>
      <c r="J233" s="250"/>
      <c r="K233" s="269"/>
      <c r="L233" s="250">
        <v>1</v>
      </c>
      <c r="M233" s="269">
        <v>1</v>
      </c>
      <c r="N233" s="250">
        <v>2</v>
      </c>
      <c r="O233" s="294">
        <v>32</v>
      </c>
      <c r="P233" s="294">
        <v>19</v>
      </c>
      <c r="Q233" s="294">
        <v>51</v>
      </c>
    </row>
    <row r="234" spans="2:17" x14ac:dyDescent="0.25">
      <c r="B234" s="236" t="s">
        <v>427</v>
      </c>
      <c r="C234" s="269">
        <v>3</v>
      </c>
      <c r="D234" s="269">
        <v>1</v>
      </c>
      <c r="E234" s="269">
        <v>4</v>
      </c>
      <c r="F234" s="269">
        <v>122</v>
      </c>
      <c r="G234" s="269">
        <v>100</v>
      </c>
      <c r="H234" s="250">
        <v>222</v>
      </c>
      <c r="I234" s="269"/>
      <c r="J234" s="250">
        <v>2</v>
      </c>
      <c r="K234" s="269">
        <v>2</v>
      </c>
      <c r="L234" s="250">
        <v>3</v>
      </c>
      <c r="M234" s="269">
        <v>7</v>
      </c>
      <c r="N234" s="250">
        <v>10</v>
      </c>
      <c r="O234" s="294">
        <v>128</v>
      </c>
      <c r="P234" s="294">
        <v>110</v>
      </c>
      <c r="Q234" s="294">
        <v>238</v>
      </c>
    </row>
    <row r="235" spans="2:17" x14ac:dyDescent="0.25">
      <c r="B235" s="236" t="s">
        <v>428</v>
      </c>
      <c r="C235" s="269"/>
      <c r="D235" s="269"/>
      <c r="E235" s="269"/>
      <c r="F235" s="269">
        <v>12</v>
      </c>
      <c r="G235" s="269">
        <v>16</v>
      </c>
      <c r="H235" s="250">
        <v>28</v>
      </c>
      <c r="I235" s="269">
        <v>1</v>
      </c>
      <c r="J235" s="250"/>
      <c r="K235" s="269">
        <v>1</v>
      </c>
      <c r="L235" s="250"/>
      <c r="M235" s="269">
        <v>3</v>
      </c>
      <c r="N235" s="250">
        <v>3</v>
      </c>
      <c r="O235" s="294">
        <v>13</v>
      </c>
      <c r="P235" s="294">
        <v>19</v>
      </c>
      <c r="Q235" s="294">
        <v>32</v>
      </c>
    </row>
    <row r="236" spans="2:17" x14ac:dyDescent="0.25">
      <c r="B236" s="236" t="s">
        <v>429</v>
      </c>
      <c r="C236" s="269">
        <v>2</v>
      </c>
      <c r="D236" s="269"/>
      <c r="E236" s="269">
        <v>2</v>
      </c>
      <c r="F236" s="269">
        <v>93</v>
      </c>
      <c r="G236" s="269">
        <v>81</v>
      </c>
      <c r="H236" s="250">
        <v>174</v>
      </c>
      <c r="I236" s="269">
        <v>1</v>
      </c>
      <c r="J236" s="250">
        <v>2</v>
      </c>
      <c r="K236" s="269">
        <v>3</v>
      </c>
      <c r="L236" s="250">
        <v>5</v>
      </c>
      <c r="M236" s="269">
        <v>9</v>
      </c>
      <c r="N236" s="250">
        <v>14</v>
      </c>
      <c r="O236" s="294">
        <v>101</v>
      </c>
      <c r="P236" s="294">
        <v>92</v>
      </c>
      <c r="Q236" s="294">
        <v>193</v>
      </c>
    </row>
    <row r="237" spans="2:17" x14ac:dyDescent="0.25">
      <c r="B237" s="236" t="s">
        <v>430</v>
      </c>
      <c r="C237" s="269">
        <v>2</v>
      </c>
      <c r="D237" s="269"/>
      <c r="E237" s="269">
        <v>2</v>
      </c>
      <c r="F237" s="269">
        <v>282</v>
      </c>
      <c r="G237" s="269">
        <v>257</v>
      </c>
      <c r="H237" s="250">
        <v>539</v>
      </c>
      <c r="I237" s="269">
        <v>1</v>
      </c>
      <c r="J237" s="250">
        <v>4</v>
      </c>
      <c r="K237" s="269">
        <v>5</v>
      </c>
      <c r="L237" s="250">
        <v>4</v>
      </c>
      <c r="M237" s="269">
        <v>8</v>
      </c>
      <c r="N237" s="250">
        <v>12</v>
      </c>
      <c r="O237" s="294">
        <v>289</v>
      </c>
      <c r="P237" s="294">
        <v>269</v>
      </c>
      <c r="Q237" s="294">
        <v>558</v>
      </c>
    </row>
    <row r="238" spans="2:17" x14ac:dyDescent="0.25">
      <c r="B238" s="236" t="s">
        <v>431</v>
      </c>
      <c r="C238" s="269">
        <v>1</v>
      </c>
      <c r="D238" s="269"/>
      <c r="E238" s="269">
        <v>1</v>
      </c>
      <c r="F238" s="269">
        <v>81</v>
      </c>
      <c r="G238" s="269">
        <v>83</v>
      </c>
      <c r="H238" s="250">
        <v>164</v>
      </c>
      <c r="I238" s="269"/>
      <c r="J238" s="250">
        <v>1</v>
      </c>
      <c r="K238" s="269">
        <v>1</v>
      </c>
      <c r="L238" s="250">
        <v>2</v>
      </c>
      <c r="M238" s="269">
        <v>4</v>
      </c>
      <c r="N238" s="250">
        <v>6</v>
      </c>
      <c r="O238" s="294">
        <v>84</v>
      </c>
      <c r="P238" s="294">
        <v>88</v>
      </c>
      <c r="Q238" s="294">
        <v>172</v>
      </c>
    </row>
    <row r="239" spans="2:17" x14ac:dyDescent="0.25">
      <c r="B239" s="236" t="s">
        <v>432</v>
      </c>
      <c r="C239" s="269"/>
      <c r="D239" s="269"/>
      <c r="E239" s="269"/>
      <c r="F239" s="269">
        <v>21</v>
      </c>
      <c r="G239" s="269">
        <v>15</v>
      </c>
      <c r="H239" s="250">
        <v>36</v>
      </c>
      <c r="I239" s="269"/>
      <c r="J239" s="250"/>
      <c r="K239" s="269"/>
      <c r="L239" s="250">
        <v>1</v>
      </c>
      <c r="M239" s="269">
        <v>1</v>
      </c>
      <c r="N239" s="250">
        <v>2</v>
      </c>
      <c r="O239" s="294">
        <v>22</v>
      </c>
      <c r="P239" s="294">
        <v>16</v>
      </c>
      <c r="Q239" s="294">
        <v>38</v>
      </c>
    </row>
    <row r="240" spans="2:17" x14ac:dyDescent="0.25">
      <c r="B240" s="236" t="s">
        <v>433</v>
      </c>
      <c r="C240" s="269"/>
      <c r="D240" s="269"/>
      <c r="E240" s="269"/>
      <c r="F240" s="269">
        <v>89</v>
      </c>
      <c r="G240" s="269">
        <v>26</v>
      </c>
      <c r="H240" s="250">
        <v>115</v>
      </c>
      <c r="I240" s="269">
        <v>1</v>
      </c>
      <c r="J240" s="250"/>
      <c r="K240" s="269">
        <v>1</v>
      </c>
      <c r="L240" s="250"/>
      <c r="M240" s="269"/>
      <c r="N240" s="250"/>
      <c r="O240" s="294">
        <v>90</v>
      </c>
      <c r="P240" s="294">
        <v>26</v>
      </c>
      <c r="Q240" s="294">
        <v>116</v>
      </c>
    </row>
    <row r="241" spans="2:17" x14ac:dyDescent="0.25">
      <c r="B241" s="236" t="s">
        <v>499</v>
      </c>
      <c r="C241" s="269">
        <v>2</v>
      </c>
      <c r="D241" s="269"/>
      <c r="E241" s="269">
        <v>2</v>
      </c>
      <c r="F241" s="269">
        <v>244</v>
      </c>
      <c r="G241" s="269">
        <v>135</v>
      </c>
      <c r="H241" s="250">
        <v>379</v>
      </c>
      <c r="I241" s="269"/>
      <c r="J241" s="250">
        <v>1</v>
      </c>
      <c r="K241" s="269">
        <v>1</v>
      </c>
      <c r="L241" s="250">
        <v>5</v>
      </c>
      <c r="M241" s="269">
        <v>2</v>
      </c>
      <c r="N241" s="250">
        <v>7</v>
      </c>
      <c r="O241" s="294">
        <v>251</v>
      </c>
      <c r="P241" s="294">
        <v>138</v>
      </c>
      <c r="Q241" s="294">
        <v>389</v>
      </c>
    </row>
    <row r="242" spans="2:17" x14ac:dyDescent="0.25">
      <c r="B242" s="371" t="s">
        <v>923</v>
      </c>
      <c r="C242" s="310">
        <v>127</v>
      </c>
      <c r="D242" s="310">
        <v>8</v>
      </c>
      <c r="E242" s="310">
        <v>135</v>
      </c>
      <c r="F242" s="310">
        <v>7985</v>
      </c>
      <c r="G242" s="310">
        <v>6292</v>
      </c>
      <c r="H242" s="294">
        <v>14277</v>
      </c>
      <c r="I242" s="310">
        <v>77</v>
      </c>
      <c r="J242" s="294">
        <v>73</v>
      </c>
      <c r="K242" s="310">
        <v>150</v>
      </c>
      <c r="L242" s="294">
        <v>201</v>
      </c>
      <c r="M242" s="310">
        <v>311</v>
      </c>
      <c r="N242" s="294">
        <v>512</v>
      </c>
      <c r="O242" s="294">
        <v>8390</v>
      </c>
      <c r="P242" s="294">
        <v>6684</v>
      </c>
      <c r="Q242" s="294">
        <v>15074</v>
      </c>
    </row>
    <row r="243" spans="2:17" ht="84.75" customHeight="1" x14ac:dyDescent="0.25">
      <c r="B243" s="428" t="s">
        <v>938</v>
      </c>
      <c r="C243" s="428"/>
      <c r="D243" s="428"/>
      <c r="E243" s="428"/>
      <c r="F243" s="428"/>
      <c r="G243" s="428"/>
      <c r="H243" s="428"/>
      <c r="I243" s="428"/>
      <c r="J243" s="428"/>
      <c r="K243" s="428"/>
      <c r="L243" s="428"/>
      <c r="M243" s="428"/>
      <c r="N243" s="428"/>
      <c r="O243" s="428"/>
      <c r="P243" s="428"/>
      <c r="Q243" s="428"/>
    </row>
    <row r="244" spans="2:17" x14ac:dyDescent="0.25">
      <c r="B244" s="158"/>
      <c r="C244" s="158"/>
      <c r="D244" s="158"/>
      <c r="E244" s="158"/>
      <c r="F244" s="158"/>
      <c r="G244"/>
    </row>
    <row r="245" spans="2:17" x14ac:dyDescent="0.25">
      <c r="B245" s="187" t="s">
        <v>510</v>
      </c>
      <c r="C245"/>
      <c r="D245"/>
      <c r="E245"/>
      <c r="F245"/>
      <c r="G245"/>
    </row>
    <row r="246" spans="2:17" x14ac:dyDescent="0.25">
      <c r="B246" s="187"/>
      <c r="C246"/>
      <c r="D246"/>
      <c r="E246"/>
      <c r="F246"/>
      <c r="G246"/>
    </row>
    <row r="247" spans="2:17" ht="15" customHeight="1" x14ac:dyDescent="0.25">
      <c r="B247" s="408" t="s">
        <v>532</v>
      </c>
      <c r="C247" s="414" t="s">
        <v>477</v>
      </c>
      <c r="D247" s="414"/>
      <c r="E247" s="414"/>
      <c r="F247" s="414"/>
      <c r="G247" s="414"/>
      <c r="H247" s="414"/>
      <c r="I247" s="414"/>
      <c r="J247" s="414"/>
      <c r="K247" s="414"/>
      <c r="L247" s="414"/>
      <c r="M247" s="414"/>
      <c r="N247" s="414"/>
      <c r="O247" s="447" t="s">
        <v>945</v>
      </c>
      <c r="P247" s="448"/>
      <c r="Q247" s="449"/>
    </row>
    <row r="248" spans="2:17" ht="15" customHeight="1" x14ac:dyDescent="0.25">
      <c r="B248" s="409"/>
      <c r="C248" s="414" t="s">
        <v>885</v>
      </c>
      <c r="D248" s="414"/>
      <c r="E248" s="414"/>
      <c r="F248" s="414" t="s">
        <v>886</v>
      </c>
      <c r="G248" s="414"/>
      <c r="H248" s="414"/>
      <c r="I248" s="414" t="s">
        <v>2</v>
      </c>
      <c r="J248" s="414"/>
      <c r="K248" s="414"/>
      <c r="L248" s="414" t="s">
        <v>3</v>
      </c>
      <c r="M248" s="414"/>
      <c r="N248" s="414"/>
      <c r="O248" s="450"/>
      <c r="P248" s="451"/>
      <c r="Q248" s="452"/>
    </row>
    <row r="249" spans="2:17" x14ac:dyDescent="0.25">
      <c r="B249" s="410"/>
      <c r="C249" s="161" t="s">
        <v>73</v>
      </c>
      <c r="D249" s="161" t="s">
        <v>74</v>
      </c>
      <c r="E249" s="161" t="s">
        <v>25</v>
      </c>
      <c r="F249" s="161" t="s">
        <v>73</v>
      </c>
      <c r="G249" s="161" t="s">
        <v>74</v>
      </c>
      <c r="H249" s="161" t="s">
        <v>25</v>
      </c>
      <c r="I249" s="161" t="s">
        <v>73</v>
      </c>
      <c r="J249" s="161" t="s">
        <v>74</v>
      </c>
      <c r="K249" s="161" t="s">
        <v>25</v>
      </c>
      <c r="L249" s="161" t="s">
        <v>73</v>
      </c>
      <c r="M249" s="161" t="s">
        <v>74</v>
      </c>
      <c r="N249" s="161" t="s">
        <v>25</v>
      </c>
      <c r="O249" s="299" t="s">
        <v>73</v>
      </c>
      <c r="P249" s="299" t="s">
        <v>74</v>
      </c>
      <c r="Q249" s="299" t="s">
        <v>25</v>
      </c>
    </row>
    <row r="250" spans="2:17" x14ac:dyDescent="0.25">
      <c r="B250" s="235" t="s">
        <v>207</v>
      </c>
      <c r="C250" s="269"/>
      <c r="D250" s="269"/>
      <c r="E250" s="269"/>
      <c r="F250" s="269">
        <v>22</v>
      </c>
      <c r="G250" s="269">
        <v>22</v>
      </c>
      <c r="H250" s="250">
        <v>44</v>
      </c>
      <c r="I250" s="269"/>
      <c r="J250" s="250"/>
      <c r="K250" s="269"/>
      <c r="L250" s="250"/>
      <c r="M250" s="269">
        <v>1</v>
      </c>
      <c r="N250" s="250">
        <v>1</v>
      </c>
      <c r="O250" s="294">
        <v>22</v>
      </c>
      <c r="P250" s="294">
        <v>23</v>
      </c>
      <c r="Q250" s="294">
        <v>45</v>
      </c>
    </row>
    <row r="251" spans="2:17" x14ac:dyDescent="0.25">
      <c r="B251" s="236" t="s">
        <v>208</v>
      </c>
      <c r="C251" s="269">
        <v>2</v>
      </c>
      <c r="D251" s="269"/>
      <c r="E251" s="269">
        <v>2</v>
      </c>
      <c r="F251" s="269">
        <v>38</v>
      </c>
      <c r="G251" s="269">
        <v>43</v>
      </c>
      <c r="H251" s="250">
        <v>81</v>
      </c>
      <c r="I251" s="269">
        <v>1</v>
      </c>
      <c r="J251" s="250"/>
      <c r="K251" s="269">
        <v>1</v>
      </c>
      <c r="L251" s="250">
        <v>2</v>
      </c>
      <c r="M251" s="269">
        <v>1</v>
      </c>
      <c r="N251" s="250">
        <v>3</v>
      </c>
      <c r="O251" s="294">
        <v>43</v>
      </c>
      <c r="P251" s="294">
        <v>44</v>
      </c>
      <c r="Q251" s="294">
        <v>87</v>
      </c>
    </row>
    <row r="252" spans="2:17" x14ac:dyDescent="0.25">
      <c r="B252" s="236" t="s">
        <v>209</v>
      </c>
      <c r="C252" s="269">
        <v>1</v>
      </c>
      <c r="D252" s="269"/>
      <c r="E252" s="269">
        <v>1</v>
      </c>
      <c r="F252" s="269">
        <v>18</v>
      </c>
      <c r="G252" s="269">
        <v>11</v>
      </c>
      <c r="H252" s="250">
        <v>29</v>
      </c>
      <c r="I252" s="269"/>
      <c r="J252" s="250"/>
      <c r="K252" s="269"/>
      <c r="L252" s="250">
        <v>1</v>
      </c>
      <c r="M252" s="269">
        <v>3</v>
      </c>
      <c r="N252" s="250">
        <v>4</v>
      </c>
      <c r="O252" s="294">
        <v>20</v>
      </c>
      <c r="P252" s="294">
        <v>14</v>
      </c>
      <c r="Q252" s="294">
        <v>34</v>
      </c>
    </row>
    <row r="253" spans="2:17" x14ac:dyDescent="0.25">
      <c r="B253" s="236" t="s">
        <v>210</v>
      </c>
      <c r="C253" s="269"/>
      <c r="D253" s="269"/>
      <c r="E253" s="269"/>
      <c r="F253" s="269">
        <v>10</v>
      </c>
      <c r="G253" s="269">
        <v>13</v>
      </c>
      <c r="H253" s="250">
        <v>23</v>
      </c>
      <c r="I253" s="269"/>
      <c r="J253" s="250"/>
      <c r="K253" s="269"/>
      <c r="L253" s="250"/>
      <c r="M253" s="269"/>
      <c r="N253" s="250"/>
      <c r="O253" s="294">
        <v>10</v>
      </c>
      <c r="P253" s="294">
        <v>13</v>
      </c>
      <c r="Q253" s="294">
        <v>23</v>
      </c>
    </row>
    <row r="254" spans="2:17" x14ac:dyDescent="0.25">
      <c r="B254" s="236" t="s">
        <v>211</v>
      </c>
      <c r="C254" s="269">
        <v>1</v>
      </c>
      <c r="D254" s="269"/>
      <c r="E254" s="269">
        <v>1</v>
      </c>
      <c r="F254" s="269">
        <v>25</v>
      </c>
      <c r="G254" s="269">
        <v>26</v>
      </c>
      <c r="H254" s="250">
        <v>51</v>
      </c>
      <c r="I254" s="269"/>
      <c r="J254" s="250"/>
      <c r="K254" s="269"/>
      <c r="L254" s="250"/>
      <c r="M254" s="269">
        <v>1</v>
      </c>
      <c r="N254" s="250">
        <v>1</v>
      </c>
      <c r="O254" s="294">
        <v>26</v>
      </c>
      <c r="P254" s="294">
        <v>27</v>
      </c>
      <c r="Q254" s="294">
        <v>53</v>
      </c>
    </row>
    <row r="255" spans="2:17" x14ac:dyDescent="0.25">
      <c r="B255" s="236" t="s">
        <v>493</v>
      </c>
      <c r="C255" s="269">
        <v>2</v>
      </c>
      <c r="D255" s="269"/>
      <c r="E255" s="269">
        <v>2</v>
      </c>
      <c r="F255" s="269">
        <v>30</v>
      </c>
      <c r="G255" s="269">
        <v>32</v>
      </c>
      <c r="H255" s="250">
        <v>62</v>
      </c>
      <c r="I255" s="269">
        <v>2</v>
      </c>
      <c r="J255" s="250">
        <v>1</v>
      </c>
      <c r="K255" s="269">
        <v>3</v>
      </c>
      <c r="L255" s="250"/>
      <c r="M255" s="269"/>
      <c r="N255" s="250"/>
      <c r="O255" s="294">
        <v>34</v>
      </c>
      <c r="P255" s="294">
        <v>33</v>
      </c>
      <c r="Q255" s="294">
        <v>67</v>
      </c>
    </row>
    <row r="256" spans="2:17" x14ac:dyDescent="0.25">
      <c r="B256" s="236" t="s">
        <v>212</v>
      </c>
      <c r="C256" s="269"/>
      <c r="D256" s="269">
        <v>1</v>
      </c>
      <c r="E256" s="269">
        <v>1</v>
      </c>
      <c r="F256" s="269">
        <v>33</v>
      </c>
      <c r="G256" s="269">
        <v>34</v>
      </c>
      <c r="H256" s="250">
        <v>67</v>
      </c>
      <c r="I256" s="269"/>
      <c r="J256" s="250">
        <v>1</v>
      </c>
      <c r="K256" s="269">
        <v>1</v>
      </c>
      <c r="L256" s="250">
        <v>2</v>
      </c>
      <c r="M256" s="269">
        <v>3</v>
      </c>
      <c r="N256" s="250">
        <v>5</v>
      </c>
      <c r="O256" s="294">
        <v>35</v>
      </c>
      <c r="P256" s="294">
        <v>39</v>
      </c>
      <c r="Q256" s="294">
        <v>74</v>
      </c>
    </row>
    <row r="257" spans="2:17" x14ac:dyDescent="0.25">
      <c r="B257" s="236" t="s">
        <v>213</v>
      </c>
      <c r="C257" s="269"/>
      <c r="D257" s="269"/>
      <c r="E257" s="269"/>
      <c r="F257" s="269">
        <v>10</v>
      </c>
      <c r="G257" s="269">
        <v>10</v>
      </c>
      <c r="H257" s="250">
        <v>20</v>
      </c>
      <c r="I257" s="269"/>
      <c r="J257" s="250"/>
      <c r="K257" s="269"/>
      <c r="L257" s="250"/>
      <c r="M257" s="269">
        <v>3</v>
      </c>
      <c r="N257" s="250">
        <v>3</v>
      </c>
      <c r="O257" s="294">
        <v>10</v>
      </c>
      <c r="P257" s="294">
        <v>13</v>
      </c>
      <c r="Q257" s="294">
        <v>23</v>
      </c>
    </row>
    <row r="258" spans="2:17" x14ac:dyDescent="0.25">
      <c r="B258" s="236" t="s">
        <v>214</v>
      </c>
      <c r="C258" s="269">
        <v>1</v>
      </c>
      <c r="D258" s="269"/>
      <c r="E258" s="269">
        <v>1</v>
      </c>
      <c r="F258" s="269">
        <v>28</v>
      </c>
      <c r="G258" s="269">
        <v>38</v>
      </c>
      <c r="H258" s="250">
        <v>66</v>
      </c>
      <c r="I258" s="269"/>
      <c r="J258" s="250">
        <v>1</v>
      </c>
      <c r="K258" s="269">
        <v>1</v>
      </c>
      <c r="L258" s="250"/>
      <c r="M258" s="269">
        <v>1</v>
      </c>
      <c r="N258" s="250">
        <v>1</v>
      </c>
      <c r="O258" s="294">
        <v>29</v>
      </c>
      <c r="P258" s="294">
        <v>40</v>
      </c>
      <c r="Q258" s="294">
        <v>69</v>
      </c>
    </row>
    <row r="259" spans="2:17" x14ac:dyDescent="0.25">
      <c r="B259" s="236" t="s">
        <v>215</v>
      </c>
      <c r="C259" s="269"/>
      <c r="D259" s="269"/>
      <c r="E259" s="269"/>
      <c r="F259" s="269">
        <v>13</v>
      </c>
      <c r="G259" s="269">
        <v>14</v>
      </c>
      <c r="H259" s="250">
        <v>27</v>
      </c>
      <c r="I259" s="269"/>
      <c r="J259" s="250"/>
      <c r="K259" s="269"/>
      <c r="L259" s="250"/>
      <c r="M259" s="269"/>
      <c r="N259" s="250"/>
      <c r="O259" s="294">
        <v>13</v>
      </c>
      <c r="P259" s="294">
        <v>14</v>
      </c>
      <c r="Q259" s="294">
        <v>27</v>
      </c>
    </row>
    <row r="260" spans="2:17" x14ac:dyDescent="0.25">
      <c r="B260" s="236" t="s">
        <v>216</v>
      </c>
      <c r="C260" s="269">
        <v>1</v>
      </c>
      <c r="D260" s="269"/>
      <c r="E260" s="269">
        <v>1</v>
      </c>
      <c r="F260" s="269">
        <v>12</v>
      </c>
      <c r="G260" s="269">
        <v>8</v>
      </c>
      <c r="H260" s="250">
        <v>20</v>
      </c>
      <c r="I260" s="269"/>
      <c r="J260" s="250"/>
      <c r="K260" s="269"/>
      <c r="L260" s="250"/>
      <c r="M260" s="269"/>
      <c r="N260" s="250"/>
      <c r="O260" s="294">
        <v>13</v>
      </c>
      <c r="P260" s="294">
        <v>8</v>
      </c>
      <c r="Q260" s="294">
        <v>21</v>
      </c>
    </row>
    <row r="261" spans="2:17" x14ac:dyDescent="0.25">
      <c r="B261" s="236" t="s">
        <v>217</v>
      </c>
      <c r="C261" s="269">
        <v>1</v>
      </c>
      <c r="D261" s="269"/>
      <c r="E261" s="269">
        <v>1</v>
      </c>
      <c r="F261" s="269">
        <v>55</v>
      </c>
      <c r="G261" s="269">
        <v>35</v>
      </c>
      <c r="H261" s="250">
        <v>90</v>
      </c>
      <c r="I261" s="269"/>
      <c r="J261" s="250"/>
      <c r="K261" s="269"/>
      <c r="L261" s="250">
        <v>4</v>
      </c>
      <c r="M261" s="269">
        <v>1</v>
      </c>
      <c r="N261" s="250">
        <v>5</v>
      </c>
      <c r="O261" s="294">
        <v>60</v>
      </c>
      <c r="P261" s="294">
        <v>36</v>
      </c>
      <c r="Q261" s="294">
        <v>96</v>
      </c>
    </row>
    <row r="262" spans="2:17" x14ac:dyDescent="0.25">
      <c r="B262" s="236" t="s">
        <v>218</v>
      </c>
      <c r="C262" s="269"/>
      <c r="D262" s="269"/>
      <c r="E262" s="269"/>
      <c r="F262" s="269">
        <v>19</v>
      </c>
      <c r="G262" s="269">
        <v>20</v>
      </c>
      <c r="H262" s="250">
        <v>39</v>
      </c>
      <c r="I262" s="269"/>
      <c r="J262" s="250"/>
      <c r="K262" s="269"/>
      <c r="L262" s="250"/>
      <c r="M262" s="269">
        <v>2</v>
      </c>
      <c r="N262" s="250">
        <v>2</v>
      </c>
      <c r="O262" s="294">
        <v>19</v>
      </c>
      <c r="P262" s="294">
        <v>22</v>
      </c>
      <c r="Q262" s="294">
        <v>41</v>
      </c>
    </row>
    <row r="263" spans="2:17" x14ac:dyDescent="0.25">
      <c r="B263" s="236" t="s">
        <v>219</v>
      </c>
      <c r="C263" s="269"/>
      <c r="D263" s="269"/>
      <c r="E263" s="269"/>
      <c r="F263" s="269">
        <v>14</v>
      </c>
      <c r="G263" s="269">
        <v>11</v>
      </c>
      <c r="H263" s="250">
        <v>25</v>
      </c>
      <c r="I263" s="269">
        <v>1</v>
      </c>
      <c r="J263" s="250"/>
      <c r="K263" s="269">
        <v>1</v>
      </c>
      <c r="L263" s="250">
        <v>1</v>
      </c>
      <c r="M263" s="269"/>
      <c r="N263" s="250">
        <v>1</v>
      </c>
      <c r="O263" s="294">
        <v>16</v>
      </c>
      <c r="P263" s="294">
        <v>11</v>
      </c>
      <c r="Q263" s="294">
        <v>27</v>
      </c>
    </row>
    <row r="264" spans="2:17" x14ac:dyDescent="0.25">
      <c r="B264" s="236" t="s">
        <v>220</v>
      </c>
      <c r="C264" s="269"/>
      <c r="D264" s="269"/>
      <c r="E264" s="269"/>
      <c r="F264" s="269">
        <v>33</v>
      </c>
      <c r="G264" s="269">
        <v>26</v>
      </c>
      <c r="H264" s="250">
        <v>59</v>
      </c>
      <c r="I264" s="269">
        <v>1</v>
      </c>
      <c r="J264" s="250"/>
      <c r="K264" s="269">
        <v>1</v>
      </c>
      <c r="L264" s="250">
        <v>2</v>
      </c>
      <c r="M264" s="269">
        <v>1</v>
      </c>
      <c r="N264" s="250">
        <v>3</v>
      </c>
      <c r="O264" s="294">
        <v>36</v>
      </c>
      <c r="P264" s="294">
        <v>27</v>
      </c>
      <c r="Q264" s="294">
        <v>63</v>
      </c>
    </row>
    <row r="265" spans="2:17" x14ac:dyDescent="0.25">
      <c r="B265" s="236" t="s">
        <v>221</v>
      </c>
      <c r="C265" s="269">
        <v>3</v>
      </c>
      <c r="D265" s="269"/>
      <c r="E265" s="269">
        <v>3</v>
      </c>
      <c r="F265" s="269">
        <v>20</v>
      </c>
      <c r="G265" s="269">
        <v>20</v>
      </c>
      <c r="H265" s="250">
        <v>40</v>
      </c>
      <c r="I265" s="269">
        <v>1</v>
      </c>
      <c r="J265" s="250"/>
      <c r="K265" s="269">
        <v>1</v>
      </c>
      <c r="L265" s="250"/>
      <c r="M265" s="269">
        <v>1</v>
      </c>
      <c r="N265" s="250">
        <v>1</v>
      </c>
      <c r="O265" s="294">
        <v>24</v>
      </c>
      <c r="P265" s="294">
        <v>21</v>
      </c>
      <c r="Q265" s="294">
        <v>45</v>
      </c>
    </row>
    <row r="266" spans="2:17" x14ac:dyDescent="0.25">
      <c r="B266" s="236" t="s">
        <v>222</v>
      </c>
      <c r="C266" s="269">
        <v>1</v>
      </c>
      <c r="D266" s="269"/>
      <c r="E266" s="269">
        <v>1</v>
      </c>
      <c r="F266" s="269">
        <v>15</v>
      </c>
      <c r="G266" s="269">
        <v>17</v>
      </c>
      <c r="H266" s="250">
        <v>32</v>
      </c>
      <c r="I266" s="269"/>
      <c r="J266" s="250">
        <v>1</v>
      </c>
      <c r="K266" s="269">
        <v>1</v>
      </c>
      <c r="L266" s="250">
        <v>1</v>
      </c>
      <c r="M266" s="269">
        <v>1</v>
      </c>
      <c r="N266" s="250">
        <v>2</v>
      </c>
      <c r="O266" s="294">
        <v>17</v>
      </c>
      <c r="P266" s="294">
        <v>19</v>
      </c>
      <c r="Q266" s="294">
        <v>36</v>
      </c>
    </row>
    <row r="267" spans="2:17" x14ac:dyDescent="0.25">
      <c r="B267" s="236" t="s">
        <v>223</v>
      </c>
      <c r="C267" s="269">
        <v>2</v>
      </c>
      <c r="D267" s="269"/>
      <c r="E267" s="269">
        <v>2</v>
      </c>
      <c r="F267" s="269">
        <v>18</v>
      </c>
      <c r="G267" s="269">
        <v>21</v>
      </c>
      <c r="H267" s="250">
        <v>39</v>
      </c>
      <c r="I267" s="269">
        <v>1</v>
      </c>
      <c r="J267" s="250"/>
      <c r="K267" s="269">
        <v>1</v>
      </c>
      <c r="L267" s="250">
        <v>2</v>
      </c>
      <c r="M267" s="269">
        <v>1</v>
      </c>
      <c r="N267" s="250">
        <v>3</v>
      </c>
      <c r="O267" s="294">
        <v>23</v>
      </c>
      <c r="P267" s="294">
        <v>22</v>
      </c>
      <c r="Q267" s="294">
        <v>45</v>
      </c>
    </row>
    <row r="268" spans="2:17" x14ac:dyDescent="0.25">
      <c r="B268" s="236" t="s">
        <v>224</v>
      </c>
      <c r="C268" s="269">
        <v>2</v>
      </c>
      <c r="D268" s="269"/>
      <c r="E268" s="269">
        <v>2</v>
      </c>
      <c r="F268" s="269">
        <v>22</v>
      </c>
      <c r="G268" s="269">
        <v>32</v>
      </c>
      <c r="H268" s="250">
        <v>54</v>
      </c>
      <c r="I268" s="269"/>
      <c r="J268" s="250"/>
      <c r="K268" s="269"/>
      <c r="L268" s="250"/>
      <c r="M268" s="269">
        <v>1</v>
      </c>
      <c r="N268" s="250">
        <v>1</v>
      </c>
      <c r="O268" s="294">
        <v>24</v>
      </c>
      <c r="P268" s="294">
        <v>33</v>
      </c>
      <c r="Q268" s="294">
        <v>57</v>
      </c>
    </row>
    <row r="269" spans="2:17" x14ac:dyDescent="0.25">
      <c r="B269" s="236" t="s">
        <v>225</v>
      </c>
      <c r="C269" s="269">
        <v>1</v>
      </c>
      <c r="D269" s="269"/>
      <c r="E269" s="269">
        <v>1</v>
      </c>
      <c r="F269" s="269">
        <v>8</v>
      </c>
      <c r="G269" s="269">
        <v>6</v>
      </c>
      <c r="H269" s="250">
        <v>14</v>
      </c>
      <c r="I269" s="269"/>
      <c r="J269" s="250"/>
      <c r="K269" s="269"/>
      <c r="L269" s="250">
        <v>1</v>
      </c>
      <c r="M269" s="269">
        <v>1</v>
      </c>
      <c r="N269" s="250">
        <v>2</v>
      </c>
      <c r="O269" s="294">
        <v>10</v>
      </c>
      <c r="P269" s="294">
        <v>7</v>
      </c>
      <c r="Q269" s="294">
        <v>17</v>
      </c>
    </row>
    <row r="270" spans="2:17" x14ac:dyDescent="0.25">
      <c r="B270" s="236" t="s">
        <v>226</v>
      </c>
      <c r="C270" s="269"/>
      <c r="D270" s="269"/>
      <c r="E270" s="269"/>
      <c r="F270" s="269">
        <v>16</v>
      </c>
      <c r="G270" s="269">
        <v>15</v>
      </c>
      <c r="H270" s="250">
        <v>31</v>
      </c>
      <c r="I270" s="269"/>
      <c r="J270" s="250"/>
      <c r="K270" s="269"/>
      <c r="L270" s="250">
        <v>1</v>
      </c>
      <c r="M270" s="269">
        <v>3</v>
      </c>
      <c r="N270" s="250">
        <v>4</v>
      </c>
      <c r="O270" s="294">
        <v>17</v>
      </c>
      <c r="P270" s="294">
        <v>18</v>
      </c>
      <c r="Q270" s="294">
        <v>35</v>
      </c>
    </row>
    <row r="271" spans="2:17" x14ac:dyDescent="0.25">
      <c r="B271" s="236" t="s">
        <v>227</v>
      </c>
      <c r="C271" s="269">
        <v>1</v>
      </c>
      <c r="D271" s="269"/>
      <c r="E271" s="269">
        <v>1</v>
      </c>
      <c r="F271" s="269">
        <v>16</v>
      </c>
      <c r="G271" s="269">
        <v>18</v>
      </c>
      <c r="H271" s="250">
        <v>34</v>
      </c>
      <c r="I271" s="269"/>
      <c r="J271" s="250"/>
      <c r="K271" s="269"/>
      <c r="L271" s="250"/>
      <c r="M271" s="269">
        <v>2</v>
      </c>
      <c r="N271" s="250">
        <v>2</v>
      </c>
      <c r="O271" s="294">
        <v>17</v>
      </c>
      <c r="P271" s="294">
        <v>20</v>
      </c>
      <c r="Q271" s="294">
        <v>37</v>
      </c>
    </row>
    <row r="272" spans="2:17" x14ac:dyDescent="0.25">
      <c r="B272" s="236" t="s">
        <v>228</v>
      </c>
      <c r="C272" s="269">
        <v>1</v>
      </c>
      <c r="D272" s="269">
        <v>1</v>
      </c>
      <c r="E272" s="269">
        <v>2</v>
      </c>
      <c r="F272" s="269">
        <v>33</v>
      </c>
      <c r="G272" s="269">
        <v>27</v>
      </c>
      <c r="H272" s="250">
        <v>60</v>
      </c>
      <c r="I272" s="269"/>
      <c r="J272" s="250">
        <v>1</v>
      </c>
      <c r="K272" s="269">
        <v>1</v>
      </c>
      <c r="L272" s="250"/>
      <c r="M272" s="269">
        <v>1</v>
      </c>
      <c r="N272" s="250">
        <v>1</v>
      </c>
      <c r="O272" s="294">
        <v>34</v>
      </c>
      <c r="P272" s="294">
        <v>30</v>
      </c>
      <c r="Q272" s="294">
        <v>64</v>
      </c>
    </row>
    <row r="273" spans="2:17" x14ac:dyDescent="0.25">
      <c r="B273" s="236" t="s">
        <v>229</v>
      </c>
      <c r="C273" s="269"/>
      <c r="D273" s="269"/>
      <c r="E273" s="269"/>
      <c r="F273" s="269">
        <v>29</v>
      </c>
      <c r="G273" s="269">
        <v>29</v>
      </c>
      <c r="H273" s="250">
        <v>58</v>
      </c>
      <c r="I273" s="269"/>
      <c r="J273" s="250"/>
      <c r="K273" s="269"/>
      <c r="L273" s="250">
        <v>1</v>
      </c>
      <c r="M273" s="269">
        <v>3</v>
      </c>
      <c r="N273" s="250">
        <v>4</v>
      </c>
      <c r="O273" s="294">
        <v>30</v>
      </c>
      <c r="P273" s="294">
        <v>32</v>
      </c>
      <c r="Q273" s="294">
        <v>62</v>
      </c>
    </row>
    <row r="274" spans="2:17" x14ac:dyDescent="0.25">
      <c r="B274" s="236" t="s">
        <v>230</v>
      </c>
      <c r="C274" s="269"/>
      <c r="D274" s="269"/>
      <c r="E274" s="269"/>
      <c r="F274" s="269">
        <v>16</v>
      </c>
      <c r="G274" s="269">
        <v>12</v>
      </c>
      <c r="H274" s="250">
        <v>28</v>
      </c>
      <c r="I274" s="269"/>
      <c r="J274" s="250"/>
      <c r="K274" s="269"/>
      <c r="L274" s="250"/>
      <c r="M274" s="269">
        <v>2</v>
      </c>
      <c r="N274" s="250">
        <v>2</v>
      </c>
      <c r="O274" s="294">
        <v>16</v>
      </c>
      <c r="P274" s="294">
        <v>14</v>
      </c>
      <c r="Q274" s="294">
        <v>30</v>
      </c>
    </row>
    <row r="275" spans="2:17" x14ac:dyDescent="0.25">
      <c r="B275" s="236" t="s">
        <v>231</v>
      </c>
      <c r="C275" s="269"/>
      <c r="D275" s="269"/>
      <c r="E275" s="269"/>
      <c r="F275" s="269">
        <v>4</v>
      </c>
      <c r="G275" s="269">
        <v>9</v>
      </c>
      <c r="H275" s="250">
        <v>13</v>
      </c>
      <c r="I275" s="269"/>
      <c r="J275" s="250"/>
      <c r="K275" s="269"/>
      <c r="L275" s="250"/>
      <c r="M275" s="269"/>
      <c r="N275" s="250"/>
      <c r="O275" s="294">
        <v>4</v>
      </c>
      <c r="P275" s="294">
        <v>9</v>
      </c>
      <c r="Q275" s="294">
        <v>13</v>
      </c>
    </row>
    <row r="276" spans="2:17" x14ac:dyDescent="0.25">
      <c r="B276" s="236" t="s">
        <v>232</v>
      </c>
      <c r="C276" s="269"/>
      <c r="D276" s="269"/>
      <c r="E276" s="269"/>
      <c r="F276" s="269">
        <v>17</v>
      </c>
      <c r="G276" s="269">
        <v>15</v>
      </c>
      <c r="H276" s="250">
        <v>32</v>
      </c>
      <c r="I276" s="269">
        <v>1</v>
      </c>
      <c r="J276" s="250"/>
      <c r="K276" s="269">
        <v>1</v>
      </c>
      <c r="L276" s="250">
        <v>1</v>
      </c>
      <c r="M276" s="269">
        <v>1</v>
      </c>
      <c r="N276" s="250">
        <v>2</v>
      </c>
      <c r="O276" s="294">
        <v>19</v>
      </c>
      <c r="P276" s="294">
        <v>16</v>
      </c>
      <c r="Q276" s="294">
        <v>35</v>
      </c>
    </row>
    <row r="277" spans="2:17" x14ac:dyDescent="0.25">
      <c r="B277" s="236" t="s">
        <v>233</v>
      </c>
      <c r="C277" s="269">
        <v>7</v>
      </c>
      <c r="D277" s="269">
        <v>1</v>
      </c>
      <c r="E277" s="269">
        <v>8</v>
      </c>
      <c r="F277" s="269">
        <v>324</v>
      </c>
      <c r="G277" s="269">
        <v>223</v>
      </c>
      <c r="H277" s="250">
        <v>547</v>
      </c>
      <c r="I277" s="269">
        <v>8</v>
      </c>
      <c r="J277" s="250">
        <v>2</v>
      </c>
      <c r="K277" s="269">
        <v>10</v>
      </c>
      <c r="L277" s="250">
        <v>14</v>
      </c>
      <c r="M277" s="269">
        <v>14</v>
      </c>
      <c r="N277" s="250">
        <v>28</v>
      </c>
      <c r="O277" s="294">
        <v>353</v>
      </c>
      <c r="P277" s="294">
        <v>240</v>
      </c>
      <c r="Q277" s="294">
        <v>593</v>
      </c>
    </row>
    <row r="278" spans="2:17" x14ac:dyDescent="0.25">
      <c r="B278" s="236" t="s">
        <v>234</v>
      </c>
      <c r="C278" s="269">
        <v>4</v>
      </c>
      <c r="D278" s="269"/>
      <c r="E278" s="269">
        <v>4</v>
      </c>
      <c r="F278" s="269">
        <v>58</v>
      </c>
      <c r="G278" s="269">
        <v>56</v>
      </c>
      <c r="H278" s="250">
        <v>114</v>
      </c>
      <c r="I278" s="269">
        <v>1</v>
      </c>
      <c r="J278" s="250">
        <v>2</v>
      </c>
      <c r="K278" s="269">
        <v>3</v>
      </c>
      <c r="L278" s="250">
        <v>1</v>
      </c>
      <c r="M278" s="269">
        <v>3</v>
      </c>
      <c r="N278" s="250">
        <v>4</v>
      </c>
      <c r="O278" s="294">
        <v>64</v>
      </c>
      <c r="P278" s="294">
        <v>61</v>
      </c>
      <c r="Q278" s="294">
        <v>125</v>
      </c>
    </row>
    <row r="279" spans="2:17" x14ac:dyDescent="0.25">
      <c r="B279" s="236" t="s">
        <v>235</v>
      </c>
      <c r="C279" s="269"/>
      <c r="D279" s="269"/>
      <c r="E279" s="269"/>
      <c r="F279" s="269">
        <v>41</v>
      </c>
      <c r="G279" s="269">
        <v>25</v>
      </c>
      <c r="H279" s="250">
        <v>66</v>
      </c>
      <c r="I279" s="269"/>
      <c r="J279" s="250"/>
      <c r="K279" s="269"/>
      <c r="L279" s="250">
        <v>4</v>
      </c>
      <c r="M279" s="269">
        <v>2</v>
      </c>
      <c r="N279" s="250">
        <v>6</v>
      </c>
      <c r="O279" s="294">
        <v>45</v>
      </c>
      <c r="P279" s="294">
        <v>27</v>
      </c>
      <c r="Q279" s="294">
        <v>72</v>
      </c>
    </row>
    <row r="280" spans="2:17" x14ac:dyDescent="0.25">
      <c r="B280" s="236" t="s">
        <v>236</v>
      </c>
      <c r="C280" s="269">
        <v>2</v>
      </c>
      <c r="D280" s="269"/>
      <c r="E280" s="269">
        <v>2</v>
      </c>
      <c r="F280" s="269">
        <v>83</v>
      </c>
      <c r="G280" s="269">
        <v>87</v>
      </c>
      <c r="H280" s="250">
        <v>170</v>
      </c>
      <c r="I280" s="269">
        <v>1</v>
      </c>
      <c r="J280" s="250"/>
      <c r="K280" s="269">
        <v>1</v>
      </c>
      <c r="L280" s="250">
        <v>3</v>
      </c>
      <c r="M280" s="269">
        <v>9</v>
      </c>
      <c r="N280" s="250">
        <v>12</v>
      </c>
      <c r="O280" s="294">
        <v>89</v>
      </c>
      <c r="P280" s="294">
        <v>96</v>
      </c>
      <c r="Q280" s="294">
        <v>185</v>
      </c>
    </row>
    <row r="281" spans="2:17" x14ac:dyDescent="0.25">
      <c r="B281" s="236" t="s">
        <v>237</v>
      </c>
      <c r="C281" s="269">
        <v>3</v>
      </c>
      <c r="D281" s="269"/>
      <c r="E281" s="269">
        <v>3</v>
      </c>
      <c r="F281" s="269">
        <v>65</v>
      </c>
      <c r="G281" s="269">
        <v>61</v>
      </c>
      <c r="H281" s="250">
        <v>126</v>
      </c>
      <c r="I281" s="269"/>
      <c r="J281" s="250"/>
      <c r="K281" s="269"/>
      <c r="L281" s="250">
        <v>1</v>
      </c>
      <c r="M281" s="269">
        <v>6</v>
      </c>
      <c r="N281" s="250">
        <v>7</v>
      </c>
      <c r="O281" s="294">
        <v>69</v>
      </c>
      <c r="P281" s="294">
        <v>67</v>
      </c>
      <c r="Q281" s="294">
        <v>136</v>
      </c>
    </row>
    <row r="282" spans="2:17" x14ac:dyDescent="0.25">
      <c r="B282" s="237" t="s">
        <v>238</v>
      </c>
      <c r="C282" s="269">
        <v>2</v>
      </c>
      <c r="D282" s="269">
        <v>1</v>
      </c>
      <c r="E282" s="269">
        <v>3</v>
      </c>
      <c r="F282" s="269">
        <v>49</v>
      </c>
      <c r="G282" s="269">
        <v>59</v>
      </c>
      <c r="H282" s="250">
        <v>108</v>
      </c>
      <c r="I282" s="269">
        <v>2</v>
      </c>
      <c r="J282" s="250"/>
      <c r="K282" s="269">
        <v>2</v>
      </c>
      <c r="L282" s="250">
        <v>2</v>
      </c>
      <c r="M282" s="269">
        <v>6</v>
      </c>
      <c r="N282" s="250">
        <v>8</v>
      </c>
      <c r="O282" s="294">
        <v>55</v>
      </c>
      <c r="P282" s="294">
        <v>66</v>
      </c>
      <c r="Q282" s="294">
        <v>121</v>
      </c>
    </row>
    <row r="283" spans="2:17" x14ac:dyDescent="0.25">
      <c r="B283" s="371" t="s">
        <v>923</v>
      </c>
      <c r="C283" s="310">
        <v>38</v>
      </c>
      <c r="D283" s="310">
        <v>4</v>
      </c>
      <c r="E283" s="310">
        <v>42</v>
      </c>
      <c r="F283" s="310">
        <v>1194</v>
      </c>
      <c r="G283" s="310">
        <v>1075</v>
      </c>
      <c r="H283" s="294">
        <v>2269</v>
      </c>
      <c r="I283" s="310">
        <v>20</v>
      </c>
      <c r="J283" s="294">
        <v>9</v>
      </c>
      <c r="K283" s="310">
        <v>29</v>
      </c>
      <c r="L283" s="294">
        <v>44</v>
      </c>
      <c r="M283" s="310">
        <v>74</v>
      </c>
      <c r="N283" s="294">
        <v>118</v>
      </c>
      <c r="O283" s="294">
        <v>1296</v>
      </c>
      <c r="P283" s="294">
        <v>1162</v>
      </c>
      <c r="Q283" s="294">
        <v>2458</v>
      </c>
    </row>
    <row r="284" spans="2:17" ht="84.75" customHeight="1" x14ac:dyDescent="0.25">
      <c r="B284" s="428" t="s">
        <v>938</v>
      </c>
      <c r="C284" s="428"/>
      <c r="D284" s="428"/>
      <c r="E284" s="428"/>
      <c r="F284" s="428"/>
      <c r="G284" s="428"/>
      <c r="H284" s="428"/>
      <c r="I284" s="428"/>
      <c r="J284" s="428"/>
      <c r="K284" s="428"/>
      <c r="L284" s="428"/>
      <c r="M284" s="428"/>
      <c r="N284" s="428"/>
      <c r="O284" s="428"/>
      <c r="P284" s="428"/>
      <c r="Q284" s="428"/>
    </row>
    <row r="285" spans="2:17" x14ac:dyDescent="0.25">
      <c r="B285" s="158"/>
      <c r="C285" s="158"/>
      <c r="D285" s="158"/>
      <c r="E285"/>
      <c r="F285"/>
      <c r="G285"/>
    </row>
    <row r="286" spans="2:17" x14ac:dyDescent="0.25">
      <c r="B286" s="187" t="s">
        <v>511</v>
      </c>
      <c r="C286"/>
      <c r="D286"/>
      <c r="E286"/>
      <c r="F286"/>
      <c r="G286"/>
    </row>
    <row r="287" spans="2:17" x14ac:dyDescent="0.25">
      <c r="B287" s="187"/>
      <c r="C287"/>
      <c r="D287"/>
      <c r="E287"/>
      <c r="F287"/>
      <c r="G287"/>
    </row>
    <row r="288" spans="2:17" ht="15" customHeight="1" x14ac:dyDescent="0.25">
      <c r="B288" s="408" t="s">
        <v>532</v>
      </c>
      <c r="C288" s="414" t="s">
        <v>477</v>
      </c>
      <c r="D288" s="414"/>
      <c r="E288" s="414"/>
      <c r="F288" s="414"/>
      <c r="G288" s="414"/>
      <c r="H288" s="414"/>
      <c r="I288" s="414"/>
      <c r="J288" s="414"/>
      <c r="K288" s="414"/>
      <c r="L288" s="414"/>
      <c r="M288" s="414"/>
      <c r="N288" s="414"/>
      <c r="O288" s="447" t="s">
        <v>945</v>
      </c>
      <c r="P288" s="448"/>
      <c r="Q288" s="449"/>
    </row>
    <row r="289" spans="2:17" ht="15" customHeight="1" x14ac:dyDescent="0.25">
      <c r="B289" s="409"/>
      <c r="C289" s="414" t="s">
        <v>885</v>
      </c>
      <c r="D289" s="414"/>
      <c r="E289" s="414"/>
      <c r="F289" s="414" t="s">
        <v>886</v>
      </c>
      <c r="G289" s="414"/>
      <c r="H289" s="414"/>
      <c r="I289" s="414" t="s">
        <v>2</v>
      </c>
      <c r="J289" s="414"/>
      <c r="K289" s="414"/>
      <c r="L289" s="414" t="s">
        <v>3</v>
      </c>
      <c r="M289" s="414"/>
      <c r="N289" s="414"/>
      <c r="O289" s="450"/>
      <c r="P289" s="451"/>
      <c r="Q289" s="452"/>
    </row>
    <row r="290" spans="2:17" x14ac:dyDescent="0.25">
      <c r="B290" s="410"/>
      <c r="C290" s="161" t="s">
        <v>73</v>
      </c>
      <c r="D290" s="161" t="s">
        <v>74</v>
      </c>
      <c r="E290" s="161" t="s">
        <v>25</v>
      </c>
      <c r="F290" s="161" t="s">
        <v>73</v>
      </c>
      <c r="G290" s="161" t="s">
        <v>74</v>
      </c>
      <c r="H290" s="161" t="s">
        <v>25</v>
      </c>
      <c r="I290" s="161" t="s">
        <v>73</v>
      </c>
      <c r="J290" s="161" t="s">
        <v>74</v>
      </c>
      <c r="K290" s="161" t="s">
        <v>25</v>
      </c>
      <c r="L290" s="161" t="s">
        <v>73</v>
      </c>
      <c r="M290" s="161" t="s">
        <v>74</v>
      </c>
      <c r="N290" s="161" t="s">
        <v>25</v>
      </c>
      <c r="O290" s="299" t="s">
        <v>73</v>
      </c>
      <c r="P290" s="299" t="s">
        <v>74</v>
      </c>
      <c r="Q290" s="299" t="s">
        <v>25</v>
      </c>
    </row>
    <row r="291" spans="2:17" x14ac:dyDescent="0.25">
      <c r="B291" s="235" t="s">
        <v>239</v>
      </c>
      <c r="C291" s="269"/>
      <c r="D291" s="269"/>
      <c r="E291" s="269"/>
      <c r="F291" s="269">
        <v>49</v>
      </c>
      <c r="G291" s="269">
        <v>54</v>
      </c>
      <c r="H291" s="250">
        <v>103</v>
      </c>
      <c r="I291" s="269">
        <v>1</v>
      </c>
      <c r="J291" s="250">
        <v>2</v>
      </c>
      <c r="K291" s="269">
        <v>3</v>
      </c>
      <c r="L291" s="250">
        <v>1</v>
      </c>
      <c r="M291" s="269">
        <v>4</v>
      </c>
      <c r="N291" s="250">
        <v>5</v>
      </c>
      <c r="O291" s="294">
        <v>51</v>
      </c>
      <c r="P291" s="294">
        <v>60</v>
      </c>
      <c r="Q291" s="294">
        <v>111</v>
      </c>
    </row>
    <row r="292" spans="2:17" x14ac:dyDescent="0.25">
      <c r="B292" s="236" t="s">
        <v>240</v>
      </c>
      <c r="C292" s="269">
        <v>1</v>
      </c>
      <c r="D292" s="269"/>
      <c r="E292" s="269">
        <v>1</v>
      </c>
      <c r="F292" s="269">
        <v>12</v>
      </c>
      <c r="G292" s="269">
        <v>13</v>
      </c>
      <c r="H292" s="250">
        <v>25</v>
      </c>
      <c r="I292" s="269">
        <v>1</v>
      </c>
      <c r="J292" s="250"/>
      <c r="K292" s="269">
        <v>1</v>
      </c>
      <c r="L292" s="250">
        <v>1</v>
      </c>
      <c r="M292" s="269">
        <v>1</v>
      </c>
      <c r="N292" s="250">
        <v>2</v>
      </c>
      <c r="O292" s="294">
        <v>15</v>
      </c>
      <c r="P292" s="294">
        <v>14</v>
      </c>
      <c r="Q292" s="294">
        <v>29</v>
      </c>
    </row>
    <row r="293" spans="2:17" x14ac:dyDescent="0.25">
      <c r="B293" s="236" t="s">
        <v>241</v>
      </c>
      <c r="C293" s="269">
        <v>1</v>
      </c>
      <c r="D293" s="269"/>
      <c r="E293" s="269">
        <v>1</v>
      </c>
      <c r="F293" s="269">
        <v>23</v>
      </c>
      <c r="G293" s="269">
        <v>33</v>
      </c>
      <c r="H293" s="250">
        <v>56</v>
      </c>
      <c r="I293" s="269"/>
      <c r="J293" s="250"/>
      <c r="K293" s="269"/>
      <c r="L293" s="250"/>
      <c r="M293" s="269">
        <v>4</v>
      </c>
      <c r="N293" s="250">
        <v>4</v>
      </c>
      <c r="O293" s="294">
        <v>24</v>
      </c>
      <c r="P293" s="294">
        <v>37</v>
      </c>
      <c r="Q293" s="294">
        <v>61</v>
      </c>
    </row>
    <row r="294" spans="2:17" x14ac:dyDescent="0.25">
      <c r="B294" s="236" t="s">
        <v>242</v>
      </c>
      <c r="C294" s="269">
        <v>4</v>
      </c>
      <c r="D294" s="269">
        <v>1</v>
      </c>
      <c r="E294" s="269">
        <v>5</v>
      </c>
      <c r="F294" s="269">
        <v>52</v>
      </c>
      <c r="G294" s="269">
        <v>54</v>
      </c>
      <c r="H294" s="250">
        <v>106</v>
      </c>
      <c r="I294" s="269"/>
      <c r="J294" s="250">
        <v>1</v>
      </c>
      <c r="K294" s="269">
        <v>1</v>
      </c>
      <c r="L294" s="250">
        <v>2</v>
      </c>
      <c r="M294" s="269">
        <v>1</v>
      </c>
      <c r="N294" s="250">
        <v>3</v>
      </c>
      <c r="O294" s="294">
        <v>58</v>
      </c>
      <c r="P294" s="294">
        <v>57</v>
      </c>
      <c r="Q294" s="294">
        <v>115</v>
      </c>
    </row>
    <row r="295" spans="2:17" x14ac:dyDescent="0.25">
      <c r="B295" s="236" t="s">
        <v>243</v>
      </c>
      <c r="C295" s="269"/>
      <c r="D295" s="269"/>
      <c r="E295" s="269"/>
      <c r="F295" s="269">
        <v>17</v>
      </c>
      <c r="G295" s="269">
        <v>12</v>
      </c>
      <c r="H295" s="250">
        <v>29</v>
      </c>
      <c r="I295" s="269"/>
      <c r="J295" s="250"/>
      <c r="K295" s="269"/>
      <c r="L295" s="250"/>
      <c r="M295" s="269">
        <v>1</v>
      </c>
      <c r="N295" s="250">
        <v>1</v>
      </c>
      <c r="O295" s="294">
        <v>17</v>
      </c>
      <c r="P295" s="294">
        <v>13</v>
      </c>
      <c r="Q295" s="294">
        <v>30</v>
      </c>
    </row>
    <row r="296" spans="2:17" x14ac:dyDescent="0.25">
      <c r="B296" s="236" t="s">
        <v>244</v>
      </c>
      <c r="C296" s="269">
        <v>6</v>
      </c>
      <c r="D296" s="269">
        <v>1</v>
      </c>
      <c r="E296" s="269">
        <v>7</v>
      </c>
      <c r="F296" s="269">
        <v>228</v>
      </c>
      <c r="G296" s="269">
        <v>171</v>
      </c>
      <c r="H296" s="250">
        <v>399</v>
      </c>
      <c r="I296" s="269">
        <v>2</v>
      </c>
      <c r="J296" s="250">
        <v>6</v>
      </c>
      <c r="K296" s="269">
        <v>8</v>
      </c>
      <c r="L296" s="250">
        <v>6</v>
      </c>
      <c r="M296" s="269">
        <v>4</v>
      </c>
      <c r="N296" s="250">
        <v>10</v>
      </c>
      <c r="O296" s="294">
        <v>242</v>
      </c>
      <c r="P296" s="294">
        <v>182</v>
      </c>
      <c r="Q296" s="294">
        <v>424</v>
      </c>
    </row>
    <row r="297" spans="2:17" x14ac:dyDescent="0.25">
      <c r="B297" s="236" t="s">
        <v>245</v>
      </c>
      <c r="C297" s="269"/>
      <c r="D297" s="269">
        <v>1</v>
      </c>
      <c r="E297" s="269">
        <v>1</v>
      </c>
      <c r="F297" s="269">
        <v>4</v>
      </c>
      <c r="G297" s="269">
        <v>5</v>
      </c>
      <c r="H297" s="250">
        <v>9</v>
      </c>
      <c r="I297" s="269"/>
      <c r="J297" s="250"/>
      <c r="K297" s="269"/>
      <c r="L297" s="250"/>
      <c r="M297" s="269"/>
      <c r="N297" s="250"/>
      <c r="O297" s="294">
        <v>4</v>
      </c>
      <c r="P297" s="294">
        <v>6</v>
      </c>
      <c r="Q297" s="294">
        <v>10</v>
      </c>
    </row>
    <row r="298" spans="2:17" x14ac:dyDescent="0.25">
      <c r="B298" s="236" t="s">
        <v>494</v>
      </c>
      <c r="C298" s="269"/>
      <c r="D298" s="269"/>
      <c r="E298" s="269"/>
      <c r="F298" s="269">
        <v>10</v>
      </c>
      <c r="G298" s="269">
        <v>9</v>
      </c>
      <c r="H298" s="250">
        <v>19</v>
      </c>
      <c r="I298" s="269">
        <v>1</v>
      </c>
      <c r="J298" s="250"/>
      <c r="K298" s="269">
        <v>1</v>
      </c>
      <c r="L298" s="250"/>
      <c r="M298" s="269"/>
      <c r="N298" s="250"/>
      <c r="O298" s="294">
        <v>11</v>
      </c>
      <c r="P298" s="294">
        <v>9</v>
      </c>
      <c r="Q298" s="294">
        <v>20</v>
      </c>
    </row>
    <row r="299" spans="2:17" x14ac:dyDescent="0.25">
      <c r="B299" s="236" t="s">
        <v>246</v>
      </c>
      <c r="C299" s="269">
        <v>1</v>
      </c>
      <c r="D299" s="269"/>
      <c r="E299" s="269">
        <v>1</v>
      </c>
      <c r="F299" s="269">
        <v>8</v>
      </c>
      <c r="G299" s="269">
        <v>6</v>
      </c>
      <c r="H299" s="250">
        <v>14</v>
      </c>
      <c r="I299" s="269"/>
      <c r="J299" s="250"/>
      <c r="K299" s="269"/>
      <c r="L299" s="250"/>
      <c r="M299" s="269"/>
      <c r="N299" s="250"/>
      <c r="O299" s="294">
        <v>9</v>
      </c>
      <c r="P299" s="294">
        <v>6</v>
      </c>
      <c r="Q299" s="294">
        <v>15</v>
      </c>
    </row>
    <row r="300" spans="2:17" x14ac:dyDescent="0.25">
      <c r="B300" s="236" t="s">
        <v>247</v>
      </c>
      <c r="C300" s="269">
        <v>4</v>
      </c>
      <c r="D300" s="269"/>
      <c r="E300" s="269">
        <v>4</v>
      </c>
      <c r="F300" s="269">
        <v>140</v>
      </c>
      <c r="G300" s="269">
        <v>137</v>
      </c>
      <c r="H300" s="250">
        <v>277</v>
      </c>
      <c r="I300" s="269">
        <v>2</v>
      </c>
      <c r="J300" s="250">
        <v>1</v>
      </c>
      <c r="K300" s="269">
        <v>3</v>
      </c>
      <c r="L300" s="250">
        <v>5</v>
      </c>
      <c r="M300" s="269">
        <v>7</v>
      </c>
      <c r="N300" s="250">
        <v>12</v>
      </c>
      <c r="O300" s="294">
        <v>151</v>
      </c>
      <c r="P300" s="294">
        <v>145</v>
      </c>
      <c r="Q300" s="294">
        <v>296</v>
      </c>
    </row>
    <row r="301" spans="2:17" x14ac:dyDescent="0.25">
      <c r="B301" s="236" t="s">
        <v>248</v>
      </c>
      <c r="C301" s="269">
        <v>1</v>
      </c>
      <c r="D301" s="269"/>
      <c r="E301" s="269">
        <v>1</v>
      </c>
      <c r="F301" s="269">
        <v>43</v>
      </c>
      <c r="G301" s="269">
        <v>46</v>
      </c>
      <c r="H301" s="250">
        <v>89</v>
      </c>
      <c r="I301" s="269"/>
      <c r="J301" s="250"/>
      <c r="K301" s="269"/>
      <c r="L301" s="250"/>
      <c r="M301" s="269">
        <v>4</v>
      </c>
      <c r="N301" s="250">
        <v>4</v>
      </c>
      <c r="O301" s="294">
        <v>44</v>
      </c>
      <c r="P301" s="294">
        <v>50</v>
      </c>
      <c r="Q301" s="294">
        <v>94</v>
      </c>
    </row>
    <row r="302" spans="2:17" x14ac:dyDescent="0.25">
      <c r="B302" s="236" t="s">
        <v>249</v>
      </c>
      <c r="C302" s="269">
        <v>2</v>
      </c>
      <c r="D302" s="269"/>
      <c r="E302" s="269">
        <v>2</v>
      </c>
      <c r="F302" s="269">
        <v>31</v>
      </c>
      <c r="G302" s="269">
        <v>29</v>
      </c>
      <c r="H302" s="250">
        <v>60</v>
      </c>
      <c r="I302" s="269"/>
      <c r="J302" s="250">
        <v>2</v>
      </c>
      <c r="K302" s="269">
        <v>2</v>
      </c>
      <c r="L302" s="250">
        <v>1</v>
      </c>
      <c r="M302" s="269">
        <v>2</v>
      </c>
      <c r="N302" s="250">
        <v>3</v>
      </c>
      <c r="O302" s="294">
        <v>34</v>
      </c>
      <c r="P302" s="294">
        <v>33</v>
      </c>
      <c r="Q302" s="294">
        <v>67</v>
      </c>
    </row>
    <row r="303" spans="2:17" x14ac:dyDescent="0.25">
      <c r="B303" s="236" t="s">
        <v>250</v>
      </c>
      <c r="C303" s="269">
        <v>5</v>
      </c>
      <c r="D303" s="269"/>
      <c r="E303" s="269">
        <v>5</v>
      </c>
      <c r="F303" s="269">
        <v>63</v>
      </c>
      <c r="G303" s="269">
        <v>67</v>
      </c>
      <c r="H303" s="250">
        <v>130</v>
      </c>
      <c r="I303" s="269"/>
      <c r="J303" s="250">
        <v>1</v>
      </c>
      <c r="K303" s="269">
        <v>1</v>
      </c>
      <c r="L303" s="250"/>
      <c r="M303" s="269">
        <v>2</v>
      </c>
      <c r="N303" s="250">
        <v>2</v>
      </c>
      <c r="O303" s="294">
        <v>68</v>
      </c>
      <c r="P303" s="294">
        <v>70</v>
      </c>
      <c r="Q303" s="294">
        <v>138</v>
      </c>
    </row>
    <row r="304" spans="2:17" x14ac:dyDescent="0.25">
      <c r="B304" s="236" t="s">
        <v>251</v>
      </c>
      <c r="C304" s="269">
        <v>2</v>
      </c>
      <c r="D304" s="269"/>
      <c r="E304" s="269">
        <v>2</v>
      </c>
      <c r="F304" s="269">
        <v>69</v>
      </c>
      <c r="G304" s="269">
        <v>41</v>
      </c>
      <c r="H304" s="250">
        <v>110</v>
      </c>
      <c r="I304" s="269">
        <v>3</v>
      </c>
      <c r="J304" s="250">
        <v>1</v>
      </c>
      <c r="K304" s="269">
        <v>4</v>
      </c>
      <c r="L304" s="250">
        <v>1</v>
      </c>
      <c r="M304" s="269">
        <v>5</v>
      </c>
      <c r="N304" s="250">
        <v>6</v>
      </c>
      <c r="O304" s="294">
        <v>75</v>
      </c>
      <c r="P304" s="294">
        <v>47</v>
      </c>
      <c r="Q304" s="294">
        <v>122</v>
      </c>
    </row>
    <row r="305" spans="2:17" x14ac:dyDescent="0.25">
      <c r="B305" s="236" t="s">
        <v>252</v>
      </c>
      <c r="C305" s="269">
        <v>1</v>
      </c>
      <c r="D305" s="269"/>
      <c r="E305" s="269">
        <v>1</v>
      </c>
      <c r="F305" s="269">
        <v>17</v>
      </c>
      <c r="G305" s="269">
        <v>16</v>
      </c>
      <c r="H305" s="250">
        <v>33</v>
      </c>
      <c r="I305" s="269"/>
      <c r="J305" s="250"/>
      <c r="K305" s="269"/>
      <c r="L305" s="250"/>
      <c r="M305" s="269"/>
      <c r="N305" s="250"/>
      <c r="O305" s="294">
        <v>18</v>
      </c>
      <c r="P305" s="294">
        <v>16</v>
      </c>
      <c r="Q305" s="294">
        <v>34</v>
      </c>
    </row>
    <row r="306" spans="2:17" x14ac:dyDescent="0.25">
      <c r="B306" s="236" t="s">
        <v>253</v>
      </c>
      <c r="C306" s="269"/>
      <c r="D306" s="269"/>
      <c r="E306" s="269"/>
      <c r="F306" s="269">
        <v>12</v>
      </c>
      <c r="G306" s="269">
        <v>4</v>
      </c>
      <c r="H306" s="250">
        <v>16</v>
      </c>
      <c r="I306" s="269"/>
      <c r="J306" s="250"/>
      <c r="K306" s="269"/>
      <c r="L306" s="250">
        <v>1</v>
      </c>
      <c r="M306" s="269">
        <v>1</v>
      </c>
      <c r="N306" s="250">
        <v>2</v>
      </c>
      <c r="O306" s="294">
        <v>13</v>
      </c>
      <c r="P306" s="294">
        <v>5</v>
      </c>
      <c r="Q306" s="294">
        <v>18</v>
      </c>
    </row>
    <row r="307" spans="2:17" x14ac:dyDescent="0.25">
      <c r="B307" s="236" t="s">
        <v>254</v>
      </c>
      <c r="C307" s="269"/>
      <c r="D307" s="269"/>
      <c r="E307" s="269"/>
      <c r="F307" s="269">
        <v>8</v>
      </c>
      <c r="G307" s="269">
        <v>6</v>
      </c>
      <c r="H307" s="250">
        <v>14</v>
      </c>
      <c r="I307" s="269"/>
      <c r="J307" s="250"/>
      <c r="K307" s="269"/>
      <c r="L307" s="250">
        <v>1</v>
      </c>
      <c r="M307" s="269"/>
      <c r="N307" s="250">
        <v>1</v>
      </c>
      <c r="O307" s="294">
        <v>9</v>
      </c>
      <c r="P307" s="294">
        <v>6</v>
      </c>
      <c r="Q307" s="294">
        <v>15</v>
      </c>
    </row>
    <row r="308" spans="2:17" x14ac:dyDescent="0.25">
      <c r="B308" s="236" t="s">
        <v>255</v>
      </c>
      <c r="C308" s="269">
        <v>2</v>
      </c>
      <c r="D308" s="269"/>
      <c r="E308" s="269">
        <v>2</v>
      </c>
      <c r="F308" s="269">
        <v>14</v>
      </c>
      <c r="G308" s="269">
        <v>12</v>
      </c>
      <c r="H308" s="250">
        <v>26</v>
      </c>
      <c r="I308" s="269"/>
      <c r="J308" s="250"/>
      <c r="K308" s="269"/>
      <c r="L308" s="250"/>
      <c r="M308" s="269">
        <v>2</v>
      </c>
      <c r="N308" s="250">
        <v>2</v>
      </c>
      <c r="O308" s="294">
        <v>16</v>
      </c>
      <c r="P308" s="294">
        <v>14</v>
      </c>
      <c r="Q308" s="294">
        <v>30</v>
      </c>
    </row>
    <row r="309" spans="2:17" x14ac:dyDescent="0.25">
      <c r="B309" s="236" t="s">
        <v>256</v>
      </c>
      <c r="C309" s="269">
        <v>2</v>
      </c>
      <c r="D309" s="269"/>
      <c r="E309" s="269">
        <v>2</v>
      </c>
      <c r="F309" s="269">
        <v>32</v>
      </c>
      <c r="G309" s="269">
        <v>30</v>
      </c>
      <c r="H309" s="250">
        <v>62</v>
      </c>
      <c r="I309" s="269">
        <v>1</v>
      </c>
      <c r="J309" s="250"/>
      <c r="K309" s="269">
        <v>1</v>
      </c>
      <c r="L309" s="250">
        <v>4</v>
      </c>
      <c r="M309" s="269"/>
      <c r="N309" s="250">
        <v>4</v>
      </c>
      <c r="O309" s="294">
        <v>39</v>
      </c>
      <c r="P309" s="294">
        <v>30</v>
      </c>
      <c r="Q309" s="294">
        <v>69</v>
      </c>
    </row>
    <row r="310" spans="2:17" x14ac:dyDescent="0.25">
      <c r="B310" s="236" t="s">
        <v>257</v>
      </c>
      <c r="C310" s="269"/>
      <c r="D310" s="269"/>
      <c r="E310" s="269"/>
      <c r="F310" s="269">
        <v>19</v>
      </c>
      <c r="G310" s="269">
        <v>16</v>
      </c>
      <c r="H310" s="250">
        <v>35</v>
      </c>
      <c r="I310" s="269"/>
      <c r="J310" s="250"/>
      <c r="K310" s="269"/>
      <c r="L310" s="250">
        <v>1</v>
      </c>
      <c r="M310" s="269"/>
      <c r="N310" s="250">
        <v>1</v>
      </c>
      <c r="O310" s="294">
        <v>20</v>
      </c>
      <c r="P310" s="294">
        <v>16</v>
      </c>
      <c r="Q310" s="294">
        <v>36</v>
      </c>
    </row>
    <row r="311" spans="2:17" x14ac:dyDescent="0.25">
      <c r="B311" s="236" t="s">
        <v>258</v>
      </c>
      <c r="C311" s="269">
        <v>5</v>
      </c>
      <c r="D311" s="269">
        <v>1</v>
      </c>
      <c r="E311" s="269">
        <v>6</v>
      </c>
      <c r="F311" s="269">
        <v>16</v>
      </c>
      <c r="G311" s="269">
        <v>13</v>
      </c>
      <c r="H311" s="250">
        <v>29</v>
      </c>
      <c r="I311" s="269"/>
      <c r="J311" s="250"/>
      <c r="K311" s="269"/>
      <c r="L311" s="250"/>
      <c r="M311" s="269">
        <v>1</v>
      </c>
      <c r="N311" s="250">
        <v>1</v>
      </c>
      <c r="O311" s="294">
        <v>21</v>
      </c>
      <c r="P311" s="294">
        <v>15</v>
      </c>
      <c r="Q311" s="294">
        <v>36</v>
      </c>
    </row>
    <row r="312" spans="2:17" x14ac:dyDescent="0.25">
      <c r="B312" s="236" t="s">
        <v>259</v>
      </c>
      <c r="C312" s="269">
        <v>2</v>
      </c>
      <c r="D312" s="269"/>
      <c r="E312" s="269">
        <v>2</v>
      </c>
      <c r="F312" s="269">
        <v>22</v>
      </c>
      <c r="G312" s="269">
        <v>19</v>
      </c>
      <c r="H312" s="250">
        <v>41</v>
      </c>
      <c r="I312" s="269">
        <v>1</v>
      </c>
      <c r="J312" s="250"/>
      <c r="K312" s="269">
        <v>1</v>
      </c>
      <c r="L312" s="250">
        <v>1</v>
      </c>
      <c r="M312" s="269">
        <v>1</v>
      </c>
      <c r="N312" s="250">
        <v>2</v>
      </c>
      <c r="O312" s="294">
        <v>26</v>
      </c>
      <c r="P312" s="294">
        <v>20</v>
      </c>
      <c r="Q312" s="294">
        <v>46</v>
      </c>
    </row>
    <row r="313" spans="2:17" x14ac:dyDescent="0.25">
      <c r="B313" s="236" t="s">
        <v>260</v>
      </c>
      <c r="C313" s="269">
        <v>4</v>
      </c>
      <c r="D313" s="269">
        <v>1</v>
      </c>
      <c r="E313" s="269">
        <v>5</v>
      </c>
      <c r="F313" s="269">
        <v>55</v>
      </c>
      <c r="G313" s="269">
        <v>50</v>
      </c>
      <c r="H313" s="250">
        <v>105</v>
      </c>
      <c r="I313" s="269">
        <v>1</v>
      </c>
      <c r="J313" s="250"/>
      <c r="K313" s="269">
        <v>1</v>
      </c>
      <c r="L313" s="250"/>
      <c r="M313" s="269">
        <v>1</v>
      </c>
      <c r="N313" s="250">
        <v>1</v>
      </c>
      <c r="O313" s="294">
        <v>60</v>
      </c>
      <c r="P313" s="294">
        <v>52</v>
      </c>
      <c r="Q313" s="294">
        <v>112</v>
      </c>
    </row>
    <row r="314" spans="2:17" x14ac:dyDescent="0.25">
      <c r="B314" s="236" t="s">
        <v>261</v>
      </c>
      <c r="C314" s="269">
        <v>2</v>
      </c>
      <c r="D314" s="269"/>
      <c r="E314" s="269">
        <v>2</v>
      </c>
      <c r="F314" s="269">
        <v>56</v>
      </c>
      <c r="G314" s="269">
        <v>43</v>
      </c>
      <c r="H314" s="250">
        <v>99</v>
      </c>
      <c r="I314" s="269"/>
      <c r="J314" s="250"/>
      <c r="K314" s="269"/>
      <c r="L314" s="250">
        <v>2</v>
      </c>
      <c r="M314" s="269">
        <v>5</v>
      </c>
      <c r="N314" s="250">
        <v>7</v>
      </c>
      <c r="O314" s="294">
        <v>60</v>
      </c>
      <c r="P314" s="294">
        <v>48</v>
      </c>
      <c r="Q314" s="294">
        <v>108</v>
      </c>
    </row>
    <row r="315" spans="2:17" x14ac:dyDescent="0.25">
      <c r="B315" s="236" t="s">
        <v>262</v>
      </c>
      <c r="C315" s="269">
        <v>1</v>
      </c>
      <c r="D315" s="269"/>
      <c r="E315" s="269">
        <v>1</v>
      </c>
      <c r="F315" s="269">
        <v>6</v>
      </c>
      <c r="G315" s="269">
        <v>10</v>
      </c>
      <c r="H315" s="250">
        <v>16</v>
      </c>
      <c r="I315" s="269"/>
      <c r="J315" s="250"/>
      <c r="K315" s="269"/>
      <c r="L315" s="250"/>
      <c r="M315" s="269"/>
      <c r="N315" s="250"/>
      <c r="O315" s="294">
        <v>7</v>
      </c>
      <c r="P315" s="294">
        <v>10</v>
      </c>
      <c r="Q315" s="294">
        <v>17</v>
      </c>
    </row>
    <row r="316" spans="2:17" x14ac:dyDescent="0.25">
      <c r="B316" s="236" t="s">
        <v>263</v>
      </c>
      <c r="C316" s="269">
        <v>12</v>
      </c>
      <c r="D316" s="269">
        <v>1</v>
      </c>
      <c r="E316" s="269">
        <v>13</v>
      </c>
      <c r="F316" s="269">
        <v>279</v>
      </c>
      <c r="G316" s="269">
        <v>210</v>
      </c>
      <c r="H316" s="250">
        <v>489</v>
      </c>
      <c r="I316" s="269">
        <v>6</v>
      </c>
      <c r="J316" s="250">
        <v>6</v>
      </c>
      <c r="K316" s="269">
        <v>12</v>
      </c>
      <c r="L316" s="250">
        <v>6</v>
      </c>
      <c r="M316" s="269">
        <v>14</v>
      </c>
      <c r="N316" s="250">
        <v>20</v>
      </c>
      <c r="O316" s="294">
        <v>303</v>
      </c>
      <c r="P316" s="294">
        <v>231</v>
      </c>
      <c r="Q316" s="294">
        <v>534</v>
      </c>
    </row>
    <row r="317" spans="2:17" x14ac:dyDescent="0.25">
      <c r="B317" s="236" t="s">
        <v>264</v>
      </c>
      <c r="C317" s="269">
        <v>1</v>
      </c>
      <c r="D317" s="269">
        <v>1</v>
      </c>
      <c r="E317" s="269">
        <v>2</v>
      </c>
      <c r="F317" s="269">
        <v>31</v>
      </c>
      <c r="G317" s="269">
        <v>50</v>
      </c>
      <c r="H317" s="250">
        <v>81</v>
      </c>
      <c r="I317" s="269"/>
      <c r="J317" s="250"/>
      <c r="K317" s="269"/>
      <c r="L317" s="250">
        <v>1</v>
      </c>
      <c r="M317" s="269">
        <v>4</v>
      </c>
      <c r="N317" s="250">
        <v>5</v>
      </c>
      <c r="O317" s="294">
        <v>33</v>
      </c>
      <c r="P317" s="294">
        <v>55</v>
      </c>
      <c r="Q317" s="294">
        <v>88</v>
      </c>
    </row>
    <row r="318" spans="2:17" x14ac:dyDescent="0.25">
      <c r="B318" s="236" t="s">
        <v>265</v>
      </c>
      <c r="C318" s="269"/>
      <c r="D318" s="269"/>
      <c r="E318" s="269"/>
      <c r="F318" s="269">
        <v>5</v>
      </c>
      <c r="G318" s="269">
        <v>9</v>
      </c>
      <c r="H318" s="250">
        <v>14</v>
      </c>
      <c r="I318" s="269"/>
      <c r="J318" s="250"/>
      <c r="K318" s="269"/>
      <c r="L318" s="250"/>
      <c r="M318" s="269"/>
      <c r="N318" s="250"/>
      <c r="O318" s="294">
        <v>5</v>
      </c>
      <c r="P318" s="294">
        <v>9</v>
      </c>
      <c r="Q318" s="294">
        <v>14</v>
      </c>
    </row>
    <row r="319" spans="2:17" x14ac:dyDescent="0.25">
      <c r="B319" s="236" t="s">
        <v>266</v>
      </c>
      <c r="C319" s="269"/>
      <c r="D319" s="269"/>
      <c r="E319" s="269"/>
      <c r="F319" s="269">
        <v>22</v>
      </c>
      <c r="G319" s="269">
        <v>15</v>
      </c>
      <c r="H319" s="250">
        <v>37</v>
      </c>
      <c r="I319" s="269"/>
      <c r="J319" s="250"/>
      <c r="K319" s="269"/>
      <c r="L319" s="250">
        <v>1</v>
      </c>
      <c r="M319" s="269">
        <v>2</v>
      </c>
      <c r="N319" s="250">
        <v>3</v>
      </c>
      <c r="O319" s="294">
        <v>23</v>
      </c>
      <c r="P319" s="294">
        <v>17</v>
      </c>
      <c r="Q319" s="294">
        <v>40</v>
      </c>
    </row>
    <row r="320" spans="2:17" x14ac:dyDescent="0.25">
      <c r="B320" s="237" t="s">
        <v>267</v>
      </c>
      <c r="C320" s="269"/>
      <c r="D320" s="269"/>
      <c r="E320" s="269"/>
      <c r="F320" s="269">
        <v>26</v>
      </c>
      <c r="G320" s="269">
        <v>19</v>
      </c>
      <c r="H320" s="250">
        <v>45</v>
      </c>
      <c r="I320" s="269">
        <v>1</v>
      </c>
      <c r="J320" s="250"/>
      <c r="K320" s="269">
        <v>1</v>
      </c>
      <c r="L320" s="250">
        <v>3</v>
      </c>
      <c r="M320" s="269">
        <v>2</v>
      </c>
      <c r="N320" s="250">
        <v>5</v>
      </c>
      <c r="O320" s="294">
        <v>30</v>
      </c>
      <c r="P320" s="294">
        <v>21</v>
      </c>
      <c r="Q320" s="294">
        <v>51</v>
      </c>
    </row>
    <row r="321" spans="2:17" x14ac:dyDescent="0.25">
      <c r="B321" s="371" t="s">
        <v>923</v>
      </c>
      <c r="C321" s="310">
        <v>59</v>
      </c>
      <c r="D321" s="310">
        <v>7</v>
      </c>
      <c r="E321" s="310">
        <v>66</v>
      </c>
      <c r="F321" s="310">
        <v>1369</v>
      </c>
      <c r="G321" s="310">
        <v>1199</v>
      </c>
      <c r="H321" s="294">
        <v>2568</v>
      </c>
      <c r="I321" s="310">
        <v>20</v>
      </c>
      <c r="J321" s="294">
        <v>20</v>
      </c>
      <c r="K321" s="310">
        <v>40</v>
      </c>
      <c r="L321" s="294">
        <v>38</v>
      </c>
      <c r="M321" s="310">
        <v>68</v>
      </c>
      <c r="N321" s="294">
        <v>106</v>
      </c>
      <c r="O321" s="294">
        <v>1486</v>
      </c>
      <c r="P321" s="294">
        <v>1294</v>
      </c>
      <c r="Q321" s="294">
        <v>2780</v>
      </c>
    </row>
    <row r="322" spans="2:17" ht="82.5" customHeight="1" x14ac:dyDescent="0.25">
      <c r="B322" s="428" t="s">
        <v>938</v>
      </c>
      <c r="C322" s="428"/>
      <c r="D322" s="428"/>
      <c r="E322" s="428"/>
      <c r="F322" s="428"/>
      <c r="G322" s="428"/>
      <c r="H322" s="428"/>
      <c r="I322" s="428"/>
      <c r="J322" s="428"/>
      <c r="K322" s="428"/>
      <c r="L322" s="428"/>
      <c r="M322" s="428"/>
      <c r="N322" s="428"/>
      <c r="O322" s="428"/>
      <c r="P322" s="428"/>
      <c r="Q322" s="428"/>
    </row>
    <row r="323" spans="2:17" x14ac:dyDescent="0.25">
      <c r="B323" s="158"/>
      <c r="C323" s="158"/>
      <c r="D323" s="158"/>
      <c r="E323"/>
      <c r="F323"/>
      <c r="G323"/>
    </row>
    <row r="324" spans="2:17" x14ac:dyDescent="0.25">
      <c r="B324" s="187" t="s">
        <v>520</v>
      </c>
      <c r="C324"/>
      <c r="D324"/>
      <c r="E324"/>
      <c r="F324"/>
      <c r="G324"/>
    </row>
    <row r="325" spans="2:17" x14ac:dyDescent="0.25">
      <c r="B325" s="187"/>
      <c r="C325"/>
      <c r="D325"/>
      <c r="E325"/>
      <c r="F325"/>
      <c r="G325"/>
    </row>
    <row r="326" spans="2:17" ht="15" customHeight="1" x14ac:dyDescent="0.25">
      <c r="B326" s="408" t="s">
        <v>532</v>
      </c>
      <c r="C326" s="414" t="s">
        <v>477</v>
      </c>
      <c r="D326" s="414"/>
      <c r="E326" s="414"/>
      <c r="F326" s="414"/>
      <c r="G326" s="414"/>
      <c r="H326" s="414"/>
      <c r="I326" s="414"/>
      <c r="J326" s="414"/>
      <c r="K326" s="414"/>
      <c r="L326" s="414"/>
      <c r="M326" s="414"/>
      <c r="N326" s="414"/>
      <c r="O326" s="447" t="s">
        <v>945</v>
      </c>
      <c r="P326" s="448"/>
      <c r="Q326" s="449"/>
    </row>
    <row r="327" spans="2:17" ht="15" customHeight="1" x14ac:dyDescent="0.25">
      <c r="B327" s="409"/>
      <c r="C327" s="414" t="s">
        <v>885</v>
      </c>
      <c r="D327" s="414"/>
      <c r="E327" s="414"/>
      <c r="F327" s="414" t="s">
        <v>886</v>
      </c>
      <c r="G327" s="414"/>
      <c r="H327" s="414"/>
      <c r="I327" s="414" t="s">
        <v>2</v>
      </c>
      <c r="J327" s="414"/>
      <c r="K327" s="414"/>
      <c r="L327" s="414" t="s">
        <v>3</v>
      </c>
      <c r="M327" s="414"/>
      <c r="N327" s="414"/>
      <c r="O327" s="450"/>
      <c r="P327" s="451"/>
      <c r="Q327" s="452"/>
    </row>
    <row r="328" spans="2:17" x14ac:dyDescent="0.25">
      <c r="B328" s="410"/>
      <c r="C328" s="161" t="s">
        <v>73</v>
      </c>
      <c r="D328" s="161" t="s">
        <v>74</v>
      </c>
      <c r="E328" s="161" t="s">
        <v>25</v>
      </c>
      <c r="F328" s="161" t="s">
        <v>73</v>
      </c>
      <c r="G328" s="161" t="s">
        <v>74</v>
      </c>
      <c r="H328" s="161" t="s">
        <v>25</v>
      </c>
      <c r="I328" s="161" t="s">
        <v>73</v>
      </c>
      <c r="J328" s="161" t="s">
        <v>74</v>
      </c>
      <c r="K328" s="161" t="s">
        <v>25</v>
      </c>
      <c r="L328" s="161" t="s">
        <v>73</v>
      </c>
      <c r="M328" s="161" t="s">
        <v>74</v>
      </c>
      <c r="N328" s="161" t="s">
        <v>25</v>
      </c>
      <c r="O328" s="299" t="s">
        <v>73</v>
      </c>
      <c r="P328" s="299" t="s">
        <v>74</v>
      </c>
      <c r="Q328" s="299" t="s">
        <v>25</v>
      </c>
    </row>
    <row r="329" spans="2:17" x14ac:dyDescent="0.25">
      <c r="B329" s="235" t="s">
        <v>451</v>
      </c>
      <c r="C329" s="269"/>
      <c r="D329" s="269"/>
      <c r="E329" s="269"/>
      <c r="F329" s="269">
        <v>40</v>
      </c>
      <c r="G329" s="269">
        <v>27</v>
      </c>
      <c r="H329" s="250">
        <v>67</v>
      </c>
      <c r="I329" s="269"/>
      <c r="J329" s="250"/>
      <c r="K329" s="269"/>
      <c r="L329" s="250">
        <v>1</v>
      </c>
      <c r="M329" s="269">
        <v>1</v>
      </c>
      <c r="N329" s="250">
        <v>2</v>
      </c>
      <c r="O329" s="294">
        <v>41</v>
      </c>
      <c r="P329" s="294">
        <v>28</v>
      </c>
      <c r="Q329" s="294">
        <v>69</v>
      </c>
    </row>
    <row r="330" spans="2:17" x14ac:dyDescent="0.25">
      <c r="B330" s="236" t="s">
        <v>452</v>
      </c>
      <c r="C330" s="269">
        <v>10</v>
      </c>
      <c r="D330" s="269">
        <v>2</v>
      </c>
      <c r="E330" s="269">
        <v>12</v>
      </c>
      <c r="F330" s="269">
        <v>246</v>
      </c>
      <c r="G330" s="269">
        <v>197</v>
      </c>
      <c r="H330" s="250">
        <v>443</v>
      </c>
      <c r="I330" s="269">
        <v>6</v>
      </c>
      <c r="J330" s="250">
        <v>4</v>
      </c>
      <c r="K330" s="269">
        <v>10</v>
      </c>
      <c r="L330" s="250">
        <v>14</v>
      </c>
      <c r="M330" s="269">
        <v>14</v>
      </c>
      <c r="N330" s="250">
        <v>28</v>
      </c>
      <c r="O330" s="294">
        <v>276</v>
      </c>
      <c r="P330" s="294">
        <v>217</v>
      </c>
      <c r="Q330" s="294">
        <v>493</v>
      </c>
    </row>
    <row r="331" spans="2:17" x14ac:dyDescent="0.25">
      <c r="B331" s="236" t="s">
        <v>453</v>
      </c>
      <c r="C331" s="269">
        <v>1</v>
      </c>
      <c r="D331" s="269"/>
      <c r="E331" s="269">
        <v>1</v>
      </c>
      <c r="F331" s="269">
        <v>29</v>
      </c>
      <c r="G331" s="269">
        <v>20</v>
      </c>
      <c r="H331" s="250">
        <v>49</v>
      </c>
      <c r="I331" s="269"/>
      <c r="J331" s="250"/>
      <c r="K331" s="269"/>
      <c r="L331" s="250">
        <v>3</v>
      </c>
      <c r="M331" s="269">
        <v>3</v>
      </c>
      <c r="N331" s="250">
        <v>6</v>
      </c>
      <c r="O331" s="294">
        <v>33</v>
      </c>
      <c r="P331" s="294">
        <v>23</v>
      </c>
      <c r="Q331" s="294">
        <v>56</v>
      </c>
    </row>
    <row r="332" spans="2:17" x14ac:dyDescent="0.25">
      <c r="B332" s="236" t="s">
        <v>454</v>
      </c>
      <c r="C332" s="269"/>
      <c r="D332" s="269"/>
      <c r="E332" s="269"/>
      <c r="F332" s="269">
        <v>9</v>
      </c>
      <c r="G332" s="269">
        <v>8</v>
      </c>
      <c r="H332" s="250">
        <v>17</v>
      </c>
      <c r="I332" s="269"/>
      <c r="J332" s="250"/>
      <c r="K332" s="269"/>
      <c r="L332" s="250">
        <v>1</v>
      </c>
      <c r="M332" s="269"/>
      <c r="N332" s="250">
        <v>1</v>
      </c>
      <c r="O332" s="294">
        <v>10</v>
      </c>
      <c r="P332" s="294">
        <v>8</v>
      </c>
      <c r="Q332" s="294">
        <v>18</v>
      </c>
    </row>
    <row r="333" spans="2:17" x14ac:dyDescent="0.25">
      <c r="B333" s="236" t="s">
        <v>455</v>
      </c>
      <c r="C333" s="269"/>
      <c r="D333" s="269">
        <v>1</v>
      </c>
      <c r="E333" s="269">
        <v>1</v>
      </c>
      <c r="F333" s="269">
        <v>26</v>
      </c>
      <c r="G333" s="269">
        <v>28</v>
      </c>
      <c r="H333" s="250">
        <v>54</v>
      </c>
      <c r="I333" s="269"/>
      <c r="J333" s="250"/>
      <c r="K333" s="269"/>
      <c r="L333" s="250">
        <v>1</v>
      </c>
      <c r="M333" s="269">
        <v>4</v>
      </c>
      <c r="N333" s="250">
        <v>5</v>
      </c>
      <c r="O333" s="294">
        <v>27</v>
      </c>
      <c r="P333" s="294">
        <v>33</v>
      </c>
      <c r="Q333" s="294">
        <v>60</v>
      </c>
    </row>
    <row r="334" spans="2:17" x14ac:dyDescent="0.25">
      <c r="B334" s="236" t="s">
        <v>456</v>
      </c>
      <c r="C334" s="269">
        <v>2</v>
      </c>
      <c r="D334" s="269">
        <v>1</v>
      </c>
      <c r="E334" s="269">
        <v>3</v>
      </c>
      <c r="F334" s="269">
        <v>23</v>
      </c>
      <c r="G334" s="269">
        <v>31</v>
      </c>
      <c r="H334" s="250">
        <v>54</v>
      </c>
      <c r="I334" s="269">
        <v>4</v>
      </c>
      <c r="J334" s="250"/>
      <c r="K334" s="269">
        <v>4</v>
      </c>
      <c r="L334" s="250"/>
      <c r="M334" s="269">
        <v>2</v>
      </c>
      <c r="N334" s="250">
        <v>2</v>
      </c>
      <c r="O334" s="294">
        <v>29</v>
      </c>
      <c r="P334" s="294">
        <v>34</v>
      </c>
      <c r="Q334" s="294">
        <v>63</v>
      </c>
    </row>
    <row r="335" spans="2:17" x14ac:dyDescent="0.25">
      <c r="B335" s="236" t="s">
        <v>457</v>
      </c>
      <c r="C335" s="269">
        <v>1</v>
      </c>
      <c r="D335" s="269"/>
      <c r="E335" s="269">
        <v>1</v>
      </c>
      <c r="F335" s="269">
        <v>17</v>
      </c>
      <c r="G335" s="269">
        <v>10</v>
      </c>
      <c r="H335" s="250">
        <v>27</v>
      </c>
      <c r="I335" s="269"/>
      <c r="J335" s="250">
        <v>2</v>
      </c>
      <c r="K335" s="269">
        <v>2</v>
      </c>
      <c r="L335" s="250">
        <v>1</v>
      </c>
      <c r="M335" s="269">
        <v>1</v>
      </c>
      <c r="N335" s="250">
        <v>2</v>
      </c>
      <c r="O335" s="294">
        <v>19</v>
      </c>
      <c r="P335" s="294">
        <v>13</v>
      </c>
      <c r="Q335" s="294">
        <v>32</v>
      </c>
    </row>
    <row r="336" spans="2:17" x14ac:dyDescent="0.25">
      <c r="B336" s="236" t="s">
        <v>458</v>
      </c>
      <c r="C336" s="269"/>
      <c r="D336" s="269"/>
      <c r="E336" s="269"/>
      <c r="F336" s="269">
        <v>5</v>
      </c>
      <c r="G336" s="269">
        <v>4</v>
      </c>
      <c r="H336" s="250">
        <v>9</v>
      </c>
      <c r="I336" s="269"/>
      <c r="J336" s="250"/>
      <c r="K336" s="269"/>
      <c r="L336" s="250"/>
      <c r="M336" s="269">
        <v>1</v>
      </c>
      <c r="N336" s="250">
        <v>1</v>
      </c>
      <c r="O336" s="294">
        <v>5</v>
      </c>
      <c r="P336" s="294">
        <v>5</v>
      </c>
      <c r="Q336" s="294">
        <v>10</v>
      </c>
    </row>
    <row r="337" spans="2:17" x14ac:dyDescent="0.25">
      <c r="B337" s="236" t="s">
        <v>459</v>
      </c>
      <c r="C337" s="269"/>
      <c r="D337" s="269"/>
      <c r="E337" s="269"/>
      <c r="F337" s="269">
        <v>6</v>
      </c>
      <c r="G337" s="269">
        <v>11</v>
      </c>
      <c r="H337" s="250">
        <v>17</v>
      </c>
      <c r="I337" s="269"/>
      <c r="J337" s="250"/>
      <c r="K337" s="269"/>
      <c r="L337" s="250"/>
      <c r="M337" s="269">
        <v>1</v>
      </c>
      <c r="N337" s="250">
        <v>1</v>
      </c>
      <c r="O337" s="294">
        <v>6</v>
      </c>
      <c r="P337" s="294">
        <v>12</v>
      </c>
      <c r="Q337" s="294">
        <v>18</v>
      </c>
    </row>
    <row r="338" spans="2:17" x14ac:dyDescent="0.25">
      <c r="B338" s="236" t="s">
        <v>460</v>
      </c>
      <c r="C338" s="269"/>
      <c r="D338" s="269"/>
      <c r="E338" s="269"/>
      <c r="F338" s="269">
        <v>20</v>
      </c>
      <c r="G338" s="269">
        <v>17</v>
      </c>
      <c r="H338" s="250">
        <v>37</v>
      </c>
      <c r="I338" s="269"/>
      <c r="J338" s="250"/>
      <c r="K338" s="269"/>
      <c r="L338" s="250">
        <v>1</v>
      </c>
      <c r="M338" s="269">
        <v>2</v>
      </c>
      <c r="N338" s="250">
        <v>3</v>
      </c>
      <c r="O338" s="294">
        <v>21</v>
      </c>
      <c r="P338" s="294">
        <v>19</v>
      </c>
      <c r="Q338" s="294">
        <v>40</v>
      </c>
    </row>
    <row r="339" spans="2:17" x14ac:dyDescent="0.25">
      <c r="B339" s="236" t="s">
        <v>461</v>
      </c>
      <c r="C339" s="269"/>
      <c r="D339" s="269">
        <v>1</v>
      </c>
      <c r="E339" s="269">
        <v>1</v>
      </c>
      <c r="F339" s="269">
        <v>8</v>
      </c>
      <c r="G339" s="269">
        <v>7</v>
      </c>
      <c r="H339" s="250">
        <v>15</v>
      </c>
      <c r="I339" s="269"/>
      <c r="J339" s="250"/>
      <c r="K339" s="269"/>
      <c r="L339" s="250"/>
      <c r="M339" s="269"/>
      <c r="N339" s="250"/>
      <c r="O339" s="294">
        <v>8</v>
      </c>
      <c r="P339" s="294">
        <v>8</v>
      </c>
      <c r="Q339" s="294">
        <v>16</v>
      </c>
    </row>
    <row r="340" spans="2:17" x14ac:dyDescent="0.25">
      <c r="B340" s="236" t="s">
        <v>462</v>
      </c>
      <c r="C340" s="269">
        <v>1</v>
      </c>
      <c r="D340" s="269"/>
      <c r="E340" s="269">
        <v>1</v>
      </c>
      <c r="F340" s="269">
        <v>36</v>
      </c>
      <c r="G340" s="269">
        <v>30</v>
      </c>
      <c r="H340" s="250">
        <v>66</v>
      </c>
      <c r="I340" s="269"/>
      <c r="J340" s="250"/>
      <c r="K340" s="269"/>
      <c r="L340" s="250">
        <v>2</v>
      </c>
      <c r="M340" s="269">
        <v>1</v>
      </c>
      <c r="N340" s="250">
        <v>3</v>
      </c>
      <c r="O340" s="294">
        <v>39</v>
      </c>
      <c r="P340" s="294">
        <v>31</v>
      </c>
      <c r="Q340" s="294">
        <v>70</v>
      </c>
    </row>
    <row r="341" spans="2:17" x14ac:dyDescent="0.25">
      <c r="B341" s="236" t="s">
        <v>463</v>
      </c>
      <c r="C341" s="269"/>
      <c r="D341" s="269"/>
      <c r="E341" s="269"/>
      <c r="F341" s="269">
        <v>13</v>
      </c>
      <c r="G341" s="269">
        <v>11</v>
      </c>
      <c r="H341" s="250">
        <v>24</v>
      </c>
      <c r="I341" s="269"/>
      <c r="J341" s="250"/>
      <c r="K341" s="269"/>
      <c r="L341" s="250"/>
      <c r="M341" s="269"/>
      <c r="N341" s="250"/>
      <c r="O341" s="294">
        <v>13</v>
      </c>
      <c r="P341" s="294">
        <v>11</v>
      </c>
      <c r="Q341" s="294">
        <v>24</v>
      </c>
    </row>
    <row r="342" spans="2:17" x14ac:dyDescent="0.25">
      <c r="B342" s="236" t="s">
        <v>464</v>
      </c>
      <c r="C342" s="269"/>
      <c r="D342" s="269"/>
      <c r="E342" s="269"/>
      <c r="F342" s="269">
        <v>4</v>
      </c>
      <c r="G342" s="269">
        <v>11</v>
      </c>
      <c r="H342" s="250">
        <v>15</v>
      </c>
      <c r="I342" s="269"/>
      <c r="J342" s="250"/>
      <c r="K342" s="269"/>
      <c r="L342" s="250"/>
      <c r="M342" s="269"/>
      <c r="N342" s="250"/>
      <c r="O342" s="294">
        <v>4</v>
      </c>
      <c r="P342" s="294">
        <v>11</v>
      </c>
      <c r="Q342" s="294">
        <v>15</v>
      </c>
    </row>
    <row r="343" spans="2:17" x14ac:dyDescent="0.25">
      <c r="B343" s="236" t="s">
        <v>465</v>
      </c>
      <c r="C343" s="269">
        <v>3</v>
      </c>
      <c r="D343" s="269"/>
      <c r="E343" s="269">
        <v>3</v>
      </c>
      <c r="F343" s="269">
        <v>67</v>
      </c>
      <c r="G343" s="269">
        <v>82</v>
      </c>
      <c r="H343" s="250">
        <v>149</v>
      </c>
      <c r="I343" s="269">
        <v>1</v>
      </c>
      <c r="J343" s="250">
        <v>1</v>
      </c>
      <c r="K343" s="269">
        <v>2</v>
      </c>
      <c r="L343" s="250">
        <v>2</v>
      </c>
      <c r="M343" s="269">
        <v>4</v>
      </c>
      <c r="N343" s="250">
        <v>6</v>
      </c>
      <c r="O343" s="294">
        <v>73</v>
      </c>
      <c r="P343" s="294">
        <v>87</v>
      </c>
      <c r="Q343" s="294">
        <v>160</v>
      </c>
    </row>
    <row r="344" spans="2:17" x14ac:dyDescent="0.25">
      <c r="B344" s="236" t="s">
        <v>466</v>
      </c>
      <c r="C344" s="269"/>
      <c r="D344" s="269"/>
      <c r="E344" s="269"/>
      <c r="F344" s="269">
        <v>8</v>
      </c>
      <c r="G344" s="269">
        <v>7</v>
      </c>
      <c r="H344" s="250">
        <v>15</v>
      </c>
      <c r="I344" s="269"/>
      <c r="J344" s="250"/>
      <c r="K344" s="269"/>
      <c r="L344" s="250">
        <v>1</v>
      </c>
      <c r="M344" s="269"/>
      <c r="N344" s="250">
        <v>1</v>
      </c>
      <c r="O344" s="294">
        <v>9</v>
      </c>
      <c r="P344" s="294">
        <v>7</v>
      </c>
      <c r="Q344" s="294">
        <v>16</v>
      </c>
    </row>
    <row r="345" spans="2:17" x14ac:dyDescent="0.25">
      <c r="B345" s="236" t="s">
        <v>467</v>
      </c>
      <c r="C345" s="269"/>
      <c r="D345" s="269"/>
      <c r="E345" s="269"/>
      <c r="F345" s="269">
        <v>21</v>
      </c>
      <c r="G345" s="269">
        <v>12</v>
      </c>
      <c r="H345" s="250">
        <v>33</v>
      </c>
      <c r="I345" s="269"/>
      <c r="J345" s="250"/>
      <c r="K345" s="269"/>
      <c r="L345" s="250"/>
      <c r="M345" s="269">
        <v>1</v>
      </c>
      <c r="N345" s="250">
        <v>1</v>
      </c>
      <c r="O345" s="294">
        <v>21</v>
      </c>
      <c r="P345" s="294">
        <v>13</v>
      </c>
      <c r="Q345" s="294">
        <v>34</v>
      </c>
    </row>
    <row r="346" spans="2:17" x14ac:dyDescent="0.25">
      <c r="B346" s="236" t="s">
        <v>468</v>
      </c>
      <c r="C346" s="269"/>
      <c r="D346" s="269">
        <v>1</v>
      </c>
      <c r="E346" s="269">
        <v>1</v>
      </c>
      <c r="F346" s="269">
        <v>24</v>
      </c>
      <c r="G346" s="269">
        <v>19</v>
      </c>
      <c r="H346" s="250">
        <v>43</v>
      </c>
      <c r="I346" s="269">
        <v>1</v>
      </c>
      <c r="J346" s="250"/>
      <c r="K346" s="269">
        <v>1</v>
      </c>
      <c r="L346" s="250"/>
      <c r="M346" s="269"/>
      <c r="N346" s="250"/>
      <c r="O346" s="294">
        <v>25</v>
      </c>
      <c r="P346" s="294">
        <v>20</v>
      </c>
      <c r="Q346" s="294">
        <v>45</v>
      </c>
    </row>
    <row r="347" spans="2:17" x14ac:dyDescent="0.25">
      <c r="B347" s="236" t="s">
        <v>469</v>
      </c>
      <c r="C347" s="269"/>
      <c r="D347" s="269"/>
      <c r="E347" s="269"/>
      <c r="F347" s="269">
        <v>5</v>
      </c>
      <c r="G347" s="269">
        <v>4</v>
      </c>
      <c r="H347" s="250">
        <v>9</v>
      </c>
      <c r="I347" s="269"/>
      <c r="J347" s="250"/>
      <c r="K347" s="269"/>
      <c r="L347" s="250"/>
      <c r="M347" s="269">
        <v>1</v>
      </c>
      <c r="N347" s="250">
        <v>1</v>
      </c>
      <c r="O347" s="294">
        <v>5</v>
      </c>
      <c r="P347" s="294">
        <v>5</v>
      </c>
      <c r="Q347" s="294">
        <v>10</v>
      </c>
    </row>
    <row r="348" spans="2:17" x14ac:dyDescent="0.25">
      <c r="B348" s="236" t="s">
        <v>470</v>
      </c>
      <c r="C348" s="269"/>
      <c r="D348" s="269"/>
      <c r="E348" s="269"/>
      <c r="F348" s="269">
        <v>29</v>
      </c>
      <c r="G348" s="269">
        <v>21</v>
      </c>
      <c r="H348" s="250">
        <v>50</v>
      </c>
      <c r="I348" s="269"/>
      <c r="J348" s="250"/>
      <c r="K348" s="269"/>
      <c r="L348" s="250"/>
      <c r="M348" s="269"/>
      <c r="N348" s="250"/>
      <c r="O348" s="294">
        <v>29</v>
      </c>
      <c r="P348" s="294">
        <v>21</v>
      </c>
      <c r="Q348" s="294">
        <v>50</v>
      </c>
    </row>
    <row r="349" spans="2:17" x14ac:dyDescent="0.25">
      <c r="B349" s="236" t="s">
        <v>471</v>
      </c>
      <c r="C349" s="269"/>
      <c r="D349" s="269">
        <v>1</v>
      </c>
      <c r="E349" s="269">
        <v>1</v>
      </c>
      <c r="F349" s="269">
        <v>15</v>
      </c>
      <c r="G349" s="269">
        <v>18</v>
      </c>
      <c r="H349" s="250">
        <v>33</v>
      </c>
      <c r="I349" s="269"/>
      <c r="J349" s="250">
        <v>2</v>
      </c>
      <c r="K349" s="269">
        <v>2</v>
      </c>
      <c r="L349" s="250">
        <v>1</v>
      </c>
      <c r="M349" s="269">
        <v>3</v>
      </c>
      <c r="N349" s="250">
        <v>4</v>
      </c>
      <c r="O349" s="294">
        <v>16</v>
      </c>
      <c r="P349" s="294">
        <v>24</v>
      </c>
      <c r="Q349" s="294">
        <v>40</v>
      </c>
    </row>
    <row r="350" spans="2:17" x14ac:dyDescent="0.25">
      <c r="B350" s="371" t="s">
        <v>923</v>
      </c>
      <c r="C350" s="310">
        <v>18</v>
      </c>
      <c r="D350" s="310">
        <v>7</v>
      </c>
      <c r="E350" s="310">
        <v>25</v>
      </c>
      <c r="F350" s="310">
        <v>651</v>
      </c>
      <c r="G350" s="310">
        <v>575</v>
      </c>
      <c r="H350" s="294">
        <v>1226</v>
      </c>
      <c r="I350" s="310">
        <v>12</v>
      </c>
      <c r="J350" s="294">
        <v>9</v>
      </c>
      <c r="K350" s="310">
        <v>21</v>
      </c>
      <c r="L350" s="294">
        <v>28</v>
      </c>
      <c r="M350" s="310">
        <v>39</v>
      </c>
      <c r="N350" s="294">
        <v>67</v>
      </c>
      <c r="O350" s="294">
        <v>709</v>
      </c>
      <c r="P350" s="294">
        <v>630</v>
      </c>
      <c r="Q350" s="294">
        <v>1339</v>
      </c>
    </row>
    <row r="351" spans="2:17" ht="83.25" customHeight="1" x14ac:dyDescent="0.25">
      <c r="B351" s="428" t="s">
        <v>938</v>
      </c>
      <c r="C351" s="428"/>
      <c r="D351" s="428"/>
      <c r="E351" s="428"/>
      <c r="F351" s="428"/>
      <c r="G351" s="428"/>
      <c r="H351" s="428"/>
      <c r="I351" s="428"/>
      <c r="J351" s="428"/>
      <c r="K351" s="428"/>
      <c r="L351" s="428"/>
      <c r="M351" s="428"/>
      <c r="N351" s="428"/>
      <c r="O351" s="428"/>
      <c r="P351" s="428"/>
      <c r="Q351" s="428"/>
    </row>
    <row r="352" spans="2:17" x14ac:dyDescent="0.25">
      <c r="B352" s="158"/>
      <c r="C352" s="158"/>
      <c r="D352" s="158"/>
      <c r="E352"/>
      <c r="F352"/>
      <c r="G352"/>
    </row>
    <row r="353" spans="2:17" x14ac:dyDescent="0.25">
      <c r="B353" s="187" t="s">
        <v>512</v>
      </c>
      <c r="C353"/>
      <c r="D353"/>
      <c r="E353"/>
      <c r="F353"/>
      <c r="G353"/>
    </row>
    <row r="354" spans="2:17" x14ac:dyDescent="0.25">
      <c r="B354" s="187"/>
      <c r="C354"/>
      <c r="D354"/>
      <c r="E354"/>
      <c r="F354"/>
      <c r="G354"/>
    </row>
    <row r="355" spans="2:17" ht="15" customHeight="1" x14ac:dyDescent="0.25">
      <c r="B355" s="408" t="s">
        <v>532</v>
      </c>
      <c r="C355" s="414" t="s">
        <v>477</v>
      </c>
      <c r="D355" s="414"/>
      <c r="E355" s="414"/>
      <c r="F355" s="414"/>
      <c r="G355" s="414"/>
      <c r="H355" s="414"/>
      <c r="I355" s="414"/>
      <c r="J355" s="414"/>
      <c r="K355" s="414"/>
      <c r="L355" s="414"/>
      <c r="M355" s="414"/>
      <c r="N355" s="414"/>
      <c r="O355" s="447" t="s">
        <v>945</v>
      </c>
      <c r="P355" s="448"/>
      <c r="Q355" s="449"/>
    </row>
    <row r="356" spans="2:17" ht="15" customHeight="1" x14ac:dyDescent="0.25">
      <c r="B356" s="409"/>
      <c r="C356" s="414" t="s">
        <v>885</v>
      </c>
      <c r="D356" s="414"/>
      <c r="E356" s="414"/>
      <c r="F356" s="414" t="s">
        <v>886</v>
      </c>
      <c r="G356" s="414"/>
      <c r="H356" s="414"/>
      <c r="I356" s="414" t="s">
        <v>2</v>
      </c>
      <c r="J356" s="414"/>
      <c r="K356" s="414"/>
      <c r="L356" s="414" t="s">
        <v>3</v>
      </c>
      <c r="M356" s="414"/>
      <c r="N356" s="414"/>
      <c r="O356" s="450"/>
      <c r="P356" s="451"/>
      <c r="Q356" s="452"/>
    </row>
    <row r="357" spans="2:17" x14ac:dyDescent="0.25">
      <c r="B357" s="410"/>
      <c r="C357" s="161" t="s">
        <v>73</v>
      </c>
      <c r="D357" s="161" t="s">
        <v>74</v>
      </c>
      <c r="E357" s="161" t="s">
        <v>25</v>
      </c>
      <c r="F357" s="161" t="s">
        <v>73</v>
      </c>
      <c r="G357" s="161" t="s">
        <v>74</v>
      </c>
      <c r="H357" s="161" t="s">
        <v>25</v>
      </c>
      <c r="I357" s="161" t="s">
        <v>73</v>
      </c>
      <c r="J357" s="161" t="s">
        <v>74</v>
      </c>
      <c r="K357" s="161" t="s">
        <v>25</v>
      </c>
      <c r="L357" s="161" t="s">
        <v>73</v>
      </c>
      <c r="M357" s="161" t="s">
        <v>74</v>
      </c>
      <c r="N357" s="161" t="s">
        <v>25</v>
      </c>
      <c r="O357" s="299" t="s">
        <v>73</v>
      </c>
      <c r="P357" s="299" t="s">
        <v>74</v>
      </c>
      <c r="Q357" s="299" t="s">
        <v>25</v>
      </c>
    </row>
    <row r="358" spans="2:17" x14ac:dyDescent="0.25">
      <c r="B358" s="157" t="s">
        <v>269</v>
      </c>
      <c r="C358" s="268"/>
      <c r="D358" s="268"/>
      <c r="E358" s="268"/>
      <c r="F358" s="273">
        <v>2</v>
      </c>
      <c r="G358" s="269">
        <v>4</v>
      </c>
      <c r="H358" s="250">
        <v>6</v>
      </c>
      <c r="I358" s="269">
        <v>2</v>
      </c>
      <c r="J358" s="250"/>
      <c r="K358" s="269">
        <v>2</v>
      </c>
      <c r="L358" s="250"/>
      <c r="M358" s="269"/>
      <c r="N358" s="250"/>
      <c r="O358" s="294">
        <v>4</v>
      </c>
      <c r="P358" s="294">
        <v>4</v>
      </c>
      <c r="Q358" s="294">
        <v>8</v>
      </c>
    </row>
    <row r="359" spans="2:17" x14ac:dyDescent="0.25">
      <c r="B359" s="136" t="s">
        <v>270</v>
      </c>
      <c r="C359" s="268"/>
      <c r="D359" s="268"/>
      <c r="E359" s="268"/>
      <c r="F359" s="273">
        <v>4</v>
      </c>
      <c r="G359" s="269">
        <v>5</v>
      </c>
      <c r="H359" s="250">
        <v>9</v>
      </c>
      <c r="I359" s="269"/>
      <c r="J359" s="250"/>
      <c r="K359" s="269"/>
      <c r="L359" s="250">
        <v>1</v>
      </c>
      <c r="M359" s="269">
        <v>1</v>
      </c>
      <c r="N359" s="250">
        <v>2</v>
      </c>
      <c r="O359" s="294">
        <v>5</v>
      </c>
      <c r="P359" s="294">
        <v>6</v>
      </c>
      <c r="Q359" s="294">
        <v>11</v>
      </c>
    </row>
    <row r="360" spans="2:17" x14ac:dyDescent="0.25">
      <c r="B360" s="136" t="s">
        <v>271</v>
      </c>
      <c r="C360" s="268">
        <v>1</v>
      </c>
      <c r="D360" s="268"/>
      <c r="E360" s="268">
        <v>1</v>
      </c>
      <c r="F360" s="273">
        <v>42</v>
      </c>
      <c r="G360" s="269">
        <v>51</v>
      </c>
      <c r="H360" s="250">
        <v>93</v>
      </c>
      <c r="I360" s="269"/>
      <c r="J360" s="250">
        <v>1</v>
      </c>
      <c r="K360" s="269">
        <v>1</v>
      </c>
      <c r="L360" s="250"/>
      <c r="M360" s="269">
        <v>2</v>
      </c>
      <c r="N360" s="250">
        <v>2</v>
      </c>
      <c r="O360" s="294">
        <v>43</v>
      </c>
      <c r="P360" s="294">
        <v>54</v>
      </c>
      <c r="Q360" s="294">
        <v>97</v>
      </c>
    </row>
    <row r="361" spans="2:17" x14ac:dyDescent="0.25">
      <c r="B361" s="136" t="s">
        <v>272</v>
      </c>
      <c r="C361" s="268">
        <v>1</v>
      </c>
      <c r="D361" s="268"/>
      <c r="E361" s="268">
        <v>1</v>
      </c>
      <c r="F361" s="273">
        <v>27</v>
      </c>
      <c r="G361" s="269">
        <v>31</v>
      </c>
      <c r="H361" s="250">
        <v>58</v>
      </c>
      <c r="I361" s="269">
        <v>2</v>
      </c>
      <c r="J361" s="250"/>
      <c r="K361" s="269">
        <v>2</v>
      </c>
      <c r="L361" s="250">
        <v>1</v>
      </c>
      <c r="M361" s="269">
        <v>4</v>
      </c>
      <c r="N361" s="250">
        <v>5</v>
      </c>
      <c r="O361" s="294">
        <v>31</v>
      </c>
      <c r="P361" s="294">
        <v>35</v>
      </c>
      <c r="Q361" s="294">
        <v>66</v>
      </c>
    </row>
    <row r="362" spans="2:17" x14ac:dyDescent="0.25">
      <c r="B362" s="136" t="s">
        <v>495</v>
      </c>
      <c r="C362" s="268">
        <v>1</v>
      </c>
      <c r="D362" s="268"/>
      <c r="E362" s="268">
        <v>1</v>
      </c>
      <c r="F362" s="273">
        <v>50</v>
      </c>
      <c r="G362" s="269">
        <v>55</v>
      </c>
      <c r="H362" s="250">
        <v>105</v>
      </c>
      <c r="I362" s="269"/>
      <c r="J362" s="250"/>
      <c r="K362" s="269"/>
      <c r="L362" s="250"/>
      <c r="M362" s="269">
        <v>4</v>
      </c>
      <c r="N362" s="250">
        <v>4</v>
      </c>
      <c r="O362" s="294">
        <v>51</v>
      </c>
      <c r="P362" s="294">
        <v>59</v>
      </c>
      <c r="Q362" s="294">
        <v>110</v>
      </c>
    </row>
    <row r="363" spans="2:17" x14ac:dyDescent="0.25">
      <c r="B363" s="136" t="s">
        <v>273</v>
      </c>
      <c r="C363" s="268">
        <v>4</v>
      </c>
      <c r="D363" s="268"/>
      <c r="E363" s="268">
        <v>4</v>
      </c>
      <c r="F363" s="273">
        <v>107</v>
      </c>
      <c r="G363" s="269">
        <v>99</v>
      </c>
      <c r="H363" s="250">
        <v>206</v>
      </c>
      <c r="I363" s="269"/>
      <c r="J363" s="250">
        <v>1</v>
      </c>
      <c r="K363" s="269">
        <v>1</v>
      </c>
      <c r="L363" s="250">
        <v>3</v>
      </c>
      <c r="M363" s="269">
        <v>6</v>
      </c>
      <c r="N363" s="250">
        <v>9</v>
      </c>
      <c r="O363" s="294">
        <v>114</v>
      </c>
      <c r="P363" s="294">
        <v>106</v>
      </c>
      <c r="Q363" s="294">
        <v>220</v>
      </c>
    </row>
    <row r="364" spans="2:17" x14ac:dyDescent="0.25">
      <c r="B364" s="136" t="s">
        <v>274</v>
      </c>
      <c r="C364" s="268">
        <v>8</v>
      </c>
      <c r="D364" s="268"/>
      <c r="E364" s="268">
        <v>8</v>
      </c>
      <c r="F364" s="273">
        <v>332</v>
      </c>
      <c r="G364" s="269">
        <v>261</v>
      </c>
      <c r="H364" s="250">
        <v>593</v>
      </c>
      <c r="I364" s="269">
        <v>5</v>
      </c>
      <c r="J364" s="250">
        <v>4</v>
      </c>
      <c r="K364" s="269">
        <v>9</v>
      </c>
      <c r="L364" s="250">
        <v>10</v>
      </c>
      <c r="M364" s="269">
        <v>13</v>
      </c>
      <c r="N364" s="250">
        <v>23</v>
      </c>
      <c r="O364" s="294">
        <v>355</v>
      </c>
      <c r="P364" s="294">
        <v>278</v>
      </c>
      <c r="Q364" s="294">
        <v>633</v>
      </c>
    </row>
    <row r="365" spans="2:17" x14ac:dyDescent="0.25">
      <c r="B365" s="136" t="s">
        <v>275</v>
      </c>
      <c r="C365" s="268">
        <v>1</v>
      </c>
      <c r="D365" s="268"/>
      <c r="E365" s="268">
        <v>1</v>
      </c>
      <c r="F365" s="273">
        <v>9</v>
      </c>
      <c r="G365" s="269">
        <v>7</v>
      </c>
      <c r="H365" s="250">
        <v>16</v>
      </c>
      <c r="I365" s="269"/>
      <c r="J365" s="250"/>
      <c r="K365" s="269"/>
      <c r="L365" s="250"/>
      <c r="M365" s="269">
        <v>1</v>
      </c>
      <c r="N365" s="250">
        <v>1</v>
      </c>
      <c r="O365" s="294">
        <v>10</v>
      </c>
      <c r="P365" s="294">
        <v>8</v>
      </c>
      <c r="Q365" s="294">
        <v>18</v>
      </c>
    </row>
    <row r="366" spans="2:17" x14ac:dyDescent="0.25">
      <c r="B366" s="136" t="s">
        <v>276</v>
      </c>
      <c r="C366" s="268">
        <v>3</v>
      </c>
      <c r="D366" s="268">
        <v>2</v>
      </c>
      <c r="E366" s="268">
        <v>5</v>
      </c>
      <c r="F366" s="273">
        <v>128</v>
      </c>
      <c r="G366" s="269">
        <v>142</v>
      </c>
      <c r="H366" s="250">
        <v>270</v>
      </c>
      <c r="I366" s="269">
        <v>4</v>
      </c>
      <c r="J366" s="250"/>
      <c r="K366" s="269">
        <v>4</v>
      </c>
      <c r="L366" s="250">
        <v>2</v>
      </c>
      <c r="M366" s="269">
        <v>8</v>
      </c>
      <c r="N366" s="250">
        <v>10</v>
      </c>
      <c r="O366" s="294">
        <v>137</v>
      </c>
      <c r="P366" s="294">
        <v>152</v>
      </c>
      <c r="Q366" s="294">
        <v>289</v>
      </c>
    </row>
    <row r="367" spans="2:17" x14ac:dyDescent="0.25">
      <c r="B367" s="136" t="s">
        <v>277</v>
      </c>
      <c r="C367" s="268"/>
      <c r="D367" s="268"/>
      <c r="E367" s="268"/>
      <c r="F367" s="273">
        <v>32</v>
      </c>
      <c r="G367" s="269">
        <v>45</v>
      </c>
      <c r="H367" s="250">
        <v>77</v>
      </c>
      <c r="I367" s="269">
        <v>1</v>
      </c>
      <c r="J367" s="250">
        <v>1</v>
      </c>
      <c r="K367" s="269">
        <v>2</v>
      </c>
      <c r="L367" s="250"/>
      <c r="M367" s="269">
        <v>1</v>
      </c>
      <c r="N367" s="250">
        <v>1</v>
      </c>
      <c r="O367" s="294">
        <v>33</v>
      </c>
      <c r="P367" s="294">
        <v>47</v>
      </c>
      <c r="Q367" s="294">
        <v>80</v>
      </c>
    </row>
    <row r="368" spans="2:17" x14ac:dyDescent="0.25">
      <c r="B368" s="136" t="s">
        <v>278</v>
      </c>
      <c r="C368" s="268"/>
      <c r="D368" s="268"/>
      <c r="E368" s="268"/>
      <c r="F368" s="273">
        <v>19</v>
      </c>
      <c r="G368" s="269">
        <v>13</v>
      </c>
      <c r="H368" s="250">
        <v>32</v>
      </c>
      <c r="I368" s="269"/>
      <c r="J368" s="250"/>
      <c r="K368" s="269"/>
      <c r="L368" s="250"/>
      <c r="M368" s="269"/>
      <c r="N368" s="250"/>
      <c r="O368" s="294">
        <v>19</v>
      </c>
      <c r="P368" s="294">
        <v>13</v>
      </c>
      <c r="Q368" s="294">
        <v>32</v>
      </c>
    </row>
    <row r="369" spans="2:17" x14ac:dyDescent="0.25">
      <c r="B369" s="136" t="s">
        <v>279</v>
      </c>
      <c r="C369" s="268">
        <v>5</v>
      </c>
      <c r="D369" s="268"/>
      <c r="E369" s="268">
        <v>5</v>
      </c>
      <c r="F369" s="273">
        <v>135</v>
      </c>
      <c r="G369" s="269">
        <v>82</v>
      </c>
      <c r="H369" s="250">
        <v>217</v>
      </c>
      <c r="I369" s="269">
        <v>1</v>
      </c>
      <c r="J369" s="250"/>
      <c r="K369" s="269">
        <v>1</v>
      </c>
      <c r="L369" s="250">
        <v>7</v>
      </c>
      <c r="M369" s="269">
        <v>9</v>
      </c>
      <c r="N369" s="250">
        <v>16</v>
      </c>
      <c r="O369" s="294">
        <v>148</v>
      </c>
      <c r="P369" s="294">
        <v>91</v>
      </c>
      <c r="Q369" s="294">
        <v>239</v>
      </c>
    </row>
    <row r="370" spans="2:17" x14ac:dyDescent="0.25">
      <c r="B370" s="136" t="s">
        <v>280</v>
      </c>
      <c r="C370" s="268">
        <v>1</v>
      </c>
      <c r="D370" s="268"/>
      <c r="E370" s="268">
        <v>1</v>
      </c>
      <c r="F370" s="273">
        <v>35</v>
      </c>
      <c r="G370" s="269">
        <v>24</v>
      </c>
      <c r="H370" s="250">
        <v>59</v>
      </c>
      <c r="I370" s="269">
        <v>1</v>
      </c>
      <c r="J370" s="250"/>
      <c r="K370" s="269">
        <v>1</v>
      </c>
      <c r="L370" s="250"/>
      <c r="M370" s="269">
        <v>1</v>
      </c>
      <c r="N370" s="250">
        <v>1</v>
      </c>
      <c r="O370" s="294">
        <v>37</v>
      </c>
      <c r="P370" s="294">
        <v>25</v>
      </c>
      <c r="Q370" s="294">
        <v>62</v>
      </c>
    </row>
    <row r="371" spans="2:17" x14ac:dyDescent="0.25">
      <c r="B371" s="136" t="s">
        <v>281</v>
      </c>
      <c r="C371" s="268">
        <v>1</v>
      </c>
      <c r="D371" s="268">
        <v>1</v>
      </c>
      <c r="E371" s="268">
        <v>2</v>
      </c>
      <c r="F371" s="273">
        <v>22</v>
      </c>
      <c r="G371" s="269">
        <v>23</v>
      </c>
      <c r="H371" s="250">
        <v>45</v>
      </c>
      <c r="I371" s="269">
        <v>1</v>
      </c>
      <c r="J371" s="250"/>
      <c r="K371" s="269">
        <v>1</v>
      </c>
      <c r="L371" s="250"/>
      <c r="M371" s="269">
        <v>4</v>
      </c>
      <c r="N371" s="250">
        <v>4</v>
      </c>
      <c r="O371" s="294">
        <v>24</v>
      </c>
      <c r="P371" s="294">
        <v>28</v>
      </c>
      <c r="Q371" s="294">
        <v>52</v>
      </c>
    </row>
    <row r="372" spans="2:17" x14ac:dyDescent="0.25">
      <c r="B372" s="136" t="s">
        <v>282</v>
      </c>
      <c r="C372" s="268"/>
      <c r="D372" s="268"/>
      <c r="E372" s="268"/>
      <c r="F372" s="273">
        <v>29</v>
      </c>
      <c r="G372" s="269">
        <v>38</v>
      </c>
      <c r="H372" s="250">
        <v>67</v>
      </c>
      <c r="I372" s="269">
        <v>2</v>
      </c>
      <c r="J372" s="250"/>
      <c r="K372" s="269">
        <v>2</v>
      </c>
      <c r="L372" s="250">
        <v>2</v>
      </c>
      <c r="M372" s="269">
        <v>3</v>
      </c>
      <c r="N372" s="250">
        <v>5</v>
      </c>
      <c r="O372" s="294">
        <v>33</v>
      </c>
      <c r="P372" s="294">
        <v>41</v>
      </c>
      <c r="Q372" s="294">
        <v>74</v>
      </c>
    </row>
    <row r="373" spans="2:17" x14ac:dyDescent="0.25">
      <c r="B373" s="136" t="s">
        <v>283</v>
      </c>
      <c r="C373" s="268"/>
      <c r="D373" s="268"/>
      <c r="E373" s="268"/>
      <c r="F373" s="273">
        <v>19</v>
      </c>
      <c r="G373" s="269">
        <v>20</v>
      </c>
      <c r="H373" s="250">
        <v>39</v>
      </c>
      <c r="I373" s="269">
        <v>1</v>
      </c>
      <c r="J373" s="250"/>
      <c r="K373" s="269">
        <v>1</v>
      </c>
      <c r="L373" s="250"/>
      <c r="M373" s="269">
        <v>2</v>
      </c>
      <c r="N373" s="250">
        <v>2</v>
      </c>
      <c r="O373" s="294">
        <v>20</v>
      </c>
      <c r="P373" s="294">
        <v>22</v>
      </c>
      <c r="Q373" s="294">
        <v>42</v>
      </c>
    </row>
    <row r="374" spans="2:17" x14ac:dyDescent="0.25">
      <c r="B374" s="136" t="s">
        <v>284</v>
      </c>
      <c r="C374" s="268">
        <v>11</v>
      </c>
      <c r="D374" s="268"/>
      <c r="E374" s="268">
        <v>11</v>
      </c>
      <c r="F374" s="273">
        <v>217</v>
      </c>
      <c r="G374" s="269">
        <v>252</v>
      </c>
      <c r="H374" s="250">
        <v>469</v>
      </c>
      <c r="I374" s="269">
        <v>6</v>
      </c>
      <c r="J374" s="250">
        <v>1</v>
      </c>
      <c r="K374" s="269">
        <v>7</v>
      </c>
      <c r="L374" s="250">
        <v>10</v>
      </c>
      <c r="M374" s="269">
        <v>16</v>
      </c>
      <c r="N374" s="250">
        <v>26</v>
      </c>
      <c r="O374" s="294">
        <v>244</v>
      </c>
      <c r="P374" s="294">
        <v>269</v>
      </c>
      <c r="Q374" s="294">
        <v>513</v>
      </c>
    </row>
    <row r="375" spans="2:17" x14ac:dyDescent="0.25">
      <c r="B375" s="136" t="s">
        <v>285</v>
      </c>
      <c r="C375" s="268"/>
      <c r="D375" s="268"/>
      <c r="E375" s="268"/>
      <c r="F375" s="273">
        <v>61</v>
      </c>
      <c r="G375" s="269">
        <v>51</v>
      </c>
      <c r="H375" s="250">
        <v>112</v>
      </c>
      <c r="I375" s="269">
        <v>1</v>
      </c>
      <c r="J375" s="250"/>
      <c r="K375" s="269">
        <v>1</v>
      </c>
      <c r="L375" s="250"/>
      <c r="M375" s="269">
        <v>1</v>
      </c>
      <c r="N375" s="250">
        <v>1</v>
      </c>
      <c r="O375" s="294">
        <v>62</v>
      </c>
      <c r="P375" s="294">
        <v>52</v>
      </c>
      <c r="Q375" s="294">
        <v>114</v>
      </c>
    </row>
    <row r="376" spans="2:17" x14ac:dyDescent="0.25">
      <c r="B376" s="136" t="s">
        <v>286</v>
      </c>
      <c r="C376" s="268"/>
      <c r="D376" s="268"/>
      <c r="E376" s="268"/>
      <c r="F376" s="273">
        <v>22</v>
      </c>
      <c r="G376" s="269">
        <v>35</v>
      </c>
      <c r="H376" s="250">
        <v>57</v>
      </c>
      <c r="I376" s="269">
        <v>1</v>
      </c>
      <c r="J376" s="250">
        <v>1</v>
      </c>
      <c r="K376" s="269">
        <v>2</v>
      </c>
      <c r="L376" s="250">
        <v>3</v>
      </c>
      <c r="M376" s="269">
        <v>3</v>
      </c>
      <c r="N376" s="250">
        <v>6</v>
      </c>
      <c r="O376" s="294">
        <v>26</v>
      </c>
      <c r="P376" s="294">
        <v>39</v>
      </c>
      <c r="Q376" s="294">
        <v>65</v>
      </c>
    </row>
    <row r="377" spans="2:17" x14ac:dyDescent="0.25">
      <c r="B377" s="136" t="s">
        <v>287</v>
      </c>
      <c r="C377" s="268">
        <v>1</v>
      </c>
      <c r="D377" s="268"/>
      <c r="E377" s="268">
        <v>1</v>
      </c>
      <c r="F377" s="273">
        <v>30</v>
      </c>
      <c r="G377" s="269">
        <v>43</v>
      </c>
      <c r="H377" s="250">
        <v>73</v>
      </c>
      <c r="I377" s="269"/>
      <c r="J377" s="250">
        <v>1</v>
      </c>
      <c r="K377" s="269">
        <v>1</v>
      </c>
      <c r="L377" s="250"/>
      <c r="M377" s="269">
        <v>4</v>
      </c>
      <c r="N377" s="250">
        <v>4</v>
      </c>
      <c r="O377" s="294">
        <v>31</v>
      </c>
      <c r="P377" s="294">
        <v>48</v>
      </c>
      <c r="Q377" s="294">
        <v>79</v>
      </c>
    </row>
    <row r="378" spans="2:17" x14ac:dyDescent="0.25">
      <c r="B378" s="136" t="s">
        <v>288</v>
      </c>
      <c r="C378" s="268"/>
      <c r="D378" s="268"/>
      <c r="E378" s="268"/>
      <c r="F378" s="273">
        <v>9</v>
      </c>
      <c r="G378" s="269">
        <v>9</v>
      </c>
      <c r="H378" s="250">
        <v>18</v>
      </c>
      <c r="I378" s="269"/>
      <c r="J378" s="250"/>
      <c r="K378" s="269"/>
      <c r="L378" s="250">
        <v>1</v>
      </c>
      <c r="M378" s="269">
        <v>1</v>
      </c>
      <c r="N378" s="250">
        <v>2</v>
      </c>
      <c r="O378" s="294">
        <v>10</v>
      </c>
      <c r="P378" s="294">
        <v>10</v>
      </c>
      <c r="Q378" s="294">
        <v>20</v>
      </c>
    </row>
    <row r="379" spans="2:17" x14ac:dyDescent="0.25">
      <c r="B379" s="136" t="s">
        <v>289</v>
      </c>
      <c r="C379" s="268">
        <v>4</v>
      </c>
      <c r="D379" s="268"/>
      <c r="E379" s="268">
        <v>4</v>
      </c>
      <c r="F379" s="273">
        <v>57</v>
      </c>
      <c r="G379" s="269">
        <v>55</v>
      </c>
      <c r="H379" s="250">
        <v>112</v>
      </c>
      <c r="I379" s="269"/>
      <c r="J379" s="250"/>
      <c r="K379" s="269"/>
      <c r="L379" s="250">
        <v>3</v>
      </c>
      <c r="M379" s="269">
        <v>6</v>
      </c>
      <c r="N379" s="250">
        <v>9</v>
      </c>
      <c r="O379" s="294">
        <v>64</v>
      </c>
      <c r="P379" s="294">
        <v>61</v>
      </c>
      <c r="Q379" s="294">
        <v>125</v>
      </c>
    </row>
    <row r="380" spans="2:17" x14ac:dyDescent="0.25">
      <c r="B380" s="136" t="s">
        <v>290</v>
      </c>
      <c r="C380" s="268"/>
      <c r="D380" s="268"/>
      <c r="E380" s="268"/>
      <c r="F380" s="273">
        <v>6</v>
      </c>
      <c r="G380" s="269">
        <v>7</v>
      </c>
      <c r="H380" s="250">
        <v>13</v>
      </c>
      <c r="I380" s="269"/>
      <c r="J380" s="250"/>
      <c r="K380" s="269"/>
      <c r="L380" s="250"/>
      <c r="M380" s="269">
        <v>1</v>
      </c>
      <c r="N380" s="250">
        <v>1</v>
      </c>
      <c r="O380" s="294">
        <v>6</v>
      </c>
      <c r="P380" s="294">
        <v>8</v>
      </c>
      <c r="Q380" s="294">
        <v>14</v>
      </c>
    </row>
    <row r="381" spans="2:17" x14ac:dyDescent="0.25">
      <c r="B381" s="136" t="s">
        <v>291</v>
      </c>
      <c r="C381" s="268">
        <v>1</v>
      </c>
      <c r="D381" s="268"/>
      <c r="E381" s="268">
        <v>1</v>
      </c>
      <c r="F381" s="273">
        <v>16</v>
      </c>
      <c r="G381" s="269">
        <v>18</v>
      </c>
      <c r="H381" s="250">
        <v>34</v>
      </c>
      <c r="I381" s="269"/>
      <c r="J381" s="250"/>
      <c r="K381" s="269"/>
      <c r="L381" s="250"/>
      <c r="M381" s="269">
        <v>3</v>
      </c>
      <c r="N381" s="250">
        <v>3</v>
      </c>
      <c r="O381" s="294">
        <v>17</v>
      </c>
      <c r="P381" s="294">
        <v>21</v>
      </c>
      <c r="Q381" s="294">
        <v>38</v>
      </c>
    </row>
    <row r="382" spans="2:17" x14ac:dyDescent="0.25">
      <c r="B382" s="136" t="s">
        <v>292</v>
      </c>
      <c r="C382" s="268">
        <v>4</v>
      </c>
      <c r="D382" s="268"/>
      <c r="E382" s="268">
        <v>4</v>
      </c>
      <c r="F382" s="273">
        <v>159</v>
      </c>
      <c r="G382" s="269">
        <v>100</v>
      </c>
      <c r="H382" s="250">
        <v>259</v>
      </c>
      <c r="I382" s="269">
        <v>2</v>
      </c>
      <c r="J382" s="250">
        <v>3</v>
      </c>
      <c r="K382" s="269">
        <v>5</v>
      </c>
      <c r="L382" s="250">
        <v>5</v>
      </c>
      <c r="M382" s="269">
        <v>6</v>
      </c>
      <c r="N382" s="250">
        <v>11</v>
      </c>
      <c r="O382" s="294">
        <v>170</v>
      </c>
      <c r="P382" s="294">
        <v>109</v>
      </c>
      <c r="Q382" s="294">
        <v>279</v>
      </c>
    </row>
    <row r="383" spans="2:17" x14ac:dyDescent="0.25">
      <c r="B383" s="136" t="s">
        <v>293</v>
      </c>
      <c r="C383" s="268"/>
      <c r="D383" s="268"/>
      <c r="E383" s="268"/>
      <c r="F383" s="273">
        <v>2</v>
      </c>
      <c r="G383" s="269">
        <v>5</v>
      </c>
      <c r="H383" s="250">
        <v>7</v>
      </c>
      <c r="I383" s="269"/>
      <c r="J383" s="250"/>
      <c r="K383" s="269"/>
      <c r="L383" s="250">
        <v>1</v>
      </c>
      <c r="M383" s="269">
        <v>1</v>
      </c>
      <c r="N383" s="250">
        <v>2</v>
      </c>
      <c r="O383" s="294">
        <v>3</v>
      </c>
      <c r="P383" s="294">
        <v>6</v>
      </c>
      <c r="Q383" s="294">
        <v>9</v>
      </c>
    </row>
    <row r="384" spans="2:17" x14ac:dyDescent="0.25">
      <c r="B384" s="136" t="s">
        <v>294</v>
      </c>
      <c r="C384" s="268"/>
      <c r="D384" s="268"/>
      <c r="E384" s="268"/>
      <c r="F384" s="273">
        <v>19</v>
      </c>
      <c r="G384" s="269">
        <v>27</v>
      </c>
      <c r="H384" s="250">
        <v>46</v>
      </c>
      <c r="I384" s="269"/>
      <c r="J384" s="250">
        <v>1</v>
      </c>
      <c r="K384" s="269">
        <v>1</v>
      </c>
      <c r="L384" s="250">
        <v>2</v>
      </c>
      <c r="M384" s="269">
        <v>2</v>
      </c>
      <c r="N384" s="250">
        <v>4</v>
      </c>
      <c r="O384" s="294">
        <v>21</v>
      </c>
      <c r="P384" s="294">
        <v>30</v>
      </c>
      <c r="Q384" s="294">
        <v>51</v>
      </c>
    </row>
    <row r="385" spans="2:17" x14ac:dyDescent="0.25">
      <c r="B385" s="136" t="s">
        <v>295</v>
      </c>
      <c r="C385" s="268"/>
      <c r="D385" s="268"/>
      <c r="E385" s="268"/>
      <c r="F385" s="273">
        <v>22</v>
      </c>
      <c r="G385" s="269">
        <v>14</v>
      </c>
      <c r="H385" s="250">
        <v>36</v>
      </c>
      <c r="I385" s="269"/>
      <c r="J385" s="250"/>
      <c r="K385" s="269"/>
      <c r="L385" s="250"/>
      <c r="M385" s="269"/>
      <c r="N385" s="250"/>
      <c r="O385" s="294">
        <v>22</v>
      </c>
      <c r="P385" s="294">
        <v>14</v>
      </c>
      <c r="Q385" s="294">
        <v>36</v>
      </c>
    </row>
    <row r="386" spans="2:17" x14ac:dyDescent="0.25">
      <c r="B386" s="136" t="s">
        <v>296</v>
      </c>
      <c r="C386" s="268">
        <v>10</v>
      </c>
      <c r="D386" s="268"/>
      <c r="E386" s="268">
        <v>10</v>
      </c>
      <c r="F386" s="273">
        <v>207</v>
      </c>
      <c r="G386" s="269">
        <v>163</v>
      </c>
      <c r="H386" s="250">
        <v>370</v>
      </c>
      <c r="I386" s="269">
        <v>3</v>
      </c>
      <c r="J386" s="250">
        <v>1</v>
      </c>
      <c r="K386" s="269">
        <v>4</v>
      </c>
      <c r="L386" s="250">
        <v>4</v>
      </c>
      <c r="M386" s="269">
        <v>7</v>
      </c>
      <c r="N386" s="250">
        <v>11</v>
      </c>
      <c r="O386" s="294">
        <v>224</v>
      </c>
      <c r="P386" s="294">
        <v>171</v>
      </c>
      <c r="Q386" s="294">
        <v>395</v>
      </c>
    </row>
    <row r="387" spans="2:17" x14ac:dyDescent="0.25">
      <c r="B387" s="136" t="s">
        <v>297</v>
      </c>
      <c r="C387" s="268"/>
      <c r="D387" s="268"/>
      <c r="E387" s="268"/>
      <c r="F387" s="273">
        <v>9</v>
      </c>
      <c r="G387" s="269">
        <v>10</v>
      </c>
      <c r="H387" s="250">
        <v>19</v>
      </c>
      <c r="I387" s="269">
        <v>2</v>
      </c>
      <c r="J387" s="250"/>
      <c r="K387" s="269">
        <v>2</v>
      </c>
      <c r="L387" s="250"/>
      <c r="M387" s="269"/>
      <c r="N387" s="250"/>
      <c r="O387" s="294">
        <v>11</v>
      </c>
      <c r="P387" s="294">
        <v>10</v>
      </c>
      <c r="Q387" s="294">
        <v>21</v>
      </c>
    </row>
    <row r="388" spans="2:17" x14ac:dyDescent="0.25">
      <c r="B388" s="136" t="s">
        <v>298</v>
      </c>
      <c r="C388" s="268">
        <v>1</v>
      </c>
      <c r="D388" s="268"/>
      <c r="E388" s="268">
        <v>1</v>
      </c>
      <c r="F388" s="273">
        <v>90</v>
      </c>
      <c r="G388" s="269">
        <v>78</v>
      </c>
      <c r="H388" s="250">
        <v>168</v>
      </c>
      <c r="I388" s="269">
        <v>1</v>
      </c>
      <c r="J388" s="250"/>
      <c r="K388" s="269">
        <v>1</v>
      </c>
      <c r="L388" s="250"/>
      <c r="M388" s="269">
        <v>5</v>
      </c>
      <c r="N388" s="250">
        <v>5</v>
      </c>
      <c r="O388" s="294">
        <v>92</v>
      </c>
      <c r="P388" s="294">
        <v>83</v>
      </c>
      <c r="Q388" s="294">
        <v>175</v>
      </c>
    </row>
    <row r="389" spans="2:17" x14ac:dyDescent="0.25">
      <c r="B389" s="156" t="s">
        <v>299</v>
      </c>
      <c r="C389" s="271">
        <v>2</v>
      </c>
      <c r="D389" s="271"/>
      <c r="E389" s="271">
        <v>2</v>
      </c>
      <c r="F389" s="274">
        <v>21</v>
      </c>
      <c r="G389" s="269">
        <v>21</v>
      </c>
      <c r="H389" s="250">
        <v>42</v>
      </c>
      <c r="I389" s="269"/>
      <c r="J389" s="250"/>
      <c r="K389" s="269"/>
      <c r="L389" s="250"/>
      <c r="M389" s="269">
        <v>2</v>
      </c>
      <c r="N389" s="250">
        <v>2</v>
      </c>
      <c r="O389" s="294">
        <v>23</v>
      </c>
      <c r="P389" s="294">
        <v>23</v>
      </c>
      <c r="Q389" s="294">
        <v>46</v>
      </c>
    </row>
    <row r="390" spans="2:17" x14ac:dyDescent="0.25">
      <c r="B390" s="159" t="s">
        <v>300</v>
      </c>
      <c r="C390" s="269">
        <v>2</v>
      </c>
      <c r="D390" s="269"/>
      <c r="E390" s="269">
        <v>2</v>
      </c>
      <c r="F390" s="275">
        <v>38</v>
      </c>
      <c r="G390" s="269">
        <v>38</v>
      </c>
      <c r="H390" s="250">
        <v>76</v>
      </c>
      <c r="I390" s="269"/>
      <c r="J390" s="250">
        <v>1</v>
      </c>
      <c r="K390" s="269">
        <v>1</v>
      </c>
      <c r="L390" s="250">
        <v>1</v>
      </c>
      <c r="M390" s="269">
        <v>2</v>
      </c>
      <c r="N390" s="250">
        <v>3</v>
      </c>
      <c r="O390" s="294">
        <v>41</v>
      </c>
      <c r="P390" s="294">
        <v>41</v>
      </c>
      <c r="Q390" s="294">
        <v>82</v>
      </c>
    </row>
    <row r="391" spans="2:17" x14ac:dyDescent="0.25">
      <c r="B391" s="371" t="s">
        <v>923</v>
      </c>
      <c r="C391" s="310">
        <v>62</v>
      </c>
      <c r="D391" s="310">
        <v>3</v>
      </c>
      <c r="E391" s="310">
        <v>65</v>
      </c>
      <c r="F391" s="310">
        <v>1977</v>
      </c>
      <c r="G391" s="310">
        <v>1826</v>
      </c>
      <c r="H391" s="294">
        <v>3803</v>
      </c>
      <c r="I391" s="310">
        <v>36</v>
      </c>
      <c r="J391" s="294">
        <v>16</v>
      </c>
      <c r="K391" s="310">
        <v>52</v>
      </c>
      <c r="L391" s="294">
        <v>56</v>
      </c>
      <c r="M391" s="310">
        <v>119</v>
      </c>
      <c r="N391" s="294">
        <v>175</v>
      </c>
      <c r="O391" s="294">
        <v>2131</v>
      </c>
      <c r="P391" s="294">
        <v>1964</v>
      </c>
      <c r="Q391" s="294">
        <v>4095</v>
      </c>
    </row>
    <row r="392" spans="2:17" ht="82.5" customHeight="1" x14ac:dyDescent="0.25">
      <c r="B392" s="428" t="s">
        <v>938</v>
      </c>
      <c r="C392" s="428"/>
      <c r="D392" s="428"/>
      <c r="E392" s="428"/>
      <c r="F392" s="428"/>
      <c r="G392" s="428"/>
      <c r="H392" s="428"/>
      <c r="I392" s="428"/>
      <c r="J392" s="428"/>
      <c r="K392" s="428"/>
      <c r="L392" s="428"/>
      <c r="M392" s="428"/>
      <c r="N392" s="428"/>
      <c r="O392" s="428"/>
      <c r="P392" s="428"/>
      <c r="Q392" s="428"/>
    </row>
    <row r="393" spans="2:17" x14ac:dyDescent="0.25">
      <c r="B393" s="158"/>
      <c r="C393" s="158"/>
      <c r="D393" s="158"/>
      <c r="E393"/>
      <c r="F393"/>
      <c r="G393"/>
    </row>
    <row r="394" spans="2:17" x14ac:dyDescent="0.25">
      <c r="B394" s="187" t="s">
        <v>513</v>
      </c>
      <c r="C394"/>
      <c r="D394"/>
      <c r="E394"/>
      <c r="F394"/>
      <c r="G394"/>
    </row>
    <row r="395" spans="2:17" x14ac:dyDescent="0.25">
      <c r="B395" s="187"/>
      <c r="C395"/>
      <c r="D395"/>
      <c r="E395"/>
      <c r="F395"/>
      <c r="G395"/>
    </row>
    <row r="396" spans="2:17" ht="15" customHeight="1" x14ac:dyDescent="0.25">
      <c r="B396" s="408" t="s">
        <v>532</v>
      </c>
      <c r="C396" s="414" t="s">
        <v>477</v>
      </c>
      <c r="D396" s="414"/>
      <c r="E396" s="414"/>
      <c r="F396" s="414"/>
      <c r="G396" s="414"/>
      <c r="H396" s="414"/>
      <c r="I396" s="414"/>
      <c r="J396" s="414"/>
      <c r="K396" s="414"/>
      <c r="L396" s="414"/>
      <c r="M396" s="414"/>
      <c r="N396" s="414"/>
      <c r="O396" s="447" t="s">
        <v>945</v>
      </c>
      <c r="P396" s="448"/>
      <c r="Q396" s="449"/>
    </row>
    <row r="397" spans="2:17" ht="15" customHeight="1" x14ac:dyDescent="0.25">
      <c r="B397" s="409"/>
      <c r="C397" s="414" t="s">
        <v>885</v>
      </c>
      <c r="D397" s="414"/>
      <c r="E397" s="414"/>
      <c r="F397" s="414" t="s">
        <v>886</v>
      </c>
      <c r="G397" s="414"/>
      <c r="H397" s="414"/>
      <c r="I397" s="414" t="s">
        <v>2</v>
      </c>
      <c r="J397" s="414"/>
      <c r="K397" s="414"/>
      <c r="L397" s="414" t="s">
        <v>3</v>
      </c>
      <c r="M397" s="414"/>
      <c r="N397" s="414"/>
      <c r="O397" s="450"/>
      <c r="P397" s="451"/>
      <c r="Q397" s="452"/>
    </row>
    <row r="398" spans="2:17" x14ac:dyDescent="0.25">
      <c r="B398" s="410"/>
      <c r="C398" s="161" t="s">
        <v>73</v>
      </c>
      <c r="D398" s="161" t="s">
        <v>74</v>
      </c>
      <c r="E398" s="161" t="s">
        <v>25</v>
      </c>
      <c r="F398" s="161" t="s">
        <v>73</v>
      </c>
      <c r="G398" s="161" t="s">
        <v>74</v>
      </c>
      <c r="H398" s="161" t="s">
        <v>25</v>
      </c>
      <c r="I398" s="161" t="s">
        <v>73</v>
      </c>
      <c r="J398" s="161" t="s">
        <v>74</v>
      </c>
      <c r="K398" s="161" t="s">
        <v>25</v>
      </c>
      <c r="L398" s="161" t="s">
        <v>73</v>
      </c>
      <c r="M398" s="161" t="s">
        <v>74</v>
      </c>
      <c r="N398" s="161" t="s">
        <v>25</v>
      </c>
      <c r="O398" s="299" t="s">
        <v>73</v>
      </c>
      <c r="P398" s="299" t="s">
        <v>74</v>
      </c>
      <c r="Q398" s="299" t="s">
        <v>25</v>
      </c>
    </row>
    <row r="399" spans="2:17" x14ac:dyDescent="0.25">
      <c r="B399" s="235" t="s">
        <v>301</v>
      </c>
      <c r="C399" s="269">
        <v>1</v>
      </c>
      <c r="D399" s="269">
        <v>1</v>
      </c>
      <c r="E399" s="269">
        <v>2</v>
      </c>
      <c r="F399" s="269">
        <v>68</v>
      </c>
      <c r="G399" s="269">
        <v>67</v>
      </c>
      <c r="H399" s="250">
        <v>135</v>
      </c>
      <c r="I399" s="269">
        <v>2</v>
      </c>
      <c r="J399" s="250"/>
      <c r="K399" s="269">
        <v>2</v>
      </c>
      <c r="L399" s="250">
        <v>7</v>
      </c>
      <c r="M399" s="269">
        <v>1</v>
      </c>
      <c r="N399" s="250">
        <v>8</v>
      </c>
      <c r="O399" s="294">
        <v>78</v>
      </c>
      <c r="P399" s="294">
        <v>69</v>
      </c>
      <c r="Q399" s="294">
        <v>147</v>
      </c>
    </row>
    <row r="400" spans="2:17" x14ac:dyDescent="0.25">
      <c r="B400" s="236" t="s">
        <v>302</v>
      </c>
      <c r="C400" s="269">
        <v>2</v>
      </c>
      <c r="D400" s="269"/>
      <c r="E400" s="269">
        <v>2</v>
      </c>
      <c r="F400" s="269">
        <v>32</v>
      </c>
      <c r="G400" s="269">
        <v>23</v>
      </c>
      <c r="H400" s="250">
        <v>55</v>
      </c>
      <c r="I400" s="269"/>
      <c r="J400" s="250">
        <v>3</v>
      </c>
      <c r="K400" s="269">
        <v>3</v>
      </c>
      <c r="L400" s="250"/>
      <c r="M400" s="269"/>
      <c r="N400" s="250"/>
      <c r="O400" s="294">
        <v>34</v>
      </c>
      <c r="P400" s="294">
        <v>26</v>
      </c>
      <c r="Q400" s="294">
        <v>60</v>
      </c>
    </row>
    <row r="401" spans="2:17" x14ac:dyDescent="0.25">
      <c r="B401" s="236" t="s">
        <v>303</v>
      </c>
      <c r="C401" s="269"/>
      <c r="D401" s="269"/>
      <c r="E401" s="269"/>
      <c r="F401" s="269">
        <v>11</v>
      </c>
      <c r="G401" s="269">
        <v>19</v>
      </c>
      <c r="H401" s="250">
        <v>30</v>
      </c>
      <c r="I401" s="269"/>
      <c r="J401" s="250"/>
      <c r="K401" s="269"/>
      <c r="L401" s="250"/>
      <c r="M401" s="269"/>
      <c r="N401" s="250"/>
      <c r="O401" s="294">
        <v>11</v>
      </c>
      <c r="P401" s="294">
        <v>19</v>
      </c>
      <c r="Q401" s="294">
        <v>30</v>
      </c>
    </row>
    <row r="402" spans="2:17" x14ac:dyDescent="0.25">
      <c r="B402" s="236" t="s">
        <v>304</v>
      </c>
      <c r="C402" s="269">
        <v>2</v>
      </c>
      <c r="D402" s="269"/>
      <c r="E402" s="269">
        <v>2</v>
      </c>
      <c r="F402" s="269">
        <v>25</v>
      </c>
      <c r="G402" s="269">
        <v>36</v>
      </c>
      <c r="H402" s="250">
        <v>61</v>
      </c>
      <c r="I402" s="269"/>
      <c r="J402" s="250"/>
      <c r="K402" s="269"/>
      <c r="L402" s="250">
        <v>1</v>
      </c>
      <c r="M402" s="269"/>
      <c r="N402" s="250">
        <v>1</v>
      </c>
      <c r="O402" s="294">
        <v>28</v>
      </c>
      <c r="P402" s="294">
        <v>36</v>
      </c>
      <c r="Q402" s="294">
        <v>64</v>
      </c>
    </row>
    <row r="403" spans="2:17" x14ac:dyDescent="0.25">
      <c r="B403" s="236" t="s">
        <v>305</v>
      </c>
      <c r="C403" s="269"/>
      <c r="D403" s="269"/>
      <c r="E403" s="269"/>
      <c r="F403" s="269">
        <v>29</v>
      </c>
      <c r="G403" s="269">
        <v>36</v>
      </c>
      <c r="H403" s="250">
        <v>65</v>
      </c>
      <c r="I403" s="269">
        <v>1</v>
      </c>
      <c r="J403" s="250"/>
      <c r="K403" s="269">
        <v>1</v>
      </c>
      <c r="L403" s="250">
        <v>1</v>
      </c>
      <c r="M403" s="269"/>
      <c r="N403" s="250">
        <v>1</v>
      </c>
      <c r="O403" s="294">
        <v>31</v>
      </c>
      <c r="P403" s="294">
        <v>36</v>
      </c>
      <c r="Q403" s="294">
        <v>67</v>
      </c>
    </row>
    <row r="404" spans="2:17" x14ac:dyDescent="0.25">
      <c r="B404" s="236" t="s">
        <v>306</v>
      </c>
      <c r="C404" s="269">
        <v>1</v>
      </c>
      <c r="D404" s="269"/>
      <c r="E404" s="269">
        <v>1</v>
      </c>
      <c r="F404" s="269">
        <v>13</v>
      </c>
      <c r="G404" s="269">
        <v>14</v>
      </c>
      <c r="H404" s="250">
        <v>27</v>
      </c>
      <c r="I404" s="269"/>
      <c r="J404" s="250"/>
      <c r="K404" s="269"/>
      <c r="L404" s="250"/>
      <c r="M404" s="269">
        <v>2</v>
      </c>
      <c r="N404" s="250">
        <v>2</v>
      </c>
      <c r="O404" s="294">
        <v>14</v>
      </c>
      <c r="P404" s="294">
        <v>16</v>
      </c>
      <c r="Q404" s="294">
        <v>30</v>
      </c>
    </row>
    <row r="405" spans="2:17" x14ac:dyDescent="0.25">
      <c r="B405" s="236" t="s">
        <v>307</v>
      </c>
      <c r="C405" s="269"/>
      <c r="D405" s="269"/>
      <c r="E405" s="269"/>
      <c r="F405" s="269">
        <v>16</v>
      </c>
      <c r="G405" s="269">
        <v>12</v>
      </c>
      <c r="H405" s="250">
        <v>28</v>
      </c>
      <c r="I405" s="269"/>
      <c r="J405" s="250"/>
      <c r="K405" s="269"/>
      <c r="L405" s="250"/>
      <c r="M405" s="269"/>
      <c r="N405" s="250"/>
      <c r="O405" s="294">
        <v>16</v>
      </c>
      <c r="P405" s="294">
        <v>12</v>
      </c>
      <c r="Q405" s="294">
        <v>28</v>
      </c>
    </row>
    <row r="406" spans="2:17" x14ac:dyDescent="0.25">
      <c r="B406" s="236" t="s">
        <v>308</v>
      </c>
      <c r="C406" s="269">
        <v>1</v>
      </c>
      <c r="D406" s="269"/>
      <c r="E406" s="269">
        <v>1</v>
      </c>
      <c r="F406" s="269">
        <v>5</v>
      </c>
      <c r="G406" s="269">
        <v>13</v>
      </c>
      <c r="H406" s="250">
        <v>18</v>
      </c>
      <c r="I406" s="269"/>
      <c r="J406" s="250"/>
      <c r="K406" s="269"/>
      <c r="L406" s="250"/>
      <c r="M406" s="269"/>
      <c r="N406" s="250"/>
      <c r="O406" s="294">
        <v>6</v>
      </c>
      <c r="P406" s="294">
        <v>13</v>
      </c>
      <c r="Q406" s="294">
        <v>19</v>
      </c>
    </row>
    <row r="407" spans="2:17" x14ac:dyDescent="0.25">
      <c r="B407" s="236" t="s">
        <v>309</v>
      </c>
      <c r="C407" s="269"/>
      <c r="D407" s="269">
        <v>1</v>
      </c>
      <c r="E407" s="269">
        <v>1</v>
      </c>
      <c r="F407" s="269">
        <v>35</v>
      </c>
      <c r="G407" s="269">
        <v>33</v>
      </c>
      <c r="H407" s="250">
        <v>68</v>
      </c>
      <c r="I407" s="269">
        <v>1</v>
      </c>
      <c r="J407" s="250"/>
      <c r="K407" s="269">
        <v>1</v>
      </c>
      <c r="L407" s="250"/>
      <c r="M407" s="269">
        <v>5</v>
      </c>
      <c r="N407" s="250">
        <v>5</v>
      </c>
      <c r="O407" s="294">
        <v>36</v>
      </c>
      <c r="P407" s="294">
        <v>39</v>
      </c>
      <c r="Q407" s="294">
        <v>75</v>
      </c>
    </row>
    <row r="408" spans="2:17" x14ac:dyDescent="0.25">
      <c r="B408" s="236" t="s">
        <v>310</v>
      </c>
      <c r="C408" s="269"/>
      <c r="D408" s="269"/>
      <c r="E408" s="269"/>
      <c r="F408" s="269">
        <v>20</v>
      </c>
      <c r="G408" s="269">
        <v>14</v>
      </c>
      <c r="H408" s="250">
        <v>34</v>
      </c>
      <c r="I408" s="269"/>
      <c r="J408" s="250"/>
      <c r="K408" s="269"/>
      <c r="L408" s="250">
        <v>1</v>
      </c>
      <c r="M408" s="269">
        <v>1</v>
      </c>
      <c r="N408" s="250">
        <v>2</v>
      </c>
      <c r="O408" s="294">
        <v>21</v>
      </c>
      <c r="P408" s="294">
        <v>15</v>
      </c>
      <c r="Q408" s="294">
        <v>36</v>
      </c>
    </row>
    <row r="409" spans="2:17" x14ac:dyDescent="0.25">
      <c r="B409" s="236" t="s">
        <v>311</v>
      </c>
      <c r="C409" s="269">
        <v>1</v>
      </c>
      <c r="D409" s="269"/>
      <c r="E409" s="269">
        <v>1</v>
      </c>
      <c r="F409" s="269">
        <v>21</v>
      </c>
      <c r="G409" s="269">
        <v>21</v>
      </c>
      <c r="H409" s="250">
        <v>42</v>
      </c>
      <c r="I409" s="269"/>
      <c r="J409" s="250">
        <v>2</v>
      </c>
      <c r="K409" s="269">
        <v>2</v>
      </c>
      <c r="L409" s="250"/>
      <c r="M409" s="269">
        <v>3</v>
      </c>
      <c r="N409" s="250">
        <v>3</v>
      </c>
      <c r="O409" s="294">
        <v>22</v>
      </c>
      <c r="P409" s="294">
        <v>26</v>
      </c>
      <c r="Q409" s="294">
        <v>48</v>
      </c>
    </row>
    <row r="410" spans="2:17" x14ac:dyDescent="0.25">
      <c r="B410" s="236" t="s">
        <v>312</v>
      </c>
      <c r="C410" s="269">
        <v>1</v>
      </c>
      <c r="D410" s="269"/>
      <c r="E410" s="269">
        <v>1</v>
      </c>
      <c r="F410" s="269">
        <v>52</v>
      </c>
      <c r="G410" s="269">
        <v>35</v>
      </c>
      <c r="H410" s="250">
        <v>87</v>
      </c>
      <c r="I410" s="269">
        <v>1</v>
      </c>
      <c r="J410" s="250">
        <v>1</v>
      </c>
      <c r="K410" s="269">
        <v>2</v>
      </c>
      <c r="L410" s="250">
        <v>2</v>
      </c>
      <c r="M410" s="269">
        <v>4</v>
      </c>
      <c r="N410" s="250">
        <v>6</v>
      </c>
      <c r="O410" s="294">
        <v>56</v>
      </c>
      <c r="P410" s="294">
        <v>40</v>
      </c>
      <c r="Q410" s="294">
        <v>96</v>
      </c>
    </row>
    <row r="411" spans="2:17" x14ac:dyDescent="0.25">
      <c r="B411" s="236" t="s">
        <v>313</v>
      </c>
      <c r="C411" s="269"/>
      <c r="D411" s="269"/>
      <c r="E411" s="269"/>
      <c r="F411" s="269">
        <v>42</v>
      </c>
      <c r="G411" s="269">
        <v>29</v>
      </c>
      <c r="H411" s="250">
        <v>71</v>
      </c>
      <c r="I411" s="269">
        <v>1</v>
      </c>
      <c r="J411" s="250"/>
      <c r="K411" s="269">
        <v>1</v>
      </c>
      <c r="L411" s="250">
        <v>1</v>
      </c>
      <c r="M411" s="269">
        <v>1</v>
      </c>
      <c r="N411" s="250">
        <v>2</v>
      </c>
      <c r="O411" s="294">
        <v>44</v>
      </c>
      <c r="P411" s="294">
        <v>30</v>
      </c>
      <c r="Q411" s="294">
        <v>74</v>
      </c>
    </row>
    <row r="412" spans="2:17" x14ac:dyDescent="0.25">
      <c r="B412" s="236" t="s">
        <v>314</v>
      </c>
      <c r="C412" s="269">
        <v>1</v>
      </c>
      <c r="D412" s="269"/>
      <c r="E412" s="269">
        <v>1</v>
      </c>
      <c r="F412" s="269">
        <v>14</v>
      </c>
      <c r="G412" s="269">
        <v>14</v>
      </c>
      <c r="H412" s="250">
        <v>28</v>
      </c>
      <c r="I412" s="269">
        <v>1</v>
      </c>
      <c r="J412" s="250">
        <v>1</v>
      </c>
      <c r="K412" s="269">
        <v>2</v>
      </c>
      <c r="L412" s="250"/>
      <c r="M412" s="269"/>
      <c r="N412" s="250"/>
      <c r="O412" s="294">
        <v>16</v>
      </c>
      <c r="P412" s="294">
        <v>15</v>
      </c>
      <c r="Q412" s="294">
        <v>31</v>
      </c>
    </row>
    <row r="413" spans="2:17" x14ac:dyDescent="0.25">
      <c r="B413" s="236" t="s">
        <v>315</v>
      </c>
      <c r="C413" s="269"/>
      <c r="D413" s="269"/>
      <c r="E413" s="269"/>
      <c r="F413" s="269">
        <v>6</v>
      </c>
      <c r="G413" s="269">
        <v>12</v>
      </c>
      <c r="H413" s="250">
        <v>18</v>
      </c>
      <c r="I413" s="269"/>
      <c r="J413" s="250"/>
      <c r="K413" s="269"/>
      <c r="L413" s="250"/>
      <c r="M413" s="269">
        <v>1</v>
      </c>
      <c r="N413" s="250">
        <v>1</v>
      </c>
      <c r="O413" s="294">
        <v>6</v>
      </c>
      <c r="P413" s="294">
        <v>13</v>
      </c>
      <c r="Q413" s="294">
        <v>19</v>
      </c>
    </row>
    <row r="414" spans="2:17" x14ac:dyDescent="0.25">
      <c r="B414" s="236" t="s">
        <v>316</v>
      </c>
      <c r="C414" s="269">
        <v>1</v>
      </c>
      <c r="D414" s="269"/>
      <c r="E414" s="269">
        <v>1</v>
      </c>
      <c r="F414" s="269">
        <v>13</v>
      </c>
      <c r="G414" s="269">
        <v>13</v>
      </c>
      <c r="H414" s="250">
        <v>26</v>
      </c>
      <c r="I414" s="269">
        <v>1</v>
      </c>
      <c r="J414" s="250"/>
      <c r="K414" s="269">
        <v>1</v>
      </c>
      <c r="L414" s="250"/>
      <c r="M414" s="269">
        <v>2</v>
      </c>
      <c r="N414" s="250">
        <v>2</v>
      </c>
      <c r="O414" s="294">
        <v>15</v>
      </c>
      <c r="P414" s="294">
        <v>15</v>
      </c>
      <c r="Q414" s="294">
        <v>30</v>
      </c>
    </row>
    <row r="415" spans="2:17" x14ac:dyDescent="0.25">
      <c r="B415" s="236" t="s">
        <v>317</v>
      </c>
      <c r="C415" s="269"/>
      <c r="D415" s="269"/>
      <c r="E415" s="269"/>
      <c r="F415" s="269">
        <v>12</v>
      </c>
      <c r="G415" s="269">
        <v>3</v>
      </c>
      <c r="H415" s="250">
        <v>15</v>
      </c>
      <c r="I415" s="269"/>
      <c r="J415" s="250"/>
      <c r="K415" s="269"/>
      <c r="L415" s="250"/>
      <c r="M415" s="269"/>
      <c r="N415" s="250"/>
      <c r="O415" s="294">
        <v>12</v>
      </c>
      <c r="P415" s="294">
        <v>3</v>
      </c>
      <c r="Q415" s="294">
        <v>15</v>
      </c>
    </row>
    <row r="416" spans="2:17" x14ac:dyDescent="0.25">
      <c r="B416" s="236" t="s">
        <v>318</v>
      </c>
      <c r="C416" s="269"/>
      <c r="D416" s="269"/>
      <c r="E416" s="269"/>
      <c r="F416" s="269">
        <v>46</v>
      </c>
      <c r="G416" s="269">
        <v>45</v>
      </c>
      <c r="H416" s="250">
        <v>91</v>
      </c>
      <c r="I416" s="269"/>
      <c r="J416" s="250">
        <v>1</v>
      </c>
      <c r="K416" s="269">
        <v>1</v>
      </c>
      <c r="L416" s="250">
        <v>1</v>
      </c>
      <c r="M416" s="269">
        <v>3</v>
      </c>
      <c r="N416" s="250">
        <v>4</v>
      </c>
      <c r="O416" s="294">
        <v>47</v>
      </c>
      <c r="P416" s="294">
        <v>49</v>
      </c>
      <c r="Q416" s="294">
        <v>96</v>
      </c>
    </row>
    <row r="417" spans="2:17" x14ac:dyDescent="0.25">
      <c r="B417" s="236" t="s">
        <v>319</v>
      </c>
      <c r="C417" s="269">
        <v>5</v>
      </c>
      <c r="D417" s="269"/>
      <c r="E417" s="269">
        <v>5</v>
      </c>
      <c r="F417" s="269">
        <v>92</v>
      </c>
      <c r="G417" s="269">
        <v>72</v>
      </c>
      <c r="H417" s="250">
        <v>164</v>
      </c>
      <c r="I417" s="269"/>
      <c r="J417" s="250">
        <v>3</v>
      </c>
      <c r="K417" s="269">
        <v>3</v>
      </c>
      <c r="L417" s="250">
        <v>2</v>
      </c>
      <c r="M417" s="269">
        <v>3</v>
      </c>
      <c r="N417" s="250">
        <v>5</v>
      </c>
      <c r="O417" s="294">
        <v>99</v>
      </c>
      <c r="P417" s="294">
        <v>78</v>
      </c>
      <c r="Q417" s="294">
        <v>177</v>
      </c>
    </row>
    <row r="418" spans="2:17" x14ac:dyDescent="0.25">
      <c r="B418" s="236" t="s">
        <v>320</v>
      </c>
      <c r="C418" s="269">
        <v>1</v>
      </c>
      <c r="D418" s="269"/>
      <c r="E418" s="269">
        <v>1</v>
      </c>
      <c r="F418" s="269">
        <v>8</v>
      </c>
      <c r="G418" s="269">
        <v>9</v>
      </c>
      <c r="H418" s="250">
        <v>17</v>
      </c>
      <c r="I418" s="269"/>
      <c r="J418" s="250"/>
      <c r="K418" s="269"/>
      <c r="L418" s="250">
        <v>1</v>
      </c>
      <c r="M418" s="269">
        <v>1</v>
      </c>
      <c r="N418" s="250">
        <v>2</v>
      </c>
      <c r="O418" s="294">
        <v>10</v>
      </c>
      <c r="P418" s="294">
        <v>10</v>
      </c>
      <c r="Q418" s="294">
        <v>20</v>
      </c>
    </row>
    <row r="419" spans="2:17" x14ac:dyDescent="0.25">
      <c r="B419" s="236" t="s">
        <v>321</v>
      </c>
      <c r="C419" s="269"/>
      <c r="D419" s="269"/>
      <c r="E419" s="269"/>
      <c r="F419" s="269">
        <v>37</v>
      </c>
      <c r="G419" s="269">
        <v>34</v>
      </c>
      <c r="H419" s="250">
        <v>71</v>
      </c>
      <c r="I419" s="269">
        <v>2</v>
      </c>
      <c r="J419" s="250">
        <v>1</v>
      </c>
      <c r="K419" s="269">
        <v>3</v>
      </c>
      <c r="L419" s="250"/>
      <c r="M419" s="269">
        <v>3</v>
      </c>
      <c r="N419" s="250">
        <v>3</v>
      </c>
      <c r="O419" s="294">
        <v>39</v>
      </c>
      <c r="P419" s="294">
        <v>38</v>
      </c>
      <c r="Q419" s="294">
        <v>77</v>
      </c>
    </row>
    <row r="420" spans="2:17" x14ac:dyDescent="0.25">
      <c r="B420" s="236" t="s">
        <v>322</v>
      </c>
      <c r="C420" s="269">
        <v>1</v>
      </c>
      <c r="D420" s="269"/>
      <c r="E420" s="269">
        <v>1</v>
      </c>
      <c r="F420" s="269">
        <v>37</v>
      </c>
      <c r="G420" s="269">
        <v>40</v>
      </c>
      <c r="H420" s="250">
        <v>77</v>
      </c>
      <c r="I420" s="269">
        <v>1</v>
      </c>
      <c r="J420" s="250"/>
      <c r="K420" s="269">
        <v>1</v>
      </c>
      <c r="L420" s="250"/>
      <c r="M420" s="269">
        <v>1</v>
      </c>
      <c r="N420" s="250">
        <v>1</v>
      </c>
      <c r="O420" s="294">
        <v>39</v>
      </c>
      <c r="P420" s="294">
        <v>41</v>
      </c>
      <c r="Q420" s="294">
        <v>80</v>
      </c>
    </row>
    <row r="421" spans="2:17" x14ac:dyDescent="0.25">
      <c r="B421" s="236" t="s">
        <v>323</v>
      </c>
      <c r="C421" s="269"/>
      <c r="D421" s="269"/>
      <c r="E421" s="269"/>
      <c r="F421" s="269">
        <v>17</v>
      </c>
      <c r="G421" s="269">
        <v>10</v>
      </c>
      <c r="H421" s="250">
        <v>27</v>
      </c>
      <c r="I421" s="269"/>
      <c r="J421" s="250"/>
      <c r="K421" s="269"/>
      <c r="L421" s="250"/>
      <c r="M421" s="269"/>
      <c r="N421" s="250"/>
      <c r="O421" s="294">
        <v>17</v>
      </c>
      <c r="P421" s="294">
        <v>10</v>
      </c>
      <c r="Q421" s="294">
        <v>27</v>
      </c>
    </row>
    <row r="422" spans="2:17" x14ac:dyDescent="0.25">
      <c r="B422" s="236" t="s">
        <v>324</v>
      </c>
      <c r="C422" s="269"/>
      <c r="D422" s="269"/>
      <c r="E422" s="269"/>
      <c r="F422" s="269">
        <v>15</v>
      </c>
      <c r="G422" s="269">
        <v>16</v>
      </c>
      <c r="H422" s="250">
        <v>31</v>
      </c>
      <c r="I422" s="269"/>
      <c r="J422" s="250"/>
      <c r="K422" s="269"/>
      <c r="L422" s="250"/>
      <c r="M422" s="269">
        <v>1</v>
      </c>
      <c r="N422" s="250">
        <v>1</v>
      </c>
      <c r="O422" s="294">
        <v>15</v>
      </c>
      <c r="P422" s="294">
        <v>17</v>
      </c>
      <c r="Q422" s="294">
        <v>32</v>
      </c>
    </row>
    <row r="423" spans="2:17" x14ac:dyDescent="0.25">
      <c r="B423" s="236" t="s">
        <v>325</v>
      </c>
      <c r="C423" s="269">
        <v>1</v>
      </c>
      <c r="D423" s="269"/>
      <c r="E423" s="269">
        <v>1</v>
      </c>
      <c r="F423" s="269">
        <v>15</v>
      </c>
      <c r="G423" s="269">
        <v>30</v>
      </c>
      <c r="H423" s="250">
        <v>45</v>
      </c>
      <c r="I423" s="269"/>
      <c r="J423" s="250">
        <v>1</v>
      </c>
      <c r="K423" s="269">
        <v>1</v>
      </c>
      <c r="L423" s="250">
        <v>2</v>
      </c>
      <c r="M423" s="269"/>
      <c r="N423" s="250">
        <v>2</v>
      </c>
      <c r="O423" s="294">
        <v>18</v>
      </c>
      <c r="P423" s="294">
        <v>31</v>
      </c>
      <c r="Q423" s="294">
        <v>49</v>
      </c>
    </row>
    <row r="424" spans="2:17" x14ac:dyDescent="0.25">
      <c r="B424" s="236" t="s">
        <v>326</v>
      </c>
      <c r="C424" s="269">
        <v>5</v>
      </c>
      <c r="D424" s="269"/>
      <c r="E424" s="269">
        <v>5</v>
      </c>
      <c r="F424" s="269">
        <v>358</v>
      </c>
      <c r="G424" s="269">
        <v>253</v>
      </c>
      <c r="H424" s="250">
        <v>611</v>
      </c>
      <c r="I424" s="269">
        <v>5</v>
      </c>
      <c r="J424" s="250">
        <v>2</v>
      </c>
      <c r="K424" s="269">
        <v>7</v>
      </c>
      <c r="L424" s="250">
        <v>4</v>
      </c>
      <c r="M424" s="269">
        <v>21</v>
      </c>
      <c r="N424" s="250">
        <v>25</v>
      </c>
      <c r="O424" s="294">
        <v>372</v>
      </c>
      <c r="P424" s="294">
        <v>276</v>
      </c>
      <c r="Q424" s="294">
        <v>648</v>
      </c>
    </row>
    <row r="425" spans="2:17" x14ac:dyDescent="0.25">
      <c r="B425" s="236" t="s">
        <v>327</v>
      </c>
      <c r="C425" s="269"/>
      <c r="D425" s="269"/>
      <c r="E425" s="269"/>
      <c r="F425" s="269">
        <v>18</v>
      </c>
      <c r="G425" s="269">
        <v>26</v>
      </c>
      <c r="H425" s="250">
        <v>44</v>
      </c>
      <c r="I425" s="269"/>
      <c r="J425" s="250">
        <v>1</v>
      </c>
      <c r="K425" s="269">
        <v>1</v>
      </c>
      <c r="L425" s="250"/>
      <c r="M425" s="269">
        <v>1</v>
      </c>
      <c r="N425" s="250">
        <v>1</v>
      </c>
      <c r="O425" s="294">
        <v>18</v>
      </c>
      <c r="P425" s="294">
        <v>28</v>
      </c>
      <c r="Q425" s="294">
        <v>46</v>
      </c>
    </row>
    <row r="426" spans="2:17" x14ac:dyDescent="0.25">
      <c r="B426" s="236" t="s">
        <v>328</v>
      </c>
      <c r="C426" s="269"/>
      <c r="D426" s="269"/>
      <c r="E426" s="269"/>
      <c r="F426" s="269">
        <v>17</v>
      </c>
      <c r="G426" s="269">
        <v>19</v>
      </c>
      <c r="H426" s="250">
        <v>36</v>
      </c>
      <c r="I426" s="269">
        <v>1</v>
      </c>
      <c r="J426" s="250">
        <v>2</v>
      </c>
      <c r="K426" s="269">
        <v>3</v>
      </c>
      <c r="L426" s="250"/>
      <c r="M426" s="269"/>
      <c r="N426" s="250"/>
      <c r="O426" s="294">
        <v>18</v>
      </c>
      <c r="P426" s="294">
        <v>21</v>
      </c>
      <c r="Q426" s="294">
        <v>39</v>
      </c>
    </row>
    <row r="427" spans="2:17" x14ac:dyDescent="0.25">
      <c r="B427" s="236" t="s">
        <v>329</v>
      </c>
      <c r="C427" s="269">
        <v>1</v>
      </c>
      <c r="D427" s="269"/>
      <c r="E427" s="269">
        <v>1</v>
      </c>
      <c r="F427" s="269">
        <v>31</v>
      </c>
      <c r="G427" s="269">
        <v>17</v>
      </c>
      <c r="H427" s="250">
        <v>48</v>
      </c>
      <c r="I427" s="269"/>
      <c r="J427" s="250">
        <v>1</v>
      </c>
      <c r="K427" s="269">
        <v>1</v>
      </c>
      <c r="L427" s="250"/>
      <c r="M427" s="269">
        <v>3</v>
      </c>
      <c r="N427" s="250">
        <v>3</v>
      </c>
      <c r="O427" s="294">
        <v>32</v>
      </c>
      <c r="P427" s="294">
        <v>21</v>
      </c>
      <c r="Q427" s="294">
        <v>53</v>
      </c>
    </row>
    <row r="428" spans="2:17" x14ac:dyDescent="0.25">
      <c r="B428" s="236" t="s">
        <v>330</v>
      </c>
      <c r="C428" s="269">
        <v>1</v>
      </c>
      <c r="D428" s="269"/>
      <c r="E428" s="269">
        <v>1</v>
      </c>
      <c r="F428" s="269">
        <v>54</v>
      </c>
      <c r="G428" s="269">
        <v>45</v>
      </c>
      <c r="H428" s="250">
        <v>99</v>
      </c>
      <c r="I428" s="269">
        <v>1</v>
      </c>
      <c r="J428" s="250"/>
      <c r="K428" s="269">
        <v>1</v>
      </c>
      <c r="L428" s="250">
        <v>3</v>
      </c>
      <c r="M428" s="269">
        <v>2</v>
      </c>
      <c r="N428" s="250">
        <v>5</v>
      </c>
      <c r="O428" s="294">
        <v>59</v>
      </c>
      <c r="P428" s="294">
        <v>47</v>
      </c>
      <c r="Q428" s="294">
        <v>106</v>
      </c>
    </row>
    <row r="429" spans="2:17" x14ac:dyDescent="0.25">
      <c r="B429" s="236" t="s">
        <v>331</v>
      </c>
      <c r="C429" s="269">
        <v>1</v>
      </c>
      <c r="D429" s="269"/>
      <c r="E429" s="269">
        <v>1</v>
      </c>
      <c r="F429" s="269">
        <v>33</v>
      </c>
      <c r="G429" s="269">
        <v>19</v>
      </c>
      <c r="H429" s="250">
        <v>52</v>
      </c>
      <c r="I429" s="269">
        <v>1</v>
      </c>
      <c r="J429" s="250"/>
      <c r="K429" s="269">
        <v>1</v>
      </c>
      <c r="L429" s="250">
        <v>2</v>
      </c>
      <c r="M429" s="269">
        <v>5</v>
      </c>
      <c r="N429" s="250">
        <v>7</v>
      </c>
      <c r="O429" s="294">
        <v>37</v>
      </c>
      <c r="P429" s="294">
        <v>24</v>
      </c>
      <c r="Q429" s="294">
        <v>61</v>
      </c>
    </row>
    <row r="430" spans="2:17" x14ac:dyDescent="0.25">
      <c r="B430" s="236" t="s">
        <v>332</v>
      </c>
      <c r="C430" s="269"/>
      <c r="D430" s="269"/>
      <c r="E430" s="269"/>
      <c r="F430" s="269">
        <v>99</v>
      </c>
      <c r="G430" s="269">
        <v>91</v>
      </c>
      <c r="H430" s="250">
        <v>190</v>
      </c>
      <c r="I430" s="269"/>
      <c r="J430" s="250">
        <v>1</v>
      </c>
      <c r="K430" s="269">
        <v>1</v>
      </c>
      <c r="L430" s="250">
        <v>2</v>
      </c>
      <c r="M430" s="269">
        <v>4</v>
      </c>
      <c r="N430" s="250">
        <v>6</v>
      </c>
      <c r="O430" s="294">
        <v>101</v>
      </c>
      <c r="P430" s="294">
        <v>96</v>
      </c>
      <c r="Q430" s="294">
        <v>197</v>
      </c>
    </row>
    <row r="431" spans="2:17" x14ac:dyDescent="0.25">
      <c r="B431" s="371" t="s">
        <v>923</v>
      </c>
      <c r="C431" s="310">
        <v>27</v>
      </c>
      <c r="D431" s="310">
        <v>2</v>
      </c>
      <c r="E431" s="310">
        <v>29</v>
      </c>
      <c r="F431" s="310">
        <v>1291</v>
      </c>
      <c r="G431" s="310">
        <v>1120</v>
      </c>
      <c r="H431" s="294">
        <v>2411</v>
      </c>
      <c r="I431" s="310">
        <v>19</v>
      </c>
      <c r="J431" s="294">
        <v>20</v>
      </c>
      <c r="K431" s="310">
        <v>39</v>
      </c>
      <c r="L431" s="294">
        <v>30</v>
      </c>
      <c r="M431" s="310">
        <v>68</v>
      </c>
      <c r="N431" s="294">
        <v>98</v>
      </c>
      <c r="O431" s="294">
        <v>1367</v>
      </c>
      <c r="P431" s="294">
        <v>1210</v>
      </c>
      <c r="Q431" s="294">
        <v>2577</v>
      </c>
    </row>
    <row r="432" spans="2:17" ht="84" customHeight="1" x14ac:dyDescent="0.25">
      <c r="B432" s="428" t="s">
        <v>938</v>
      </c>
      <c r="C432" s="428"/>
      <c r="D432" s="428"/>
      <c r="E432" s="428"/>
      <c r="F432" s="428"/>
      <c r="G432" s="428"/>
      <c r="H432" s="428"/>
      <c r="I432" s="428"/>
      <c r="J432" s="428"/>
      <c r="K432" s="428"/>
      <c r="L432" s="428"/>
      <c r="M432" s="428"/>
      <c r="N432" s="428"/>
      <c r="O432" s="428"/>
      <c r="P432" s="428"/>
      <c r="Q432" s="428"/>
    </row>
    <row r="433" spans="2:17" x14ac:dyDescent="0.25">
      <c r="B433" s="158"/>
      <c r="C433" s="158"/>
      <c r="D433" s="158"/>
      <c r="E433"/>
      <c r="F433"/>
      <c r="G433"/>
    </row>
    <row r="434" spans="2:17" x14ac:dyDescent="0.25">
      <c r="B434" s="187" t="s">
        <v>518</v>
      </c>
      <c r="C434"/>
      <c r="D434"/>
      <c r="E434"/>
      <c r="F434"/>
      <c r="G434"/>
    </row>
    <row r="435" spans="2:17" x14ac:dyDescent="0.25">
      <c r="B435" s="187"/>
      <c r="C435"/>
      <c r="D435"/>
      <c r="E435"/>
      <c r="F435"/>
      <c r="G435"/>
    </row>
    <row r="436" spans="2:17" ht="15" customHeight="1" x14ac:dyDescent="0.25">
      <c r="B436" s="408" t="s">
        <v>532</v>
      </c>
      <c r="C436" s="414" t="s">
        <v>477</v>
      </c>
      <c r="D436" s="414"/>
      <c r="E436" s="414"/>
      <c r="F436" s="414"/>
      <c r="G436" s="414"/>
      <c r="H436" s="414"/>
      <c r="I436" s="414"/>
      <c r="J436" s="414"/>
      <c r="K436" s="414"/>
      <c r="L436" s="414"/>
      <c r="M436" s="414"/>
      <c r="N436" s="414"/>
      <c r="O436" s="447" t="s">
        <v>945</v>
      </c>
      <c r="P436" s="448"/>
      <c r="Q436" s="449"/>
    </row>
    <row r="437" spans="2:17" ht="15" customHeight="1" x14ac:dyDescent="0.25">
      <c r="B437" s="409"/>
      <c r="C437" s="414" t="s">
        <v>885</v>
      </c>
      <c r="D437" s="414"/>
      <c r="E437" s="414"/>
      <c r="F437" s="414" t="s">
        <v>886</v>
      </c>
      <c r="G437" s="414"/>
      <c r="H437" s="414"/>
      <c r="I437" s="414" t="s">
        <v>2</v>
      </c>
      <c r="J437" s="414"/>
      <c r="K437" s="414"/>
      <c r="L437" s="414" t="s">
        <v>3</v>
      </c>
      <c r="M437" s="414"/>
      <c r="N437" s="414"/>
      <c r="O437" s="450"/>
      <c r="P437" s="451"/>
      <c r="Q437" s="452"/>
    </row>
    <row r="438" spans="2:17" x14ac:dyDescent="0.25">
      <c r="B438" s="410"/>
      <c r="C438" s="161" t="s">
        <v>73</v>
      </c>
      <c r="D438" s="161" t="s">
        <v>74</v>
      </c>
      <c r="E438" s="161" t="s">
        <v>25</v>
      </c>
      <c r="F438" s="161" t="s">
        <v>73</v>
      </c>
      <c r="G438" s="161" t="s">
        <v>74</v>
      </c>
      <c r="H438" s="161" t="s">
        <v>25</v>
      </c>
      <c r="I438" s="161" t="s">
        <v>73</v>
      </c>
      <c r="J438" s="161" t="s">
        <v>74</v>
      </c>
      <c r="K438" s="161" t="s">
        <v>25</v>
      </c>
      <c r="L438" s="161" t="s">
        <v>73</v>
      </c>
      <c r="M438" s="161" t="s">
        <v>74</v>
      </c>
      <c r="N438" s="161" t="s">
        <v>25</v>
      </c>
      <c r="O438" s="299" t="s">
        <v>73</v>
      </c>
      <c r="P438" s="299" t="s">
        <v>74</v>
      </c>
      <c r="Q438" s="299" t="s">
        <v>25</v>
      </c>
    </row>
    <row r="439" spans="2:17" x14ac:dyDescent="0.25">
      <c r="B439" s="235" t="s">
        <v>435</v>
      </c>
      <c r="C439" s="269"/>
      <c r="D439" s="269"/>
      <c r="E439" s="269"/>
      <c r="F439" s="269">
        <v>4</v>
      </c>
      <c r="G439" s="269">
        <v>7</v>
      </c>
      <c r="H439" s="250">
        <v>11</v>
      </c>
      <c r="I439" s="269"/>
      <c r="J439" s="250"/>
      <c r="K439" s="269"/>
      <c r="L439" s="250"/>
      <c r="M439" s="269"/>
      <c r="N439" s="250"/>
      <c r="O439" s="294">
        <v>4</v>
      </c>
      <c r="P439" s="294">
        <v>7</v>
      </c>
      <c r="Q439" s="294">
        <v>11</v>
      </c>
    </row>
    <row r="440" spans="2:17" x14ac:dyDescent="0.25">
      <c r="B440" s="236" t="s">
        <v>436</v>
      </c>
      <c r="C440" s="269"/>
      <c r="D440" s="269">
        <v>1</v>
      </c>
      <c r="E440" s="269">
        <v>1</v>
      </c>
      <c r="F440" s="269">
        <v>15</v>
      </c>
      <c r="G440" s="269">
        <v>23</v>
      </c>
      <c r="H440" s="250">
        <v>38</v>
      </c>
      <c r="I440" s="269">
        <v>1</v>
      </c>
      <c r="J440" s="250"/>
      <c r="K440" s="269">
        <v>1</v>
      </c>
      <c r="L440" s="250"/>
      <c r="M440" s="269">
        <v>1</v>
      </c>
      <c r="N440" s="250">
        <v>1</v>
      </c>
      <c r="O440" s="294">
        <v>16</v>
      </c>
      <c r="P440" s="294">
        <v>25</v>
      </c>
      <c r="Q440" s="294">
        <v>41</v>
      </c>
    </row>
    <row r="441" spans="2:17" x14ac:dyDescent="0.25">
      <c r="B441" s="236" t="s">
        <v>437</v>
      </c>
      <c r="C441" s="269">
        <v>3</v>
      </c>
      <c r="D441" s="269"/>
      <c r="E441" s="269">
        <v>3</v>
      </c>
      <c r="F441" s="269">
        <v>52</v>
      </c>
      <c r="G441" s="269">
        <v>48</v>
      </c>
      <c r="H441" s="250">
        <v>100</v>
      </c>
      <c r="I441" s="269">
        <v>1</v>
      </c>
      <c r="J441" s="250"/>
      <c r="K441" s="269">
        <v>1</v>
      </c>
      <c r="L441" s="250">
        <v>2</v>
      </c>
      <c r="M441" s="269">
        <v>2</v>
      </c>
      <c r="N441" s="250">
        <v>4</v>
      </c>
      <c r="O441" s="294">
        <v>58</v>
      </c>
      <c r="P441" s="294">
        <v>50</v>
      </c>
      <c r="Q441" s="294">
        <v>108</v>
      </c>
    </row>
    <row r="442" spans="2:17" x14ac:dyDescent="0.25">
      <c r="B442" s="236" t="s">
        <v>438</v>
      </c>
      <c r="C442" s="269">
        <v>1</v>
      </c>
      <c r="D442" s="269"/>
      <c r="E442" s="269">
        <v>1</v>
      </c>
      <c r="F442" s="269">
        <v>10</v>
      </c>
      <c r="G442" s="269">
        <v>7</v>
      </c>
      <c r="H442" s="250">
        <v>17</v>
      </c>
      <c r="I442" s="269"/>
      <c r="J442" s="250">
        <v>1</v>
      </c>
      <c r="K442" s="269">
        <v>1</v>
      </c>
      <c r="L442" s="250"/>
      <c r="M442" s="269"/>
      <c r="N442" s="250"/>
      <c r="O442" s="294">
        <v>11</v>
      </c>
      <c r="P442" s="294">
        <v>8</v>
      </c>
      <c r="Q442" s="294">
        <v>19</v>
      </c>
    </row>
    <row r="443" spans="2:17" x14ac:dyDescent="0.25">
      <c r="B443" s="236" t="s">
        <v>439</v>
      </c>
      <c r="C443" s="269">
        <v>1</v>
      </c>
      <c r="D443" s="269">
        <v>1</v>
      </c>
      <c r="E443" s="269">
        <v>2</v>
      </c>
      <c r="F443" s="269">
        <v>23</v>
      </c>
      <c r="G443" s="269">
        <v>18</v>
      </c>
      <c r="H443" s="250">
        <v>41</v>
      </c>
      <c r="I443" s="269">
        <v>1</v>
      </c>
      <c r="J443" s="250"/>
      <c r="K443" s="269">
        <v>1</v>
      </c>
      <c r="L443" s="250">
        <v>2</v>
      </c>
      <c r="M443" s="269">
        <v>1</v>
      </c>
      <c r="N443" s="250">
        <v>3</v>
      </c>
      <c r="O443" s="294">
        <v>27</v>
      </c>
      <c r="P443" s="294">
        <v>20</v>
      </c>
      <c r="Q443" s="294">
        <v>47</v>
      </c>
    </row>
    <row r="444" spans="2:17" x14ac:dyDescent="0.25">
      <c r="B444" s="236" t="s">
        <v>440</v>
      </c>
      <c r="C444" s="269">
        <v>1</v>
      </c>
      <c r="D444" s="269"/>
      <c r="E444" s="269">
        <v>1</v>
      </c>
      <c r="F444" s="269">
        <v>24</v>
      </c>
      <c r="G444" s="269">
        <v>25</v>
      </c>
      <c r="H444" s="250">
        <v>49</v>
      </c>
      <c r="I444" s="269"/>
      <c r="J444" s="250"/>
      <c r="K444" s="269"/>
      <c r="L444" s="250">
        <v>1</v>
      </c>
      <c r="M444" s="269"/>
      <c r="N444" s="250">
        <v>1</v>
      </c>
      <c r="O444" s="294">
        <v>26</v>
      </c>
      <c r="P444" s="294">
        <v>25</v>
      </c>
      <c r="Q444" s="294">
        <v>51</v>
      </c>
    </row>
    <row r="445" spans="2:17" x14ac:dyDescent="0.25">
      <c r="B445" s="236" t="s">
        <v>441</v>
      </c>
      <c r="C445" s="269"/>
      <c r="D445" s="269"/>
      <c r="E445" s="269"/>
      <c r="F445" s="269">
        <v>10</v>
      </c>
      <c r="G445" s="269">
        <v>8</v>
      </c>
      <c r="H445" s="250">
        <v>18</v>
      </c>
      <c r="I445" s="269"/>
      <c r="J445" s="250"/>
      <c r="K445" s="269"/>
      <c r="L445" s="250"/>
      <c r="M445" s="269">
        <v>1</v>
      </c>
      <c r="N445" s="250">
        <v>1</v>
      </c>
      <c r="O445" s="294">
        <v>10</v>
      </c>
      <c r="P445" s="294">
        <v>9</v>
      </c>
      <c r="Q445" s="294">
        <v>19</v>
      </c>
    </row>
    <row r="446" spans="2:17" x14ac:dyDescent="0.25">
      <c r="B446" s="236" t="s">
        <v>442</v>
      </c>
      <c r="C446" s="269"/>
      <c r="D446" s="269"/>
      <c r="E446" s="269"/>
      <c r="F446" s="269">
        <v>25</v>
      </c>
      <c r="G446" s="269">
        <v>35</v>
      </c>
      <c r="H446" s="250">
        <v>60</v>
      </c>
      <c r="I446" s="269"/>
      <c r="J446" s="250"/>
      <c r="K446" s="269"/>
      <c r="L446" s="250"/>
      <c r="M446" s="269">
        <v>1</v>
      </c>
      <c r="N446" s="250">
        <v>1</v>
      </c>
      <c r="O446" s="294">
        <v>25</v>
      </c>
      <c r="P446" s="294">
        <v>36</v>
      </c>
      <c r="Q446" s="294">
        <v>61</v>
      </c>
    </row>
    <row r="447" spans="2:17" x14ac:dyDescent="0.25">
      <c r="B447" s="236" t="s">
        <v>443</v>
      </c>
      <c r="C447" s="269">
        <v>1</v>
      </c>
      <c r="D447" s="269"/>
      <c r="E447" s="269">
        <v>1</v>
      </c>
      <c r="F447" s="269">
        <v>46</v>
      </c>
      <c r="G447" s="269">
        <v>50</v>
      </c>
      <c r="H447" s="250">
        <v>96</v>
      </c>
      <c r="I447" s="269">
        <v>1</v>
      </c>
      <c r="J447" s="250">
        <v>1</v>
      </c>
      <c r="K447" s="269">
        <v>2</v>
      </c>
      <c r="L447" s="250">
        <v>1</v>
      </c>
      <c r="M447" s="269">
        <v>3</v>
      </c>
      <c r="N447" s="250">
        <v>4</v>
      </c>
      <c r="O447" s="294">
        <v>49</v>
      </c>
      <c r="P447" s="294">
        <v>54</v>
      </c>
      <c r="Q447" s="294">
        <v>103</v>
      </c>
    </row>
    <row r="448" spans="2:17" x14ac:dyDescent="0.25">
      <c r="B448" s="236" t="s">
        <v>444</v>
      </c>
      <c r="C448" s="269">
        <v>4</v>
      </c>
      <c r="D448" s="269"/>
      <c r="E448" s="269">
        <v>4</v>
      </c>
      <c r="F448" s="269">
        <v>48</v>
      </c>
      <c r="G448" s="269">
        <v>47</v>
      </c>
      <c r="H448" s="250">
        <v>95</v>
      </c>
      <c r="I448" s="269">
        <v>1</v>
      </c>
      <c r="J448" s="250"/>
      <c r="K448" s="269">
        <v>1</v>
      </c>
      <c r="L448" s="250">
        <v>1</v>
      </c>
      <c r="M448" s="269">
        <v>6</v>
      </c>
      <c r="N448" s="250">
        <v>7</v>
      </c>
      <c r="O448" s="294">
        <v>54</v>
      </c>
      <c r="P448" s="294">
        <v>53</v>
      </c>
      <c r="Q448" s="294">
        <v>107</v>
      </c>
    </row>
    <row r="449" spans="2:17" x14ac:dyDescent="0.25">
      <c r="B449" s="236" t="s">
        <v>762</v>
      </c>
      <c r="C449" s="269">
        <v>3</v>
      </c>
      <c r="D449" s="269">
        <v>1</v>
      </c>
      <c r="E449" s="269">
        <v>4</v>
      </c>
      <c r="F449" s="269">
        <v>25</v>
      </c>
      <c r="G449" s="269">
        <v>24</v>
      </c>
      <c r="H449" s="250">
        <v>49</v>
      </c>
      <c r="I449" s="269"/>
      <c r="J449" s="250"/>
      <c r="K449" s="269"/>
      <c r="L449" s="250">
        <v>2</v>
      </c>
      <c r="M449" s="269">
        <v>4</v>
      </c>
      <c r="N449" s="250">
        <v>6</v>
      </c>
      <c r="O449" s="294">
        <v>30</v>
      </c>
      <c r="P449" s="294">
        <v>29</v>
      </c>
      <c r="Q449" s="294">
        <v>59</v>
      </c>
    </row>
    <row r="450" spans="2:17" x14ac:dyDescent="0.25">
      <c r="B450" s="236" t="s">
        <v>446</v>
      </c>
      <c r="C450" s="269">
        <v>8</v>
      </c>
      <c r="D450" s="269"/>
      <c r="E450" s="269">
        <v>8</v>
      </c>
      <c r="F450" s="269">
        <v>216</v>
      </c>
      <c r="G450" s="269">
        <v>154</v>
      </c>
      <c r="H450" s="250">
        <v>370</v>
      </c>
      <c r="I450" s="269">
        <v>5</v>
      </c>
      <c r="J450" s="250"/>
      <c r="K450" s="269">
        <v>5</v>
      </c>
      <c r="L450" s="250">
        <v>8</v>
      </c>
      <c r="M450" s="269">
        <v>11</v>
      </c>
      <c r="N450" s="250">
        <v>19</v>
      </c>
      <c r="O450" s="294">
        <v>237</v>
      </c>
      <c r="P450" s="294">
        <v>165</v>
      </c>
      <c r="Q450" s="294">
        <v>402</v>
      </c>
    </row>
    <row r="451" spans="2:17" x14ac:dyDescent="0.25">
      <c r="B451" s="371" t="s">
        <v>923</v>
      </c>
      <c r="C451" s="310">
        <v>22</v>
      </c>
      <c r="D451" s="310">
        <v>3</v>
      </c>
      <c r="E451" s="310">
        <v>25</v>
      </c>
      <c r="F451" s="310">
        <v>498</v>
      </c>
      <c r="G451" s="310">
        <v>446</v>
      </c>
      <c r="H451" s="294">
        <v>944</v>
      </c>
      <c r="I451" s="310">
        <v>10</v>
      </c>
      <c r="J451" s="294">
        <v>2</v>
      </c>
      <c r="K451" s="310">
        <v>12</v>
      </c>
      <c r="L451" s="294">
        <v>17</v>
      </c>
      <c r="M451" s="310">
        <v>30</v>
      </c>
      <c r="N451" s="294">
        <v>47</v>
      </c>
      <c r="O451" s="294">
        <v>547</v>
      </c>
      <c r="P451" s="294">
        <v>481</v>
      </c>
      <c r="Q451" s="294">
        <v>1028</v>
      </c>
    </row>
    <row r="452" spans="2:17" ht="80.25" customHeight="1" x14ac:dyDescent="0.25">
      <c r="B452" s="428" t="s">
        <v>938</v>
      </c>
      <c r="C452" s="428"/>
      <c r="D452" s="428"/>
      <c r="E452" s="428"/>
      <c r="F452" s="428"/>
      <c r="G452" s="428"/>
      <c r="H452" s="428"/>
      <c r="I452" s="428"/>
      <c r="J452" s="428"/>
      <c r="K452" s="428"/>
      <c r="L452" s="428"/>
      <c r="M452" s="428"/>
      <c r="N452" s="428"/>
      <c r="O452" s="428"/>
      <c r="P452" s="428"/>
      <c r="Q452" s="428"/>
    </row>
    <row r="453" spans="2:17" x14ac:dyDescent="0.25">
      <c r="B453" s="158"/>
      <c r="C453" s="158"/>
      <c r="D453" s="158"/>
      <c r="E453"/>
      <c r="F453"/>
      <c r="G453"/>
    </row>
    <row r="454" spans="2:17" x14ac:dyDescent="0.25">
      <c r="B454" s="187" t="s">
        <v>514</v>
      </c>
      <c r="C454"/>
      <c r="D454"/>
      <c r="E454"/>
      <c r="F454"/>
      <c r="G454"/>
    </row>
    <row r="455" spans="2:17" x14ac:dyDescent="0.25">
      <c r="B455" s="187"/>
      <c r="C455"/>
      <c r="D455"/>
      <c r="E455"/>
      <c r="F455"/>
      <c r="G455"/>
    </row>
    <row r="456" spans="2:17" ht="15" customHeight="1" x14ac:dyDescent="0.25">
      <c r="B456" s="408" t="s">
        <v>532</v>
      </c>
      <c r="C456" s="414" t="s">
        <v>477</v>
      </c>
      <c r="D456" s="414"/>
      <c r="E456" s="414"/>
      <c r="F456" s="414"/>
      <c r="G456" s="414"/>
      <c r="H456" s="414"/>
      <c r="I456" s="414"/>
      <c r="J456" s="414"/>
      <c r="K456" s="414"/>
      <c r="L456" s="414"/>
      <c r="M456" s="414"/>
      <c r="N456" s="414"/>
      <c r="O456" s="447" t="s">
        <v>945</v>
      </c>
      <c r="P456" s="448"/>
      <c r="Q456" s="449"/>
    </row>
    <row r="457" spans="2:17" ht="15" customHeight="1" x14ac:dyDescent="0.25">
      <c r="B457" s="409"/>
      <c r="C457" s="414" t="s">
        <v>885</v>
      </c>
      <c r="D457" s="414"/>
      <c r="E457" s="414"/>
      <c r="F457" s="414" t="s">
        <v>886</v>
      </c>
      <c r="G457" s="414"/>
      <c r="H457" s="414"/>
      <c r="I457" s="414" t="s">
        <v>2</v>
      </c>
      <c r="J457" s="414"/>
      <c r="K457" s="414"/>
      <c r="L457" s="414" t="s">
        <v>3</v>
      </c>
      <c r="M457" s="414"/>
      <c r="N457" s="414"/>
      <c r="O457" s="450"/>
      <c r="P457" s="451"/>
      <c r="Q457" s="452"/>
    </row>
    <row r="458" spans="2:17" x14ac:dyDescent="0.25">
      <c r="B458" s="410"/>
      <c r="C458" s="161" t="s">
        <v>73</v>
      </c>
      <c r="D458" s="161" t="s">
        <v>74</v>
      </c>
      <c r="E458" s="161" t="s">
        <v>25</v>
      </c>
      <c r="F458" s="161" t="s">
        <v>73</v>
      </c>
      <c r="G458" s="161" t="s">
        <v>74</v>
      </c>
      <c r="H458" s="161" t="s">
        <v>25</v>
      </c>
      <c r="I458" s="161" t="s">
        <v>73</v>
      </c>
      <c r="J458" s="161" t="s">
        <v>74</v>
      </c>
      <c r="K458" s="161" t="s">
        <v>25</v>
      </c>
      <c r="L458" s="161" t="s">
        <v>73</v>
      </c>
      <c r="M458" s="161" t="s">
        <v>74</v>
      </c>
      <c r="N458" s="161" t="s">
        <v>25</v>
      </c>
      <c r="O458" s="299" t="s">
        <v>73</v>
      </c>
      <c r="P458" s="299" t="s">
        <v>74</v>
      </c>
      <c r="Q458" s="299" t="s">
        <v>25</v>
      </c>
    </row>
    <row r="459" spans="2:17" x14ac:dyDescent="0.25">
      <c r="B459" s="235" t="s">
        <v>334</v>
      </c>
      <c r="C459" s="269">
        <v>1</v>
      </c>
      <c r="D459" s="269"/>
      <c r="E459" s="269">
        <v>1</v>
      </c>
      <c r="F459" s="269">
        <v>47</v>
      </c>
      <c r="G459" s="269">
        <v>53</v>
      </c>
      <c r="H459" s="250">
        <v>100</v>
      </c>
      <c r="I459" s="269"/>
      <c r="J459" s="250"/>
      <c r="K459" s="269"/>
      <c r="L459" s="250">
        <v>4</v>
      </c>
      <c r="M459" s="269">
        <v>5</v>
      </c>
      <c r="N459" s="250">
        <v>9</v>
      </c>
      <c r="O459" s="294">
        <v>52</v>
      </c>
      <c r="P459" s="294">
        <v>58</v>
      </c>
      <c r="Q459" s="294">
        <v>110</v>
      </c>
    </row>
    <row r="460" spans="2:17" x14ac:dyDescent="0.25">
      <c r="B460" s="236" t="s">
        <v>335</v>
      </c>
      <c r="C460" s="269">
        <v>2</v>
      </c>
      <c r="D460" s="269"/>
      <c r="E460" s="269">
        <v>2</v>
      </c>
      <c r="F460" s="269">
        <v>36</v>
      </c>
      <c r="G460" s="269">
        <v>45</v>
      </c>
      <c r="H460" s="250">
        <v>81</v>
      </c>
      <c r="I460" s="269">
        <v>2</v>
      </c>
      <c r="J460" s="250"/>
      <c r="K460" s="269">
        <v>2</v>
      </c>
      <c r="L460" s="250">
        <v>1</v>
      </c>
      <c r="M460" s="269">
        <v>1</v>
      </c>
      <c r="N460" s="250">
        <v>2</v>
      </c>
      <c r="O460" s="294">
        <v>41</v>
      </c>
      <c r="P460" s="294">
        <v>46</v>
      </c>
      <c r="Q460" s="294">
        <v>87</v>
      </c>
    </row>
    <row r="461" spans="2:17" x14ac:dyDescent="0.25">
      <c r="B461" s="236" t="s">
        <v>336</v>
      </c>
      <c r="C461" s="269"/>
      <c r="D461" s="269"/>
      <c r="E461" s="269"/>
      <c r="F461" s="269">
        <v>52</v>
      </c>
      <c r="G461" s="269">
        <v>51</v>
      </c>
      <c r="H461" s="250">
        <v>103</v>
      </c>
      <c r="I461" s="269"/>
      <c r="J461" s="250">
        <v>2</v>
      </c>
      <c r="K461" s="269">
        <v>2</v>
      </c>
      <c r="L461" s="250">
        <v>3</v>
      </c>
      <c r="M461" s="269">
        <v>7</v>
      </c>
      <c r="N461" s="250">
        <v>10</v>
      </c>
      <c r="O461" s="294">
        <v>55</v>
      </c>
      <c r="P461" s="294">
        <v>60</v>
      </c>
      <c r="Q461" s="294">
        <v>115</v>
      </c>
    </row>
    <row r="462" spans="2:17" x14ac:dyDescent="0.25">
      <c r="B462" s="236" t="s">
        <v>337</v>
      </c>
      <c r="C462" s="269"/>
      <c r="D462" s="269"/>
      <c r="E462" s="269"/>
      <c r="F462" s="269">
        <v>1</v>
      </c>
      <c r="G462" s="269">
        <v>4</v>
      </c>
      <c r="H462" s="250">
        <v>5</v>
      </c>
      <c r="I462" s="269"/>
      <c r="J462" s="250"/>
      <c r="K462" s="269"/>
      <c r="L462" s="250"/>
      <c r="M462" s="269">
        <v>1</v>
      </c>
      <c r="N462" s="250">
        <v>1</v>
      </c>
      <c r="O462" s="294">
        <v>1</v>
      </c>
      <c r="P462" s="294">
        <v>5</v>
      </c>
      <c r="Q462" s="294">
        <v>6</v>
      </c>
    </row>
    <row r="463" spans="2:17" x14ac:dyDescent="0.25">
      <c r="B463" s="236" t="s">
        <v>338</v>
      </c>
      <c r="C463" s="269"/>
      <c r="D463" s="269"/>
      <c r="E463" s="269"/>
      <c r="F463" s="269">
        <v>17</v>
      </c>
      <c r="G463" s="269">
        <v>22</v>
      </c>
      <c r="H463" s="250">
        <v>39</v>
      </c>
      <c r="I463" s="269"/>
      <c r="J463" s="250"/>
      <c r="K463" s="269"/>
      <c r="L463" s="250">
        <v>3</v>
      </c>
      <c r="M463" s="269"/>
      <c r="N463" s="250">
        <v>3</v>
      </c>
      <c r="O463" s="294">
        <v>20</v>
      </c>
      <c r="P463" s="294">
        <v>22</v>
      </c>
      <c r="Q463" s="294">
        <v>42</v>
      </c>
    </row>
    <row r="464" spans="2:17" x14ac:dyDescent="0.25">
      <c r="B464" s="236" t="s">
        <v>339</v>
      </c>
      <c r="C464" s="269"/>
      <c r="D464" s="269"/>
      <c r="E464" s="269"/>
      <c r="F464" s="269">
        <v>9</v>
      </c>
      <c r="G464" s="269">
        <v>12</v>
      </c>
      <c r="H464" s="250">
        <v>21</v>
      </c>
      <c r="I464" s="269">
        <v>1</v>
      </c>
      <c r="J464" s="250"/>
      <c r="K464" s="269">
        <v>1</v>
      </c>
      <c r="L464" s="250"/>
      <c r="M464" s="269"/>
      <c r="N464" s="250"/>
      <c r="O464" s="294">
        <v>10</v>
      </c>
      <c r="P464" s="294">
        <v>12</v>
      </c>
      <c r="Q464" s="294">
        <v>22</v>
      </c>
    </row>
    <row r="465" spans="2:17" x14ac:dyDescent="0.25">
      <c r="B465" s="236" t="s">
        <v>340</v>
      </c>
      <c r="C465" s="269"/>
      <c r="D465" s="269"/>
      <c r="E465" s="269"/>
      <c r="F465" s="269">
        <v>7</v>
      </c>
      <c r="G465" s="269">
        <v>4</v>
      </c>
      <c r="H465" s="250">
        <v>11</v>
      </c>
      <c r="I465" s="269"/>
      <c r="J465" s="250"/>
      <c r="K465" s="269"/>
      <c r="L465" s="250"/>
      <c r="M465" s="269"/>
      <c r="N465" s="250"/>
      <c r="O465" s="294">
        <v>7</v>
      </c>
      <c r="P465" s="294">
        <v>4</v>
      </c>
      <c r="Q465" s="294">
        <v>11</v>
      </c>
    </row>
    <row r="466" spans="2:17" x14ac:dyDescent="0.25">
      <c r="B466" s="236" t="s">
        <v>341</v>
      </c>
      <c r="C466" s="269"/>
      <c r="D466" s="269"/>
      <c r="E466" s="269"/>
      <c r="F466" s="269">
        <v>14</v>
      </c>
      <c r="G466" s="269">
        <v>9</v>
      </c>
      <c r="H466" s="250">
        <v>23</v>
      </c>
      <c r="I466" s="269"/>
      <c r="J466" s="250">
        <v>1</v>
      </c>
      <c r="K466" s="269">
        <v>1</v>
      </c>
      <c r="L466" s="250"/>
      <c r="M466" s="269">
        <v>2</v>
      </c>
      <c r="N466" s="250">
        <v>2</v>
      </c>
      <c r="O466" s="294">
        <v>14</v>
      </c>
      <c r="P466" s="294">
        <v>12</v>
      </c>
      <c r="Q466" s="294">
        <v>26</v>
      </c>
    </row>
    <row r="467" spans="2:17" x14ac:dyDescent="0.25">
      <c r="B467" s="236" t="s">
        <v>342</v>
      </c>
      <c r="C467" s="269"/>
      <c r="D467" s="269"/>
      <c r="E467" s="269"/>
      <c r="F467" s="269">
        <v>21</v>
      </c>
      <c r="G467" s="269">
        <v>10</v>
      </c>
      <c r="H467" s="250">
        <v>31</v>
      </c>
      <c r="I467" s="269">
        <v>1</v>
      </c>
      <c r="J467" s="250"/>
      <c r="K467" s="269">
        <v>1</v>
      </c>
      <c r="L467" s="250"/>
      <c r="M467" s="269">
        <v>1</v>
      </c>
      <c r="N467" s="250">
        <v>1</v>
      </c>
      <c r="O467" s="294">
        <v>22</v>
      </c>
      <c r="P467" s="294">
        <v>11</v>
      </c>
      <c r="Q467" s="294">
        <v>33</v>
      </c>
    </row>
    <row r="468" spans="2:17" x14ac:dyDescent="0.25">
      <c r="B468" s="236" t="s">
        <v>343</v>
      </c>
      <c r="C468" s="269"/>
      <c r="D468" s="269"/>
      <c r="E468" s="269"/>
      <c r="F468" s="269">
        <v>24</v>
      </c>
      <c r="G468" s="269">
        <v>25</v>
      </c>
      <c r="H468" s="250">
        <v>49</v>
      </c>
      <c r="I468" s="269"/>
      <c r="J468" s="250"/>
      <c r="K468" s="269"/>
      <c r="L468" s="250">
        <v>1</v>
      </c>
      <c r="M468" s="269">
        <v>1</v>
      </c>
      <c r="N468" s="250">
        <v>2</v>
      </c>
      <c r="O468" s="294">
        <v>25</v>
      </c>
      <c r="P468" s="294">
        <v>26</v>
      </c>
      <c r="Q468" s="294">
        <v>51</v>
      </c>
    </row>
    <row r="469" spans="2:17" x14ac:dyDescent="0.25">
      <c r="B469" s="236" t="s">
        <v>344</v>
      </c>
      <c r="C469" s="269"/>
      <c r="D469" s="269"/>
      <c r="E469" s="269"/>
      <c r="F469" s="269">
        <v>10</v>
      </c>
      <c r="G469" s="269">
        <v>7</v>
      </c>
      <c r="H469" s="250">
        <v>17</v>
      </c>
      <c r="I469" s="269"/>
      <c r="J469" s="250"/>
      <c r="K469" s="269"/>
      <c r="L469" s="250"/>
      <c r="M469" s="269"/>
      <c r="N469" s="250"/>
      <c r="O469" s="294">
        <v>10</v>
      </c>
      <c r="P469" s="294">
        <v>7</v>
      </c>
      <c r="Q469" s="294">
        <v>17</v>
      </c>
    </row>
    <row r="470" spans="2:17" x14ac:dyDescent="0.25">
      <c r="B470" s="236" t="s">
        <v>345</v>
      </c>
      <c r="C470" s="269">
        <v>1</v>
      </c>
      <c r="D470" s="269"/>
      <c r="E470" s="269">
        <v>1</v>
      </c>
      <c r="F470" s="269">
        <v>5</v>
      </c>
      <c r="G470" s="269">
        <v>9</v>
      </c>
      <c r="H470" s="250">
        <v>14</v>
      </c>
      <c r="I470" s="269">
        <v>1</v>
      </c>
      <c r="J470" s="250">
        <v>1</v>
      </c>
      <c r="K470" s="269">
        <v>2</v>
      </c>
      <c r="L470" s="250"/>
      <c r="M470" s="269"/>
      <c r="N470" s="250"/>
      <c r="O470" s="294">
        <v>7</v>
      </c>
      <c r="P470" s="294">
        <v>10</v>
      </c>
      <c r="Q470" s="294">
        <v>17</v>
      </c>
    </row>
    <row r="471" spans="2:17" x14ac:dyDescent="0.25">
      <c r="B471" s="236" t="s">
        <v>346</v>
      </c>
      <c r="C471" s="269"/>
      <c r="D471" s="269"/>
      <c r="E471" s="269"/>
      <c r="F471" s="269">
        <v>25</v>
      </c>
      <c r="G471" s="269">
        <v>16</v>
      </c>
      <c r="H471" s="250">
        <v>41</v>
      </c>
      <c r="I471" s="269"/>
      <c r="J471" s="250"/>
      <c r="K471" s="269"/>
      <c r="L471" s="250"/>
      <c r="M471" s="269">
        <v>3</v>
      </c>
      <c r="N471" s="250">
        <v>3</v>
      </c>
      <c r="O471" s="294">
        <v>25</v>
      </c>
      <c r="P471" s="294">
        <v>19</v>
      </c>
      <c r="Q471" s="294">
        <v>44</v>
      </c>
    </row>
    <row r="472" spans="2:17" x14ac:dyDescent="0.25">
      <c r="B472" s="236" t="s">
        <v>347</v>
      </c>
      <c r="C472" s="269"/>
      <c r="D472" s="269"/>
      <c r="E472" s="269"/>
      <c r="F472" s="269">
        <v>28</v>
      </c>
      <c r="G472" s="269">
        <v>24</v>
      </c>
      <c r="H472" s="250">
        <v>52</v>
      </c>
      <c r="I472" s="269"/>
      <c r="J472" s="250"/>
      <c r="K472" s="269"/>
      <c r="L472" s="250">
        <v>1</v>
      </c>
      <c r="M472" s="269">
        <v>1</v>
      </c>
      <c r="N472" s="250">
        <v>2</v>
      </c>
      <c r="O472" s="294">
        <v>29</v>
      </c>
      <c r="P472" s="294">
        <v>25</v>
      </c>
      <c r="Q472" s="294">
        <v>54</v>
      </c>
    </row>
    <row r="473" spans="2:17" x14ac:dyDescent="0.25">
      <c r="B473" s="236" t="s">
        <v>348</v>
      </c>
      <c r="C473" s="269">
        <v>1</v>
      </c>
      <c r="D473" s="269"/>
      <c r="E473" s="269">
        <v>1</v>
      </c>
      <c r="F473" s="269">
        <v>19</v>
      </c>
      <c r="G473" s="269">
        <v>20</v>
      </c>
      <c r="H473" s="250">
        <v>39</v>
      </c>
      <c r="I473" s="269"/>
      <c r="J473" s="250">
        <v>1</v>
      </c>
      <c r="K473" s="269">
        <v>1</v>
      </c>
      <c r="L473" s="250">
        <v>1</v>
      </c>
      <c r="M473" s="269">
        <v>1</v>
      </c>
      <c r="N473" s="250">
        <v>2</v>
      </c>
      <c r="O473" s="294">
        <v>21</v>
      </c>
      <c r="P473" s="294">
        <v>22</v>
      </c>
      <c r="Q473" s="294">
        <v>43</v>
      </c>
    </row>
    <row r="474" spans="2:17" x14ac:dyDescent="0.25">
      <c r="B474" s="236" t="s">
        <v>349</v>
      </c>
      <c r="C474" s="269">
        <v>3</v>
      </c>
      <c r="D474" s="269"/>
      <c r="E474" s="269">
        <v>3</v>
      </c>
      <c r="F474" s="269">
        <v>197</v>
      </c>
      <c r="G474" s="269">
        <v>164</v>
      </c>
      <c r="H474" s="250">
        <v>361</v>
      </c>
      <c r="I474" s="269">
        <v>4</v>
      </c>
      <c r="J474" s="250">
        <v>2</v>
      </c>
      <c r="K474" s="269">
        <v>6</v>
      </c>
      <c r="L474" s="250">
        <v>11</v>
      </c>
      <c r="M474" s="269">
        <v>22</v>
      </c>
      <c r="N474" s="250">
        <v>33</v>
      </c>
      <c r="O474" s="294">
        <v>215</v>
      </c>
      <c r="P474" s="294">
        <v>188</v>
      </c>
      <c r="Q474" s="294">
        <v>403</v>
      </c>
    </row>
    <row r="475" spans="2:17" x14ac:dyDescent="0.25">
      <c r="B475" s="236" t="s">
        <v>350</v>
      </c>
      <c r="C475" s="269"/>
      <c r="D475" s="269"/>
      <c r="E475" s="269"/>
      <c r="F475" s="269">
        <v>4</v>
      </c>
      <c r="G475" s="269">
        <v>4</v>
      </c>
      <c r="H475" s="250">
        <v>8</v>
      </c>
      <c r="I475" s="269"/>
      <c r="J475" s="250"/>
      <c r="K475" s="269"/>
      <c r="L475" s="250"/>
      <c r="M475" s="269"/>
      <c r="N475" s="250"/>
      <c r="O475" s="294">
        <v>4</v>
      </c>
      <c r="P475" s="294">
        <v>4</v>
      </c>
      <c r="Q475" s="294">
        <v>8</v>
      </c>
    </row>
    <row r="476" spans="2:17" x14ac:dyDescent="0.25">
      <c r="B476" s="236" t="s">
        <v>351</v>
      </c>
      <c r="C476" s="269">
        <v>6</v>
      </c>
      <c r="D476" s="269"/>
      <c r="E476" s="269">
        <v>6</v>
      </c>
      <c r="F476" s="269">
        <v>248</v>
      </c>
      <c r="G476" s="269">
        <v>227</v>
      </c>
      <c r="H476" s="250">
        <v>475</v>
      </c>
      <c r="I476" s="269">
        <v>6</v>
      </c>
      <c r="J476" s="250">
        <v>3</v>
      </c>
      <c r="K476" s="269">
        <v>9</v>
      </c>
      <c r="L476" s="250">
        <v>12</v>
      </c>
      <c r="M476" s="269">
        <v>22</v>
      </c>
      <c r="N476" s="250">
        <v>34</v>
      </c>
      <c r="O476" s="294">
        <v>272</v>
      </c>
      <c r="P476" s="294">
        <v>252</v>
      </c>
      <c r="Q476" s="294">
        <v>524</v>
      </c>
    </row>
    <row r="477" spans="2:17" x14ac:dyDescent="0.25">
      <c r="B477" s="236" t="s">
        <v>352</v>
      </c>
      <c r="C477" s="269">
        <v>1</v>
      </c>
      <c r="D477" s="269"/>
      <c r="E477" s="269">
        <v>1</v>
      </c>
      <c r="F477" s="269">
        <v>11</v>
      </c>
      <c r="G477" s="269">
        <v>12</v>
      </c>
      <c r="H477" s="250">
        <v>23</v>
      </c>
      <c r="I477" s="269"/>
      <c r="J477" s="250">
        <v>1</v>
      </c>
      <c r="K477" s="269">
        <v>1</v>
      </c>
      <c r="L477" s="250"/>
      <c r="M477" s="269">
        <v>3</v>
      </c>
      <c r="N477" s="250">
        <v>3</v>
      </c>
      <c r="O477" s="294">
        <v>12</v>
      </c>
      <c r="P477" s="294">
        <v>16</v>
      </c>
      <c r="Q477" s="294">
        <v>28</v>
      </c>
    </row>
    <row r="478" spans="2:17" x14ac:dyDescent="0.25">
      <c r="B478" s="236" t="s">
        <v>353</v>
      </c>
      <c r="C478" s="269">
        <v>2</v>
      </c>
      <c r="D478" s="269"/>
      <c r="E478" s="269">
        <v>2</v>
      </c>
      <c r="F478" s="269">
        <v>65</v>
      </c>
      <c r="G478" s="269">
        <v>39</v>
      </c>
      <c r="H478" s="250">
        <v>104</v>
      </c>
      <c r="I478" s="269"/>
      <c r="J478" s="250"/>
      <c r="K478" s="269"/>
      <c r="L478" s="250"/>
      <c r="M478" s="269"/>
      <c r="N478" s="250"/>
      <c r="O478" s="294">
        <v>67</v>
      </c>
      <c r="P478" s="294">
        <v>39</v>
      </c>
      <c r="Q478" s="294">
        <v>106</v>
      </c>
    </row>
    <row r="479" spans="2:17" x14ac:dyDescent="0.25">
      <c r="B479" s="236" t="s">
        <v>354</v>
      </c>
      <c r="C479" s="269"/>
      <c r="D479" s="269"/>
      <c r="E479" s="269"/>
      <c r="F479" s="269">
        <v>7</v>
      </c>
      <c r="G479" s="269">
        <v>7</v>
      </c>
      <c r="H479" s="250">
        <v>14</v>
      </c>
      <c r="I479" s="269"/>
      <c r="J479" s="250"/>
      <c r="K479" s="269"/>
      <c r="L479" s="250"/>
      <c r="M479" s="269">
        <v>1</v>
      </c>
      <c r="N479" s="250">
        <v>1</v>
      </c>
      <c r="O479" s="294">
        <v>7</v>
      </c>
      <c r="P479" s="294">
        <v>8</v>
      </c>
      <c r="Q479" s="294">
        <v>15</v>
      </c>
    </row>
    <row r="480" spans="2:17" x14ac:dyDescent="0.25">
      <c r="B480" s="236" t="s">
        <v>355</v>
      </c>
      <c r="C480" s="269"/>
      <c r="D480" s="269"/>
      <c r="E480" s="269"/>
      <c r="F480" s="269">
        <v>24</v>
      </c>
      <c r="G480" s="269">
        <v>24</v>
      </c>
      <c r="H480" s="250">
        <v>48</v>
      </c>
      <c r="I480" s="269">
        <v>1</v>
      </c>
      <c r="J480" s="250"/>
      <c r="K480" s="269">
        <v>1</v>
      </c>
      <c r="L480" s="250"/>
      <c r="M480" s="269">
        <v>1</v>
      </c>
      <c r="N480" s="250">
        <v>1</v>
      </c>
      <c r="O480" s="294">
        <v>25</v>
      </c>
      <c r="P480" s="294">
        <v>25</v>
      </c>
      <c r="Q480" s="294">
        <v>50</v>
      </c>
    </row>
    <row r="481" spans="2:17" x14ac:dyDescent="0.25">
      <c r="B481" s="236" t="s">
        <v>356</v>
      </c>
      <c r="C481" s="269"/>
      <c r="D481" s="269"/>
      <c r="E481" s="269"/>
      <c r="F481" s="269">
        <v>12</v>
      </c>
      <c r="G481" s="269">
        <v>10</v>
      </c>
      <c r="H481" s="250">
        <v>22</v>
      </c>
      <c r="I481" s="269">
        <v>2</v>
      </c>
      <c r="J481" s="250"/>
      <c r="K481" s="269">
        <v>2</v>
      </c>
      <c r="L481" s="250">
        <v>1</v>
      </c>
      <c r="M481" s="269">
        <v>5</v>
      </c>
      <c r="N481" s="250">
        <v>6</v>
      </c>
      <c r="O481" s="294">
        <v>15</v>
      </c>
      <c r="P481" s="294">
        <v>15</v>
      </c>
      <c r="Q481" s="294">
        <v>30</v>
      </c>
    </row>
    <row r="482" spans="2:17" x14ac:dyDescent="0.25">
      <c r="B482" s="236" t="s">
        <v>357</v>
      </c>
      <c r="C482" s="269"/>
      <c r="D482" s="269"/>
      <c r="E482" s="269"/>
      <c r="F482" s="269">
        <v>3</v>
      </c>
      <c r="G482" s="269">
        <v>9</v>
      </c>
      <c r="H482" s="250">
        <v>12</v>
      </c>
      <c r="I482" s="269">
        <v>1</v>
      </c>
      <c r="J482" s="250"/>
      <c r="K482" s="269">
        <v>1</v>
      </c>
      <c r="L482" s="250"/>
      <c r="M482" s="269"/>
      <c r="N482" s="250"/>
      <c r="O482" s="294">
        <v>4</v>
      </c>
      <c r="P482" s="294">
        <v>9</v>
      </c>
      <c r="Q482" s="294">
        <v>13</v>
      </c>
    </row>
    <row r="483" spans="2:17" x14ac:dyDescent="0.25">
      <c r="B483" s="236" t="s">
        <v>358</v>
      </c>
      <c r="C483" s="269">
        <v>2</v>
      </c>
      <c r="D483" s="269"/>
      <c r="E483" s="269">
        <v>2</v>
      </c>
      <c r="F483" s="269">
        <v>25</v>
      </c>
      <c r="G483" s="269">
        <v>32</v>
      </c>
      <c r="H483" s="250">
        <v>57</v>
      </c>
      <c r="I483" s="269"/>
      <c r="J483" s="250"/>
      <c r="K483" s="269"/>
      <c r="L483" s="250">
        <v>3</v>
      </c>
      <c r="M483" s="269">
        <v>3</v>
      </c>
      <c r="N483" s="250">
        <v>6</v>
      </c>
      <c r="O483" s="294">
        <v>30</v>
      </c>
      <c r="P483" s="294">
        <v>35</v>
      </c>
      <c r="Q483" s="294">
        <v>65</v>
      </c>
    </row>
    <row r="484" spans="2:17" x14ac:dyDescent="0.25">
      <c r="B484" s="236" t="s">
        <v>359</v>
      </c>
      <c r="C484" s="269"/>
      <c r="D484" s="269"/>
      <c r="E484" s="269"/>
      <c r="F484" s="269">
        <v>17</v>
      </c>
      <c r="G484" s="269">
        <v>10</v>
      </c>
      <c r="H484" s="250">
        <v>27</v>
      </c>
      <c r="I484" s="269"/>
      <c r="J484" s="250">
        <v>1</v>
      </c>
      <c r="K484" s="269">
        <v>1</v>
      </c>
      <c r="L484" s="250">
        <v>1</v>
      </c>
      <c r="M484" s="269"/>
      <c r="N484" s="250">
        <v>1</v>
      </c>
      <c r="O484" s="294">
        <v>18</v>
      </c>
      <c r="P484" s="294">
        <v>11</v>
      </c>
      <c r="Q484" s="294">
        <v>29</v>
      </c>
    </row>
    <row r="485" spans="2:17" x14ac:dyDescent="0.25">
      <c r="B485" s="236" t="s">
        <v>360</v>
      </c>
      <c r="C485" s="269"/>
      <c r="D485" s="269"/>
      <c r="E485" s="269"/>
      <c r="F485" s="269">
        <v>4</v>
      </c>
      <c r="G485" s="269">
        <v>7</v>
      </c>
      <c r="H485" s="250">
        <v>11</v>
      </c>
      <c r="I485" s="269"/>
      <c r="J485" s="250"/>
      <c r="K485" s="269"/>
      <c r="L485" s="250"/>
      <c r="M485" s="269"/>
      <c r="N485" s="250"/>
      <c r="O485" s="294">
        <v>4</v>
      </c>
      <c r="P485" s="294">
        <v>7</v>
      </c>
      <c r="Q485" s="294">
        <v>11</v>
      </c>
    </row>
    <row r="486" spans="2:17" x14ac:dyDescent="0.25">
      <c r="B486" s="236" t="s">
        <v>361</v>
      </c>
      <c r="C486" s="269">
        <v>1</v>
      </c>
      <c r="D486" s="269"/>
      <c r="E486" s="269">
        <v>1</v>
      </c>
      <c r="F486" s="269">
        <v>23</v>
      </c>
      <c r="G486" s="269">
        <v>18</v>
      </c>
      <c r="H486" s="250">
        <v>41</v>
      </c>
      <c r="I486" s="269">
        <v>2</v>
      </c>
      <c r="J486" s="250"/>
      <c r="K486" s="269">
        <v>2</v>
      </c>
      <c r="L486" s="250"/>
      <c r="M486" s="269">
        <v>2</v>
      </c>
      <c r="N486" s="250">
        <v>2</v>
      </c>
      <c r="O486" s="294">
        <v>26</v>
      </c>
      <c r="P486" s="294">
        <v>20</v>
      </c>
      <c r="Q486" s="294">
        <v>46</v>
      </c>
    </row>
    <row r="487" spans="2:17" x14ac:dyDescent="0.25">
      <c r="B487" s="236" t="s">
        <v>362</v>
      </c>
      <c r="C487" s="269"/>
      <c r="D487" s="269"/>
      <c r="E487" s="269"/>
      <c r="F487" s="269">
        <v>7</v>
      </c>
      <c r="G487" s="269">
        <v>6</v>
      </c>
      <c r="H487" s="250">
        <v>13</v>
      </c>
      <c r="I487" s="269">
        <v>1</v>
      </c>
      <c r="J487" s="250"/>
      <c r="K487" s="269">
        <v>1</v>
      </c>
      <c r="L487" s="250"/>
      <c r="M487" s="269">
        <v>1</v>
      </c>
      <c r="N487" s="250">
        <v>1</v>
      </c>
      <c r="O487" s="294">
        <v>8</v>
      </c>
      <c r="P487" s="294">
        <v>7</v>
      </c>
      <c r="Q487" s="294">
        <v>15</v>
      </c>
    </row>
    <row r="488" spans="2:17" x14ac:dyDescent="0.25">
      <c r="B488" s="236" t="s">
        <v>363</v>
      </c>
      <c r="C488" s="269">
        <v>1</v>
      </c>
      <c r="D488" s="269"/>
      <c r="E488" s="269">
        <v>1</v>
      </c>
      <c r="F488" s="269">
        <v>14</v>
      </c>
      <c r="G488" s="269">
        <v>12</v>
      </c>
      <c r="H488" s="250">
        <v>26</v>
      </c>
      <c r="I488" s="269">
        <v>1</v>
      </c>
      <c r="J488" s="250"/>
      <c r="K488" s="269">
        <v>1</v>
      </c>
      <c r="L488" s="250"/>
      <c r="M488" s="269">
        <v>1</v>
      </c>
      <c r="N488" s="250">
        <v>1</v>
      </c>
      <c r="O488" s="294">
        <v>16</v>
      </c>
      <c r="P488" s="294">
        <v>13</v>
      </c>
      <c r="Q488" s="294">
        <v>29</v>
      </c>
    </row>
    <row r="489" spans="2:17" x14ac:dyDescent="0.25">
      <c r="B489" s="371" t="s">
        <v>923</v>
      </c>
      <c r="C489" s="310">
        <v>21</v>
      </c>
      <c r="D489" s="310"/>
      <c r="E489" s="310">
        <v>21</v>
      </c>
      <c r="F489" s="310">
        <v>976</v>
      </c>
      <c r="G489" s="310">
        <v>892</v>
      </c>
      <c r="H489" s="294">
        <v>1868</v>
      </c>
      <c r="I489" s="310">
        <v>23</v>
      </c>
      <c r="J489" s="294">
        <v>12</v>
      </c>
      <c r="K489" s="310">
        <v>35</v>
      </c>
      <c r="L489" s="294">
        <v>42</v>
      </c>
      <c r="M489" s="310">
        <v>84</v>
      </c>
      <c r="N489" s="294">
        <v>126</v>
      </c>
      <c r="O489" s="294">
        <v>1062</v>
      </c>
      <c r="P489" s="294">
        <v>988</v>
      </c>
      <c r="Q489" s="294">
        <v>2050</v>
      </c>
    </row>
    <row r="490" spans="2:17" ht="81" customHeight="1" x14ac:dyDescent="0.25">
      <c r="B490" s="428" t="s">
        <v>938</v>
      </c>
      <c r="C490" s="428"/>
      <c r="D490" s="428"/>
      <c r="E490" s="428"/>
      <c r="F490" s="428"/>
      <c r="G490" s="428"/>
      <c r="H490" s="428"/>
      <c r="I490" s="428"/>
      <c r="J490" s="428"/>
      <c r="K490" s="428"/>
      <c r="L490" s="428"/>
      <c r="M490" s="428"/>
      <c r="N490" s="428"/>
      <c r="O490" s="428"/>
      <c r="P490" s="428"/>
      <c r="Q490" s="428"/>
    </row>
    <row r="491" spans="2:17" x14ac:dyDescent="0.25">
      <c r="B491" s="158"/>
      <c r="C491" s="158"/>
      <c r="D491" s="158"/>
      <c r="E491" s="158"/>
      <c r="F491" s="158"/>
      <c r="G491"/>
    </row>
    <row r="492" spans="2:17" x14ac:dyDescent="0.25">
      <c r="B492" s="187" t="s">
        <v>968</v>
      </c>
      <c r="C492"/>
      <c r="D492"/>
      <c r="E492"/>
      <c r="F492"/>
      <c r="G492"/>
    </row>
    <row r="493" spans="2:17" x14ac:dyDescent="0.25">
      <c r="B493" s="187"/>
      <c r="C493"/>
      <c r="D493"/>
      <c r="E493"/>
      <c r="F493"/>
      <c r="G493"/>
    </row>
    <row r="494" spans="2:17" ht="15" customHeight="1" x14ac:dyDescent="0.25">
      <c r="B494" s="408" t="s">
        <v>532</v>
      </c>
      <c r="C494" s="414" t="s">
        <v>477</v>
      </c>
      <c r="D494" s="414"/>
      <c r="E494" s="414"/>
      <c r="F494" s="414"/>
      <c r="G494" s="414"/>
      <c r="H494" s="414"/>
      <c r="I494" s="414"/>
      <c r="J494" s="414"/>
      <c r="K494" s="414"/>
      <c r="L494" s="414"/>
      <c r="M494" s="414"/>
      <c r="N494" s="414"/>
      <c r="O494" s="447" t="s">
        <v>945</v>
      </c>
      <c r="P494" s="448"/>
      <c r="Q494" s="449"/>
    </row>
    <row r="495" spans="2:17" ht="15" customHeight="1" x14ac:dyDescent="0.25">
      <c r="B495" s="409"/>
      <c r="C495" s="414" t="s">
        <v>885</v>
      </c>
      <c r="D495" s="414"/>
      <c r="E495" s="414"/>
      <c r="F495" s="414" t="s">
        <v>886</v>
      </c>
      <c r="G495" s="414"/>
      <c r="H495" s="414"/>
      <c r="I495" s="414" t="s">
        <v>2</v>
      </c>
      <c r="J495" s="414"/>
      <c r="K495" s="414"/>
      <c r="L495" s="414" t="s">
        <v>3</v>
      </c>
      <c r="M495" s="414"/>
      <c r="N495" s="414"/>
      <c r="O495" s="450"/>
      <c r="P495" s="451"/>
      <c r="Q495" s="452"/>
    </row>
    <row r="496" spans="2:17" x14ac:dyDescent="0.25">
      <c r="B496" s="410"/>
      <c r="C496" s="161" t="s">
        <v>73</v>
      </c>
      <c r="D496" s="161" t="s">
        <v>74</v>
      </c>
      <c r="E496" s="161" t="s">
        <v>25</v>
      </c>
      <c r="F496" s="161" t="s">
        <v>73</v>
      </c>
      <c r="G496" s="161" t="s">
        <v>74</v>
      </c>
      <c r="H496" s="161" t="s">
        <v>25</v>
      </c>
      <c r="I496" s="161" t="s">
        <v>73</v>
      </c>
      <c r="J496" s="161" t="s">
        <v>74</v>
      </c>
      <c r="K496" s="161" t="s">
        <v>25</v>
      </c>
      <c r="L496" s="161" t="s">
        <v>73</v>
      </c>
      <c r="M496" s="161" t="s">
        <v>74</v>
      </c>
      <c r="N496" s="161" t="s">
        <v>25</v>
      </c>
      <c r="O496" s="299" t="s">
        <v>73</v>
      </c>
      <c r="P496" s="299" t="s">
        <v>74</v>
      </c>
      <c r="Q496" s="299" t="s">
        <v>25</v>
      </c>
    </row>
    <row r="497" spans="2:17" x14ac:dyDescent="0.25">
      <c r="B497" s="235" t="s">
        <v>364</v>
      </c>
      <c r="C497" s="269"/>
      <c r="D497" s="269"/>
      <c r="E497" s="269"/>
      <c r="F497" s="269">
        <v>11</v>
      </c>
      <c r="G497" s="269">
        <v>10</v>
      </c>
      <c r="H497" s="250">
        <v>21</v>
      </c>
      <c r="I497" s="269"/>
      <c r="J497" s="250"/>
      <c r="K497" s="269"/>
      <c r="L497" s="250"/>
      <c r="M497" s="269">
        <v>2</v>
      </c>
      <c r="N497" s="250">
        <v>2</v>
      </c>
      <c r="O497" s="294">
        <v>11</v>
      </c>
      <c r="P497" s="294">
        <v>12</v>
      </c>
      <c r="Q497" s="294">
        <v>23</v>
      </c>
    </row>
    <row r="498" spans="2:17" x14ac:dyDescent="0.25">
      <c r="B498" s="236" t="s">
        <v>365</v>
      </c>
      <c r="C498" s="269"/>
      <c r="D498" s="269"/>
      <c r="E498" s="269"/>
      <c r="F498" s="269">
        <v>7</v>
      </c>
      <c r="G498" s="269">
        <v>11</v>
      </c>
      <c r="H498" s="250">
        <v>18</v>
      </c>
      <c r="I498" s="269"/>
      <c r="J498" s="250"/>
      <c r="K498" s="269"/>
      <c r="L498" s="250"/>
      <c r="M498" s="269"/>
      <c r="N498" s="250"/>
      <c r="O498" s="294">
        <v>7</v>
      </c>
      <c r="P498" s="294">
        <v>11</v>
      </c>
      <c r="Q498" s="294">
        <v>18</v>
      </c>
    </row>
    <row r="499" spans="2:17" x14ac:dyDescent="0.25">
      <c r="B499" s="236" t="s">
        <v>366</v>
      </c>
      <c r="C499" s="269"/>
      <c r="D499" s="269"/>
      <c r="E499" s="269"/>
      <c r="F499" s="269">
        <v>6</v>
      </c>
      <c r="G499" s="269">
        <v>3</v>
      </c>
      <c r="H499" s="250">
        <v>9</v>
      </c>
      <c r="I499" s="269"/>
      <c r="J499" s="250">
        <v>1</v>
      </c>
      <c r="K499" s="269">
        <v>1</v>
      </c>
      <c r="L499" s="250"/>
      <c r="M499" s="269"/>
      <c r="N499" s="250"/>
      <c r="O499" s="294">
        <v>6</v>
      </c>
      <c r="P499" s="294">
        <v>4</v>
      </c>
      <c r="Q499" s="294">
        <v>10</v>
      </c>
    </row>
    <row r="500" spans="2:17" x14ac:dyDescent="0.25">
      <c r="B500" s="236" t="s">
        <v>367</v>
      </c>
      <c r="C500" s="269">
        <v>1</v>
      </c>
      <c r="D500" s="269"/>
      <c r="E500" s="269">
        <v>1</v>
      </c>
      <c r="F500" s="269">
        <v>52</v>
      </c>
      <c r="G500" s="269">
        <v>66</v>
      </c>
      <c r="H500" s="250">
        <v>118</v>
      </c>
      <c r="I500" s="269"/>
      <c r="J500" s="250"/>
      <c r="K500" s="269"/>
      <c r="L500" s="250">
        <v>1</v>
      </c>
      <c r="M500" s="269">
        <v>5</v>
      </c>
      <c r="N500" s="250">
        <v>6</v>
      </c>
      <c r="O500" s="294">
        <v>54</v>
      </c>
      <c r="P500" s="294">
        <v>71</v>
      </c>
      <c r="Q500" s="294">
        <v>125</v>
      </c>
    </row>
    <row r="501" spans="2:17" x14ac:dyDescent="0.25">
      <c r="B501" s="236" t="s">
        <v>368</v>
      </c>
      <c r="C501" s="269"/>
      <c r="D501" s="269"/>
      <c r="E501" s="269"/>
      <c r="F501" s="269">
        <v>1</v>
      </c>
      <c r="G501" s="269"/>
      <c r="H501" s="250">
        <v>1</v>
      </c>
      <c r="I501" s="269"/>
      <c r="J501" s="250"/>
      <c r="K501" s="269"/>
      <c r="L501" s="250"/>
      <c r="M501" s="269"/>
      <c r="N501" s="250"/>
      <c r="O501" s="294">
        <v>1</v>
      </c>
      <c r="P501" s="294"/>
      <c r="Q501" s="294">
        <v>1</v>
      </c>
    </row>
    <row r="502" spans="2:17" x14ac:dyDescent="0.25">
      <c r="B502" s="236" t="s">
        <v>371</v>
      </c>
      <c r="C502" s="269"/>
      <c r="D502" s="269"/>
      <c r="E502" s="269"/>
      <c r="F502" s="269">
        <v>32</v>
      </c>
      <c r="G502" s="269">
        <v>21</v>
      </c>
      <c r="H502" s="250">
        <v>53</v>
      </c>
      <c r="I502" s="269"/>
      <c r="J502" s="250"/>
      <c r="K502" s="269"/>
      <c r="L502" s="250"/>
      <c r="M502" s="269">
        <v>1</v>
      </c>
      <c r="N502" s="250">
        <v>1</v>
      </c>
      <c r="O502" s="294">
        <v>32</v>
      </c>
      <c r="P502" s="294">
        <v>22</v>
      </c>
      <c r="Q502" s="294">
        <v>54</v>
      </c>
    </row>
    <row r="503" spans="2:17" x14ac:dyDescent="0.25">
      <c r="B503" s="236" t="s">
        <v>496</v>
      </c>
      <c r="C503" s="269"/>
      <c r="D503" s="269"/>
      <c r="E503" s="269"/>
      <c r="F503" s="269">
        <v>2</v>
      </c>
      <c r="G503" s="269">
        <v>2</v>
      </c>
      <c r="H503" s="250">
        <v>4</v>
      </c>
      <c r="I503" s="269"/>
      <c r="J503" s="250"/>
      <c r="K503" s="269"/>
      <c r="L503" s="250">
        <v>1</v>
      </c>
      <c r="M503" s="269"/>
      <c r="N503" s="250">
        <v>1</v>
      </c>
      <c r="O503" s="294">
        <v>3</v>
      </c>
      <c r="P503" s="294">
        <v>2</v>
      </c>
      <c r="Q503" s="294">
        <v>5</v>
      </c>
    </row>
    <row r="504" spans="2:17" x14ac:dyDescent="0.25">
      <c r="B504" s="236" t="s">
        <v>372</v>
      </c>
      <c r="C504" s="269"/>
      <c r="D504" s="269"/>
      <c r="E504" s="269"/>
      <c r="F504" s="269">
        <v>1</v>
      </c>
      <c r="G504" s="269">
        <v>2</v>
      </c>
      <c r="H504" s="250">
        <v>3</v>
      </c>
      <c r="I504" s="269"/>
      <c r="J504" s="250"/>
      <c r="K504" s="269"/>
      <c r="L504" s="250"/>
      <c r="M504" s="269"/>
      <c r="N504" s="250"/>
      <c r="O504" s="294">
        <v>1</v>
      </c>
      <c r="P504" s="294">
        <v>2</v>
      </c>
      <c r="Q504" s="294">
        <v>3</v>
      </c>
    </row>
    <row r="505" spans="2:17" x14ac:dyDescent="0.25">
      <c r="B505" s="371" t="s">
        <v>923</v>
      </c>
      <c r="C505" s="310">
        <v>1</v>
      </c>
      <c r="D505" s="310"/>
      <c r="E505" s="310">
        <v>1</v>
      </c>
      <c r="F505" s="310">
        <v>112</v>
      </c>
      <c r="G505" s="310">
        <v>115</v>
      </c>
      <c r="H505" s="294">
        <v>227</v>
      </c>
      <c r="I505" s="310"/>
      <c r="J505" s="294">
        <v>1</v>
      </c>
      <c r="K505" s="310">
        <v>1</v>
      </c>
      <c r="L505" s="294">
        <v>2</v>
      </c>
      <c r="M505" s="310">
        <v>8</v>
      </c>
      <c r="N505" s="294">
        <v>10</v>
      </c>
      <c r="O505" s="294">
        <v>115</v>
      </c>
      <c r="P505" s="294">
        <v>124</v>
      </c>
      <c r="Q505" s="294">
        <v>239</v>
      </c>
    </row>
    <row r="506" spans="2:17" ht="83.25" customHeight="1" x14ac:dyDescent="0.25">
      <c r="B506" s="428" t="s">
        <v>938</v>
      </c>
      <c r="C506" s="428"/>
      <c r="D506" s="428"/>
      <c r="E506" s="428"/>
      <c r="F506" s="428"/>
      <c r="G506" s="428"/>
      <c r="H506" s="428"/>
      <c r="I506" s="428"/>
      <c r="J506" s="428"/>
      <c r="K506" s="428"/>
      <c r="L506" s="428"/>
      <c r="M506" s="428"/>
      <c r="N506" s="428"/>
      <c r="O506" s="428"/>
      <c r="P506" s="428"/>
      <c r="Q506" s="428"/>
    </row>
    <row r="507" spans="2:17" x14ac:dyDescent="0.25">
      <c r="B507" s="158"/>
      <c r="C507" s="158"/>
      <c r="D507" s="158"/>
      <c r="E507"/>
      <c r="F507"/>
      <c r="G507"/>
    </row>
    <row r="508" spans="2:17" x14ac:dyDescent="0.25">
      <c r="B508" s="187" t="s">
        <v>516</v>
      </c>
      <c r="C508"/>
      <c r="D508"/>
      <c r="E508"/>
      <c r="F508"/>
      <c r="G508"/>
    </row>
    <row r="509" spans="2:17" x14ac:dyDescent="0.25">
      <c r="B509" s="187"/>
      <c r="C509"/>
      <c r="D509"/>
      <c r="E509"/>
      <c r="F509"/>
      <c r="G509"/>
    </row>
    <row r="510" spans="2:17" ht="15" customHeight="1" x14ac:dyDescent="0.25">
      <c r="B510" s="408" t="s">
        <v>532</v>
      </c>
      <c r="C510" s="414" t="s">
        <v>477</v>
      </c>
      <c r="D510" s="414"/>
      <c r="E510" s="414"/>
      <c r="F510" s="414"/>
      <c r="G510" s="414"/>
      <c r="H510" s="414"/>
      <c r="I510" s="414"/>
      <c r="J510" s="414"/>
      <c r="K510" s="414"/>
      <c r="L510" s="414"/>
      <c r="M510" s="414"/>
      <c r="N510" s="414"/>
      <c r="O510" s="447" t="s">
        <v>945</v>
      </c>
      <c r="P510" s="448"/>
      <c r="Q510" s="449"/>
    </row>
    <row r="511" spans="2:17" ht="15" customHeight="1" x14ac:dyDescent="0.25">
      <c r="B511" s="409"/>
      <c r="C511" s="414" t="s">
        <v>885</v>
      </c>
      <c r="D511" s="414"/>
      <c r="E511" s="414"/>
      <c r="F511" s="414" t="s">
        <v>886</v>
      </c>
      <c r="G511" s="414"/>
      <c r="H511" s="414"/>
      <c r="I511" s="414" t="s">
        <v>2</v>
      </c>
      <c r="J511" s="414"/>
      <c r="K511" s="414"/>
      <c r="L511" s="414" t="s">
        <v>3</v>
      </c>
      <c r="M511" s="414"/>
      <c r="N511" s="414"/>
      <c r="O511" s="450"/>
      <c r="P511" s="451"/>
      <c r="Q511" s="452"/>
    </row>
    <row r="512" spans="2:17" x14ac:dyDescent="0.25">
      <c r="B512" s="410"/>
      <c r="C512" s="161" t="s">
        <v>73</v>
      </c>
      <c r="D512" s="161" t="s">
        <v>74</v>
      </c>
      <c r="E512" s="161" t="s">
        <v>25</v>
      </c>
      <c r="F512" s="161" t="s">
        <v>73</v>
      </c>
      <c r="G512" s="161" t="s">
        <v>74</v>
      </c>
      <c r="H512" s="161" t="s">
        <v>25</v>
      </c>
      <c r="I512" s="161" t="s">
        <v>73</v>
      </c>
      <c r="J512" s="161" t="s">
        <v>74</v>
      </c>
      <c r="K512" s="161" t="s">
        <v>25</v>
      </c>
      <c r="L512" s="161" t="s">
        <v>73</v>
      </c>
      <c r="M512" s="161" t="s">
        <v>74</v>
      </c>
      <c r="N512" s="161" t="s">
        <v>25</v>
      </c>
      <c r="O512" s="299" t="s">
        <v>73</v>
      </c>
      <c r="P512" s="299" t="s">
        <v>74</v>
      </c>
      <c r="Q512" s="299" t="s">
        <v>25</v>
      </c>
    </row>
    <row r="513" spans="2:17" x14ac:dyDescent="0.25">
      <c r="B513" s="235" t="s">
        <v>373</v>
      </c>
      <c r="C513" s="269"/>
      <c r="D513" s="269"/>
      <c r="E513" s="269"/>
      <c r="F513" s="269"/>
      <c r="G513" s="269">
        <v>1</v>
      </c>
      <c r="H513" s="250">
        <v>1</v>
      </c>
      <c r="I513" s="269"/>
      <c r="J513" s="250"/>
      <c r="K513" s="269"/>
      <c r="L513" s="250"/>
      <c r="M513" s="269"/>
      <c r="N513" s="250"/>
      <c r="O513" s="294"/>
      <c r="P513" s="294">
        <v>1</v>
      </c>
      <c r="Q513" s="294">
        <v>1</v>
      </c>
    </row>
    <row r="514" spans="2:17" x14ac:dyDescent="0.25">
      <c r="B514" s="235" t="s">
        <v>376</v>
      </c>
      <c r="C514" s="269"/>
      <c r="D514" s="269"/>
      <c r="E514" s="269"/>
      <c r="F514" s="269">
        <v>16</v>
      </c>
      <c r="G514" s="269">
        <v>16</v>
      </c>
      <c r="H514" s="250">
        <v>32</v>
      </c>
      <c r="I514" s="269"/>
      <c r="J514" s="250">
        <v>1</v>
      </c>
      <c r="K514" s="269">
        <v>1</v>
      </c>
      <c r="L514" s="250"/>
      <c r="M514" s="269"/>
      <c r="N514" s="250"/>
      <c r="O514" s="294">
        <v>16</v>
      </c>
      <c r="P514" s="294">
        <v>17</v>
      </c>
      <c r="Q514" s="294">
        <v>33</v>
      </c>
    </row>
    <row r="515" spans="2:17" x14ac:dyDescent="0.25">
      <c r="B515" s="235" t="s">
        <v>377</v>
      </c>
      <c r="C515" s="269"/>
      <c r="D515" s="269"/>
      <c r="E515" s="269"/>
      <c r="F515" s="269">
        <v>10</v>
      </c>
      <c r="G515" s="269">
        <v>11</v>
      </c>
      <c r="H515" s="250">
        <v>21</v>
      </c>
      <c r="I515" s="269"/>
      <c r="J515" s="250"/>
      <c r="K515" s="269"/>
      <c r="L515" s="250">
        <v>1</v>
      </c>
      <c r="M515" s="269"/>
      <c r="N515" s="250">
        <v>1</v>
      </c>
      <c r="O515" s="294">
        <v>11</v>
      </c>
      <c r="P515" s="294">
        <v>11</v>
      </c>
      <c r="Q515" s="294">
        <v>22</v>
      </c>
    </row>
    <row r="516" spans="2:17" x14ac:dyDescent="0.25">
      <c r="B516" s="236" t="s">
        <v>378</v>
      </c>
      <c r="C516" s="269"/>
      <c r="D516" s="269"/>
      <c r="E516" s="269"/>
      <c r="F516" s="269">
        <v>3</v>
      </c>
      <c r="G516" s="269"/>
      <c r="H516" s="250">
        <v>3</v>
      </c>
      <c r="I516" s="269"/>
      <c r="J516" s="250"/>
      <c r="K516" s="269"/>
      <c r="L516" s="250"/>
      <c r="M516" s="269"/>
      <c r="N516" s="250"/>
      <c r="O516" s="294">
        <v>3</v>
      </c>
      <c r="P516" s="294"/>
      <c r="Q516" s="294">
        <v>3</v>
      </c>
    </row>
    <row r="517" spans="2:17" x14ac:dyDescent="0.25">
      <c r="B517" s="236" t="s">
        <v>379</v>
      </c>
      <c r="C517" s="269">
        <v>3</v>
      </c>
      <c r="D517" s="269"/>
      <c r="E517" s="269">
        <v>3</v>
      </c>
      <c r="F517" s="269">
        <v>168</v>
      </c>
      <c r="G517" s="269">
        <v>117</v>
      </c>
      <c r="H517" s="250">
        <v>285</v>
      </c>
      <c r="I517" s="269">
        <v>2</v>
      </c>
      <c r="J517" s="250">
        <v>1</v>
      </c>
      <c r="K517" s="269">
        <v>3</v>
      </c>
      <c r="L517" s="250">
        <v>3</v>
      </c>
      <c r="M517" s="269">
        <v>10</v>
      </c>
      <c r="N517" s="250">
        <v>13</v>
      </c>
      <c r="O517" s="294">
        <v>176</v>
      </c>
      <c r="P517" s="294">
        <v>128</v>
      </c>
      <c r="Q517" s="294">
        <v>304</v>
      </c>
    </row>
    <row r="518" spans="2:17" x14ac:dyDescent="0.25">
      <c r="B518" s="236" t="s">
        <v>382</v>
      </c>
      <c r="C518" s="269"/>
      <c r="D518" s="269"/>
      <c r="E518" s="269"/>
      <c r="F518" s="269"/>
      <c r="G518" s="269">
        <v>1</v>
      </c>
      <c r="H518" s="250">
        <v>1</v>
      </c>
      <c r="I518" s="269"/>
      <c r="J518" s="250"/>
      <c r="K518" s="269"/>
      <c r="L518" s="250"/>
      <c r="M518" s="269"/>
      <c r="N518" s="250"/>
      <c r="O518" s="294"/>
      <c r="P518" s="294">
        <v>1</v>
      </c>
      <c r="Q518" s="294">
        <v>1</v>
      </c>
    </row>
    <row r="519" spans="2:17" x14ac:dyDescent="0.25">
      <c r="B519" s="371" t="s">
        <v>923</v>
      </c>
      <c r="C519" s="310">
        <v>3</v>
      </c>
      <c r="D519" s="310"/>
      <c r="E519" s="310">
        <v>3</v>
      </c>
      <c r="F519" s="310">
        <v>197</v>
      </c>
      <c r="G519" s="310">
        <v>146</v>
      </c>
      <c r="H519" s="294">
        <v>343</v>
      </c>
      <c r="I519" s="310">
        <v>2</v>
      </c>
      <c r="J519" s="294">
        <v>2</v>
      </c>
      <c r="K519" s="310">
        <v>4</v>
      </c>
      <c r="L519" s="294">
        <v>4</v>
      </c>
      <c r="M519" s="310">
        <v>10</v>
      </c>
      <c r="N519" s="294">
        <v>14</v>
      </c>
      <c r="O519" s="294">
        <v>206</v>
      </c>
      <c r="P519" s="294">
        <v>158</v>
      </c>
      <c r="Q519" s="294">
        <v>364</v>
      </c>
    </row>
    <row r="520" spans="2:17" ht="82.5" customHeight="1" x14ac:dyDescent="0.25">
      <c r="B520" s="428" t="s">
        <v>938</v>
      </c>
      <c r="C520" s="428"/>
      <c r="D520" s="428"/>
      <c r="E520" s="428"/>
      <c r="F520" s="428"/>
      <c r="G520" s="428"/>
      <c r="H520" s="428"/>
      <c r="I520" s="428"/>
      <c r="J520" s="428"/>
      <c r="K520" s="428"/>
      <c r="L520" s="428"/>
      <c r="M520" s="428"/>
      <c r="N520" s="428"/>
      <c r="O520" s="428"/>
      <c r="P520" s="428"/>
      <c r="Q520" s="428"/>
    </row>
    <row r="521" spans="2:17" x14ac:dyDescent="0.25">
      <c r="B521" s="158"/>
      <c r="C521" s="158"/>
      <c r="D521" s="158"/>
      <c r="E521"/>
      <c r="F521"/>
      <c r="G521"/>
    </row>
    <row r="541" spans="2:7" x14ac:dyDescent="0.25">
      <c r="B541" s="158"/>
      <c r="C541" s="158"/>
      <c r="D541" s="158"/>
      <c r="E541"/>
      <c r="F541"/>
      <c r="G541"/>
    </row>
    <row r="542" spans="2:7" x14ac:dyDescent="0.25">
      <c r="B542" s="158"/>
      <c r="C542" s="158"/>
      <c r="D542" s="158"/>
      <c r="E542"/>
      <c r="F542"/>
      <c r="G542"/>
    </row>
  </sheetData>
  <mergeCells count="144">
    <mergeCell ref="C33:E33"/>
    <mergeCell ref="F33:H33"/>
    <mergeCell ref="I33:K33"/>
    <mergeCell ref="L33:N33"/>
    <mergeCell ref="B52:Q52"/>
    <mergeCell ref="L8:N8"/>
    <mergeCell ref="C70:N70"/>
    <mergeCell ref="O70:Q71"/>
    <mergeCell ref="C71:E71"/>
    <mergeCell ref="F71:H71"/>
    <mergeCell ref="I71:K71"/>
    <mergeCell ref="L71:N71"/>
    <mergeCell ref="C60:E60"/>
    <mergeCell ref="L60:N60"/>
    <mergeCell ref="B66:Q66"/>
    <mergeCell ref="B59:B61"/>
    <mergeCell ref="B32:B34"/>
    <mergeCell ref="C32:N32"/>
    <mergeCell ref="O32:Q33"/>
    <mergeCell ref="B506:Q506"/>
    <mergeCell ref="F495:H495"/>
    <mergeCell ref="I495:K495"/>
    <mergeCell ref="L495:N495"/>
    <mergeCell ref="B490:Q490"/>
    <mergeCell ref="B432:Q432"/>
    <mergeCell ref="L457:N457"/>
    <mergeCell ref="C494:N494"/>
    <mergeCell ref="O494:Q495"/>
    <mergeCell ref="C495:E495"/>
    <mergeCell ref="B114:Q114"/>
    <mergeCell ref="C141:N141"/>
    <mergeCell ref="O141:Q142"/>
    <mergeCell ref="C142:E142"/>
    <mergeCell ref="F142:H142"/>
    <mergeCell ref="I142:K142"/>
    <mergeCell ref="O510:Q511"/>
    <mergeCell ref="C511:E511"/>
    <mergeCell ref="B7:B9"/>
    <mergeCell ref="B70:B72"/>
    <mergeCell ref="B85:B87"/>
    <mergeCell ref="B288:B290"/>
    <mergeCell ref="B247:B249"/>
    <mergeCell ref="B141:B143"/>
    <mergeCell ref="B118:B120"/>
    <mergeCell ref="C85:N85"/>
    <mergeCell ref="C118:N118"/>
    <mergeCell ref="C247:N247"/>
    <mergeCell ref="B81:Q81"/>
    <mergeCell ref="O7:Q8"/>
    <mergeCell ref="C7:N7"/>
    <mergeCell ref="C8:E8"/>
    <mergeCell ref="F8:H8"/>
    <mergeCell ref="I8:K8"/>
    <mergeCell ref="L397:N397"/>
    <mergeCell ref="B392:Q392"/>
    <mergeCell ref="O456:Q457"/>
    <mergeCell ref="C457:E457"/>
    <mergeCell ref="F457:H457"/>
    <mergeCell ref="I457:K457"/>
    <mergeCell ref="B27:Q27"/>
    <mergeCell ref="O85:Q86"/>
    <mergeCell ref="C86:E86"/>
    <mergeCell ref="F86:H86"/>
    <mergeCell ref="I86:K86"/>
    <mergeCell ref="L86:N86"/>
    <mergeCell ref="C101:N101"/>
    <mergeCell ref="O101:Q102"/>
    <mergeCell ref="C102:E102"/>
    <mergeCell ref="F102:H102"/>
    <mergeCell ref="I102:K102"/>
    <mergeCell ref="L102:N102"/>
    <mergeCell ref="B97:Q97"/>
    <mergeCell ref="B101:B103"/>
    <mergeCell ref="C59:N59"/>
    <mergeCell ref="O59:Q60"/>
    <mergeCell ref="F60:H60"/>
    <mergeCell ref="I60:K60"/>
    <mergeCell ref="O118:Q119"/>
    <mergeCell ref="C119:E119"/>
    <mergeCell ref="F119:H119"/>
    <mergeCell ref="I119:K119"/>
    <mergeCell ref="L119:N119"/>
    <mergeCell ref="O247:Q248"/>
    <mergeCell ref="C248:E248"/>
    <mergeCell ref="F248:H248"/>
    <mergeCell ref="I248:K248"/>
    <mergeCell ref="L248:N248"/>
    <mergeCell ref="O187:Q188"/>
    <mergeCell ref="C188:E188"/>
    <mergeCell ref="F188:H188"/>
    <mergeCell ref="I188:K188"/>
    <mergeCell ref="L188:N188"/>
    <mergeCell ref="B243:Q243"/>
    <mergeCell ref="L142:N142"/>
    <mergeCell ref="B137:Q137"/>
    <mergeCell ref="B183:Q183"/>
    <mergeCell ref="B520:Q520"/>
    <mergeCell ref="B187:B189"/>
    <mergeCell ref="B510:B512"/>
    <mergeCell ref="O326:Q327"/>
    <mergeCell ref="C327:E327"/>
    <mergeCell ref="F327:H327"/>
    <mergeCell ref="I327:K327"/>
    <mergeCell ref="L327:N327"/>
    <mergeCell ref="C436:N436"/>
    <mergeCell ref="O436:Q437"/>
    <mergeCell ref="C437:E437"/>
    <mergeCell ref="F437:H437"/>
    <mergeCell ref="I437:K437"/>
    <mergeCell ref="L437:N437"/>
    <mergeCell ref="B452:Q452"/>
    <mergeCell ref="B326:B328"/>
    <mergeCell ref="B436:B438"/>
    <mergeCell ref="C326:N326"/>
    <mergeCell ref="C289:E289"/>
    <mergeCell ref="F289:H289"/>
    <mergeCell ref="I289:K289"/>
    <mergeCell ref="L289:N289"/>
    <mergeCell ref="B284:Q284"/>
    <mergeCell ref="B351:Q351"/>
    <mergeCell ref="F511:H511"/>
    <mergeCell ref="I511:K511"/>
    <mergeCell ref="L511:N511"/>
    <mergeCell ref="C187:N187"/>
    <mergeCell ref="O355:Q356"/>
    <mergeCell ref="C356:E356"/>
    <mergeCell ref="F356:H356"/>
    <mergeCell ref="I356:K356"/>
    <mergeCell ref="L356:N356"/>
    <mergeCell ref="B322:Q322"/>
    <mergeCell ref="B494:B496"/>
    <mergeCell ref="B456:B458"/>
    <mergeCell ref="B396:B398"/>
    <mergeCell ref="B355:B357"/>
    <mergeCell ref="C355:N355"/>
    <mergeCell ref="C456:N456"/>
    <mergeCell ref="C288:N288"/>
    <mergeCell ref="O288:Q289"/>
    <mergeCell ref="C510:N510"/>
    <mergeCell ref="C396:N396"/>
    <mergeCell ref="O396:Q397"/>
    <mergeCell ref="C397:E397"/>
    <mergeCell ref="F397:H397"/>
    <mergeCell ref="I397:K397"/>
  </mergeCell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DDEAE-DF14-41AE-B3F1-3EEEB719E7DF}">
  <sheetPr>
    <tabColor rgb="FF00B0F0"/>
  </sheetPr>
  <dimension ref="B2:W267"/>
  <sheetViews>
    <sheetView showGridLines="0" zoomScaleNormal="100" workbookViewId="0"/>
  </sheetViews>
  <sheetFormatPr baseColWidth="10" defaultColWidth="11.5703125" defaultRowHeight="15" outlineLevelRow="1" x14ac:dyDescent="0.25"/>
  <cols>
    <col min="1" max="1" width="8.140625" style="7" customWidth="1"/>
    <col min="2" max="2" width="25.140625" style="7" customWidth="1"/>
    <col min="3" max="4" width="11.5703125" style="7"/>
    <col min="5" max="5" width="13.5703125" style="7" bestFit="1" customWidth="1"/>
    <col min="6" max="6" width="13" style="7" customWidth="1"/>
    <col min="7" max="7" width="11.5703125" style="7"/>
    <col min="8" max="8" width="13.5703125" style="7" bestFit="1" customWidth="1"/>
    <col min="9" max="9" width="13.140625" style="7" customWidth="1"/>
    <col min="10" max="10" width="11.7109375" style="7" customWidth="1"/>
    <col min="11" max="11" width="12.42578125" style="7" customWidth="1"/>
    <col min="12" max="12" width="12" style="7" customWidth="1"/>
    <col min="13" max="16384" width="11.5703125" style="7"/>
  </cols>
  <sheetData>
    <row r="2" spans="2:20" ht="23.25" x14ac:dyDescent="0.25">
      <c r="B2" s="1" t="s">
        <v>713</v>
      </c>
    </row>
    <row r="3" spans="2:20" ht="23.25" x14ac:dyDescent="0.25">
      <c r="B3" s="1"/>
    </row>
    <row r="4" spans="2:20" ht="18.75" x14ac:dyDescent="0.3">
      <c r="B4" s="461" t="s">
        <v>784</v>
      </c>
      <c r="C4" s="461"/>
      <c r="D4" s="461"/>
      <c r="E4" s="461"/>
      <c r="F4" s="461"/>
      <c r="G4" s="461"/>
      <c r="H4" s="461"/>
    </row>
    <row r="5" spans="2:20" x14ac:dyDescent="0.25">
      <c r="B5" s="454" t="s">
        <v>866</v>
      </c>
      <c r="C5" s="454"/>
      <c r="D5" s="454"/>
      <c r="E5" s="454"/>
      <c r="F5" s="454"/>
      <c r="G5" s="454"/>
      <c r="H5" s="454"/>
    </row>
    <row r="6" spans="2:20" x14ac:dyDescent="0.25">
      <c r="B6" s="3"/>
      <c r="C6" s="3"/>
      <c r="D6" s="3"/>
      <c r="E6" s="3"/>
      <c r="F6" s="3"/>
      <c r="G6" s="3"/>
      <c r="H6" s="3"/>
      <c r="I6" s="3"/>
    </row>
    <row r="7" spans="2:20" x14ac:dyDescent="0.25">
      <c r="B7" s="414" t="s">
        <v>761</v>
      </c>
      <c r="C7" s="414"/>
      <c r="D7" s="414"/>
      <c r="E7" s="414"/>
      <c r="F7" s="414" t="s">
        <v>477</v>
      </c>
      <c r="G7" s="414"/>
      <c r="H7" s="414"/>
      <c r="I7" s="414"/>
      <c r="J7" s="414"/>
      <c r="K7" s="414"/>
      <c r="L7" s="414"/>
      <c r="M7" s="414"/>
      <c r="N7" s="414"/>
      <c r="O7" s="414"/>
      <c r="P7" s="414"/>
      <c r="Q7" s="414"/>
      <c r="R7" s="459" t="s">
        <v>940</v>
      </c>
      <c r="S7" s="459"/>
      <c r="T7" s="459"/>
    </row>
    <row r="8" spans="2:20" ht="17.25" x14ac:dyDescent="0.25">
      <c r="B8" s="414"/>
      <c r="C8" s="414"/>
      <c r="D8" s="414"/>
      <c r="E8" s="414"/>
      <c r="F8" s="460" t="s">
        <v>936</v>
      </c>
      <c r="G8" s="460"/>
      <c r="H8" s="460"/>
      <c r="I8" s="460" t="s">
        <v>937</v>
      </c>
      <c r="J8" s="460"/>
      <c r="K8" s="460"/>
      <c r="L8" s="460" t="s">
        <v>2</v>
      </c>
      <c r="M8" s="460"/>
      <c r="N8" s="460"/>
      <c r="O8" s="460" t="s">
        <v>3</v>
      </c>
      <c r="P8" s="460"/>
      <c r="Q8" s="460"/>
      <c r="R8" s="459"/>
      <c r="S8" s="459"/>
      <c r="T8" s="459"/>
    </row>
    <row r="9" spans="2:20" x14ac:dyDescent="0.25">
      <c r="B9" s="414"/>
      <c r="C9" s="414"/>
      <c r="D9" s="414"/>
      <c r="E9" s="414"/>
      <c r="F9" s="239" t="s">
        <v>73</v>
      </c>
      <c r="G9" s="239" t="s">
        <v>74</v>
      </c>
      <c r="H9" s="239" t="s">
        <v>25</v>
      </c>
      <c r="I9" s="239" t="s">
        <v>73</v>
      </c>
      <c r="J9" s="239" t="s">
        <v>74</v>
      </c>
      <c r="K9" s="239" t="s">
        <v>25</v>
      </c>
      <c r="L9" s="239" t="s">
        <v>73</v>
      </c>
      <c r="M9" s="239" t="s">
        <v>74</v>
      </c>
      <c r="N9" s="239" t="s">
        <v>25</v>
      </c>
      <c r="O9" s="239" t="s">
        <v>73</v>
      </c>
      <c r="P9" s="239" t="s">
        <v>74</v>
      </c>
      <c r="Q9" s="239" t="s">
        <v>25</v>
      </c>
      <c r="R9" s="293" t="s">
        <v>73</v>
      </c>
      <c r="S9" s="293" t="s">
        <v>74</v>
      </c>
      <c r="T9" s="293" t="s">
        <v>25</v>
      </c>
    </row>
    <row r="10" spans="2:20" x14ac:dyDescent="0.25">
      <c r="B10" s="458" t="s">
        <v>766</v>
      </c>
      <c r="C10" s="458"/>
      <c r="D10" s="458"/>
      <c r="E10" s="458"/>
      <c r="F10" s="295"/>
      <c r="G10" s="296"/>
      <c r="H10" s="296"/>
      <c r="I10" s="296"/>
      <c r="J10" s="296"/>
      <c r="K10" s="296"/>
      <c r="L10" s="296"/>
      <c r="M10" s="296"/>
      <c r="N10" s="296"/>
      <c r="O10" s="296">
        <v>8</v>
      </c>
      <c r="P10" s="296">
        <v>4</v>
      </c>
      <c r="Q10" s="296">
        <v>12</v>
      </c>
      <c r="R10" s="297">
        <v>8</v>
      </c>
      <c r="S10" s="297">
        <v>4</v>
      </c>
      <c r="T10" s="297">
        <v>12</v>
      </c>
    </row>
    <row r="11" spans="2:20" x14ac:dyDescent="0.25">
      <c r="B11" s="458" t="s">
        <v>767</v>
      </c>
      <c r="C11" s="458"/>
      <c r="D11" s="458"/>
      <c r="E11" s="458"/>
      <c r="F11" s="295">
        <v>170</v>
      </c>
      <c r="G11" s="296">
        <v>109</v>
      </c>
      <c r="H11" s="296">
        <v>279</v>
      </c>
      <c r="I11" s="296">
        <v>211</v>
      </c>
      <c r="J11" s="296">
        <v>135</v>
      </c>
      <c r="K11" s="296">
        <v>346</v>
      </c>
      <c r="L11" s="296"/>
      <c r="M11" s="296"/>
      <c r="N11" s="296"/>
      <c r="O11" s="296"/>
      <c r="P11" s="296"/>
      <c r="Q11" s="296"/>
      <c r="R11" s="297">
        <v>381</v>
      </c>
      <c r="S11" s="297">
        <v>244</v>
      </c>
      <c r="T11" s="297">
        <v>625</v>
      </c>
    </row>
    <row r="12" spans="2:20" ht="32.25" customHeight="1" x14ac:dyDescent="0.25">
      <c r="B12" s="458" t="s">
        <v>768</v>
      </c>
      <c r="C12" s="458"/>
      <c r="D12" s="458"/>
      <c r="E12" s="458"/>
      <c r="F12" s="295">
        <v>23</v>
      </c>
      <c r="G12" s="296">
        <v>13</v>
      </c>
      <c r="H12" s="296">
        <v>36</v>
      </c>
      <c r="I12" s="296">
        <v>12</v>
      </c>
      <c r="J12" s="296">
        <v>7</v>
      </c>
      <c r="K12" s="296">
        <v>19</v>
      </c>
      <c r="L12" s="296"/>
      <c r="M12" s="296"/>
      <c r="N12" s="296"/>
      <c r="O12" s="296"/>
      <c r="P12" s="296"/>
      <c r="Q12" s="296"/>
      <c r="R12" s="297">
        <v>35</v>
      </c>
      <c r="S12" s="297">
        <v>20</v>
      </c>
      <c r="T12" s="297">
        <v>55</v>
      </c>
    </row>
    <row r="13" spans="2:20" ht="30" customHeight="1" x14ac:dyDescent="0.25">
      <c r="B13" s="458" t="s">
        <v>848</v>
      </c>
      <c r="C13" s="458"/>
      <c r="D13" s="458"/>
      <c r="E13" s="458"/>
      <c r="F13" s="295"/>
      <c r="G13" s="296"/>
      <c r="H13" s="296"/>
      <c r="I13" s="296"/>
      <c r="J13" s="296"/>
      <c r="K13" s="296"/>
      <c r="L13" s="296">
        <v>27</v>
      </c>
      <c r="M13" s="296">
        <v>11</v>
      </c>
      <c r="N13" s="296">
        <v>38</v>
      </c>
      <c r="O13" s="296">
        <v>4</v>
      </c>
      <c r="P13" s="296">
        <v>3</v>
      </c>
      <c r="Q13" s="296">
        <v>7</v>
      </c>
      <c r="R13" s="297">
        <v>31</v>
      </c>
      <c r="S13" s="297">
        <v>14</v>
      </c>
      <c r="T13" s="297">
        <v>45</v>
      </c>
    </row>
    <row r="14" spans="2:20" x14ac:dyDescent="0.25">
      <c r="B14" s="458" t="s">
        <v>769</v>
      </c>
      <c r="C14" s="458"/>
      <c r="D14" s="458"/>
      <c r="E14" s="458"/>
      <c r="F14" s="295"/>
      <c r="G14" s="296"/>
      <c r="H14" s="296"/>
      <c r="I14" s="296">
        <v>1111</v>
      </c>
      <c r="J14" s="296">
        <v>1927</v>
      </c>
      <c r="K14" s="296">
        <v>3038</v>
      </c>
      <c r="L14" s="296">
        <v>9</v>
      </c>
      <c r="M14" s="296"/>
      <c r="N14" s="296">
        <v>9</v>
      </c>
      <c r="O14" s="296">
        <v>9</v>
      </c>
      <c r="P14" s="296">
        <v>13</v>
      </c>
      <c r="Q14" s="296">
        <v>22</v>
      </c>
      <c r="R14" s="297">
        <v>1129</v>
      </c>
      <c r="S14" s="297">
        <v>1940</v>
      </c>
      <c r="T14" s="297">
        <v>3069</v>
      </c>
    </row>
    <row r="15" spans="2:20" x14ac:dyDescent="0.25">
      <c r="B15" s="458" t="s">
        <v>770</v>
      </c>
      <c r="C15" s="458"/>
      <c r="D15" s="458"/>
      <c r="E15" s="458"/>
      <c r="F15" s="295">
        <v>8</v>
      </c>
      <c r="G15" s="296">
        <v>7</v>
      </c>
      <c r="H15" s="296">
        <v>15</v>
      </c>
      <c r="I15" s="296">
        <v>1</v>
      </c>
      <c r="J15" s="296">
        <v>16</v>
      </c>
      <c r="K15" s="296">
        <v>17</v>
      </c>
      <c r="L15" s="296"/>
      <c r="M15" s="296">
        <v>2</v>
      </c>
      <c r="N15" s="296">
        <v>2</v>
      </c>
      <c r="O15" s="296">
        <v>1</v>
      </c>
      <c r="P15" s="296"/>
      <c r="Q15" s="296">
        <v>1</v>
      </c>
      <c r="R15" s="297">
        <v>10</v>
      </c>
      <c r="S15" s="297">
        <v>25</v>
      </c>
      <c r="T15" s="297">
        <v>35</v>
      </c>
    </row>
    <row r="16" spans="2:20" x14ac:dyDescent="0.25">
      <c r="B16" s="458" t="s">
        <v>771</v>
      </c>
      <c r="C16" s="458"/>
      <c r="D16" s="458"/>
      <c r="E16" s="458"/>
      <c r="F16" s="295"/>
      <c r="G16" s="296"/>
      <c r="H16" s="296"/>
      <c r="I16" s="296"/>
      <c r="J16" s="296"/>
      <c r="K16" s="296"/>
      <c r="L16" s="296"/>
      <c r="M16" s="296"/>
      <c r="N16" s="296"/>
      <c r="O16" s="296"/>
      <c r="P16" s="296">
        <v>3</v>
      </c>
      <c r="Q16" s="296">
        <v>3</v>
      </c>
      <c r="R16" s="297"/>
      <c r="S16" s="297">
        <v>3</v>
      </c>
      <c r="T16" s="297">
        <v>3</v>
      </c>
    </row>
    <row r="17" spans="2:20" x14ac:dyDescent="0.25">
      <c r="B17" s="458" t="s">
        <v>772</v>
      </c>
      <c r="C17" s="458"/>
      <c r="D17" s="458"/>
      <c r="E17" s="458"/>
      <c r="F17" s="295"/>
      <c r="G17" s="296"/>
      <c r="H17" s="296"/>
      <c r="I17" s="296"/>
      <c r="J17" s="296"/>
      <c r="K17" s="296"/>
      <c r="L17" s="296">
        <v>4</v>
      </c>
      <c r="M17" s="296"/>
      <c r="N17" s="296">
        <v>4</v>
      </c>
      <c r="O17" s="296">
        <v>2</v>
      </c>
      <c r="P17" s="296"/>
      <c r="Q17" s="296">
        <v>2</v>
      </c>
      <c r="R17" s="297">
        <v>6</v>
      </c>
      <c r="S17" s="297"/>
      <c r="T17" s="297">
        <v>6</v>
      </c>
    </row>
    <row r="18" spans="2:20" ht="30" customHeight="1" x14ac:dyDescent="0.25">
      <c r="B18" s="458" t="s">
        <v>773</v>
      </c>
      <c r="C18" s="458"/>
      <c r="D18" s="458"/>
      <c r="E18" s="458"/>
      <c r="F18" s="295"/>
      <c r="G18" s="296"/>
      <c r="H18" s="296"/>
      <c r="I18" s="296">
        <v>7</v>
      </c>
      <c r="J18" s="296">
        <v>41</v>
      </c>
      <c r="K18" s="296">
        <v>48</v>
      </c>
      <c r="L18" s="296"/>
      <c r="M18" s="296"/>
      <c r="N18" s="296"/>
      <c r="O18" s="296">
        <v>2</v>
      </c>
      <c r="P18" s="296">
        <v>6</v>
      </c>
      <c r="Q18" s="296">
        <v>8</v>
      </c>
      <c r="R18" s="297">
        <v>9</v>
      </c>
      <c r="S18" s="297">
        <v>47</v>
      </c>
      <c r="T18" s="297">
        <v>56</v>
      </c>
    </row>
    <row r="19" spans="2:20" ht="30" customHeight="1" x14ac:dyDescent="0.25">
      <c r="B19" s="458" t="s">
        <v>774</v>
      </c>
      <c r="C19" s="458"/>
      <c r="D19" s="458"/>
      <c r="E19" s="458"/>
      <c r="F19" s="295"/>
      <c r="G19" s="296"/>
      <c r="H19" s="296"/>
      <c r="I19" s="296"/>
      <c r="J19" s="296"/>
      <c r="K19" s="296"/>
      <c r="L19" s="296"/>
      <c r="M19" s="296"/>
      <c r="N19" s="296"/>
      <c r="O19" s="296">
        <v>19</v>
      </c>
      <c r="P19" s="296">
        <v>47</v>
      </c>
      <c r="Q19" s="296">
        <v>66</v>
      </c>
      <c r="R19" s="297">
        <v>19</v>
      </c>
      <c r="S19" s="297">
        <v>47</v>
      </c>
      <c r="T19" s="297">
        <v>66</v>
      </c>
    </row>
    <row r="20" spans="2:20" ht="30" customHeight="1" x14ac:dyDescent="0.25">
      <c r="B20" s="458" t="s">
        <v>775</v>
      </c>
      <c r="C20" s="458"/>
      <c r="D20" s="458"/>
      <c r="E20" s="458"/>
      <c r="F20" s="295"/>
      <c r="G20" s="296"/>
      <c r="H20" s="296"/>
      <c r="I20" s="296">
        <v>1</v>
      </c>
      <c r="J20" s="296"/>
      <c r="K20" s="296">
        <v>1</v>
      </c>
      <c r="L20" s="296"/>
      <c r="M20" s="296"/>
      <c r="N20" s="296"/>
      <c r="O20" s="296"/>
      <c r="P20" s="296"/>
      <c r="Q20" s="296"/>
      <c r="R20" s="297">
        <v>1</v>
      </c>
      <c r="S20" s="297"/>
      <c r="T20" s="297">
        <v>1</v>
      </c>
    </row>
    <row r="21" spans="2:20" x14ac:dyDescent="0.25">
      <c r="B21" s="458" t="s">
        <v>849</v>
      </c>
      <c r="C21" s="458"/>
      <c r="D21" s="458"/>
      <c r="E21" s="458"/>
      <c r="F21" s="295">
        <v>244</v>
      </c>
      <c r="G21" s="296">
        <v>86</v>
      </c>
      <c r="H21" s="296">
        <v>330</v>
      </c>
      <c r="I21" s="296"/>
      <c r="J21" s="296"/>
      <c r="K21" s="296"/>
      <c r="L21" s="296"/>
      <c r="M21" s="296"/>
      <c r="N21" s="296"/>
      <c r="O21" s="296"/>
      <c r="P21" s="296"/>
      <c r="Q21" s="296"/>
      <c r="R21" s="297">
        <v>244</v>
      </c>
      <c r="S21" s="297">
        <v>86</v>
      </c>
      <c r="T21" s="297">
        <v>330</v>
      </c>
    </row>
    <row r="22" spans="2:20" x14ac:dyDescent="0.25">
      <c r="B22" s="470" t="s">
        <v>850</v>
      </c>
      <c r="C22" s="471"/>
      <c r="D22" s="471"/>
      <c r="E22" s="472"/>
      <c r="F22" s="295">
        <v>37</v>
      </c>
      <c r="G22" s="296">
        <v>1</v>
      </c>
      <c r="H22" s="296">
        <v>38</v>
      </c>
      <c r="I22" s="296"/>
      <c r="J22" s="296">
        <v>1</v>
      </c>
      <c r="K22" s="296">
        <v>1</v>
      </c>
      <c r="L22" s="296"/>
      <c r="M22" s="296"/>
      <c r="N22" s="296"/>
      <c r="O22" s="296"/>
      <c r="P22" s="296"/>
      <c r="Q22" s="296"/>
      <c r="R22" s="297">
        <v>37</v>
      </c>
      <c r="S22" s="297">
        <v>2</v>
      </c>
      <c r="T22" s="297">
        <v>39</v>
      </c>
    </row>
    <row r="23" spans="2:20" x14ac:dyDescent="0.25">
      <c r="B23" s="458" t="s">
        <v>776</v>
      </c>
      <c r="C23" s="458"/>
      <c r="D23" s="458"/>
      <c r="E23" s="458"/>
      <c r="F23" s="295"/>
      <c r="G23" s="296"/>
      <c r="H23" s="296"/>
      <c r="I23" s="296">
        <v>21</v>
      </c>
      <c r="J23" s="296">
        <v>1</v>
      </c>
      <c r="K23" s="296">
        <v>22</v>
      </c>
      <c r="L23" s="296"/>
      <c r="M23" s="296">
        <v>1</v>
      </c>
      <c r="N23" s="296">
        <v>1</v>
      </c>
      <c r="O23" s="296"/>
      <c r="P23" s="296"/>
      <c r="Q23" s="296"/>
      <c r="R23" s="297">
        <v>21</v>
      </c>
      <c r="S23" s="297">
        <v>2</v>
      </c>
      <c r="T23" s="297">
        <v>23</v>
      </c>
    </row>
    <row r="24" spans="2:20" ht="30" customHeight="1" x14ac:dyDescent="0.25">
      <c r="B24" s="458" t="s">
        <v>778</v>
      </c>
      <c r="C24" s="458"/>
      <c r="D24" s="458"/>
      <c r="E24" s="458"/>
      <c r="F24" s="295">
        <v>4</v>
      </c>
      <c r="G24" s="296">
        <v>15</v>
      </c>
      <c r="H24" s="296">
        <v>19</v>
      </c>
      <c r="I24" s="296"/>
      <c r="J24" s="296">
        <v>1</v>
      </c>
      <c r="K24" s="296">
        <v>1</v>
      </c>
      <c r="L24" s="296"/>
      <c r="M24" s="296">
        <v>1</v>
      </c>
      <c r="N24" s="296">
        <v>1</v>
      </c>
      <c r="O24" s="296"/>
      <c r="P24" s="296"/>
      <c r="Q24" s="296"/>
      <c r="R24" s="297">
        <v>4</v>
      </c>
      <c r="S24" s="297">
        <v>17</v>
      </c>
      <c r="T24" s="297">
        <v>21</v>
      </c>
    </row>
    <row r="25" spans="2:20" x14ac:dyDescent="0.25">
      <c r="B25" s="458" t="s">
        <v>779</v>
      </c>
      <c r="C25" s="458"/>
      <c r="D25" s="458"/>
      <c r="E25" s="458"/>
      <c r="F25" s="295"/>
      <c r="G25" s="296"/>
      <c r="H25" s="296"/>
      <c r="I25" s="296"/>
      <c r="J25" s="296"/>
      <c r="K25" s="296"/>
      <c r="L25" s="296"/>
      <c r="M25" s="296"/>
      <c r="N25" s="296"/>
      <c r="O25" s="296">
        <v>1</v>
      </c>
      <c r="P25" s="296">
        <v>2</v>
      </c>
      <c r="Q25" s="296">
        <v>3</v>
      </c>
      <c r="R25" s="297">
        <v>1</v>
      </c>
      <c r="S25" s="297">
        <v>2</v>
      </c>
      <c r="T25" s="297">
        <v>3</v>
      </c>
    </row>
    <row r="26" spans="2:20" x14ac:dyDescent="0.25">
      <c r="B26" s="462" t="s">
        <v>25</v>
      </c>
      <c r="C26" s="462"/>
      <c r="D26" s="462"/>
      <c r="E26" s="462"/>
      <c r="F26" s="316">
        <v>486</v>
      </c>
      <c r="G26" s="294">
        <v>231</v>
      </c>
      <c r="H26" s="294">
        <v>717</v>
      </c>
      <c r="I26" s="294">
        <v>1364</v>
      </c>
      <c r="J26" s="294">
        <v>2129</v>
      </c>
      <c r="K26" s="294">
        <v>3493</v>
      </c>
      <c r="L26" s="294">
        <v>40</v>
      </c>
      <c r="M26" s="294">
        <v>15</v>
      </c>
      <c r="N26" s="294">
        <v>55</v>
      </c>
      <c r="O26" s="294">
        <v>46</v>
      </c>
      <c r="P26" s="294">
        <v>78</v>
      </c>
      <c r="Q26" s="294">
        <v>124</v>
      </c>
      <c r="R26" s="294">
        <v>1936</v>
      </c>
      <c r="S26" s="294">
        <v>2453</v>
      </c>
      <c r="T26" s="294">
        <v>4389</v>
      </c>
    </row>
    <row r="27" spans="2:20" ht="81" customHeight="1" x14ac:dyDescent="0.25">
      <c r="B27" s="428" t="s">
        <v>938</v>
      </c>
      <c r="C27" s="428"/>
      <c r="D27" s="428"/>
      <c r="E27" s="428"/>
      <c r="F27" s="428"/>
      <c r="G27" s="428"/>
      <c r="H27" s="428"/>
      <c r="I27" s="428"/>
      <c r="J27" s="428"/>
      <c r="K27" s="428"/>
      <c r="L27" s="428"/>
      <c r="M27" s="428"/>
      <c r="N27" s="428"/>
      <c r="O27" s="428"/>
      <c r="P27" s="428"/>
      <c r="Q27" s="428"/>
      <c r="R27" s="428"/>
      <c r="S27" s="428"/>
      <c r="T27" s="428"/>
    </row>
    <row r="29" spans="2:20" ht="18.75" x14ac:dyDescent="0.3">
      <c r="B29" s="461" t="s">
        <v>862</v>
      </c>
      <c r="C29" s="461"/>
      <c r="D29" s="461"/>
      <c r="E29" s="461"/>
      <c r="F29" s="461"/>
      <c r="G29" s="461"/>
      <c r="H29" s="461"/>
      <c r="I29" s="243"/>
      <c r="J29" s="243"/>
    </row>
    <row r="30" spans="2:20" x14ac:dyDescent="0.25">
      <c r="B30" s="15" t="s">
        <v>867</v>
      </c>
      <c r="C30" s="15"/>
      <c r="D30" s="15"/>
      <c r="E30" s="15"/>
      <c r="F30" s="15"/>
      <c r="G30" s="15"/>
      <c r="H30" s="15"/>
      <c r="I30" s="15"/>
      <c r="J30" s="15"/>
    </row>
    <row r="31" spans="2:20" x14ac:dyDescent="0.25">
      <c r="B31" s="15"/>
      <c r="C31" s="15"/>
      <c r="D31" s="15"/>
      <c r="E31" s="15"/>
      <c r="F31" s="15"/>
      <c r="G31" s="15"/>
      <c r="H31" s="15"/>
      <c r="I31" s="15"/>
      <c r="J31" s="15"/>
    </row>
    <row r="32" spans="2:20" ht="15" customHeight="1" x14ac:dyDescent="0.25">
      <c r="B32" s="3"/>
      <c r="C32" s="3"/>
      <c r="D32" s="3"/>
      <c r="E32" s="3"/>
      <c r="F32" s="414" t="s">
        <v>477</v>
      </c>
      <c r="G32" s="414"/>
      <c r="H32" s="414"/>
      <c r="I32" s="414"/>
      <c r="J32" s="414"/>
      <c r="K32" s="414"/>
      <c r="L32" s="414"/>
      <c r="M32" s="414"/>
      <c r="N32" s="414"/>
      <c r="O32" s="414"/>
      <c r="P32" s="414"/>
      <c r="Q32" s="414"/>
      <c r="R32" s="459" t="s">
        <v>940</v>
      </c>
      <c r="S32" s="459"/>
      <c r="T32" s="459"/>
    </row>
    <row r="33" spans="2:20" ht="17.25" x14ac:dyDescent="0.25">
      <c r="B33" s="439" t="s">
        <v>847</v>
      </c>
      <c r="C33" s="463"/>
      <c r="D33" s="463"/>
      <c r="E33" s="464"/>
      <c r="F33" s="460" t="s">
        <v>936</v>
      </c>
      <c r="G33" s="460"/>
      <c r="H33" s="460"/>
      <c r="I33" s="460" t="s">
        <v>937</v>
      </c>
      <c r="J33" s="460"/>
      <c r="K33" s="460"/>
      <c r="L33" s="460" t="s">
        <v>2</v>
      </c>
      <c r="M33" s="460"/>
      <c r="N33" s="460"/>
      <c r="O33" s="460" t="s">
        <v>3</v>
      </c>
      <c r="P33" s="460"/>
      <c r="Q33" s="460"/>
      <c r="R33" s="459"/>
      <c r="S33" s="459"/>
      <c r="T33" s="459"/>
    </row>
    <row r="34" spans="2:20" x14ac:dyDescent="0.25">
      <c r="B34" s="441"/>
      <c r="C34" s="465"/>
      <c r="D34" s="465"/>
      <c r="E34" s="466"/>
      <c r="F34" s="239" t="s">
        <v>73</v>
      </c>
      <c r="G34" s="239" t="s">
        <v>74</v>
      </c>
      <c r="H34" s="239" t="s">
        <v>25</v>
      </c>
      <c r="I34" s="239" t="s">
        <v>73</v>
      </c>
      <c r="J34" s="239" t="s">
        <v>74</v>
      </c>
      <c r="K34" s="239" t="s">
        <v>25</v>
      </c>
      <c r="L34" s="239" t="s">
        <v>73</v>
      </c>
      <c r="M34" s="239" t="s">
        <v>74</v>
      </c>
      <c r="N34" s="239" t="s">
        <v>25</v>
      </c>
      <c r="O34" s="239" t="s">
        <v>73</v>
      </c>
      <c r="P34" s="239" t="s">
        <v>74</v>
      </c>
      <c r="Q34" s="239" t="s">
        <v>25</v>
      </c>
      <c r="R34" s="293" t="s">
        <v>73</v>
      </c>
      <c r="S34" s="293" t="s">
        <v>74</v>
      </c>
      <c r="T34" s="293" t="s">
        <v>25</v>
      </c>
    </row>
    <row r="35" spans="2:20" x14ac:dyDescent="0.25">
      <c r="B35" s="467" t="s">
        <v>766</v>
      </c>
      <c r="C35" s="468"/>
      <c r="D35" s="468"/>
      <c r="E35" s="469"/>
      <c r="F35" s="356"/>
      <c r="G35" s="356"/>
      <c r="H35" s="356"/>
      <c r="I35" s="356"/>
      <c r="J35" s="356"/>
      <c r="K35" s="356"/>
      <c r="L35" s="356"/>
      <c r="M35" s="356"/>
      <c r="N35" s="356"/>
      <c r="O35" s="356">
        <v>211</v>
      </c>
      <c r="P35" s="356">
        <v>42</v>
      </c>
      <c r="Q35" s="356">
        <v>253</v>
      </c>
      <c r="R35" s="372">
        <v>211</v>
      </c>
      <c r="S35" s="372">
        <v>42</v>
      </c>
      <c r="T35" s="373">
        <v>253</v>
      </c>
    </row>
    <row r="36" spans="2:20" x14ac:dyDescent="0.25">
      <c r="B36" s="467" t="s">
        <v>767</v>
      </c>
      <c r="C36" s="468"/>
      <c r="D36" s="468"/>
      <c r="E36" s="469"/>
      <c r="F36" s="356">
        <v>1450</v>
      </c>
      <c r="G36" s="356">
        <v>1208</v>
      </c>
      <c r="H36" s="356">
        <v>2658</v>
      </c>
      <c r="I36" s="356">
        <v>2970</v>
      </c>
      <c r="J36" s="356">
        <v>1659</v>
      </c>
      <c r="K36" s="356">
        <v>4629</v>
      </c>
      <c r="L36" s="356"/>
      <c r="M36" s="356"/>
      <c r="N36" s="356"/>
      <c r="O36" s="356"/>
      <c r="P36" s="356"/>
      <c r="Q36" s="356"/>
      <c r="R36" s="372">
        <v>4420</v>
      </c>
      <c r="S36" s="372">
        <v>2867</v>
      </c>
      <c r="T36" s="373">
        <v>7287</v>
      </c>
    </row>
    <row r="37" spans="2:20" x14ac:dyDescent="0.25">
      <c r="B37" s="467" t="s">
        <v>768</v>
      </c>
      <c r="C37" s="468"/>
      <c r="D37" s="468"/>
      <c r="E37" s="469"/>
      <c r="F37" s="356">
        <v>226</v>
      </c>
      <c r="G37" s="356">
        <v>171</v>
      </c>
      <c r="H37" s="356">
        <v>397</v>
      </c>
      <c r="I37" s="356">
        <v>137</v>
      </c>
      <c r="J37" s="356">
        <v>94</v>
      </c>
      <c r="K37" s="356">
        <v>231</v>
      </c>
      <c r="L37" s="356"/>
      <c r="M37" s="356"/>
      <c r="N37" s="356"/>
      <c r="O37" s="356"/>
      <c r="P37" s="356"/>
      <c r="Q37" s="356"/>
      <c r="R37" s="372">
        <v>363</v>
      </c>
      <c r="S37" s="372">
        <v>265</v>
      </c>
      <c r="T37" s="373">
        <v>628</v>
      </c>
    </row>
    <row r="38" spans="2:20" x14ac:dyDescent="0.25">
      <c r="B38" s="467" t="s">
        <v>848</v>
      </c>
      <c r="C38" s="468"/>
      <c r="D38" s="468"/>
      <c r="E38" s="469"/>
      <c r="F38" s="356"/>
      <c r="G38" s="356"/>
      <c r="H38" s="356"/>
      <c r="I38" s="356"/>
      <c r="J38" s="356"/>
      <c r="K38" s="356"/>
      <c r="L38" s="356">
        <v>194</v>
      </c>
      <c r="M38" s="356">
        <v>110</v>
      </c>
      <c r="N38" s="356">
        <v>304</v>
      </c>
      <c r="O38" s="356">
        <v>41</v>
      </c>
      <c r="P38" s="356">
        <v>33</v>
      </c>
      <c r="Q38" s="356">
        <v>74</v>
      </c>
      <c r="R38" s="372">
        <v>235</v>
      </c>
      <c r="S38" s="372">
        <v>143</v>
      </c>
      <c r="T38" s="373">
        <v>378</v>
      </c>
    </row>
    <row r="39" spans="2:20" x14ac:dyDescent="0.25">
      <c r="B39" s="467" t="s">
        <v>769</v>
      </c>
      <c r="C39" s="468"/>
      <c r="D39" s="468"/>
      <c r="E39" s="469"/>
      <c r="F39" s="356"/>
      <c r="G39" s="356"/>
      <c r="H39" s="356"/>
      <c r="I39" s="356">
        <v>9374</v>
      </c>
      <c r="J39" s="356">
        <v>14006</v>
      </c>
      <c r="K39" s="356">
        <v>23380</v>
      </c>
      <c r="L39" s="356">
        <v>59</v>
      </c>
      <c r="M39" s="356">
        <v>15</v>
      </c>
      <c r="N39" s="356">
        <v>74</v>
      </c>
      <c r="O39" s="356">
        <v>32</v>
      </c>
      <c r="P39" s="356">
        <v>75</v>
      </c>
      <c r="Q39" s="356">
        <v>107</v>
      </c>
      <c r="R39" s="372">
        <v>9465</v>
      </c>
      <c r="S39" s="372">
        <v>14096</v>
      </c>
      <c r="T39" s="373">
        <v>23561</v>
      </c>
    </row>
    <row r="40" spans="2:20" x14ac:dyDescent="0.25">
      <c r="B40" s="467" t="s">
        <v>770</v>
      </c>
      <c r="C40" s="468"/>
      <c r="D40" s="468"/>
      <c r="E40" s="469"/>
      <c r="F40" s="356">
        <v>55</v>
      </c>
      <c r="G40" s="356">
        <v>64</v>
      </c>
      <c r="H40" s="356">
        <v>119</v>
      </c>
      <c r="I40" s="356">
        <v>30</v>
      </c>
      <c r="J40" s="356">
        <v>53</v>
      </c>
      <c r="K40" s="356">
        <v>83</v>
      </c>
      <c r="L40" s="356">
        <v>11</v>
      </c>
      <c r="M40" s="356">
        <v>3</v>
      </c>
      <c r="N40" s="356">
        <v>14</v>
      </c>
      <c r="O40" s="356">
        <v>1</v>
      </c>
      <c r="P40" s="356"/>
      <c r="Q40" s="356">
        <v>1</v>
      </c>
      <c r="R40" s="372">
        <v>97</v>
      </c>
      <c r="S40" s="372">
        <v>120</v>
      </c>
      <c r="T40" s="373">
        <v>217</v>
      </c>
    </row>
    <row r="41" spans="2:20" x14ac:dyDescent="0.25">
      <c r="B41" s="467" t="s">
        <v>771</v>
      </c>
      <c r="C41" s="468"/>
      <c r="D41" s="468"/>
      <c r="E41" s="469"/>
      <c r="F41" s="356"/>
      <c r="G41" s="356"/>
      <c r="H41" s="356"/>
      <c r="I41" s="356"/>
      <c r="J41" s="356">
        <v>2</v>
      </c>
      <c r="K41" s="356">
        <v>2</v>
      </c>
      <c r="L41" s="356">
        <v>1</v>
      </c>
      <c r="M41" s="356"/>
      <c r="N41" s="356">
        <v>1</v>
      </c>
      <c r="O41" s="356">
        <v>208</v>
      </c>
      <c r="P41" s="356">
        <v>256</v>
      </c>
      <c r="Q41" s="356">
        <v>464</v>
      </c>
      <c r="R41" s="372">
        <v>209</v>
      </c>
      <c r="S41" s="372">
        <v>258</v>
      </c>
      <c r="T41" s="373">
        <v>467</v>
      </c>
    </row>
    <row r="42" spans="2:20" x14ac:dyDescent="0.25">
      <c r="B42" s="467" t="s">
        <v>772</v>
      </c>
      <c r="C42" s="468"/>
      <c r="D42" s="468"/>
      <c r="E42" s="469"/>
      <c r="F42" s="356"/>
      <c r="G42" s="356"/>
      <c r="H42" s="356"/>
      <c r="I42" s="356"/>
      <c r="J42" s="356"/>
      <c r="K42" s="356"/>
      <c r="L42" s="356">
        <v>4248</v>
      </c>
      <c r="M42" s="356">
        <v>997</v>
      </c>
      <c r="N42" s="356">
        <v>5245</v>
      </c>
      <c r="O42" s="356">
        <v>127</v>
      </c>
      <c r="P42" s="356">
        <v>16</v>
      </c>
      <c r="Q42" s="356">
        <v>143</v>
      </c>
      <c r="R42" s="372">
        <v>4375</v>
      </c>
      <c r="S42" s="372">
        <v>1013</v>
      </c>
      <c r="T42" s="373">
        <v>5388</v>
      </c>
    </row>
    <row r="43" spans="2:20" x14ac:dyDescent="0.25">
      <c r="B43" s="467" t="s">
        <v>773</v>
      </c>
      <c r="C43" s="468"/>
      <c r="D43" s="468"/>
      <c r="E43" s="469"/>
      <c r="F43" s="356"/>
      <c r="G43" s="356">
        <v>4</v>
      </c>
      <c r="H43" s="356">
        <v>4</v>
      </c>
      <c r="I43" s="356">
        <v>47</v>
      </c>
      <c r="J43" s="356">
        <v>209</v>
      </c>
      <c r="K43" s="356">
        <v>256</v>
      </c>
      <c r="L43" s="356"/>
      <c r="M43" s="356"/>
      <c r="N43" s="356"/>
      <c r="O43" s="356">
        <v>13</v>
      </c>
      <c r="P43" s="356">
        <v>31</v>
      </c>
      <c r="Q43" s="356">
        <v>44</v>
      </c>
      <c r="R43" s="372">
        <v>60</v>
      </c>
      <c r="S43" s="372">
        <v>244</v>
      </c>
      <c r="T43" s="373">
        <v>304</v>
      </c>
    </row>
    <row r="44" spans="2:20" x14ac:dyDescent="0.25">
      <c r="B44" s="467" t="s">
        <v>774</v>
      </c>
      <c r="C44" s="468"/>
      <c r="D44" s="468"/>
      <c r="E44" s="469"/>
      <c r="F44" s="356"/>
      <c r="G44" s="356"/>
      <c r="H44" s="356"/>
      <c r="I44" s="356"/>
      <c r="J44" s="356"/>
      <c r="K44" s="356"/>
      <c r="L44" s="356"/>
      <c r="M44" s="356"/>
      <c r="N44" s="356"/>
      <c r="O44" s="356">
        <v>119</v>
      </c>
      <c r="P44" s="356">
        <v>332</v>
      </c>
      <c r="Q44" s="356">
        <v>451</v>
      </c>
      <c r="R44" s="372">
        <v>119</v>
      </c>
      <c r="S44" s="372">
        <v>332</v>
      </c>
      <c r="T44" s="373">
        <v>451</v>
      </c>
    </row>
    <row r="45" spans="2:20" x14ac:dyDescent="0.25">
      <c r="B45" s="467" t="s">
        <v>775</v>
      </c>
      <c r="C45" s="468"/>
      <c r="D45" s="468"/>
      <c r="E45" s="469"/>
      <c r="F45" s="356">
        <v>4</v>
      </c>
      <c r="G45" s="356"/>
      <c r="H45" s="356">
        <v>4</v>
      </c>
      <c r="I45" s="356">
        <v>3</v>
      </c>
      <c r="J45" s="356"/>
      <c r="K45" s="356">
        <v>3</v>
      </c>
      <c r="L45" s="356"/>
      <c r="M45" s="356"/>
      <c r="N45" s="356"/>
      <c r="O45" s="356">
        <v>1</v>
      </c>
      <c r="P45" s="356">
        <v>1</v>
      </c>
      <c r="Q45" s="356">
        <v>2</v>
      </c>
      <c r="R45" s="372">
        <v>8</v>
      </c>
      <c r="S45" s="372">
        <v>1</v>
      </c>
      <c r="T45" s="373">
        <v>9</v>
      </c>
    </row>
    <row r="46" spans="2:20" x14ac:dyDescent="0.25">
      <c r="B46" s="467" t="s">
        <v>849</v>
      </c>
      <c r="C46" s="468"/>
      <c r="D46" s="468"/>
      <c r="E46" s="469"/>
      <c r="F46" s="356">
        <v>460</v>
      </c>
      <c r="G46" s="356">
        <v>187</v>
      </c>
      <c r="H46" s="356">
        <v>647</v>
      </c>
      <c r="I46" s="356">
        <v>4</v>
      </c>
      <c r="J46" s="356">
        <v>2</v>
      </c>
      <c r="K46" s="356">
        <v>6</v>
      </c>
      <c r="L46" s="356"/>
      <c r="M46" s="356"/>
      <c r="N46" s="356"/>
      <c r="O46" s="356"/>
      <c r="P46" s="356"/>
      <c r="Q46" s="356"/>
      <c r="R46" s="372">
        <v>464</v>
      </c>
      <c r="S46" s="372">
        <v>189</v>
      </c>
      <c r="T46" s="373">
        <v>653</v>
      </c>
    </row>
    <row r="47" spans="2:20" x14ac:dyDescent="0.25">
      <c r="B47" s="467" t="s">
        <v>850</v>
      </c>
      <c r="C47" s="468"/>
      <c r="D47" s="468"/>
      <c r="E47" s="469"/>
      <c r="F47" s="356">
        <v>78</v>
      </c>
      <c r="G47" s="356">
        <v>17</v>
      </c>
      <c r="H47" s="356">
        <v>95</v>
      </c>
      <c r="I47" s="356"/>
      <c r="J47" s="356">
        <v>5</v>
      </c>
      <c r="K47" s="356">
        <v>5</v>
      </c>
      <c r="L47" s="356"/>
      <c r="M47" s="356"/>
      <c r="N47" s="356"/>
      <c r="O47" s="356"/>
      <c r="P47" s="356"/>
      <c r="Q47" s="356"/>
      <c r="R47" s="372">
        <v>78</v>
      </c>
      <c r="S47" s="372">
        <v>22</v>
      </c>
      <c r="T47" s="373">
        <v>100</v>
      </c>
    </row>
    <row r="48" spans="2:20" x14ac:dyDescent="0.25">
      <c r="B48" s="467" t="s">
        <v>776</v>
      </c>
      <c r="C48" s="468"/>
      <c r="D48" s="468"/>
      <c r="E48" s="469"/>
      <c r="F48" s="356">
        <v>2</v>
      </c>
      <c r="G48" s="356">
        <v>1</v>
      </c>
      <c r="H48" s="356">
        <v>3</v>
      </c>
      <c r="I48" s="356">
        <v>28</v>
      </c>
      <c r="J48" s="356">
        <v>6</v>
      </c>
      <c r="K48" s="356">
        <v>34</v>
      </c>
      <c r="L48" s="356">
        <v>1</v>
      </c>
      <c r="M48" s="356">
        <v>6</v>
      </c>
      <c r="N48" s="356">
        <v>7</v>
      </c>
      <c r="O48" s="356"/>
      <c r="P48" s="356"/>
      <c r="Q48" s="356"/>
      <c r="R48" s="372">
        <v>31</v>
      </c>
      <c r="S48" s="372">
        <v>13</v>
      </c>
      <c r="T48" s="373">
        <v>44</v>
      </c>
    </row>
    <row r="49" spans="2:23" x14ac:dyDescent="0.25">
      <c r="B49" s="467" t="s">
        <v>777</v>
      </c>
      <c r="C49" s="468"/>
      <c r="D49" s="468"/>
      <c r="E49" s="469"/>
      <c r="F49" s="356"/>
      <c r="G49" s="356"/>
      <c r="H49" s="356"/>
      <c r="I49" s="356">
        <v>1</v>
      </c>
      <c r="J49" s="356">
        <v>3</v>
      </c>
      <c r="K49" s="356">
        <v>4</v>
      </c>
      <c r="L49" s="356"/>
      <c r="M49" s="356"/>
      <c r="N49" s="356"/>
      <c r="O49" s="356">
        <v>4</v>
      </c>
      <c r="P49" s="356">
        <v>3</v>
      </c>
      <c r="Q49" s="356">
        <v>7</v>
      </c>
      <c r="R49" s="372">
        <v>5</v>
      </c>
      <c r="S49" s="372">
        <v>6</v>
      </c>
      <c r="T49" s="373">
        <v>11</v>
      </c>
    </row>
    <row r="50" spans="2:23" x14ac:dyDescent="0.25">
      <c r="B50" s="467" t="s">
        <v>851</v>
      </c>
      <c r="C50" s="468"/>
      <c r="D50" s="468"/>
      <c r="E50" s="469"/>
      <c r="F50" s="356"/>
      <c r="G50" s="356"/>
      <c r="H50" s="356"/>
      <c r="I50" s="356"/>
      <c r="J50" s="356"/>
      <c r="K50" s="356"/>
      <c r="L50" s="356"/>
      <c r="M50" s="356"/>
      <c r="N50" s="356"/>
      <c r="O50" s="356">
        <v>1</v>
      </c>
      <c r="P50" s="356"/>
      <c r="Q50" s="356">
        <v>1</v>
      </c>
      <c r="R50" s="372">
        <v>1</v>
      </c>
      <c r="S50" s="372"/>
      <c r="T50" s="373">
        <v>1</v>
      </c>
    </row>
    <row r="51" spans="2:23" x14ac:dyDescent="0.25">
      <c r="B51" s="467" t="s">
        <v>814</v>
      </c>
      <c r="C51" s="468"/>
      <c r="D51" s="468"/>
      <c r="E51" s="469"/>
      <c r="F51" s="356"/>
      <c r="G51" s="356"/>
      <c r="H51" s="356"/>
      <c r="I51" s="356"/>
      <c r="J51" s="356"/>
      <c r="K51" s="356"/>
      <c r="L51" s="356"/>
      <c r="M51" s="356"/>
      <c r="N51" s="356"/>
      <c r="O51" s="356">
        <v>2</v>
      </c>
      <c r="P51" s="356">
        <v>2</v>
      </c>
      <c r="Q51" s="356">
        <v>4</v>
      </c>
      <c r="R51" s="372">
        <v>2</v>
      </c>
      <c r="S51" s="372">
        <v>2</v>
      </c>
      <c r="T51" s="373">
        <v>4</v>
      </c>
    </row>
    <row r="52" spans="2:23" x14ac:dyDescent="0.25">
      <c r="B52" s="467" t="s">
        <v>778</v>
      </c>
      <c r="C52" s="468"/>
      <c r="D52" s="468"/>
      <c r="E52" s="469"/>
      <c r="F52" s="356">
        <v>19</v>
      </c>
      <c r="G52" s="356">
        <v>73</v>
      </c>
      <c r="H52" s="356">
        <v>92</v>
      </c>
      <c r="I52" s="356">
        <v>4</v>
      </c>
      <c r="J52" s="356">
        <v>22</v>
      </c>
      <c r="K52" s="356">
        <v>26</v>
      </c>
      <c r="L52" s="356">
        <v>1</v>
      </c>
      <c r="M52" s="356">
        <v>4</v>
      </c>
      <c r="N52" s="356">
        <v>5</v>
      </c>
      <c r="O52" s="356"/>
      <c r="P52" s="356"/>
      <c r="Q52" s="356"/>
      <c r="R52" s="372">
        <v>24</v>
      </c>
      <c r="S52" s="372">
        <v>99</v>
      </c>
      <c r="T52" s="373">
        <v>123</v>
      </c>
    </row>
    <row r="53" spans="2:23" x14ac:dyDescent="0.25">
      <c r="B53" s="467" t="s">
        <v>779</v>
      </c>
      <c r="C53" s="468"/>
      <c r="D53" s="468"/>
      <c r="E53" s="469"/>
      <c r="F53" s="272">
        <v>1</v>
      </c>
      <c r="G53" s="272"/>
      <c r="H53" s="272">
        <v>1</v>
      </c>
      <c r="I53" s="272"/>
      <c r="J53" s="272"/>
      <c r="K53" s="272"/>
      <c r="L53" s="272"/>
      <c r="M53" s="272"/>
      <c r="N53" s="272"/>
      <c r="O53" s="272">
        <v>8</v>
      </c>
      <c r="P53" s="272">
        <v>9</v>
      </c>
      <c r="Q53" s="356">
        <v>17</v>
      </c>
      <c r="R53" s="294">
        <v>9</v>
      </c>
      <c r="S53" s="372">
        <v>9</v>
      </c>
      <c r="T53" s="373">
        <v>18</v>
      </c>
    </row>
    <row r="54" spans="2:23" x14ac:dyDescent="0.25">
      <c r="B54" s="473" t="s">
        <v>25</v>
      </c>
      <c r="C54" s="473"/>
      <c r="D54" s="473"/>
      <c r="E54" s="473"/>
      <c r="F54" s="372">
        <v>2295</v>
      </c>
      <c r="G54" s="372">
        <v>1725</v>
      </c>
      <c r="H54" s="372">
        <v>4020</v>
      </c>
      <c r="I54" s="372">
        <v>12598</v>
      </c>
      <c r="J54" s="372">
        <v>16061</v>
      </c>
      <c r="K54" s="372">
        <v>28659</v>
      </c>
      <c r="L54" s="372">
        <v>4515</v>
      </c>
      <c r="M54" s="372">
        <v>1135</v>
      </c>
      <c r="N54" s="372">
        <v>5650</v>
      </c>
      <c r="O54" s="372">
        <v>768</v>
      </c>
      <c r="P54" s="372">
        <v>800</v>
      </c>
      <c r="Q54" s="372">
        <v>1568</v>
      </c>
      <c r="R54" s="372">
        <v>20176</v>
      </c>
      <c r="S54" s="372">
        <v>19721</v>
      </c>
      <c r="T54" s="373">
        <v>39897</v>
      </c>
    </row>
    <row r="55" spans="2:23" ht="82.5" customHeight="1" x14ac:dyDescent="0.25">
      <c r="B55" s="428" t="s">
        <v>938</v>
      </c>
      <c r="C55" s="428"/>
      <c r="D55" s="428"/>
      <c r="E55" s="428"/>
      <c r="F55" s="428"/>
      <c r="G55" s="428"/>
      <c r="H55" s="428"/>
      <c r="I55" s="428"/>
      <c r="J55" s="428"/>
      <c r="K55" s="428"/>
      <c r="L55" s="428"/>
      <c r="M55" s="428"/>
      <c r="N55" s="428"/>
      <c r="O55" s="428"/>
      <c r="P55" s="428"/>
      <c r="Q55" s="428"/>
      <c r="R55" s="428"/>
      <c r="S55" s="428"/>
      <c r="T55" s="428"/>
    </row>
    <row r="57" spans="2:23" ht="18.75" x14ac:dyDescent="0.3">
      <c r="B57" s="461" t="s">
        <v>785</v>
      </c>
      <c r="C57" s="461"/>
      <c r="D57" s="461"/>
      <c r="E57" s="461"/>
      <c r="F57" s="461"/>
      <c r="G57" s="461"/>
      <c r="H57" s="461"/>
    </row>
    <row r="58" spans="2:23" x14ac:dyDescent="0.25">
      <c r="B58" s="457" t="s">
        <v>868</v>
      </c>
      <c r="C58" s="457"/>
      <c r="D58" s="457"/>
      <c r="E58" s="457"/>
      <c r="F58" s="457"/>
      <c r="G58" s="457"/>
      <c r="H58" s="457"/>
    </row>
    <row r="59" spans="2:23" x14ac:dyDescent="0.25">
      <c r="B59" s="3"/>
      <c r="C59" s="3"/>
      <c r="D59" s="3"/>
      <c r="E59" s="3"/>
      <c r="F59" s="3"/>
      <c r="G59" s="3"/>
      <c r="H59" s="3"/>
    </row>
    <row r="60" spans="2:23" x14ac:dyDescent="0.25">
      <c r="B60" s="435" t="s">
        <v>472</v>
      </c>
      <c r="C60" s="436" t="s">
        <v>477</v>
      </c>
      <c r="D60" s="437"/>
      <c r="E60" s="437"/>
      <c r="F60" s="437"/>
      <c r="G60" s="437"/>
      <c r="H60" s="437"/>
      <c r="I60" s="437"/>
      <c r="J60" s="437"/>
      <c r="K60" s="437"/>
      <c r="L60" s="437"/>
      <c r="M60" s="437"/>
      <c r="N60" s="437"/>
      <c r="O60" s="437"/>
      <c r="P60" s="437"/>
      <c r="Q60" s="437"/>
      <c r="R60" s="437"/>
      <c r="S60" s="437"/>
      <c r="T60" s="438"/>
      <c r="U60" s="432" t="s">
        <v>940</v>
      </c>
      <c r="V60" s="432"/>
      <c r="W60" s="432"/>
    </row>
    <row r="61" spans="2:23" x14ac:dyDescent="0.25">
      <c r="B61" s="435"/>
      <c r="C61" s="434" t="s">
        <v>936</v>
      </c>
      <c r="D61" s="434"/>
      <c r="E61" s="434"/>
      <c r="F61" s="434" t="s">
        <v>937</v>
      </c>
      <c r="G61" s="434"/>
      <c r="H61" s="434"/>
      <c r="I61" s="434" t="s">
        <v>942</v>
      </c>
      <c r="J61" s="434"/>
      <c r="K61" s="434"/>
      <c r="L61" s="434" t="s">
        <v>2</v>
      </c>
      <c r="M61" s="434"/>
      <c r="N61" s="434"/>
      <c r="O61" s="434" t="s">
        <v>941</v>
      </c>
      <c r="P61" s="434"/>
      <c r="Q61" s="434"/>
      <c r="R61" s="434" t="s">
        <v>3</v>
      </c>
      <c r="S61" s="434"/>
      <c r="T61" s="434"/>
      <c r="U61" s="432"/>
      <c r="V61" s="432"/>
      <c r="W61" s="432"/>
    </row>
    <row r="62" spans="2:23" x14ac:dyDescent="0.25">
      <c r="B62" s="435"/>
      <c r="C62" s="238" t="s">
        <v>73</v>
      </c>
      <c r="D62" s="238" t="s">
        <v>74</v>
      </c>
      <c r="E62" s="238" t="s">
        <v>25</v>
      </c>
      <c r="F62" s="238" t="s">
        <v>73</v>
      </c>
      <c r="G62" s="238" t="s">
        <v>74</v>
      </c>
      <c r="H62" s="238" t="s">
        <v>25</v>
      </c>
      <c r="I62" s="238" t="s">
        <v>73</v>
      </c>
      <c r="J62" s="238" t="s">
        <v>74</v>
      </c>
      <c r="K62" s="238" t="s">
        <v>25</v>
      </c>
      <c r="L62" s="238" t="s">
        <v>73</v>
      </c>
      <c r="M62" s="238" t="s">
        <v>74</v>
      </c>
      <c r="N62" s="238" t="s">
        <v>25</v>
      </c>
      <c r="O62" s="238" t="s">
        <v>73</v>
      </c>
      <c r="P62" s="238" t="s">
        <v>74</v>
      </c>
      <c r="Q62" s="238" t="s">
        <v>25</v>
      </c>
      <c r="R62" s="238" t="s">
        <v>73</v>
      </c>
      <c r="S62" s="238" t="s">
        <v>74</v>
      </c>
      <c r="T62" s="238" t="s">
        <v>25</v>
      </c>
      <c r="U62" s="300" t="s">
        <v>73</v>
      </c>
      <c r="V62" s="300" t="s">
        <v>74</v>
      </c>
      <c r="W62" s="300" t="s">
        <v>25</v>
      </c>
    </row>
    <row r="63" spans="2:23" outlineLevel="1" x14ac:dyDescent="0.25">
      <c r="B63" s="328">
        <v>39630</v>
      </c>
      <c r="C63" s="331"/>
      <c r="D63" s="331"/>
      <c r="E63" s="331"/>
      <c r="F63" s="331"/>
      <c r="G63" s="331"/>
      <c r="H63" s="331"/>
      <c r="I63" s="331">
        <v>208</v>
      </c>
      <c r="J63" s="331">
        <v>88</v>
      </c>
      <c r="K63" s="331">
        <v>296</v>
      </c>
      <c r="L63" s="331">
        <v>3789</v>
      </c>
      <c r="M63" s="331">
        <v>504</v>
      </c>
      <c r="N63" s="331">
        <v>4293</v>
      </c>
      <c r="O63" s="331">
        <v>653</v>
      </c>
      <c r="P63" s="331">
        <v>391</v>
      </c>
      <c r="Q63" s="331">
        <v>1044</v>
      </c>
      <c r="R63" s="331">
        <v>1055</v>
      </c>
      <c r="S63" s="331">
        <v>474</v>
      </c>
      <c r="T63" s="331">
        <v>1529</v>
      </c>
      <c r="U63" s="329">
        <v>5705</v>
      </c>
      <c r="V63" s="329">
        <v>1457</v>
      </c>
      <c r="W63" s="329">
        <v>7162</v>
      </c>
    </row>
    <row r="64" spans="2:23" outlineLevel="1" x14ac:dyDescent="0.25">
      <c r="B64" s="328">
        <v>39661</v>
      </c>
      <c r="C64" s="331"/>
      <c r="D64" s="331"/>
      <c r="E64" s="331"/>
      <c r="F64" s="331"/>
      <c r="G64" s="331"/>
      <c r="H64" s="331"/>
      <c r="I64" s="331">
        <v>152</v>
      </c>
      <c r="J64" s="331">
        <v>33</v>
      </c>
      <c r="K64" s="331">
        <v>185</v>
      </c>
      <c r="L64" s="331">
        <v>3042</v>
      </c>
      <c r="M64" s="331">
        <v>485</v>
      </c>
      <c r="N64" s="331">
        <v>3527</v>
      </c>
      <c r="O64" s="331">
        <v>305</v>
      </c>
      <c r="P64" s="331">
        <v>252</v>
      </c>
      <c r="Q64" s="331">
        <v>557</v>
      </c>
      <c r="R64" s="331">
        <v>864</v>
      </c>
      <c r="S64" s="331">
        <v>468</v>
      </c>
      <c r="T64" s="331">
        <v>1332</v>
      </c>
      <c r="U64" s="329">
        <v>4363</v>
      </c>
      <c r="V64" s="329">
        <v>1238</v>
      </c>
      <c r="W64" s="329">
        <v>5601</v>
      </c>
    </row>
    <row r="65" spans="2:23" outlineLevel="1" x14ac:dyDescent="0.25">
      <c r="B65" s="328">
        <v>39692</v>
      </c>
      <c r="C65" s="331"/>
      <c r="D65" s="331"/>
      <c r="E65" s="331"/>
      <c r="F65" s="331"/>
      <c r="G65" s="331"/>
      <c r="H65" s="331"/>
      <c r="I65" s="331">
        <v>70</v>
      </c>
      <c r="J65" s="331">
        <v>35</v>
      </c>
      <c r="K65" s="331">
        <v>105</v>
      </c>
      <c r="L65" s="331">
        <v>2100</v>
      </c>
      <c r="M65" s="331">
        <v>349</v>
      </c>
      <c r="N65" s="331">
        <v>2449</v>
      </c>
      <c r="O65" s="331">
        <v>286</v>
      </c>
      <c r="P65" s="331">
        <v>250</v>
      </c>
      <c r="Q65" s="331">
        <v>536</v>
      </c>
      <c r="R65" s="331">
        <v>447</v>
      </c>
      <c r="S65" s="331">
        <v>209</v>
      </c>
      <c r="T65" s="331">
        <v>656</v>
      </c>
      <c r="U65" s="329">
        <v>2903</v>
      </c>
      <c r="V65" s="329">
        <v>843</v>
      </c>
      <c r="W65" s="329">
        <v>3746</v>
      </c>
    </row>
    <row r="66" spans="2:23" outlineLevel="1" x14ac:dyDescent="0.25">
      <c r="B66" s="328">
        <v>39722</v>
      </c>
      <c r="C66" s="331"/>
      <c r="D66" s="331"/>
      <c r="E66" s="331"/>
      <c r="F66" s="331"/>
      <c r="G66" s="331"/>
      <c r="H66" s="331"/>
      <c r="I66" s="331">
        <v>84</v>
      </c>
      <c r="J66" s="331">
        <v>20</v>
      </c>
      <c r="K66" s="331">
        <v>104</v>
      </c>
      <c r="L66" s="331">
        <v>2211</v>
      </c>
      <c r="M66" s="331">
        <v>383</v>
      </c>
      <c r="N66" s="331">
        <v>2594</v>
      </c>
      <c r="O66" s="331">
        <v>237</v>
      </c>
      <c r="P66" s="331">
        <v>243</v>
      </c>
      <c r="Q66" s="331">
        <v>480</v>
      </c>
      <c r="R66" s="331">
        <v>244</v>
      </c>
      <c r="S66" s="331">
        <v>106</v>
      </c>
      <c r="T66" s="331">
        <v>350</v>
      </c>
      <c r="U66" s="329">
        <v>2776</v>
      </c>
      <c r="V66" s="329">
        <v>752</v>
      </c>
      <c r="W66" s="329">
        <v>3528</v>
      </c>
    </row>
    <row r="67" spans="2:23" outlineLevel="1" x14ac:dyDescent="0.25">
      <c r="B67" s="328">
        <v>39753</v>
      </c>
      <c r="C67" s="331"/>
      <c r="D67" s="331"/>
      <c r="E67" s="331"/>
      <c r="F67" s="331"/>
      <c r="G67" s="331"/>
      <c r="H67" s="331"/>
      <c r="I67" s="331">
        <v>38</v>
      </c>
      <c r="J67" s="331">
        <v>21</v>
      </c>
      <c r="K67" s="331">
        <v>59</v>
      </c>
      <c r="L67" s="331">
        <v>1227</v>
      </c>
      <c r="M67" s="331">
        <v>216</v>
      </c>
      <c r="N67" s="331">
        <v>1443</v>
      </c>
      <c r="O67" s="331">
        <v>157</v>
      </c>
      <c r="P67" s="331">
        <v>129</v>
      </c>
      <c r="Q67" s="331">
        <v>286</v>
      </c>
      <c r="R67" s="331">
        <v>227</v>
      </c>
      <c r="S67" s="331">
        <v>79</v>
      </c>
      <c r="T67" s="331">
        <v>306</v>
      </c>
      <c r="U67" s="329">
        <v>1649</v>
      </c>
      <c r="V67" s="329">
        <v>445</v>
      </c>
      <c r="W67" s="329">
        <v>2094</v>
      </c>
    </row>
    <row r="68" spans="2:23" outlineLevel="1" x14ac:dyDescent="0.25">
      <c r="B68" s="328">
        <v>39783</v>
      </c>
      <c r="C68" s="331"/>
      <c r="D68" s="331"/>
      <c r="E68" s="331"/>
      <c r="F68" s="331"/>
      <c r="G68" s="331"/>
      <c r="H68" s="331"/>
      <c r="I68" s="331">
        <v>11</v>
      </c>
      <c r="J68" s="331">
        <v>4</v>
      </c>
      <c r="K68" s="331">
        <v>15</v>
      </c>
      <c r="L68" s="331">
        <v>1157</v>
      </c>
      <c r="M68" s="331">
        <v>236</v>
      </c>
      <c r="N68" s="331">
        <v>1393</v>
      </c>
      <c r="O68" s="331">
        <v>178</v>
      </c>
      <c r="P68" s="331">
        <v>165</v>
      </c>
      <c r="Q68" s="331">
        <v>343</v>
      </c>
      <c r="R68" s="331">
        <v>205</v>
      </c>
      <c r="S68" s="331">
        <v>106</v>
      </c>
      <c r="T68" s="331">
        <v>311</v>
      </c>
      <c r="U68" s="329">
        <v>1551</v>
      </c>
      <c r="V68" s="329">
        <v>511</v>
      </c>
      <c r="W68" s="329">
        <v>2062</v>
      </c>
    </row>
    <row r="69" spans="2:23" x14ac:dyDescent="0.25">
      <c r="B69" s="330" t="s">
        <v>690</v>
      </c>
      <c r="C69" s="329" t="s">
        <v>781</v>
      </c>
      <c r="D69" s="329" t="s">
        <v>781</v>
      </c>
      <c r="E69" s="329" t="s">
        <v>781</v>
      </c>
      <c r="F69" s="329" t="s">
        <v>781</v>
      </c>
      <c r="G69" s="329" t="s">
        <v>781</v>
      </c>
      <c r="H69" s="329" t="s">
        <v>781</v>
      </c>
      <c r="I69" s="329">
        <v>94</v>
      </c>
      <c r="J69" s="329">
        <v>34</v>
      </c>
      <c r="K69" s="329">
        <v>127</v>
      </c>
      <c r="L69" s="329">
        <v>2254</v>
      </c>
      <c r="M69" s="329">
        <v>362</v>
      </c>
      <c r="N69" s="329">
        <v>2617</v>
      </c>
      <c r="O69" s="329">
        <v>303</v>
      </c>
      <c r="P69" s="329">
        <v>238</v>
      </c>
      <c r="Q69" s="329">
        <v>541</v>
      </c>
      <c r="R69" s="329">
        <v>507</v>
      </c>
      <c r="S69" s="329">
        <v>240</v>
      </c>
      <c r="T69" s="329">
        <v>747</v>
      </c>
      <c r="U69" s="329">
        <v>3158</v>
      </c>
      <c r="V69" s="329">
        <v>874</v>
      </c>
      <c r="W69" s="329">
        <v>4032</v>
      </c>
    </row>
    <row r="70" spans="2:23" hidden="1" outlineLevel="1" x14ac:dyDescent="0.25">
      <c r="B70" s="328">
        <v>39814</v>
      </c>
      <c r="C70" s="331"/>
      <c r="D70" s="331"/>
      <c r="E70" s="331"/>
      <c r="F70" s="331"/>
      <c r="G70" s="331"/>
      <c r="H70" s="331"/>
      <c r="I70" s="331">
        <v>9</v>
      </c>
      <c r="J70" s="331">
        <v>13</v>
      </c>
      <c r="K70" s="331">
        <v>22</v>
      </c>
      <c r="L70" s="331">
        <v>1014</v>
      </c>
      <c r="M70" s="331">
        <v>187</v>
      </c>
      <c r="N70" s="331">
        <v>1201</v>
      </c>
      <c r="O70" s="331">
        <v>105</v>
      </c>
      <c r="P70" s="331">
        <v>122</v>
      </c>
      <c r="Q70" s="331">
        <v>227</v>
      </c>
      <c r="R70" s="331">
        <v>160</v>
      </c>
      <c r="S70" s="331">
        <v>68</v>
      </c>
      <c r="T70" s="331">
        <v>228</v>
      </c>
      <c r="U70" s="329">
        <v>1288</v>
      </c>
      <c r="V70" s="329">
        <v>390</v>
      </c>
      <c r="W70" s="329">
        <v>1678</v>
      </c>
    </row>
    <row r="71" spans="2:23" hidden="1" outlineLevel="1" x14ac:dyDescent="0.25">
      <c r="B71" s="328">
        <v>39845</v>
      </c>
      <c r="C71" s="331"/>
      <c r="D71" s="331"/>
      <c r="E71" s="331"/>
      <c r="F71" s="331"/>
      <c r="G71" s="331"/>
      <c r="H71" s="331"/>
      <c r="I71" s="331">
        <v>2</v>
      </c>
      <c r="J71" s="331">
        <v>2</v>
      </c>
      <c r="K71" s="331">
        <v>4</v>
      </c>
      <c r="L71" s="331">
        <v>777</v>
      </c>
      <c r="M71" s="331">
        <v>140</v>
      </c>
      <c r="N71" s="331">
        <v>917</v>
      </c>
      <c r="O71" s="331">
        <v>36</v>
      </c>
      <c r="P71" s="331">
        <v>27</v>
      </c>
      <c r="Q71" s="331">
        <v>63</v>
      </c>
      <c r="R71" s="331">
        <v>101</v>
      </c>
      <c r="S71" s="331">
        <v>36</v>
      </c>
      <c r="T71" s="331">
        <v>137</v>
      </c>
      <c r="U71" s="329">
        <v>916</v>
      </c>
      <c r="V71" s="329">
        <v>205</v>
      </c>
      <c r="W71" s="329">
        <v>1121</v>
      </c>
    </row>
    <row r="72" spans="2:23" hidden="1" outlineLevel="1" x14ac:dyDescent="0.25">
      <c r="B72" s="328">
        <v>39873</v>
      </c>
      <c r="C72" s="331"/>
      <c r="D72" s="331"/>
      <c r="E72" s="331"/>
      <c r="F72" s="331"/>
      <c r="G72" s="331"/>
      <c r="H72" s="331"/>
      <c r="I72" s="331">
        <v>2</v>
      </c>
      <c r="J72" s="331">
        <v>3</v>
      </c>
      <c r="K72" s="331">
        <v>5</v>
      </c>
      <c r="L72" s="331">
        <v>1115</v>
      </c>
      <c r="M72" s="331">
        <v>196</v>
      </c>
      <c r="N72" s="331">
        <v>1311</v>
      </c>
      <c r="O72" s="331">
        <v>54</v>
      </c>
      <c r="P72" s="331">
        <v>31</v>
      </c>
      <c r="Q72" s="331">
        <v>85</v>
      </c>
      <c r="R72" s="331">
        <v>140</v>
      </c>
      <c r="S72" s="331">
        <v>52</v>
      </c>
      <c r="T72" s="331">
        <v>192</v>
      </c>
      <c r="U72" s="329">
        <v>1311</v>
      </c>
      <c r="V72" s="329">
        <v>282</v>
      </c>
      <c r="W72" s="329">
        <v>1593</v>
      </c>
    </row>
    <row r="73" spans="2:23" hidden="1" outlineLevel="1" x14ac:dyDescent="0.25">
      <c r="B73" s="328">
        <v>39904</v>
      </c>
      <c r="C73" s="331"/>
      <c r="D73" s="331"/>
      <c r="E73" s="331"/>
      <c r="F73" s="331"/>
      <c r="G73" s="331"/>
      <c r="H73" s="331"/>
      <c r="I73" s="331">
        <v>12</v>
      </c>
      <c r="J73" s="331">
        <v>6</v>
      </c>
      <c r="K73" s="331">
        <v>18</v>
      </c>
      <c r="L73" s="331">
        <v>899</v>
      </c>
      <c r="M73" s="331">
        <v>150</v>
      </c>
      <c r="N73" s="331">
        <v>1049</v>
      </c>
      <c r="O73" s="331">
        <v>33</v>
      </c>
      <c r="P73" s="331">
        <v>24</v>
      </c>
      <c r="Q73" s="331">
        <v>57</v>
      </c>
      <c r="R73" s="331">
        <v>78</v>
      </c>
      <c r="S73" s="331">
        <v>41</v>
      </c>
      <c r="T73" s="331">
        <v>119</v>
      </c>
      <c r="U73" s="329">
        <v>1022</v>
      </c>
      <c r="V73" s="329">
        <v>221</v>
      </c>
      <c r="W73" s="329">
        <v>1243</v>
      </c>
    </row>
    <row r="74" spans="2:23" hidden="1" outlineLevel="1" x14ac:dyDescent="0.25">
      <c r="B74" s="328">
        <v>39934</v>
      </c>
      <c r="C74" s="331"/>
      <c r="D74" s="331"/>
      <c r="E74" s="331"/>
      <c r="F74" s="331"/>
      <c r="G74" s="331"/>
      <c r="H74" s="331"/>
      <c r="I74" s="331">
        <v>60</v>
      </c>
      <c r="J74" s="331">
        <v>8</v>
      </c>
      <c r="K74" s="331">
        <v>68</v>
      </c>
      <c r="L74" s="331">
        <v>821</v>
      </c>
      <c r="M74" s="331">
        <v>158</v>
      </c>
      <c r="N74" s="331">
        <v>979</v>
      </c>
      <c r="O74" s="331">
        <v>26</v>
      </c>
      <c r="P74" s="331">
        <v>28</v>
      </c>
      <c r="Q74" s="331">
        <v>54</v>
      </c>
      <c r="R74" s="331">
        <v>54</v>
      </c>
      <c r="S74" s="331">
        <v>42</v>
      </c>
      <c r="T74" s="331">
        <v>96</v>
      </c>
      <c r="U74" s="329">
        <v>961</v>
      </c>
      <c r="V74" s="329">
        <v>236</v>
      </c>
      <c r="W74" s="329">
        <v>1197</v>
      </c>
    </row>
    <row r="75" spans="2:23" hidden="1" outlineLevel="1" x14ac:dyDescent="0.25">
      <c r="B75" s="328">
        <v>39965</v>
      </c>
      <c r="C75" s="331"/>
      <c r="D75" s="331"/>
      <c r="E75" s="331"/>
      <c r="F75" s="331"/>
      <c r="G75" s="331"/>
      <c r="H75" s="331"/>
      <c r="I75" s="331">
        <v>65</v>
      </c>
      <c r="J75" s="331">
        <v>58</v>
      </c>
      <c r="K75" s="331">
        <v>123</v>
      </c>
      <c r="L75" s="331">
        <v>831</v>
      </c>
      <c r="M75" s="331">
        <v>170</v>
      </c>
      <c r="N75" s="331">
        <v>1001</v>
      </c>
      <c r="O75" s="331">
        <v>10641</v>
      </c>
      <c r="P75" s="331">
        <v>980</v>
      </c>
      <c r="Q75" s="331">
        <v>11621</v>
      </c>
      <c r="R75" s="331">
        <v>53</v>
      </c>
      <c r="S75" s="331">
        <v>31</v>
      </c>
      <c r="T75" s="331">
        <v>84</v>
      </c>
      <c r="U75" s="329">
        <v>11590</v>
      </c>
      <c r="V75" s="329">
        <v>1239</v>
      </c>
      <c r="W75" s="329">
        <v>12829</v>
      </c>
    </row>
    <row r="76" spans="2:23" hidden="1" outlineLevel="1" x14ac:dyDescent="0.25">
      <c r="B76" s="328">
        <v>39995</v>
      </c>
      <c r="C76" s="331"/>
      <c r="D76" s="331"/>
      <c r="E76" s="331"/>
      <c r="F76" s="331"/>
      <c r="G76" s="331"/>
      <c r="H76" s="331"/>
      <c r="I76" s="331">
        <v>197</v>
      </c>
      <c r="J76" s="331">
        <v>36</v>
      </c>
      <c r="K76" s="331">
        <v>233</v>
      </c>
      <c r="L76" s="331">
        <v>1131</v>
      </c>
      <c r="M76" s="331">
        <v>167</v>
      </c>
      <c r="N76" s="331">
        <v>1298</v>
      </c>
      <c r="O76" s="331">
        <v>2145</v>
      </c>
      <c r="P76" s="331">
        <v>740</v>
      </c>
      <c r="Q76" s="331">
        <v>2885</v>
      </c>
      <c r="R76" s="331">
        <v>30</v>
      </c>
      <c r="S76" s="331">
        <v>30</v>
      </c>
      <c r="T76" s="331">
        <v>60</v>
      </c>
      <c r="U76" s="329">
        <v>3503</v>
      </c>
      <c r="V76" s="329">
        <v>973</v>
      </c>
      <c r="W76" s="329">
        <v>4476</v>
      </c>
    </row>
    <row r="77" spans="2:23" hidden="1" outlineLevel="1" x14ac:dyDescent="0.25">
      <c r="B77" s="328">
        <v>40026</v>
      </c>
      <c r="C77" s="331"/>
      <c r="D77" s="331"/>
      <c r="E77" s="331"/>
      <c r="F77" s="331"/>
      <c r="G77" s="331"/>
      <c r="H77" s="331"/>
      <c r="I77" s="331">
        <v>108</v>
      </c>
      <c r="J77" s="331">
        <v>28</v>
      </c>
      <c r="K77" s="331">
        <v>136</v>
      </c>
      <c r="L77" s="331">
        <v>1218</v>
      </c>
      <c r="M77" s="331">
        <v>225</v>
      </c>
      <c r="N77" s="331">
        <v>1443</v>
      </c>
      <c r="O77" s="331">
        <v>693</v>
      </c>
      <c r="P77" s="331">
        <v>478</v>
      </c>
      <c r="Q77" s="331">
        <v>1171</v>
      </c>
      <c r="R77" s="331">
        <v>207</v>
      </c>
      <c r="S77" s="331">
        <v>65</v>
      </c>
      <c r="T77" s="331">
        <v>272</v>
      </c>
      <c r="U77" s="329">
        <v>2226</v>
      </c>
      <c r="V77" s="329">
        <v>796</v>
      </c>
      <c r="W77" s="329">
        <v>3022</v>
      </c>
    </row>
    <row r="78" spans="2:23" hidden="1" outlineLevel="1" x14ac:dyDescent="0.25">
      <c r="B78" s="328">
        <v>40057</v>
      </c>
      <c r="C78" s="331"/>
      <c r="D78" s="331"/>
      <c r="E78" s="331"/>
      <c r="F78" s="331"/>
      <c r="G78" s="331"/>
      <c r="H78" s="331"/>
      <c r="I78" s="331">
        <v>136</v>
      </c>
      <c r="J78" s="331">
        <v>96</v>
      </c>
      <c r="K78" s="331">
        <v>232</v>
      </c>
      <c r="L78" s="331">
        <v>1146</v>
      </c>
      <c r="M78" s="331">
        <v>223</v>
      </c>
      <c r="N78" s="331">
        <v>1369</v>
      </c>
      <c r="O78" s="331">
        <v>1012</v>
      </c>
      <c r="P78" s="331">
        <v>562</v>
      </c>
      <c r="Q78" s="331">
        <v>1574</v>
      </c>
      <c r="R78" s="331">
        <v>136</v>
      </c>
      <c r="S78" s="331">
        <v>91</v>
      </c>
      <c r="T78" s="331">
        <v>227</v>
      </c>
      <c r="U78" s="329">
        <v>2430</v>
      </c>
      <c r="V78" s="329">
        <v>972</v>
      </c>
      <c r="W78" s="329">
        <v>3402</v>
      </c>
    </row>
    <row r="79" spans="2:23" hidden="1" outlineLevel="1" x14ac:dyDescent="0.25">
      <c r="B79" s="328">
        <v>40087</v>
      </c>
      <c r="C79" s="331"/>
      <c r="D79" s="331"/>
      <c r="E79" s="331"/>
      <c r="F79" s="331"/>
      <c r="G79" s="331"/>
      <c r="H79" s="331"/>
      <c r="I79" s="331">
        <v>152</v>
      </c>
      <c r="J79" s="331">
        <v>94</v>
      </c>
      <c r="K79" s="331">
        <v>246</v>
      </c>
      <c r="L79" s="331">
        <v>1125</v>
      </c>
      <c r="M79" s="331">
        <v>207</v>
      </c>
      <c r="N79" s="331">
        <v>1332</v>
      </c>
      <c r="O79" s="331">
        <v>783</v>
      </c>
      <c r="P79" s="331">
        <v>454</v>
      </c>
      <c r="Q79" s="331">
        <v>1237</v>
      </c>
      <c r="R79" s="331">
        <v>85</v>
      </c>
      <c r="S79" s="331">
        <v>65</v>
      </c>
      <c r="T79" s="331">
        <v>150</v>
      </c>
      <c r="U79" s="329">
        <v>2145</v>
      </c>
      <c r="V79" s="329">
        <v>820</v>
      </c>
      <c r="W79" s="329">
        <v>2965</v>
      </c>
    </row>
    <row r="80" spans="2:23" hidden="1" outlineLevel="1" x14ac:dyDescent="0.25">
      <c r="B80" s="328">
        <v>40118</v>
      </c>
      <c r="C80" s="331"/>
      <c r="D80" s="331"/>
      <c r="E80" s="331"/>
      <c r="F80" s="331"/>
      <c r="G80" s="331"/>
      <c r="H80" s="331"/>
      <c r="I80" s="331">
        <v>73</v>
      </c>
      <c r="J80" s="331">
        <v>30</v>
      </c>
      <c r="K80" s="331">
        <v>103</v>
      </c>
      <c r="L80" s="331">
        <v>972</v>
      </c>
      <c r="M80" s="331">
        <v>143</v>
      </c>
      <c r="N80" s="331">
        <v>1115</v>
      </c>
      <c r="O80" s="331">
        <v>526</v>
      </c>
      <c r="P80" s="331">
        <v>272</v>
      </c>
      <c r="Q80" s="331">
        <v>798</v>
      </c>
      <c r="R80" s="331">
        <v>79</v>
      </c>
      <c r="S80" s="331">
        <v>29</v>
      </c>
      <c r="T80" s="331">
        <v>108</v>
      </c>
      <c r="U80" s="329">
        <v>1650</v>
      </c>
      <c r="V80" s="329">
        <v>474</v>
      </c>
      <c r="W80" s="329">
        <v>2124</v>
      </c>
    </row>
    <row r="81" spans="2:23" hidden="1" outlineLevel="1" x14ac:dyDescent="0.25">
      <c r="B81" s="328">
        <v>40148</v>
      </c>
      <c r="C81" s="331"/>
      <c r="D81" s="331"/>
      <c r="E81" s="331"/>
      <c r="F81" s="331"/>
      <c r="G81" s="331"/>
      <c r="H81" s="331"/>
      <c r="I81" s="331">
        <v>41</v>
      </c>
      <c r="J81" s="331">
        <v>16</v>
      </c>
      <c r="K81" s="331">
        <v>57</v>
      </c>
      <c r="L81" s="331">
        <v>926</v>
      </c>
      <c r="M81" s="331">
        <v>178</v>
      </c>
      <c r="N81" s="331">
        <v>1104</v>
      </c>
      <c r="O81" s="331">
        <v>465</v>
      </c>
      <c r="P81" s="331">
        <v>578</v>
      </c>
      <c r="Q81" s="331">
        <v>1043</v>
      </c>
      <c r="R81" s="331">
        <v>74</v>
      </c>
      <c r="S81" s="331">
        <v>44</v>
      </c>
      <c r="T81" s="331">
        <v>118</v>
      </c>
      <c r="U81" s="329">
        <v>1506</v>
      </c>
      <c r="V81" s="329">
        <v>816</v>
      </c>
      <c r="W81" s="329">
        <v>2322</v>
      </c>
    </row>
    <row r="82" spans="2:23" collapsed="1" x14ac:dyDescent="0.25">
      <c r="B82" s="330" t="s">
        <v>691</v>
      </c>
      <c r="C82" s="329" t="s">
        <v>781</v>
      </c>
      <c r="D82" s="329" t="s">
        <v>781</v>
      </c>
      <c r="E82" s="329" t="s">
        <v>781</v>
      </c>
      <c r="F82" s="329" t="s">
        <v>781</v>
      </c>
      <c r="G82" s="329" t="s">
        <v>781</v>
      </c>
      <c r="H82" s="329" t="s">
        <v>781</v>
      </c>
      <c r="I82" s="329">
        <v>71</v>
      </c>
      <c r="J82" s="329">
        <v>33</v>
      </c>
      <c r="K82" s="329">
        <v>104</v>
      </c>
      <c r="L82" s="329">
        <v>998</v>
      </c>
      <c r="M82" s="329">
        <v>179</v>
      </c>
      <c r="N82" s="329">
        <v>1177</v>
      </c>
      <c r="O82" s="329">
        <v>1377</v>
      </c>
      <c r="P82" s="329">
        <v>358</v>
      </c>
      <c r="Q82" s="329">
        <v>1735</v>
      </c>
      <c r="R82" s="329">
        <v>100</v>
      </c>
      <c r="S82" s="329">
        <v>50</v>
      </c>
      <c r="T82" s="329">
        <v>149</v>
      </c>
      <c r="U82" s="329">
        <v>2546</v>
      </c>
      <c r="V82" s="329">
        <v>619</v>
      </c>
      <c r="W82" s="329">
        <v>3164</v>
      </c>
    </row>
    <row r="83" spans="2:23" hidden="1" outlineLevel="1" x14ac:dyDescent="0.25">
      <c r="B83" s="328">
        <v>40179</v>
      </c>
      <c r="C83" s="331"/>
      <c r="D83" s="331"/>
      <c r="E83" s="331"/>
      <c r="F83" s="331"/>
      <c r="G83" s="331"/>
      <c r="H83" s="331"/>
      <c r="I83" s="331">
        <v>12</v>
      </c>
      <c r="J83" s="331">
        <v>7</v>
      </c>
      <c r="K83" s="331">
        <v>19</v>
      </c>
      <c r="L83" s="331">
        <v>797</v>
      </c>
      <c r="M83" s="331">
        <v>158</v>
      </c>
      <c r="N83" s="331">
        <v>955</v>
      </c>
      <c r="O83" s="331">
        <v>254</v>
      </c>
      <c r="P83" s="331">
        <v>389</v>
      </c>
      <c r="Q83" s="331">
        <v>643</v>
      </c>
      <c r="R83" s="331">
        <v>56</v>
      </c>
      <c r="S83" s="331">
        <v>8</v>
      </c>
      <c r="T83" s="331">
        <v>64</v>
      </c>
      <c r="U83" s="329">
        <v>1119</v>
      </c>
      <c r="V83" s="329">
        <v>562</v>
      </c>
      <c r="W83" s="329">
        <v>1681</v>
      </c>
    </row>
    <row r="84" spans="2:23" hidden="1" outlineLevel="1" x14ac:dyDescent="0.25">
      <c r="B84" s="328">
        <v>40210</v>
      </c>
      <c r="C84" s="331"/>
      <c r="D84" s="331"/>
      <c r="E84" s="331"/>
      <c r="F84" s="331"/>
      <c r="G84" s="331"/>
      <c r="H84" s="331"/>
      <c r="I84" s="331">
        <v>15</v>
      </c>
      <c r="J84" s="331">
        <v>20</v>
      </c>
      <c r="K84" s="331">
        <v>35</v>
      </c>
      <c r="L84" s="331">
        <v>712</v>
      </c>
      <c r="M84" s="331">
        <v>125</v>
      </c>
      <c r="N84" s="331">
        <v>837</v>
      </c>
      <c r="O84" s="331">
        <v>119</v>
      </c>
      <c r="P84" s="331">
        <v>152</v>
      </c>
      <c r="Q84" s="331">
        <v>271</v>
      </c>
      <c r="R84" s="331">
        <v>38</v>
      </c>
      <c r="S84" s="331">
        <v>18</v>
      </c>
      <c r="T84" s="331">
        <v>56</v>
      </c>
      <c r="U84" s="329">
        <v>884</v>
      </c>
      <c r="V84" s="329">
        <v>315</v>
      </c>
      <c r="W84" s="329">
        <v>1199</v>
      </c>
    </row>
    <row r="85" spans="2:23" hidden="1" outlineLevel="1" x14ac:dyDescent="0.25">
      <c r="B85" s="328">
        <v>40238</v>
      </c>
      <c r="C85" s="331"/>
      <c r="D85" s="331"/>
      <c r="E85" s="331"/>
      <c r="F85" s="331"/>
      <c r="G85" s="331"/>
      <c r="H85" s="331"/>
      <c r="I85" s="331">
        <v>18</v>
      </c>
      <c r="J85" s="331">
        <v>21</v>
      </c>
      <c r="K85" s="331">
        <v>39</v>
      </c>
      <c r="L85" s="331">
        <v>603</v>
      </c>
      <c r="M85" s="331">
        <v>133</v>
      </c>
      <c r="N85" s="331">
        <v>736</v>
      </c>
      <c r="O85" s="331">
        <v>141</v>
      </c>
      <c r="P85" s="331">
        <v>164</v>
      </c>
      <c r="Q85" s="331">
        <v>305</v>
      </c>
      <c r="R85" s="331">
        <v>37</v>
      </c>
      <c r="S85" s="331">
        <v>9</v>
      </c>
      <c r="T85" s="331">
        <v>46</v>
      </c>
      <c r="U85" s="329">
        <v>799</v>
      </c>
      <c r="V85" s="329">
        <v>327</v>
      </c>
      <c r="W85" s="329">
        <v>1126</v>
      </c>
    </row>
    <row r="86" spans="2:23" hidden="1" outlineLevel="1" x14ac:dyDescent="0.25">
      <c r="B86" s="328">
        <v>40269</v>
      </c>
      <c r="C86" s="331"/>
      <c r="D86" s="331"/>
      <c r="E86" s="331"/>
      <c r="F86" s="331"/>
      <c r="G86" s="331"/>
      <c r="H86" s="331"/>
      <c r="I86" s="331">
        <v>16</v>
      </c>
      <c r="J86" s="331">
        <v>15</v>
      </c>
      <c r="K86" s="331">
        <v>31</v>
      </c>
      <c r="L86" s="331">
        <v>815</v>
      </c>
      <c r="M86" s="331">
        <v>156</v>
      </c>
      <c r="N86" s="331">
        <v>971</v>
      </c>
      <c r="O86" s="331">
        <v>172</v>
      </c>
      <c r="P86" s="331">
        <v>219</v>
      </c>
      <c r="Q86" s="331">
        <v>391</v>
      </c>
      <c r="R86" s="331">
        <v>52</v>
      </c>
      <c r="S86" s="331">
        <v>8</v>
      </c>
      <c r="T86" s="331">
        <v>60</v>
      </c>
      <c r="U86" s="329">
        <v>1055</v>
      </c>
      <c r="V86" s="329">
        <v>398</v>
      </c>
      <c r="W86" s="329">
        <v>1453</v>
      </c>
    </row>
    <row r="87" spans="2:23" hidden="1" outlineLevel="1" x14ac:dyDescent="0.25">
      <c r="B87" s="328">
        <v>40299</v>
      </c>
      <c r="C87" s="331"/>
      <c r="D87" s="331"/>
      <c r="E87" s="331"/>
      <c r="F87" s="331"/>
      <c r="G87" s="331"/>
      <c r="H87" s="331"/>
      <c r="I87" s="331">
        <v>16</v>
      </c>
      <c r="J87" s="331">
        <v>8</v>
      </c>
      <c r="K87" s="331">
        <v>24</v>
      </c>
      <c r="L87" s="331">
        <v>790</v>
      </c>
      <c r="M87" s="331">
        <v>137</v>
      </c>
      <c r="N87" s="331">
        <v>927</v>
      </c>
      <c r="O87" s="331">
        <v>113</v>
      </c>
      <c r="P87" s="331">
        <v>133</v>
      </c>
      <c r="Q87" s="331">
        <v>246</v>
      </c>
      <c r="R87" s="331">
        <v>44</v>
      </c>
      <c r="S87" s="331">
        <v>9</v>
      </c>
      <c r="T87" s="331">
        <v>53</v>
      </c>
      <c r="U87" s="329">
        <v>963</v>
      </c>
      <c r="V87" s="329">
        <v>287</v>
      </c>
      <c r="W87" s="329">
        <v>1250</v>
      </c>
    </row>
    <row r="88" spans="2:23" hidden="1" outlineLevel="1" x14ac:dyDescent="0.25">
      <c r="B88" s="328">
        <v>40330</v>
      </c>
      <c r="C88" s="331"/>
      <c r="D88" s="331"/>
      <c r="E88" s="331"/>
      <c r="F88" s="331"/>
      <c r="G88" s="331"/>
      <c r="H88" s="331"/>
      <c r="I88" s="331">
        <v>4</v>
      </c>
      <c r="J88" s="331">
        <v>9</v>
      </c>
      <c r="K88" s="331">
        <v>13</v>
      </c>
      <c r="L88" s="331">
        <v>826</v>
      </c>
      <c r="M88" s="331">
        <v>153</v>
      </c>
      <c r="N88" s="331">
        <v>979</v>
      </c>
      <c r="O88" s="331">
        <v>242</v>
      </c>
      <c r="P88" s="331">
        <v>205</v>
      </c>
      <c r="Q88" s="331">
        <v>447</v>
      </c>
      <c r="R88" s="331">
        <v>77</v>
      </c>
      <c r="S88" s="331">
        <v>28</v>
      </c>
      <c r="T88" s="331">
        <v>105</v>
      </c>
      <c r="U88" s="329">
        <v>1149</v>
      </c>
      <c r="V88" s="329">
        <v>395</v>
      </c>
      <c r="W88" s="329">
        <v>1544</v>
      </c>
    </row>
    <row r="89" spans="2:23" hidden="1" outlineLevel="1" x14ac:dyDescent="0.25">
      <c r="B89" s="328">
        <v>40360</v>
      </c>
      <c r="C89" s="331"/>
      <c r="D89" s="331"/>
      <c r="E89" s="331"/>
      <c r="F89" s="331"/>
      <c r="G89" s="331"/>
      <c r="H89" s="331"/>
      <c r="I89" s="331">
        <v>659</v>
      </c>
      <c r="J89" s="331">
        <v>96</v>
      </c>
      <c r="K89" s="331">
        <v>755</v>
      </c>
      <c r="L89" s="331">
        <v>874</v>
      </c>
      <c r="M89" s="331">
        <v>221</v>
      </c>
      <c r="N89" s="331">
        <v>1095</v>
      </c>
      <c r="O89" s="331">
        <v>4092</v>
      </c>
      <c r="P89" s="331">
        <v>2474</v>
      </c>
      <c r="Q89" s="331">
        <v>6566</v>
      </c>
      <c r="R89" s="331">
        <v>203</v>
      </c>
      <c r="S89" s="331">
        <v>150</v>
      </c>
      <c r="T89" s="331">
        <v>353</v>
      </c>
      <c r="U89" s="329">
        <v>5828</v>
      </c>
      <c r="V89" s="329">
        <v>2941</v>
      </c>
      <c r="W89" s="329">
        <v>8769</v>
      </c>
    </row>
    <row r="90" spans="2:23" hidden="1" outlineLevel="1" x14ac:dyDescent="0.25">
      <c r="B90" s="328">
        <v>40391</v>
      </c>
      <c r="C90" s="331"/>
      <c r="D90" s="331"/>
      <c r="E90" s="331"/>
      <c r="F90" s="331"/>
      <c r="G90" s="331"/>
      <c r="H90" s="331"/>
      <c r="I90" s="331">
        <v>819</v>
      </c>
      <c r="J90" s="331">
        <v>137</v>
      </c>
      <c r="K90" s="331">
        <v>956</v>
      </c>
      <c r="L90" s="331">
        <v>1030</v>
      </c>
      <c r="M90" s="331">
        <v>228</v>
      </c>
      <c r="N90" s="331">
        <v>1258</v>
      </c>
      <c r="O90" s="331">
        <v>4273</v>
      </c>
      <c r="P90" s="331">
        <v>2581</v>
      </c>
      <c r="Q90" s="331">
        <v>6854</v>
      </c>
      <c r="R90" s="331">
        <v>144</v>
      </c>
      <c r="S90" s="331">
        <v>125</v>
      </c>
      <c r="T90" s="331">
        <v>269</v>
      </c>
      <c r="U90" s="329">
        <v>6266</v>
      </c>
      <c r="V90" s="329">
        <v>3071</v>
      </c>
      <c r="W90" s="329">
        <v>9337</v>
      </c>
    </row>
    <row r="91" spans="2:23" hidden="1" outlineLevel="1" x14ac:dyDescent="0.25">
      <c r="B91" s="328">
        <v>40422</v>
      </c>
      <c r="C91" s="331"/>
      <c r="D91" s="331"/>
      <c r="E91" s="331"/>
      <c r="F91" s="331"/>
      <c r="G91" s="331"/>
      <c r="H91" s="331"/>
      <c r="I91" s="331">
        <v>594</v>
      </c>
      <c r="J91" s="331">
        <v>96</v>
      </c>
      <c r="K91" s="331">
        <v>690</v>
      </c>
      <c r="L91" s="331">
        <v>758</v>
      </c>
      <c r="M91" s="331">
        <v>145</v>
      </c>
      <c r="N91" s="331">
        <v>903</v>
      </c>
      <c r="O91" s="331">
        <v>2654</v>
      </c>
      <c r="P91" s="331">
        <v>1734</v>
      </c>
      <c r="Q91" s="331">
        <v>4388</v>
      </c>
      <c r="R91" s="331">
        <v>132</v>
      </c>
      <c r="S91" s="331">
        <v>107</v>
      </c>
      <c r="T91" s="331">
        <v>239</v>
      </c>
      <c r="U91" s="329">
        <v>4138</v>
      </c>
      <c r="V91" s="329">
        <v>2082</v>
      </c>
      <c r="W91" s="329">
        <v>6220</v>
      </c>
    </row>
    <row r="92" spans="2:23" hidden="1" outlineLevel="1" x14ac:dyDescent="0.25">
      <c r="B92" s="328">
        <v>40452</v>
      </c>
      <c r="C92" s="331"/>
      <c r="D92" s="331"/>
      <c r="E92" s="331"/>
      <c r="F92" s="331"/>
      <c r="G92" s="331"/>
      <c r="H92" s="331"/>
      <c r="I92" s="331">
        <v>634</v>
      </c>
      <c r="J92" s="331">
        <v>84</v>
      </c>
      <c r="K92" s="331">
        <v>718</v>
      </c>
      <c r="L92" s="331">
        <v>855</v>
      </c>
      <c r="M92" s="331">
        <v>239</v>
      </c>
      <c r="N92" s="331">
        <v>1094</v>
      </c>
      <c r="O92" s="331">
        <v>2351</v>
      </c>
      <c r="P92" s="331">
        <v>1455</v>
      </c>
      <c r="Q92" s="331">
        <v>3806</v>
      </c>
      <c r="R92" s="331">
        <v>153</v>
      </c>
      <c r="S92" s="331">
        <v>121</v>
      </c>
      <c r="T92" s="331">
        <v>274</v>
      </c>
      <c r="U92" s="329">
        <v>3993</v>
      </c>
      <c r="V92" s="329">
        <v>1899</v>
      </c>
      <c r="W92" s="329">
        <v>5892</v>
      </c>
    </row>
    <row r="93" spans="2:23" hidden="1" outlineLevel="1" x14ac:dyDescent="0.25">
      <c r="B93" s="328">
        <v>40483</v>
      </c>
      <c r="C93" s="331"/>
      <c r="D93" s="331"/>
      <c r="E93" s="331"/>
      <c r="F93" s="331"/>
      <c r="G93" s="331"/>
      <c r="H93" s="331"/>
      <c r="I93" s="331">
        <v>580</v>
      </c>
      <c r="J93" s="331">
        <v>88</v>
      </c>
      <c r="K93" s="331">
        <v>668</v>
      </c>
      <c r="L93" s="331">
        <v>926</v>
      </c>
      <c r="M93" s="331">
        <v>197</v>
      </c>
      <c r="N93" s="331">
        <v>1123</v>
      </c>
      <c r="O93" s="331">
        <v>1953</v>
      </c>
      <c r="P93" s="331">
        <v>1147</v>
      </c>
      <c r="Q93" s="331">
        <v>3100</v>
      </c>
      <c r="R93" s="331">
        <v>120</v>
      </c>
      <c r="S93" s="331">
        <v>84</v>
      </c>
      <c r="T93" s="331">
        <v>204</v>
      </c>
      <c r="U93" s="329">
        <v>3579</v>
      </c>
      <c r="V93" s="329">
        <v>1516</v>
      </c>
      <c r="W93" s="329">
        <v>5095</v>
      </c>
    </row>
    <row r="94" spans="2:23" hidden="1" outlineLevel="1" x14ac:dyDescent="0.25">
      <c r="B94" s="328">
        <v>40513</v>
      </c>
      <c r="C94" s="331"/>
      <c r="D94" s="331"/>
      <c r="E94" s="331"/>
      <c r="F94" s="331"/>
      <c r="G94" s="331"/>
      <c r="H94" s="331"/>
      <c r="I94" s="331">
        <v>471</v>
      </c>
      <c r="J94" s="331">
        <v>76</v>
      </c>
      <c r="K94" s="331">
        <v>547</v>
      </c>
      <c r="L94" s="331">
        <v>562</v>
      </c>
      <c r="M94" s="331">
        <v>120</v>
      </c>
      <c r="N94" s="331">
        <v>682</v>
      </c>
      <c r="O94" s="331">
        <v>1477</v>
      </c>
      <c r="P94" s="331">
        <v>883</v>
      </c>
      <c r="Q94" s="331">
        <v>2360</v>
      </c>
      <c r="R94" s="331">
        <v>80</v>
      </c>
      <c r="S94" s="331">
        <v>56</v>
      </c>
      <c r="T94" s="331">
        <v>136</v>
      </c>
      <c r="U94" s="329">
        <v>2590</v>
      </c>
      <c r="V94" s="329">
        <v>1135</v>
      </c>
      <c r="W94" s="329">
        <v>3725</v>
      </c>
    </row>
    <row r="95" spans="2:23" collapsed="1" x14ac:dyDescent="0.25">
      <c r="B95" s="330" t="s">
        <v>692</v>
      </c>
      <c r="C95" s="329" t="s">
        <v>781</v>
      </c>
      <c r="D95" s="329" t="s">
        <v>781</v>
      </c>
      <c r="E95" s="329" t="s">
        <v>781</v>
      </c>
      <c r="F95" s="329" t="s">
        <v>781</v>
      </c>
      <c r="G95" s="329" t="s">
        <v>781</v>
      </c>
      <c r="H95" s="329" t="s">
        <v>781</v>
      </c>
      <c r="I95" s="329">
        <v>320</v>
      </c>
      <c r="J95" s="329">
        <v>55</v>
      </c>
      <c r="K95" s="329">
        <v>375</v>
      </c>
      <c r="L95" s="329">
        <v>796</v>
      </c>
      <c r="M95" s="329">
        <v>168</v>
      </c>
      <c r="N95" s="329">
        <v>963</v>
      </c>
      <c r="O95" s="329">
        <v>1487</v>
      </c>
      <c r="P95" s="329">
        <v>961</v>
      </c>
      <c r="Q95" s="329">
        <v>2448</v>
      </c>
      <c r="R95" s="329">
        <v>95</v>
      </c>
      <c r="S95" s="329">
        <v>60</v>
      </c>
      <c r="T95" s="329">
        <v>155</v>
      </c>
      <c r="U95" s="329">
        <v>2697</v>
      </c>
      <c r="V95" s="329">
        <v>1244</v>
      </c>
      <c r="W95" s="329">
        <v>3941</v>
      </c>
    </row>
    <row r="96" spans="2:23" hidden="1" outlineLevel="1" x14ac:dyDescent="0.25">
      <c r="B96" s="328">
        <v>40544</v>
      </c>
      <c r="C96" s="331"/>
      <c r="D96" s="331"/>
      <c r="E96" s="331"/>
      <c r="F96" s="331"/>
      <c r="G96" s="331"/>
      <c r="H96" s="331"/>
      <c r="I96" s="331">
        <v>709</v>
      </c>
      <c r="J96" s="331">
        <v>108</v>
      </c>
      <c r="K96" s="331">
        <v>817</v>
      </c>
      <c r="L96" s="331">
        <v>775</v>
      </c>
      <c r="M96" s="331">
        <v>141</v>
      </c>
      <c r="N96" s="331">
        <v>916</v>
      </c>
      <c r="O96" s="331">
        <v>1860</v>
      </c>
      <c r="P96" s="331">
        <v>1179</v>
      </c>
      <c r="Q96" s="331">
        <v>3039</v>
      </c>
      <c r="R96" s="331">
        <v>91</v>
      </c>
      <c r="S96" s="331">
        <v>42</v>
      </c>
      <c r="T96" s="331">
        <v>133</v>
      </c>
      <c r="U96" s="329">
        <v>3435</v>
      </c>
      <c r="V96" s="329">
        <v>1470</v>
      </c>
      <c r="W96" s="329">
        <v>4905</v>
      </c>
    </row>
    <row r="97" spans="2:23" hidden="1" outlineLevel="1" x14ac:dyDescent="0.25">
      <c r="B97" s="328">
        <v>40575</v>
      </c>
      <c r="C97" s="331"/>
      <c r="D97" s="331"/>
      <c r="E97" s="331"/>
      <c r="F97" s="331"/>
      <c r="G97" s="331"/>
      <c r="H97" s="331"/>
      <c r="I97" s="331">
        <v>543</v>
      </c>
      <c r="J97" s="331">
        <v>96</v>
      </c>
      <c r="K97" s="331">
        <v>639</v>
      </c>
      <c r="L97" s="331">
        <v>697</v>
      </c>
      <c r="M97" s="331">
        <v>136</v>
      </c>
      <c r="N97" s="331">
        <v>833</v>
      </c>
      <c r="O97" s="331">
        <v>1508</v>
      </c>
      <c r="P97" s="331">
        <v>1036</v>
      </c>
      <c r="Q97" s="331">
        <v>2544</v>
      </c>
      <c r="R97" s="331">
        <v>87</v>
      </c>
      <c r="S97" s="331">
        <v>30</v>
      </c>
      <c r="T97" s="331">
        <v>117</v>
      </c>
      <c r="U97" s="329">
        <v>2835</v>
      </c>
      <c r="V97" s="329">
        <v>1298</v>
      </c>
      <c r="W97" s="329">
        <v>4133</v>
      </c>
    </row>
    <row r="98" spans="2:23" hidden="1" outlineLevel="1" x14ac:dyDescent="0.25">
      <c r="B98" s="328">
        <v>40603</v>
      </c>
      <c r="C98" s="331"/>
      <c r="D98" s="331"/>
      <c r="E98" s="331"/>
      <c r="F98" s="331"/>
      <c r="G98" s="331"/>
      <c r="H98" s="331"/>
      <c r="I98" s="331">
        <v>617</v>
      </c>
      <c r="J98" s="331">
        <v>72</v>
      </c>
      <c r="K98" s="331">
        <v>689</v>
      </c>
      <c r="L98" s="331">
        <v>941</v>
      </c>
      <c r="M98" s="331">
        <v>159</v>
      </c>
      <c r="N98" s="331">
        <v>1100</v>
      </c>
      <c r="O98" s="331">
        <v>1633</v>
      </c>
      <c r="P98" s="331">
        <v>1056</v>
      </c>
      <c r="Q98" s="331">
        <v>2689</v>
      </c>
      <c r="R98" s="331">
        <v>111</v>
      </c>
      <c r="S98" s="331">
        <v>53</v>
      </c>
      <c r="T98" s="331">
        <v>164</v>
      </c>
      <c r="U98" s="329">
        <v>3302</v>
      </c>
      <c r="V98" s="329">
        <v>1340</v>
      </c>
      <c r="W98" s="329">
        <v>4642</v>
      </c>
    </row>
    <row r="99" spans="2:23" hidden="1" outlineLevel="1" x14ac:dyDescent="0.25">
      <c r="B99" s="328">
        <v>40634</v>
      </c>
      <c r="C99" s="331"/>
      <c r="D99" s="331"/>
      <c r="E99" s="331"/>
      <c r="F99" s="331"/>
      <c r="G99" s="331"/>
      <c r="H99" s="331"/>
      <c r="I99" s="331">
        <v>454</v>
      </c>
      <c r="J99" s="331">
        <v>75</v>
      </c>
      <c r="K99" s="331">
        <v>529</v>
      </c>
      <c r="L99" s="331">
        <v>746</v>
      </c>
      <c r="M99" s="331">
        <v>122</v>
      </c>
      <c r="N99" s="331">
        <v>868</v>
      </c>
      <c r="O99" s="331">
        <v>1213</v>
      </c>
      <c r="P99" s="331">
        <v>729</v>
      </c>
      <c r="Q99" s="331">
        <v>1942</v>
      </c>
      <c r="R99" s="331">
        <v>66</v>
      </c>
      <c r="S99" s="331">
        <v>32</v>
      </c>
      <c r="T99" s="331">
        <v>98</v>
      </c>
      <c r="U99" s="329">
        <v>2479</v>
      </c>
      <c r="V99" s="329">
        <v>958</v>
      </c>
      <c r="W99" s="329">
        <v>3437</v>
      </c>
    </row>
    <row r="100" spans="2:23" hidden="1" outlineLevel="1" x14ac:dyDescent="0.25">
      <c r="B100" s="328">
        <v>40664</v>
      </c>
      <c r="C100" s="331"/>
      <c r="D100" s="331"/>
      <c r="E100" s="331"/>
      <c r="F100" s="331"/>
      <c r="G100" s="331"/>
      <c r="H100" s="331"/>
      <c r="I100" s="331">
        <v>639</v>
      </c>
      <c r="J100" s="331">
        <v>81</v>
      </c>
      <c r="K100" s="331">
        <v>720</v>
      </c>
      <c r="L100" s="331">
        <v>815</v>
      </c>
      <c r="M100" s="331">
        <v>168</v>
      </c>
      <c r="N100" s="331">
        <v>983</v>
      </c>
      <c r="O100" s="331">
        <v>1662</v>
      </c>
      <c r="P100" s="331">
        <v>953</v>
      </c>
      <c r="Q100" s="331">
        <v>2615</v>
      </c>
      <c r="R100" s="331">
        <v>114</v>
      </c>
      <c r="S100" s="331">
        <v>43</v>
      </c>
      <c r="T100" s="331">
        <v>157</v>
      </c>
      <c r="U100" s="329">
        <v>3230</v>
      </c>
      <c r="V100" s="329">
        <v>1245</v>
      </c>
      <c r="W100" s="329">
        <v>4475</v>
      </c>
    </row>
    <row r="101" spans="2:23" hidden="1" outlineLevel="1" x14ac:dyDescent="0.25">
      <c r="B101" s="328">
        <v>40695</v>
      </c>
      <c r="C101" s="331"/>
      <c r="D101" s="331"/>
      <c r="E101" s="331"/>
      <c r="F101" s="331"/>
      <c r="G101" s="331"/>
      <c r="H101" s="331"/>
      <c r="I101" s="331">
        <v>582</v>
      </c>
      <c r="J101" s="331">
        <v>95</v>
      </c>
      <c r="K101" s="331">
        <v>677</v>
      </c>
      <c r="L101" s="331">
        <v>687</v>
      </c>
      <c r="M101" s="331">
        <v>156</v>
      </c>
      <c r="N101" s="331">
        <v>843</v>
      </c>
      <c r="O101" s="331">
        <v>1591</v>
      </c>
      <c r="P101" s="331">
        <v>908</v>
      </c>
      <c r="Q101" s="331">
        <v>2499</v>
      </c>
      <c r="R101" s="331">
        <v>116</v>
      </c>
      <c r="S101" s="331">
        <v>44</v>
      </c>
      <c r="T101" s="331">
        <v>160</v>
      </c>
      <c r="U101" s="329">
        <v>2976</v>
      </c>
      <c r="V101" s="329">
        <v>1203</v>
      </c>
      <c r="W101" s="329">
        <v>4179</v>
      </c>
    </row>
    <row r="102" spans="2:23" hidden="1" outlineLevel="1" x14ac:dyDescent="0.25">
      <c r="B102" s="328">
        <v>40725</v>
      </c>
      <c r="C102" s="331"/>
      <c r="D102" s="331"/>
      <c r="E102" s="331"/>
      <c r="F102" s="331"/>
      <c r="G102" s="331"/>
      <c r="H102" s="331"/>
      <c r="I102" s="331">
        <v>712</v>
      </c>
      <c r="J102" s="331">
        <v>82</v>
      </c>
      <c r="K102" s="331">
        <v>794</v>
      </c>
      <c r="L102" s="331">
        <v>760</v>
      </c>
      <c r="M102" s="331">
        <v>145</v>
      </c>
      <c r="N102" s="331">
        <v>905</v>
      </c>
      <c r="O102" s="331">
        <v>3028</v>
      </c>
      <c r="P102" s="331">
        <v>1924</v>
      </c>
      <c r="Q102" s="331">
        <v>4952</v>
      </c>
      <c r="R102" s="331">
        <v>138</v>
      </c>
      <c r="S102" s="331">
        <v>64</v>
      </c>
      <c r="T102" s="331">
        <v>202</v>
      </c>
      <c r="U102" s="329">
        <v>4638</v>
      </c>
      <c r="V102" s="329">
        <v>2215</v>
      </c>
      <c r="W102" s="329">
        <v>6853</v>
      </c>
    </row>
    <row r="103" spans="2:23" hidden="1" outlineLevel="1" x14ac:dyDescent="0.25">
      <c r="B103" s="328">
        <v>40756</v>
      </c>
      <c r="C103" s="331"/>
      <c r="D103" s="331"/>
      <c r="E103" s="331"/>
      <c r="F103" s="331"/>
      <c r="G103" s="331"/>
      <c r="H103" s="331"/>
      <c r="I103" s="331">
        <v>567</v>
      </c>
      <c r="J103" s="331">
        <v>84</v>
      </c>
      <c r="K103" s="331">
        <v>651</v>
      </c>
      <c r="L103" s="331">
        <v>733</v>
      </c>
      <c r="M103" s="331">
        <v>153</v>
      </c>
      <c r="N103" s="331">
        <v>886</v>
      </c>
      <c r="O103" s="331">
        <v>2404</v>
      </c>
      <c r="P103" s="331">
        <v>1632</v>
      </c>
      <c r="Q103" s="331">
        <v>4036</v>
      </c>
      <c r="R103" s="331">
        <v>127</v>
      </c>
      <c r="S103" s="331">
        <v>55</v>
      </c>
      <c r="T103" s="331">
        <v>182</v>
      </c>
      <c r="U103" s="329">
        <v>3831</v>
      </c>
      <c r="V103" s="329">
        <v>1924</v>
      </c>
      <c r="W103" s="329">
        <v>5755</v>
      </c>
    </row>
    <row r="104" spans="2:23" hidden="1" outlineLevel="1" x14ac:dyDescent="0.25">
      <c r="B104" s="328">
        <v>40787</v>
      </c>
      <c r="C104" s="331"/>
      <c r="D104" s="331"/>
      <c r="E104" s="331"/>
      <c r="F104" s="331"/>
      <c r="G104" s="331"/>
      <c r="H104" s="331"/>
      <c r="I104" s="331">
        <v>497</v>
      </c>
      <c r="J104" s="331">
        <v>79</v>
      </c>
      <c r="K104" s="331">
        <v>576</v>
      </c>
      <c r="L104" s="331">
        <v>637</v>
      </c>
      <c r="M104" s="331">
        <v>146</v>
      </c>
      <c r="N104" s="331">
        <v>783</v>
      </c>
      <c r="O104" s="331">
        <v>1599</v>
      </c>
      <c r="P104" s="331">
        <v>1052</v>
      </c>
      <c r="Q104" s="331">
        <v>2651</v>
      </c>
      <c r="R104" s="331">
        <v>85</v>
      </c>
      <c r="S104" s="331">
        <v>37</v>
      </c>
      <c r="T104" s="331">
        <v>122</v>
      </c>
      <c r="U104" s="329">
        <v>2818</v>
      </c>
      <c r="V104" s="329">
        <v>1314</v>
      </c>
      <c r="W104" s="329">
        <v>4132</v>
      </c>
    </row>
    <row r="105" spans="2:23" hidden="1" outlineLevel="1" x14ac:dyDescent="0.25">
      <c r="B105" s="328">
        <v>40817</v>
      </c>
      <c r="C105" s="331"/>
      <c r="D105" s="331"/>
      <c r="E105" s="331"/>
      <c r="F105" s="331"/>
      <c r="G105" s="331"/>
      <c r="H105" s="331"/>
      <c r="I105" s="331">
        <v>346</v>
      </c>
      <c r="J105" s="331">
        <v>40</v>
      </c>
      <c r="K105" s="331">
        <v>386</v>
      </c>
      <c r="L105" s="331">
        <v>612</v>
      </c>
      <c r="M105" s="331">
        <v>123</v>
      </c>
      <c r="N105" s="331">
        <v>735</v>
      </c>
      <c r="O105" s="331">
        <v>1328</v>
      </c>
      <c r="P105" s="331">
        <v>698</v>
      </c>
      <c r="Q105" s="331">
        <v>2026</v>
      </c>
      <c r="R105" s="331">
        <v>76</v>
      </c>
      <c r="S105" s="331">
        <v>24</v>
      </c>
      <c r="T105" s="331">
        <v>100</v>
      </c>
      <c r="U105" s="329">
        <v>2362</v>
      </c>
      <c r="V105" s="329">
        <v>885</v>
      </c>
      <c r="W105" s="329">
        <v>3247</v>
      </c>
    </row>
    <row r="106" spans="2:23" hidden="1" outlineLevel="1" x14ac:dyDescent="0.25">
      <c r="B106" s="328">
        <v>40848</v>
      </c>
      <c r="C106" s="331"/>
      <c r="D106" s="331"/>
      <c r="E106" s="331"/>
      <c r="F106" s="331"/>
      <c r="G106" s="331"/>
      <c r="H106" s="331"/>
      <c r="I106" s="331">
        <v>400</v>
      </c>
      <c r="J106" s="331">
        <v>51</v>
      </c>
      <c r="K106" s="331">
        <v>451</v>
      </c>
      <c r="L106" s="331">
        <v>726</v>
      </c>
      <c r="M106" s="331">
        <v>132</v>
      </c>
      <c r="N106" s="331">
        <v>858</v>
      </c>
      <c r="O106" s="331">
        <v>2064</v>
      </c>
      <c r="P106" s="331">
        <v>1262</v>
      </c>
      <c r="Q106" s="331">
        <v>3326</v>
      </c>
      <c r="R106" s="331">
        <v>79</v>
      </c>
      <c r="S106" s="331">
        <v>25</v>
      </c>
      <c r="T106" s="331">
        <v>104</v>
      </c>
      <c r="U106" s="329">
        <v>3269</v>
      </c>
      <c r="V106" s="329">
        <v>1470</v>
      </c>
      <c r="W106" s="329">
        <v>4739</v>
      </c>
    </row>
    <row r="107" spans="2:23" hidden="1" outlineLevel="1" x14ac:dyDescent="0.25">
      <c r="B107" s="328">
        <v>40878</v>
      </c>
      <c r="C107" s="331"/>
      <c r="D107" s="331"/>
      <c r="E107" s="331"/>
      <c r="F107" s="331"/>
      <c r="G107" s="331"/>
      <c r="H107" s="331"/>
      <c r="I107" s="331">
        <v>324</v>
      </c>
      <c r="J107" s="331">
        <v>29</v>
      </c>
      <c r="K107" s="331">
        <v>353</v>
      </c>
      <c r="L107" s="331">
        <v>560</v>
      </c>
      <c r="M107" s="331">
        <v>102</v>
      </c>
      <c r="N107" s="331">
        <v>662</v>
      </c>
      <c r="O107" s="331">
        <v>1595</v>
      </c>
      <c r="P107" s="331">
        <v>1019</v>
      </c>
      <c r="Q107" s="331">
        <v>2614</v>
      </c>
      <c r="R107" s="331">
        <v>45</v>
      </c>
      <c r="S107" s="331">
        <v>26</v>
      </c>
      <c r="T107" s="331">
        <v>71</v>
      </c>
      <c r="U107" s="329">
        <v>2524</v>
      </c>
      <c r="V107" s="329">
        <v>1176</v>
      </c>
      <c r="W107" s="329">
        <v>3700</v>
      </c>
    </row>
    <row r="108" spans="2:23" collapsed="1" x14ac:dyDescent="0.25">
      <c r="B108" s="330" t="s">
        <v>693</v>
      </c>
      <c r="C108" s="329" t="s">
        <v>781</v>
      </c>
      <c r="D108" s="329" t="s">
        <v>781</v>
      </c>
      <c r="E108" s="329" t="s">
        <v>781</v>
      </c>
      <c r="F108" s="329" t="s">
        <v>781</v>
      </c>
      <c r="G108" s="329" t="s">
        <v>781</v>
      </c>
      <c r="H108" s="329" t="s">
        <v>781</v>
      </c>
      <c r="I108" s="329">
        <v>533</v>
      </c>
      <c r="J108" s="329">
        <v>74</v>
      </c>
      <c r="K108" s="329">
        <v>607</v>
      </c>
      <c r="L108" s="329">
        <v>724</v>
      </c>
      <c r="M108" s="329">
        <v>140</v>
      </c>
      <c r="N108" s="329">
        <v>864</v>
      </c>
      <c r="O108" s="329">
        <v>1790</v>
      </c>
      <c r="P108" s="329">
        <v>1121</v>
      </c>
      <c r="Q108" s="329">
        <v>2911</v>
      </c>
      <c r="R108" s="329">
        <v>95</v>
      </c>
      <c r="S108" s="329">
        <v>40</v>
      </c>
      <c r="T108" s="329">
        <v>134</v>
      </c>
      <c r="U108" s="329">
        <v>3142</v>
      </c>
      <c r="V108" s="329">
        <v>1375</v>
      </c>
      <c r="W108" s="329">
        <v>4516</v>
      </c>
    </row>
    <row r="109" spans="2:23" hidden="1" outlineLevel="1" x14ac:dyDescent="0.25">
      <c r="B109" s="328">
        <v>40909</v>
      </c>
      <c r="C109" s="331"/>
      <c r="D109" s="331"/>
      <c r="E109" s="331"/>
      <c r="F109" s="331"/>
      <c r="G109" s="331"/>
      <c r="H109" s="331"/>
      <c r="I109" s="331">
        <v>355</v>
      </c>
      <c r="J109" s="331">
        <v>43</v>
      </c>
      <c r="K109" s="331">
        <v>398</v>
      </c>
      <c r="L109" s="331">
        <v>564</v>
      </c>
      <c r="M109" s="331">
        <v>124</v>
      </c>
      <c r="N109" s="331">
        <v>688</v>
      </c>
      <c r="O109" s="331">
        <v>1640</v>
      </c>
      <c r="P109" s="331">
        <v>954</v>
      </c>
      <c r="Q109" s="331">
        <v>2594</v>
      </c>
      <c r="R109" s="331">
        <v>66</v>
      </c>
      <c r="S109" s="331">
        <v>28</v>
      </c>
      <c r="T109" s="331">
        <v>94</v>
      </c>
      <c r="U109" s="329">
        <v>2625</v>
      </c>
      <c r="V109" s="329">
        <v>1149</v>
      </c>
      <c r="W109" s="329">
        <v>3774</v>
      </c>
    </row>
    <row r="110" spans="2:23" hidden="1" outlineLevel="1" x14ac:dyDescent="0.25">
      <c r="B110" s="328">
        <v>40940</v>
      </c>
      <c r="C110" s="331"/>
      <c r="D110" s="331"/>
      <c r="E110" s="331"/>
      <c r="F110" s="331"/>
      <c r="G110" s="331"/>
      <c r="H110" s="331"/>
      <c r="I110" s="331">
        <v>295</v>
      </c>
      <c r="J110" s="331">
        <v>35</v>
      </c>
      <c r="K110" s="331">
        <v>330</v>
      </c>
      <c r="L110" s="331">
        <v>525</v>
      </c>
      <c r="M110" s="331">
        <v>117</v>
      </c>
      <c r="N110" s="331">
        <v>642</v>
      </c>
      <c r="O110" s="331">
        <v>1029</v>
      </c>
      <c r="P110" s="331">
        <v>640</v>
      </c>
      <c r="Q110" s="331">
        <v>1669</v>
      </c>
      <c r="R110" s="331">
        <v>66</v>
      </c>
      <c r="S110" s="331">
        <v>23</v>
      </c>
      <c r="T110" s="331">
        <v>89</v>
      </c>
      <c r="U110" s="329">
        <v>1915</v>
      </c>
      <c r="V110" s="329">
        <v>815</v>
      </c>
      <c r="W110" s="329">
        <v>2730</v>
      </c>
    </row>
    <row r="111" spans="2:23" hidden="1" outlineLevel="1" x14ac:dyDescent="0.25">
      <c r="B111" s="328">
        <v>40969</v>
      </c>
      <c r="C111" s="331"/>
      <c r="D111" s="331"/>
      <c r="E111" s="331"/>
      <c r="F111" s="331"/>
      <c r="G111" s="331"/>
      <c r="H111" s="331"/>
      <c r="I111" s="331">
        <v>346</v>
      </c>
      <c r="J111" s="331">
        <v>41</v>
      </c>
      <c r="K111" s="331">
        <v>387</v>
      </c>
      <c r="L111" s="331">
        <v>646</v>
      </c>
      <c r="M111" s="331">
        <v>121</v>
      </c>
      <c r="N111" s="331">
        <v>767</v>
      </c>
      <c r="O111" s="331">
        <v>1089</v>
      </c>
      <c r="P111" s="331">
        <v>600</v>
      </c>
      <c r="Q111" s="331">
        <v>1689</v>
      </c>
      <c r="R111" s="331">
        <v>74</v>
      </c>
      <c r="S111" s="331">
        <v>24</v>
      </c>
      <c r="T111" s="331">
        <v>98</v>
      </c>
      <c r="U111" s="329">
        <v>2155</v>
      </c>
      <c r="V111" s="329">
        <v>786</v>
      </c>
      <c r="W111" s="329">
        <v>2941</v>
      </c>
    </row>
    <row r="112" spans="2:23" hidden="1" outlineLevel="1" x14ac:dyDescent="0.25">
      <c r="B112" s="328">
        <v>41000</v>
      </c>
      <c r="C112" s="331"/>
      <c r="D112" s="331"/>
      <c r="E112" s="331"/>
      <c r="F112" s="331"/>
      <c r="G112" s="331"/>
      <c r="H112" s="331"/>
      <c r="I112" s="331">
        <v>280</v>
      </c>
      <c r="J112" s="331">
        <v>33</v>
      </c>
      <c r="K112" s="331">
        <v>313</v>
      </c>
      <c r="L112" s="331">
        <v>579</v>
      </c>
      <c r="M112" s="331">
        <v>128</v>
      </c>
      <c r="N112" s="331">
        <v>707</v>
      </c>
      <c r="O112" s="331">
        <v>909</v>
      </c>
      <c r="P112" s="331">
        <v>580</v>
      </c>
      <c r="Q112" s="331">
        <v>1489</v>
      </c>
      <c r="R112" s="331">
        <v>53</v>
      </c>
      <c r="S112" s="331">
        <v>19</v>
      </c>
      <c r="T112" s="331">
        <v>72</v>
      </c>
      <c r="U112" s="329">
        <v>1821</v>
      </c>
      <c r="V112" s="329">
        <v>760</v>
      </c>
      <c r="W112" s="329">
        <v>2581</v>
      </c>
    </row>
    <row r="113" spans="2:23" hidden="1" outlineLevel="1" x14ac:dyDescent="0.25">
      <c r="B113" s="328">
        <v>41030</v>
      </c>
      <c r="C113" s="331"/>
      <c r="D113" s="331"/>
      <c r="E113" s="331"/>
      <c r="F113" s="331"/>
      <c r="G113" s="331"/>
      <c r="H113" s="331"/>
      <c r="I113" s="331">
        <v>339</v>
      </c>
      <c r="J113" s="331">
        <v>46</v>
      </c>
      <c r="K113" s="331">
        <v>385</v>
      </c>
      <c r="L113" s="331">
        <v>710</v>
      </c>
      <c r="M113" s="331">
        <v>156</v>
      </c>
      <c r="N113" s="331">
        <v>866</v>
      </c>
      <c r="O113" s="331">
        <v>1364</v>
      </c>
      <c r="P113" s="331">
        <v>737</v>
      </c>
      <c r="Q113" s="331">
        <v>2101</v>
      </c>
      <c r="R113" s="331">
        <v>56</v>
      </c>
      <c r="S113" s="331">
        <v>33</v>
      </c>
      <c r="T113" s="331">
        <v>89</v>
      </c>
      <c r="U113" s="329">
        <v>2469</v>
      </c>
      <c r="V113" s="329">
        <v>972</v>
      </c>
      <c r="W113" s="329">
        <v>3441</v>
      </c>
    </row>
    <row r="114" spans="2:23" hidden="1" outlineLevel="1" x14ac:dyDescent="0.25">
      <c r="B114" s="328">
        <v>41061</v>
      </c>
      <c r="C114" s="331"/>
      <c r="D114" s="331"/>
      <c r="E114" s="331"/>
      <c r="F114" s="331"/>
      <c r="G114" s="331"/>
      <c r="H114" s="331"/>
      <c r="I114" s="331">
        <v>312</v>
      </c>
      <c r="J114" s="331">
        <v>45</v>
      </c>
      <c r="K114" s="331">
        <v>357</v>
      </c>
      <c r="L114" s="331">
        <v>615</v>
      </c>
      <c r="M114" s="331">
        <v>145</v>
      </c>
      <c r="N114" s="331">
        <v>760</v>
      </c>
      <c r="O114" s="331">
        <v>1176</v>
      </c>
      <c r="P114" s="331">
        <v>712</v>
      </c>
      <c r="Q114" s="331">
        <v>1888</v>
      </c>
      <c r="R114" s="331">
        <v>84</v>
      </c>
      <c r="S114" s="331">
        <v>26</v>
      </c>
      <c r="T114" s="331">
        <v>110</v>
      </c>
      <c r="U114" s="329">
        <v>2187</v>
      </c>
      <c r="V114" s="329">
        <v>928</v>
      </c>
      <c r="W114" s="329">
        <v>3115</v>
      </c>
    </row>
    <row r="115" spans="2:23" hidden="1" outlineLevel="1" x14ac:dyDescent="0.25">
      <c r="B115" s="328">
        <v>41091</v>
      </c>
      <c r="C115" s="331"/>
      <c r="D115" s="331"/>
      <c r="E115" s="331"/>
      <c r="F115" s="331"/>
      <c r="G115" s="331"/>
      <c r="H115" s="331"/>
      <c r="I115" s="331">
        <v>296</v>
      </c>
      <c r="J115" s="331">
        <v>48</v>
      </c>
      <c r="K115" s="331">
        <v>344</v>
      </c>
      <c r="L115" s="331">
        <v>598</v>
      </c>
      <c r="M115" s="331">
        <v>136</v>
      </c>
      <c r="N115" s="331">
        <v>734</v>
      </c>
      <c r="O115" s="331">
        <v>471</v>
      </c>
      <c r="P115" s="331">
        <v>305</v>
      </c>
      <c r="Q115" s="331">
        <v>776</v>
      </c>
      <c r="R115" s="331">
        <v>89</v>
      </c>
      <c r="S115" s="331">
        <v>22</v>
      </c>
      <c r="T115" s="331">
        <v>111</v>
      </c>
      <c r="U115" s="329">
        <v>1454</v>
      </c>
      <c r="V115" s="329">
        <v>511</v>
      </c>
      <c r="W115" s="329">
        <v>1965</v>
      </c>
    </row>
    <row r="116" spans="2:23" hidden="1" outlineLevel="1" x14ac:dyDescent="0.25">
      <c r="B116" s="328">
        <v>41122</v>
      </c>
      <c r="C116" s="331"/>
      <c r="D116" s="331"/>
      <c r="E116" s="331"/>
      <c r="F116" s="331"/>
      <c r="G116" s="331"/>
      <c r="H116" s="331"/>
      <c r="I116" s="331">
        <v>484</v>
      </c>
      <c r="J116" s="331">
        <v>63</v>
      </c>
      <c r="K116" s="331">
        <v>547</v>
      </c>
      <c r="L116" s="331">
        <v>738</v>
      </c>
      <c r="M116" s="331">
        <v>142</v>
      </c>
      <c r="N116" s="331">
        <v>880</v>
      </c>
      <c r="O116" s="331">
        <v>466</v>
      </c>
      <c r="P116" s="331">
        <v>329</v>
      </c>
      <c r="Q116" s="331">
        <v>795</v>
      </c>
      <c r="R116" s="331">
        <v>78</v>
      </c>
      <c r="S116" s="331">
        <v>45</v>
      </c>
      <c r="T116" s="331">
        <v>123</v>
      </c>
      <c r="U116" s="329">
        <v>1766</v>
      </c>
      <c r="V116" s="329">
        <v>579</v>
      </c>
      <c r="W116" s="329">
        <v>2345</v>
      </c>
    </row>
    <row r="117" spans="2:23" hidden="1" outlineLevel="1" x14ac:dyDescent="0.25">
      <c r="B117" s="328">
        <v>41153</v>
      </c>
      <c r="C117" s="331"/>
      <c r="D117" s="331"/>
      <c r="E117" s="331"/>
      <c r="F117" s="331"/>
      <c r="G117" s="331"/>
      <c r="H117" s="331"/>
      <c r="I117" s="331">
        <v>385</v>
      </c>
      <c r="J117" s="331">
        <v>43</v>
      </c>
      <c r="K117" s="331">
        <v>428</v>
      </c>
      <c r="L117" s="331">
        <v>532</v>
      </c>
      <c r="M117" s="331">
        <v>84</v>
      </c>
      <c r="N117" s="331">
        <v>616</v>
      </c>
      <c r="O117" s="331">
        <v>568</v>
      </c>
      <c r="P117" s="331">
        <v>474</v>
      </c>
      <c r="Q117" s="331">
        <v>1042</v>
      </c>
      <c r="R117" s="331">
        <v>52</v>
      </c>
      <c r="S117" s="331">
        <v>30</v>
      </c>
      <c r="T117" s="331">
        <v>82</v>
      </c>
      <c r="U117" s="329">
        <v>1537</v>
      </c>
      <c r="V117" s="329">
        <v>631</v>
      </c>
      <c r="W117" s="329">
        <v>2168</v>
      </c>
    </row>
    <row r="118" spans="2:23" hidden="1" outlineLevel="1" x14ac:dyDescent="0.25">
      <c r="B118" s="328">
        <v>41183</v>
      </c>
      <c r="C118" s="331"/>
      <c r="D118" s="331"/>
      <c r="E118" s="331"/>
      <c r="F118" s="331"/>
      <c r="G118" s="331"/>
      <c r="H118" s="331"/>
      <c r="I118" s="331">
        <v>539</v>
      </c>
      <c r="J118" s="331">
        <v>78</v>
      </c>
      <c r="K118" s="331">
        <v>617</v>
      </c>
      <c r="L118" s="331">
        <v>782</v>
      </c>
      <c r="M118" s="331">
        <v>126</v>
      </c>
      <c r="N118" s="331">
        <v>908</v>
      </c>
      <c r="O118" s="331">
        <v>486</v>
      </c>
      <c r="P118" s="331">
        <v>371</v>
      </c>
      <c r="Q118" s="331">
        <v>857</v>
      </c>
      <c r="R118" s="331">
        <v>81</v>
      </c>
      <c r="S118" s="331">
        <v>37</v>
      </c>
      <c r="T118" s="331">
        <v>118</v>
      </c>
      <c r="U118" s="329">
        <v>1888</v>
      </c>
      <c r="V118" s="329">
        <v>612</v>
      </c>
      <c r="W118" s="329">
        <v>2500</v>
      </c>
    </row>
    <row r="119" spans="2:23" hidden="1" outlineLevel="1" x14ac:dyDescent="0.25">
      <c r="B119" s="328">
        <v>41214</v>
      </c>
      <c r="C119" s="331"/>
      <c r="D119" s="331"/>
      <c r="E119" s="331"/>
      <c r="F119" s="331"/>
      <c r="G119" s="331"/>
      <c r="H119" s="331"/>
      <c r="I119" s="331">
        <v>187</v>
      </c>
      <c r="J119" s="331">
        <v>25</v>
      </c>
      <c r="K119" s="331">
        <v>212</v>
      </c>
      <c r="L119" s="331">
        <v>610</v>
      </c>
      <c r="M119" s="331">
        <v>120</v>
      </c>
      <c r="N119" s="331">
        <v>730</v>
      </c>
      <c r="O119" s="331">
        <v>312</v>
      </c>
      <c r="P119" s="331">
        <v>244</v>
      </c>
      <c r="Q119" s="331">
        <v>556</v>
      </c>
      <c r="R119" s="331">
        <v>65</v>
      </c>
      <c r="S119" s="331">
        <v>31</v>
      </c>
      <c r="T119" s="331">
        <v>96</v>
      </c>
      <c r="U119" s="329">
        <v>1174</v>
      </c>
      <c r="V119" s="329">
        <v>420</v>
      </c>
      <c r="W119" s="329">
        <v>1594</v>
      </c>
    </row>
    <row r="120" spans="2:23" hidden="1" outlineLevel="1" x14ac:dyDescent="0.25">
      <c r="B120" s="328">
        <v>41244</v>
      </c>
      <c r="C120" s="331"/>
      <c r="D120" s="331"/>
      <c r="E120" s="331"/>
      <c r="F120" s="331"/>
      <c r="G120" s="331"/>
      <c r="H120" s="331"/>
      <c r="I120" s="331">
        <v>193</v>
      </c>
      <c r="J120" s="331">
        <v>38</v>
      </c>
      <c r="K120" s="331">
        <v>231</v>
      </c>
      <c r="L120" s="331">
        <v>517</v>
      </c>
      <c r="M120" s="331">
        <v>129</v>
      </c>
      <c r="N120" s="331">
        <v>646</v>
      </c>
      <c r="O120" s="331">
        <v>550</v>
      </c>
      <c r="P120" s="331">
        <v>465</v>
      </c>
      <c r="Q120" s="331">
        <v>1015</v>
      </c>
      <c r="R120" s="331">
        <v>37</v>
      </c>
      <c r="S120" s="331">
        <v>17</v>
      </c>
      <c r="T120" s="331">
        <v>54</v>
      </c>
      <c r="U120" s="329">
        <v>1297</v>
      </c>
      <c r="V120" s="329">
        <v>649</v>
      </c>
      <c r="W120" s="329">
        <v>1946</v>
      </c>
    </row>
    <row r="121" spans="2:23" collapsed="1" x14ac:dyDescent="0.25">
      <c r="B121" s="330" t="s">
        <v>694</v>
      </c>
      <c r="C121" s="329" t="s">
        <v>781</v>
      </c>
      <c r="D121" s="329" t="s">
        <v>781</v>
      </c>
      <c r="E121" s="329" t="s">
        <v>781</v>
      </c>
      <c r="F121" s="329" t="s">
        <v>781</v>
      </c>
      <c r="G121" s="329" t="s">
        <v>781</v>
      </c>
      <c r="H121" s="329" t="s">
        <v>781</v>
      </c>
      <c r="I121" s="329">
        <v>334</v>
      </c>
      <c r="J121" s="329">
        <v>45</v>
      </c>
      <c r="K121" s="329">
        <v>379</v>
      </c>
      <c r="L121" s="329">
        <v>618</v>
      </c>
      <c r="M121" s="329">
        <v>127</v>
      </c>
      <c r="N121" s="329">
        <v>745</v>
      </c>
      <c r="O121" s="329">
        <v>838</v>
      </c>
      <c r="P121" s="329">
        <v>534</v>
      </c>
      <c r="Q121" s="329">
        <v>1373</v>
      </c>
      <c r="R121" s="329">
        <v>67</v>
      </c>
      <c r="S121" s="329">
        <v>28</v>
      </c>
      <c r="T121" s="329">
        <v>95</v>
      </c>
      <c r="U121" s="329">
        <v>1857</v>
      </c>
      <c r="V121" s="329">
        <v>734</v>
      </c>
      <c r="W121" s="329">
        <v>2592</v>
      </c>
    </row>
    <row r="122" spans="2:23" hidden="1" outlineLevel="1" x14ac:dyDescent="0.25">
      <c r="B122" s="328">
        <v>41275</v>
      </c>
      <c r="C122" s="331"/>
      <c r="D122" s="331"/>
      <c r="E122" s="331"/>
      <c r="F122" s="331"/>
      <c r="G122" s="331"/>
      <c r="H122" s="331"/>
      <c r="I122" s="331">
        <v>193</v>
      </c>
      <c r="J122" s="331">
        <v>41</v>
      </c>
      <c r="K122" s="331">
        <v>234</v>
      </c>
      <c r="L122" s="331">
        <v>499</v>
      </c>
      <c r="M122" s="331">
        <v>115</v>
      </c>
      <c r="N122" s="331">
        <v>614</v>
      </c>
      <c r="O122" s="331">
        <v>666</v>
      </c>
      <c r="P122" s="331">
        <v>514</v>
      </c>
      <c r="Q122" s="331">
        <v>1180</v>
      </c>
      <c r="R122" s="331">
        <v>47</v>
      </c>
      <c r="S122" s="331">
        <v>36</v>
      </c>
      <c r="T122" s="331">
        <v>83</v>
      </c>
      <c r="U122" s="329">
        <v>1405</v>
      </c>
      <c r="V122" s="329">
        <v>706</v>
      </c>
      <c r="W122" s="329">
        <v>2111</v>
      </c>
    </row>
    <row r="123" spans="2:23" hidden="1" outlineLevel="1" x14ac:dyDescent="0.25">
      <c r="B123" s="328">
        <v>41306</v>
      </c>
      <c r="C123" s="331"/>
      <c r="D123" s="331"/>
      <c r="E123" s="331"/>
      <c r="F123" s="331"/>
      <c r="G123" s="331"/>
      <c r="H123" s="331"/>
      <c r="I123" s="331">
        <v>155</v>
      </c>
      <c r="J123" s="331">
        <v>41</v>
      </c>
      <c r="K123" s="331">
        <v>196</v>
      </c>
      <c r="L123" s="331">
        <v>456</v>
      </c>
      <c r="M123" s="331">
        <v>104</v>
      </c>
      <c r="N123" s="331">
        <v>560</v>
      </c>
      <c r="O123" s="331">
        <v>425</v>
      </c>
      <c r="P123" s="331">
        <v>304</v>
      </c>
      <c r="Q123" s="331">
        <v>729</v>
      </c>
      <c r="R123" s="331">
        <v>37</v>
      </c>
      <c r="S123" s="331">
        <v>16</v>
      </c>
      <c r="T123" s="331">
        <v>53</v>
      </c>
      <c r="U123" s="329">
        <v>1073</v>
      </c>
      <c r="V123" s="329">
        <v>465</v>
      </c>
      <c r="W123" s="329">
        <v>1538</v>
      </c>
    </row>
    <row r="124" spans="2:23" hidden="1" outlineLevel="1" x14ac:dyDescent="0.25">
      <c r="B124" s="328">
        <v>41334</v>
      </c>
      <c r="C124" s="331"/>
      <c r="D124" s="331"/>
      <c r="E124" s="331"/>
      <c r="F124" s="331"/>
      <c r="G124" s="331"/>
      <c r="H124" s="331"/>
      <c r="I124" s="331">
        <v>107</v>
      </c>
      <c r="J124" s="331">
        <v>25</v>
      </c>
      <c r="K124" s="331">
        <v>132</v>
      </c>
      <c r="L124" s="331">
        <v>594</v>
      </c>
      <c r="M124" s="331">
        <v>121</v>
      </c>
      <c r="N124" s="331">
        <v>715</v>
      </c>
      <c r="O124" s="331">
        <v>328</v>
      </c>
      <c r="P124" s="331">
        <v>285</v>
      </c>
      <c r="Q124" s="331">
        <v>613</v>
      </c>
      <c r="R124" s="331">
        <v>61</v>
      </c>
      <c r="S124" s="331">
        <v>31</v>
      </c>
      <c r="T124" s="331">
        <v>92</v>
      </c>
      <c r="U124" s="329">
        <v>1090</v>
      </c>
      <c r="V124" s="329">
        <v>462</v>
      </c>
      <c r="W124" s="329">
        <v>1552</v>
      </c>
    </row>
    <row r="125" spans="2:23" hidden="1" outlineLevel="1" x14ac:dyDescent="0.25">
      <c r="B125" s="328">
        <v>41365</v>
      </c>
      <c r="C125" s="331"/>
      <c r="D125" s="331"/>
      <c r="E125" s="331"/>
      <c r="F125" s="331"/>
      <c r="G125" s="331"/>
      <c r="H125" s="331"/>
      <c r="I125" s="331">
        <v>128</v>
      </c>
      <c r="J125" s="331">
        <v>30</v>
      </c>
      <c r="K125" s="331">
        <v>158</v>
      </c>
      <c r="L125" s="331">
        <v>663</v>
      </c>
      <c r="M125" s="331">
        <v>127</v>
      </c>
      <c r="N125" s="331">
        <v>790</v>
      </c>
      <c r="O125" s="331">
        <v>271</v>
      </c>
      <c r="P125" s="331">
        <v>256</v>
      </c>
      <c r="Q125" s="331">
        <v>527</v>
      </c>
      <c r="R125" s="331">
        <v>63</v>
      </c>
      <c r="S125" s="331">
        <v>37</v>
      </c>
      <c r="T125" s="331">
        <v>100</v>
      </c>
      <c r="U125" s="329">
        <v>1125</v>
      </c>
      <c r="V125" s="329">
        <v>450</v>
      </c>
      <c r="W125" s="329">
        <v>1575</v>
      </c>
    </row>
    <row r="126" spans="2:23" hidden="1" outlineLevel="1" x14ac:dyDescent="0.25">
      <c r="B126" s="328">
        <v>41395</v>
      </c>
      <c r="C126" s="331"/>
      <c r="D126" s="331"/>
      <c r="E126" s="331"/>
      <c r="F126" s="331"/>
      <c r="G126" s="331"/>
      <c r="H126" s="331"/>
      <c r="I126" s="331">
        <v>92</v>
      </c>
      <c r="J126" s="331">
        <v>37</v>
      </c>
      <c r="K126" s="331">
        <v>129</v>
      </c>
      <c r="L126" s="331">
        <v>544</v>
      </c>
      <c r="M126" s="331">
        <v>89</v>
      </c>
      <c r="N126" s="331">
        <v>633</v>
      </c>
      <c r="O126" s="331">
        <v>245</v>
      </c>
      <c r="P126" s="331">
        <v>361</v>
      </c>
      <c r="Q126" s="331">
        <v>606</v>
      </c>
      <c r="R126" s="331">
        <v>68</v>
      </c>
      <c r="S126" s="331">
        <v>35</v>
      </c>
      <c r="T126" s="331">
        <v>103</v>
      </c>
      <c r="U126" s="329">
        <v>949</v>
      </c>
      <c r="V126" s="329">
        <v>522</v>
      </c>
      <c r="W126" s="329">
        <v>1471</v>
      </c>
    </row>
    <row r="127" spans="2:23" hidden="1" outlineLevel="1" x14ac:dyDescent="0.25">
      <c r="B127" s="328">
        <v>41426</v>
      </c>
      <c r="C127" s="331"/>
      <c r="D127" s="331"/>
      <c r="E127" s="331"/>
      <c r="F127" s="331"/>
      <c r="G127" s="331"/>
      <c r="H127" s="331"/>
      <c r="I127" s="331">
        <v>274</v>
      </c>
      <c r="J127" s="331">
        <v>68</v>
      </c>
      <c r="K127" s="331">
        <v>342</v>
      </c>
      <c r="L127" s="331">
        <v>567</v>
      </c>
      <c r="M127" s="331">
        <v>119</v>
      </c>
      <c r="N127" s="331">
        <v>686</v>
      </c>
      <c r="O127" s="331">
        <v>632</v>
      </c>
      <c r="P127" s="331">
        <v>542</v>
      </c>
      <c r="Q127" s="331">
        <v>1174</v>
      </c>
      <c r="R127" s="331">
        <v>88</v>
      </c>
      <c r="S127" s="331">
        <v>42</v>
      </c>
      <c r="T127" s="331">
        <v>130</v>
      </c>
      <c r="U127" s="329">
        <v>1561</v>
      </c>
      <c r="V127" s="329">
        <v>771</v>
      </c>
      <c r="W127" s="329">
        <v>2332</v>
      </c>
    </row>
    <row r="128" spans="2:23" hidden="1" outlineLevel="1" x14ac:dyDescent="0.25">
      <c r="B128" s="328">
        <v>41456</v>
      </c>
      <c r="C128" s="331"/>
      <c r="D128" s="331"/>
      <c r="E128" s="331"/>
      <c r="F128" s="331"/>
      <c r="G128" s="331"/>
      <c r="H128" s="331"/>
      <c r="I128" s="331">
        <v>83</v>
      </c>
      <c r="J128" s="331">
        <v>36</v>
      </c>
      <c r="K128" s="331">
        <v>119</v>
      </c>
      <c r="L128" s="331">
        <v>552</v>
      </c>
      <c r="M128" s="331">
        <v>105</v>
      </c>
      <c r="N128" s="331">
        <v>657</v>
      </c>
      <c r="O128" s="331">
        <v>207</v>
      </c>
      <c r="P128" s="331">
        <v>222</v>
      </c>
      <c r="Q128" s="331">
        <v>429</v>
      </c>
      <c r="R128" s="331">
        <v>54</v>
      </c>
      <c r="S128" s="331">
        <v>39</v>
      </c>
      <c r="T128" s="331">
        <v>93</v>
      </c>
      <c r="U128" s="329">
        <v>896</v>
      </c>
      <c r="V128" s="329">
        <v>402</v>
      </c>
      <c r="W128" s="329">
        <v>1298</v>
      </c>
    </row>
    <row r="129" spans="2:23" hidden="1" outlineLevel="1" x14ac:dyDescent="0.25">
      <c r="B129" s="328">
        <v>41487</v>
      </c>
      <c r="C129" s="331"/>
      <c r="D129" s="331"/>
      <c r="E129" s="331"/>
      <c r="F129" s="331"/>
      <c r="G129" s="331"/>
      <c r="H129" s="331"/>
      <c r="I129" s="331">
        <v>137</v>
      </c>
      <c r="J129" s="331">
        <v>42</v>
      </c>
      <c r="K129" s="331">
        <v>179</v>
      </c>
      <c r="L129" s="331">
        <v>604</v>
      </c>
      <c r="M129" s="331">
        <v>108</v>
      </c>
      <c r="N129" s="331">
        <v>712</v>
      </c>
      <c r="O129" s="331">
        <v>751</v>
      </c>
      <c r="P129" s="331">
        <v>569</v>
      </c>
      <c r="Q129" s="331">
        <v>1320</v>
      </c>
      <c r="R129" s="331">
        <v>94</v>
      </c>
      <c r="S129" s="331">
        <v>44</v>
      </c>
      <c r="T129" s="331">
        <v>138</v>
      </c>
      <c r="U129" s="329">
        <v>1586</v>
      </c>
      <c r="V129" s="329">
        <v>763</v>
      </c>
      <c r="W129" s="329">
        <v>2349</v>
      </c>
    </row>
    <row r="130" spans="2:23" hidden="1" outlineLevel="1" x14ac:dyDescent="0.25">
      <c r="B130" s="328">
        <v>41518</v>
      </c>
      <c r="C130" s="331"/>
      <c r="D130" s="331"/>
      <c r="E130" s="331"/>
      <c r="F130" s="331"/>
      <c r="G130" s="331"/>
      <c r="H130" s="331"/>
      <c r="I130" s="331">
        <v>287</v>
      </c>
      <c r="J130" s="331">
        <v>79</v>
      </c>
      <c r="K130" s="331">
        <v>366</v>
      </c>
      <c r="L130" s="331">
        <v>444</v>
      </c>
      <c r="M130" s="331">
        <v>87</v>
      </c>
      <c r="N130" s="331">
        <v>531</v>
      </c>
      <c r="O130" s="331">
        <v>661</v>
      </c>
      <c r="P130" s="331">
        <v>468</v>
      </c>
      <c r="Q130" s="331">
        <v>1129</v>
      </c>
      <c r="R130" s="331">
        <v>93</v>
      </c>
      <c r="S130" s="331">
        <v>28</v>
      </c>
      <c r="T130" s="331">
        <v>121</v>
      </c>
      <c r="U130" s="329">
        <v>1485</v>
      </c>
      <c r="V130" s="329">
        <v>662</v>
      </c>
      <c r="W130" s="329">
        <v>2147</v>
      </c>
    </row>
    <row r="131" spans="2:23" hidden="1" outlineLevel="1" x14ac:dyDescent="0.25">
      <c r="B131" s="328">
        <v>41548</v>
      </c>
      <c r="C131" s="331"/>
      <c r="D131" s="331"/>
      <c r="E131" s="331"/>
      <c r="F131" s="331"/>
      <c r="G131" s="331"/>
      <c r="H131" s="331"/>
      <c r="I131" s="331">
        <v>412</v>
      </c>
      <c r="J131" s="331">
        <v>93</v>
      </c>
      <c r="K131" s="331">
        <v>505</v>
      </c>
      <c r="L131" s="331">
        <v>564</v>
      </c>
      <c r="M131" s="331">
        <v>108</v>
      </c>
      <c r="N131" s="331">
        <v>672</v>
      </c>
      <c r="O131" s="331">
        <v>790</v>
      </c>
      <c r="P131" s="331">
        <v>523</v>
      </c>
      <c r="Q131" s="331">
        <v>1313</v>
      </c>
      <c r="R131" s="331">
        <v>109</v>
      </c>
      <c r="S131" s="331">
        <v>40</v>
      </c>
      <c r="T131" s="331">
        <v>149</v>
      </c>
      <c r="U131" s="329">
        <v>1875</v>
      </c>
      <c r="V131" s="329">
        <v>764</v>
      </c>
      <c r="W131" s="329">
        <v>2639</v>
      </c>
    </row>
    <row r="132" spans="2:23" hidden="1" outlineLevel="1" x14ac:dyDescent="0.25">
      <c r="B132" s="328">
        <v>41579</v>
      </c>
      <c r="C132" s="331"/>
      <c r="D132" s="331"/>
      <c r="E132" s="331"/>
      <c r="F132" s="331"/>
      <c r="G132" s="331"/>
      <c r="H132" s="331"/>
      <c r="I132" s="331">
        <v>193</v>
      </c>
      <c r="J132" s="331">
        <v>53</v>
      </c>
      <c r="K132" s="331">
        <v>246</v>
      </c>
      <c r="L132" s="331">
        <v>295</v>
      </c>
      <c r="M132" s="331">
        <v>73</v>
      </c>
      <c r="N132" s="331">
        <v>368</v>
      </c>
      <c r="O132" s="331">
        <v>471</v>
      </c>
      <c r="P132" s="331">
        <v>402</v>
      </c>
      <c r="Q132" s="331">
        <v>873</v>
      </c>
      <c r="R132" s="331">
        <v>33</v>
      </c>
      <c r="S132" s="331">
        <v>9</v>
      </c>
      <c r="T132" s="331">
        <v>42</v>
      </c>
      <c r="U132" s="329">
        <v>992</v>
      </c>
      <c r="V132" s="329">
        <v>537</v>
      </c>
      <c r="W132" s="329">
        <v>1529</v>
      </c>
    </row>
    <row r="133" spans="2:23" hidden="1" outlineLevel="1" x14ac:dyDescent="0.25">
      <c r="B133" s="328">
        <v>41609</v>
      </c>
      <c r="C133" s="331"/>
      <c r="D133" s="331"/>
      <c r="E133" s="331"/>
      <c r="F133" s="331"/>
      <c r="G133" s="331"/>
      <c r="H133" s="331"/>
      <c r="I133" s="331">
        <v>398</v>
      </c>
      <c r="J133" s="331">
        <v>107</v>
      </c>
      <c r="K133" s="331">
        <v>505</v>
      </c>
      <c r="L133" s="331">
        <v>583</v>
      </c>
      <c r="M133" s="331">
        <v>136</v>
      </c>
      <c r="N133" s="331">
        <v>719</v>
      </c>
      <c r="O133" s="331">
        <v>713</v>
      </c>
      <c r="P133" s="331">
        <v>611</v>
      </c>
      <c r="Q133" s="331">
        <v>1324</v>
      </c>
      <c r="R133" s="331">
        <v>61</v>
      </c>
      <c r="S133" s="331">
        <v>16</v>
      </c>
      <c r="T133" s="331">
        <v>77</v>
      </c>
      <c r="U133" s="329">
        <v>1755</v>
      </c>
      <c r="V133" s="329">
        <v>870</v>
      </c>
      <c r="W133" s="329">
        <v>2625</v>
      </c>
    </row>
    <row r="134" spans="2:23" collapsed="1" x14ac:dyDescent="0.25">
      <c r="B134" s="330" t="s">
        <v>695</v>
      </c>
      <c r="C134" s="329" t="s">
        <v>781</v>
      </c>
      <c r="D134" s="329" t="s">
        <v>781</v>
      </c>
      <c r="E134" s="329" t="s">
        <v>781</v>
      </c>
      <c r="F134" s="329" t="s">
        <v>781</v>
      </c>
      <c r="G134" s="329" t="s">
        <v>781</v>
      </c>
      <c r="H134" s="329" t="s">
        <v>781</v>
      </c>
      <c r="I134" s="329">
        <v>205</v>
      </c>
      <c r="J134" s="329">
        <v>54</v>
      </c>
      <c r="K134" s="329">
        <v>259</v>
      </c>
      <c r="L134" s="329">
        <v>530</v>
      </c>
      <c r="M134" s="329">
        <v>108</v>
      </c>
      <c r="N134" s="329">
        <v>638</v>
      </c>
      <c r="O134" s="329">
        <v>513</v>
      </c>
      <c r="P134" s="329">
        <v>421</v>
      </c>
      <c r="Q134" s="329">
        <v>935</v>
      </c>
      <c r="R134" s="329">
        <v>67</v>
      </c>
      <c r="S134" s="329">
        <v>31</v>
      </c>
      <c r="T134" s="329">
        <v>98</v>
      </c>
      <c r="U134" s="329">
        <v>1316</v>
      </c>
      <c r="V134" s="329">
        <v>615</v>
      </c>
      <c r="W134" s="329">
        <v>1931</v>
      </c>
    </row>
    <row r="135" spans="2:23" hidden="1" outlineLevel="1" x14ac:dyDescent="0.25">
      <c r="B135" s="328">
        <v>41640</v>
      </c>
      <c r="C135" s="331"/>
      <c r="D135" s="331"/>
      <c r="E135" s="331"/>
      <c r="F135" s="331"/>
      <c r="G135" s="331"/>
      <c r="H135" s="331"/>
      <c r="I135" s="331">
        <v>422</v>
      </c>
      <c r="J135" s="331">
        <v>90</v>
      </c>
      <c r="K135" s="331">
        <v>512</v>
      </c>
      <c r="L135" s="331">
        <v>516</v>
      </c>
      <c r="M135" s="331">
        <v>91</v>
      </c>
      <c r="N135" s="331">
        <v>607</v>
      </c>
      <c r="O135" s="331">
        <v>770</v>
      </c>
      <c r="P135" s="331">
        <v>586</v>
      </c>
      <c r="Q135" s="331">
        <v>1356</v>
      </c>
      <c r="R135" s="331">
        <v>47</v>
      </c>
      <c r="S135" s="331">
        <v>15</v>
      </c>
      <c r="T135" s="331">
        <v>62</v>
      </c>
      <c r="U135" s="329">
        <v>1755</v>
      </c>
      <c r="V135" s="329">
        <v>782</v>
      </c>
      <c r="W135" s="329">
        <v>2537</v>
      </c>
    </row>
    <row r="136" spans="2:23" hidden="1" outlineLevel="1" x14ac:dyDescent="0.25">
      <c r="B136" s="328">
        <v>41671</v>
      </c>
      <c r="C136" s="331"/>
      <c r="D136" s="331"/>
      <c r="E136" s="331"/>
      <c r="F136" s="331"/>
      <c r="G136" s="331"/>
      <c r="H136" s="331"/>
      <c r="I136" s="331">
        <v>520</v>
      </c>
      <c r="J136" s="331">
        <v>102</v>
      </c>
      <c r="K136" s="331">
        <v>622</v>
      </c>
      <c r="L136" s="331">
        <v>400</v>
      </c>
      <c r="M136" s="331">
        <v>93</v>
      </c>
      <c r="N136" s="331">
        <v>493</v>
      </c>
      <c r="O136" s="331">
        <v>696</v>
      </c>
      <c r="P136" s="331">
        <v>535</v>
      </c>
      <c r="Q136" s="331">
        <v>1231</v>
      </c>
      <c r="R136" s="331">
        <v>38</v>
      </c>
      <c r="S136" s="331">
        <v>17</v>
      </c>
      <c r="T136" s="331">
        <v>55</v>
      </c>
      <c r="U136" s="329">
        <v>1654</v>
      </c>
      <c r="V136" s="329">
        <v>747</v>
      </c>
      <c r="W136" s="329">
        <v>2401</v>
      </c>
    </row>
    <row r="137" spans="2:23" hidden="1" outlineLevel="1" x14ac:dyDescent="0.25">
      <c r="B137" s="328">
        <v>41699</v>
      </c>
      <c r="C137" s="331"/>
      <c r="D137" s="331"/>
      <c r="E137" s="331"/>
      <c r="F137" s="331"/>
      <c r="G137" s="331"/>
      <c r="H137" s="331"/>
      <c r="I137" s="331">
        <v>655</v>
      </c>
      <c r="J137" s="331">
        <v>116</v>
      </c>
      <c r="K137" s="331">
        <v>771</v>
      </c>
      <c r="L137" s="331">
        <v>565</v>
      </c>
      <c r="M137" s="331">
        <v>125</v>
      </c>
      <c r="N137" s="331">
        <v>690</v>
      </c>
      <c r="O137" s="331">
        <v>898</v>
      </c>
      <c r="P137" s="331">
        <v>618</v>
      </c>
      <c r="Q137" s="331">
        <v>1516</v>
      </c>
      <c r="R137" s="331">
        <v>72</v>
      </c>
      <c r="S137" s="331">
        <v>20</v>
      </c>
      <c r="T137" s="331">
        <v>92</v>
      </c>
      <c r="U137" s="329">
        <v>2190</v>
      </c>
      <c r="V137" s="329">
        <v>879</v>
      </c>
      <c r="W137" s="329">
        <v>3069</v>
      </c>
    </row>
    <row r="138" spans="2:23" hidden="1" outlineLevel="1" x14ac:dyDescent="0.25">
      <c r="B138" s="328">
        <v>41730</v>
      </c>
      <c r="C138" s="331"/>
      <c r="D138" s="331"/>
      <c r="E138" s="331"/>
      <c r="F138" s="331"/>
      <c r="G138" s="331"/>
      <c r="H138" s="331"/>
      <c r="I138" s="331">
        <v>613</v>
      </c>
      <c r="J138" s="331">
        <v>98</v>
      </c>
      <c r="K138" s="331">
        <v>711</v>
      </c>
      <c r="L138" s="331">
        <v>530</v>
      </c>
      <c r="M138" s="331">
        <v>113</v>
      </c>
      <c r="N138" s="331">
        <v>643</v>
      </c>
      <c r="O138" s="331">
        <v>858</v>
      </c>
      <c r="P138" s="331">
        <v>656</v>
      </c>
      <c r="Q138" s="331">
        <v>1514</v>
      </c>
      <c r="R138" s="331">
        <v>50</v>
      </c>
      <c r="S138" s="331">
        <v>23</v>
      </c>
      <c r="T138" s="331">
        <v>73</v>
      </c>
      <c r="U138" s="329">
        <v>2051</v>
      </c>
      <c r="V138" s="329">
        <v>890</v>
      </c>
      <c r="W138" s="329">
        <v>2941</v>
      </c>
    </row>
    <row r="139" spans="2:23" hidden="1" outlineLevel="1" x14ac:dyDescent="0.25">
      <c r="B139" s="328">
        <v>41760</v>
      </c>
      <c r="C139" s="331"/>
      <c r="D139" s="331"/>
      <c r="E139" s="331"/>
      <c r="F139" s="331"/>
      <c r="G139" s="331"/>
      <c r="H139" s="331"/>
      <c r="I139" s="331">
        <v>597</v>
      </c>
      <c r="J139" s="331">
        <v>121</v>
      </c>
      <c r="K139" s="331">
        <v>718</v>
      </c>
      <c r="L139" s="331">
        <v>556</v>
      </c>
      <c r="M139" s="331">
        <v>95</v>
      </c>
      <c r="N139" s="331">
        <v>651</v>
      </c>
      <c r="O139" s="331">
        <v>1066</v>
      </c>
      <c r="P139" s="331">
        <v>1088</v>
      </c>
      <c r="Q139" s="331">
        <v>2154</v>
      </c>
      <c r="R139" s="331">
        <v>62</v>
      </c>
      <c r="S139" s="331">
        <v>16</v>
      </c>
      <c r="T139" s="331">
        <v>78</v>
      </c>
      <c r="U139" s="329">
        <v>2281</v>
      </c>
      <c r="V139" s="329">
        <v>1320</v>
      </c>
      <c r="W139" s="329">
        <v>3601</v>
      </c>
    </row>
    <row r="140" spans="2:23" hidden="1" outlineLevel="1" x14ac:dyDescent="0.25">
      <c r="B140" s="328">
        <v>41791</v>
      </c>
      <c r="C140" s="331"/>
      <c r="D140" s="331"/>
      <c r="E140" s="331"/>
      <c r="F140" s="331"/>
      <c r="G140" s="331"/>
      <c r="H140" s="331"/>
      <c r="I140" s="331">
        <v>450</v>
      </c>
      <c r="J140" s="331">
        <v>110</v>
      </c>
      <c r="K140" s="331">
        <v>560</v>
      </c>
      <c r="L140" s="331">
        <v>499</v>
      </c>
      <c r="M140" s="331">
        <v>106</v>
      </c>
      <c r="N140" s="331">
        <v>605</v>
      </c>
      <c r="O140" s="331">
        <v>834</v>
      </c>
      <c r="P140" s="331">
        <v>765</v>
      </c>
      <c r="Q140" s="331">
        <v>1599</v>
      </c>
      <c r="R140" s="331">
        <v>59</v>
      </c>
      <c r="S140" s="331">
        <v>30</v>
      </c>
      <c r="T140" s="331">
        <v>89</v>
      </c>
      <c r="U140" s="329">
        <v>1842</v>
      </c>
      <c r="V140" s="329">
        <v>1011</v>
      </c>
      <c r="W140" s="329">
        <v>2853</v>
      </c>
    </row>
    <row r="141" spans="2:23" hidden="1" outlineLevel="1" x14ac:dyDescent="0.25">
      <c r="B141" s="328">
        <v>41821</v>
      </c>
      <c r="C141" s="331"/>
      <c r="D141" s="331"/>
      <c r="E141" s="331"/>
      <c r="F141" s="331"/>
      <c r="G141" s="331"/>
      <c r="H141" s="331"/>
      <c r="I141" s="331">
        <v>502</v>
      </c>
      <c r="J141" s="331">
        <v>90</v>
      </c>
      <c r="K141" s="331">
        <v>592</v>
      </c>
      <c r="L141" s="331">
        <v>559</v>
      </c>
      <c r="M141" s="331">
        <v>102</v>
      </c>
      <c r="N141" s="331">
        <v>661</v>
      </c>
      <c r="O141" s="331">
        <v>835</v>
      </c>
      <c r="P141" s="331">
        <v>705</v>
      </c>
      <c r="Q141" s="331">
        <v>1540</v>
      </c>
      <c r="R141" s="331">
        <v>46</v>
      </c>
      <c r="S141" s="331">
        <v>16</v>
      </c>
      <c r="T141" s="331">
        <v>62</v>
      </c>
      <c r="U141" s="329">
        <v>1942</v>
      </c>
      <c r="V141" s="329">
        <v>913</v>
      </c>
      <c r="W141" s="329">
        <v>2855</v>
      </c>
    </row>
    <row r="142" spans="2:23" hidden="1" outlineLevel="1" x14ac:dyDescent="0.25">
      <c r="B142" s="328">
        <v>41852</v>
      </c>
      <c r="C142" s="331"/>
      <c r="D142" s="331"/>
      <c r="E142" s="331"/>
      <c r="F142" s="331"/>
      <c r="G142" s="331"/>
      <c r="H142" s="331"/>
      <c r="I142" s="331">
        <v>538</v>
      </c>
      <c r="J142" s="331">
        <v>120</v>
      </c>
      <c r="K142" s="331">
        <v>658</v>
      </c>
      <c r="L142" s="331">
        <v>599</v>
      </c>
      <c r="M142" s="331">
        <v>117</v>
      </c>
      <c r="N142" s="331">
        <v>716</v>
      </c>
      <c r="O142" s="331">
        <v>929</v>
      </c>
      <c r="P142" s="331">
        <v>797</v>
      </c>
      <c r="Q142" s="331">
        <v>1726</v>
      </c>
      <c r="R142" s="331">
        <v>50</v>
      </c>
      <c r="S142" s="331">
        <v>14</v>
      </c>
      <c r="T142" s="331">
        <v>64</v>
      </c>
      <c r="U142" s="329">
        <v>2116</v>
      </c>
      <c r="V142" s="329">
        <v>1048</v>
      </c>
      <c r="W142" s="329">
        <v>3164</v>
      </c>
    </row>
    <row r="143" spans="2:23" hidden="1" outlineLevel="1" x14ac:dyDescent="0.25">
      <c r="B143" s="328">
        <v>41883</v>
      </c>
      <c r="C143" s="331"/>
      <c r="D143" s="331"/>
      <c r="E143" s="331"/>
      <c r="F143" s="331"/>
      <c r="G143" s="331"/>
      <c r="H143" s="331"/>
      <c r="I143" s="331">
        <v>343</v>
      </c>
      <c r="J143" s="331">
        <v>83</v>
      </c>
      <c r="K143" s="331">
        <v>426</v>
      </c>
      <c r="L143" s="331">
        <v>482</v>
      </c>
      <c r="M143" s="331">
        <v>109</v>
      </c>
      <c r="N143" s="331">
        <v>591</v>
      </c>
      <c r="O143" s="331">
        <v>793</v>
      </c>
      <c r="P143" s="331">
        <v>616</v>
      </c>
      <c r="Q143" s="331">
        <v>1409</v>
      </c>
      <c r="R143" s="331">
        <v>24</v>
      </c>
      <c r="S143" s="331">
        <v>13</v>
      </c>
      <c r="T143" s="331">
        <v>37</v>
      </c>
      <c r="U143" s="329">
        <v>1642</v>
      </c>
      <c r="V143" s="329">
        <v>821</v>
      </c>
      <c r="W143" s="329">
        <v>2463</v>
      </c>
    </row>
    <row r="144" spans="2:23" hidden="1" outlineLevel="1" x14ac:dyDescent="0.25">
      <c r="B144" s="328">
        <v>41913</v>
      </c>
      <c r="C144" s="331"/>
      <c r="D144" s="331"/>
      <c r="E144" s="331"/>
      <c r="F144" s="331"/>
      <c r="G144" s="331"/>
      <c r="H144" s="331"/>
      <c r="I144" s="331">
        <v>448</v>
      </c>
      <c r="J144" s="331">
        <v>92</v>
      </c>
      <c r="K144" s="331">
        <v>540</v>
      </c>
      <c r="L144" s="331">
        <v>584</v>
      </c>
      <c r="M144" s="331">
        <v>117</v>
      </c>
      <c r="N144" s="331">
        <v>701</v>
      </c>
      <c r="O144" s="331">
        <v>1106</v>
      </c>
      <c r="P144" s="331">
        <v>734</v>
      </c>
      <c r="Q144" s="331">
        <v>1840</v>
      </c>
      <c r="R144" s="331">
        <v>41</v>
      </c>
      <c r="S144" s="331">
        <v>13</v>
      </c>
      <c r="T144" s="331">
        <v>54</v>
      </c>
      <c r="U144" s="329">
        <v>2179</v>
      </c>
      <c r="V144" s="329">
        <v>956</v>
      </c>
      <c r="W144" s="329">
        <v>3135</v>
      </c>
    </row>
    <row r="145" spans="2:23" hidden="1" outlineLevel="1" x14ac:dyDescent="0.25">
      <c r="B145" s="328">
        <v>41944</v>
      </c>
      <c r="C145" s="331"/>
      <c r="D145" s="331"/>
      <c r="E145" s="331"/>
      <c r="F145" s="331"/>
      <c r="G145" s="331"/>
      <c r="H145" s="331"/>
      <c r="I145" s="331">
        <v>315</v>
      </c>
      <c r="J145" s="331">
        <v>85</v>
      </c>
      <c r="K145" s="331">
        <v>400</v>
      </c>
      <c r="L145" s="331">
        <v>530</v>
      </c>
      <c r="M145" s="331">
        <v>118</v>
      </c>
      <c r="N145" s="331">
        <v>648</v>
      </c>
      <c r="O145" s="331">
        <v>867</v>
      </c>
      <c r="P145" s="331">
        <v>550</v>
      </c>
      <c r="Q145" s="331">
        <v>1417</v>
      </c>
      <c r="R145" s="331">
        <v>30</v>
      </c>
      <c r="S145" s="331">
        <v>17</v>
      </c>
      <c r="T145" s="331">
        <v>47</v>
      </c>
      <c r="U145" s="329">
        <v>1742</v>
      </c>
      <c r="V145" s="329">
        <v>770</v>
      </c>
      <c r="W145" s="329">
        <v>2512</v>
      </c>
    </row>
    <row r="146" spans="2:23" hidden="1" outlineLevel="1" x14ac:dyDescent="0.25">
      <c r="B146" s="328">
        <v>41974</v>
      </c>
      <c r="C146" s="331"/>
      <c r="D146" s="331"/>
      <c r="E146" s="331"/>
      <c r="F146" s="331"/>
      <c r="G146" s="331"/>
      <c r="H146" s="331"/>
      <c r="I146" s="331">
        <v>215</v>
      </c>
      <c r="J146" s="331">
        <v>49</v>
      </c>
      <c r="K146" s="331">
        <v>264</v>
      </c>
      <c r="L146" s="331">
        <v>431</v>
      </c>
      <c r="M146" s="331">
        <v>89</v>
      </c>
      <c r="N146" s="331">
        <v>520</v>
      </c>
      <c r="O146" s="331">
        <v>637</v>
      </c>
      <c r="P146" s="331">
        <v>423</v>
      </c>
      <c r="Q146" s="331">
        <v>1060</v>
      </c>
      <c r="R146" s="331">
        <v>21</v>
      </c>
      <c r="S146" s="331">
        <v>12</v>
      </c>
      <c r="T146" s="331">
        <v>33</v>
      </c>
      <c r="U146" s="329">
        <v>1304</v>
      </c>
      <c r="V146" s="329">
        <v>573</v>
      </c>
      <c r="W146" s="329">
        <v>1877</v>
      </c>
    </row>
    <row r="147" spans="2:23" collapsed="1" x14ac:dyDescent="0.25">
      <c r="B147" s="330" t="s">
        <v>696</v>
      </c>
      <c r="C147" s="329" t="s">
        <v>781</v>
      </c>
      <c r="D147" s="329" t="s">
        <v>781</v>
      </c>
      <c r="E147" s="329" t="s">
        <v>781</v>
      </c>
      <c r="F147" s="329" t="s">
        <v>781</v>
      </c>
      <c r="G147" s="329" t="s">
        <v>781</v>
      </c>
      <c r="H147" s="329" t="s">
        <v>781</v>
      </c>
      <c r="I147" s="329">
        <v>468</v>
      </c>
      <c r="J147" s="329">
        <v>96</v>
      </c>
      <c r="K147" s="329">
        <v>565</v>
      </c>
      <c r="L147" s="329">
        <v>521</v>
      </c>
      <c r="M147" s="329">
        <v>106</v>
      </c>
      <c r="N147" s="329">
        <v>627</v>
      </c>
      <c r="O147" s="329">
        <v>857</v>
      </c>
      <c r="P147" s="329">
        <v>673</v>
      </c>
      <c r="Q147" s="329">
        <v>1530</v>
      </c>
      <c r="R147" s="329">
        <v>45</v>
      </c>
      <c r="S147" s="329">
        <v>17</v>
      </c>
      <c r="T147" s="329">
        <v>62</v>
      </c>
      <c r="U147" s="329">
        <v>1892</v>
      </c>
      <c r="V147" s="329">
        <v>893</v>
      </c>
      <c r="W147" s="329">
        <v>2784</v>
      </c>
    </row>
    <row r="148" spans="2:23" hidden="1" outlineLevel="1" x14ac:dyDescent="0.25">
      <c r="B148" s="328">
        <v>42005</v>
      </c>
      <c r="C148" s="331"/>
      <c r="D148" s="331"/>
      <c r="E148" s="331"/>
      <c r="F148" s="331"/>
      <c r="G148" s="331"/>
      <c r="H148" s="331"/>
      <c r="I148" s="331">
        <v>377</v>
      </c>
      <c r="J148" s="331">
        <v>87</v>
      </c>
      <c r="K148" s="331">
        <v>464</v>
      </c>
      <c r="L148" s="331">
        <v>454</v>
      </c>
      <c r="M148" s="331">
        <v>88</v>
      </c>
      <c r="N148" s="331">
        <v>542</v>
      </c>
      <c r="O148" s="331">
        <v>905</v>
      </c>
      <c r="P148" s="331">
        <v>623</v>
      </c>
      <c r="Q148" s="331">
        <v>1528</v>
      </c>
      <c r="R148" s="331">
        <v>29</v>
      </c>
      <c r="S148" s="331">
        <v>14</v>
      </c>
      <c r="T148" s="331">
        <v>43</v>
      </c>
      <c r="U148" s="329">
        <v>1765</v>
      </c>
      <c r="V148" s="329">
        <v>812</v>
      </c>
      <c r="W148" s="329">
        <v>2577</v>
      </c>
    </row>
    <row r="149" spans="2:23" hidden="1" outlineLevel="1" x14ac:dyDescent="0.25">
      <c r="B149" s="328">
        <v>42036</v>
      </c>
      <c r="C149" s="331"/>
      <c r="D149" s="331"/>
      <c r="E149" s="331"/>
      <c r="F149" s="331"/>
      <c r="G149" s="331"/>
      <c r="H149" s="331"/>
      <c r="I149" s="331">
        <v>272</v>
      </c>
      <c r="J149" s="331">
        <v>72</v>
      </c>
      <c r="K149" s="331">
        <v>344</v>
      </c>
      <c r="L149" s="331">
        <v>439</v>
      </c>
      <c r="M149" s="331">
        <v>95</v>
      </c>
      <c r="N149" s="331">
        <v>534</v>
      </c>
      <c r="O149" s="331">
        <v>696</v>
      </c>
      <c r="P149" s="331">
        <v>506</v>
      </c>
      <c r="Q149" s="331">
        <v>1202</v>
      </c>
      <c r="R149" s="331">
        <v>22</v>
      </c>
      <c r="S149" s="331">
        <v>9</v>
      </c>
      <c r="T149" s="331">
        <v>31</v>
      </c>
      <c r="U149" s="329">
        <v>1429</v>
      </c>
      <c r="V149" s="329">
        <v>682</v>
      </c>
      <c r="W149" s="329">
        <v>2111</v>
      </c>
    </row>
    <row r="150" spans="2:23" hidden="1" outlineLevel="1" x14ac:dyDescent="0.25">
      <c r="B150" s="328">
        <v>42064</v>
      </c>
      <c r="C150" s="331"/>
      <c r="D150" s="331"/>
      <c r="E150" s="331"/>
      <c r="F150" s="331"/>
      <c r="G150" s="331"/>
      <c r="H150" s="331"/>
      <c r="I150" s="331">
        <v>344</v>
      </c>
      <c r="J150" s="331">
        <v>86</v>
      </c>
      <c r="K150" s="331">
        <v>430</v>
      </c>
      <c r="L150" s="331">
        <v>559</v>
      </c>
      <c r="M150" s="331">
        <v>105</v>
      </c>
      <c r="N150" s="331">
        <v>664</v>
      </c>
      <c r="O150" s="331">
        <v>952</v>
      </c>
      <c r="P150" s="331">
        <v>655</v>
      </c>
      <c r="Q150" s="331">
        <v>1607</v>
      </c>
      <c r="R150" s="331">
        <v>24</v>
      </c>
      <c r="S150" s="331">
        <v>18</v>
      </c>
      <c r="T150" s="331">
        <v>42</v>
      </c>
      <c r="U150" s="329">
        <v>1879</v>
      </c>
      <c r="V150" s="329">
        <v>864</v>
      </c>
      <c r="W150" s="329">
        <v>2743</v>
      </c>
    </row>
    <row r="151" spans="2:23" hidden="1" outlineLevel="1" x14ac:dyDescent="0.25">
      <c r="B151" s="328">
        <v>42095</v>
      </c>
      <c r="C151" s="331"/>
      <c r="D151" s="331"/>
      <c r="E151" s="331"/>
      <c r="F151" s="331"/>
      <c r="G151" s="331"/>
      <c r="H151" s="331"/>
      <c r="I151" s="331">
        <v>303</v>
      </c>
      <c r="J151" s="331">
        <v>60</v>
      </c>
      <c r="K151" s="331">
        <v>363</v>
      </c>
      <c r="L151" s="331">
        <v>464</v>
      </c>
      <c r="M151" s="331">
        <v>95</v>
      </c>
      <c r="N151" s="331">
        <v>559</v>
      </c>
      <c r="O151" s="331">
        <v>820</v>
      </c>
      <c r="P151" s="331">
        <v>531</v>
      </c>
      <c r="Q151" s="331">
        <v>1351</v>
      </c>
      <c r="R151" s="331">
        <v>24</v>
      </c>
      <c r="S151" s="331">
        <v>11</v>
      </c>
      <c r="T151" s="331">
        <v>35</v>
      </c>
      <c r="U151" s="329">
        <v>1611</v>
      </c>
      <c r="V151" s="329">
        <v>697</v>
      </c>
      <c r="W151" s="329">
        <v>2308</v>
      </c>
    </row>
    <row r="152" spans="2:23" hidden="1" outlineLevel="1" x14ac:dyDescent="0.25">
      <c r="B152" s="328">
        <v>42125</v>
      </c>
      <c r="C152" s="331"/>
      <c r="D152" s="331"/>
      <c r="E152" s="331"/>
      <c r="F152" s="331"/>
      <c r="G152" s="331"/>
      <c r="H152" s="331"/>
      <c r="I152" s="331">
        <v>234</v>
      </c>
      <c r="J152" s="331">
        <v>66</v>
      </c>
      <c r="K152" s="331">
        <v>300</v>
      </c>
      <c r="L152" s="331">
        <v>402</v>
      </c>
      <c r="M152" s="331">
        <v>77</v>
      </c>
      <c r="N152" s="331">
        <v>479</v>
      </c>
      <c r="O152" s="331">
        <v>755</v>
      </c>
      <c r="P152" s="331">
        <v>638</v>
      </c>
      <c r="Q152" s="331">
        <v>1393</v>
      </c>
      <c r="R152" s="331">
        <v>11</v>
      </c>
      <c r="S152" s="331">
        <v>9</v>
      </c>
      <c r="T152" s="331">
        <v>20</v>
      </c>
      <c r="U152" s="329">
        <v>1402</v>
      </c>
      <c r="V152" s="329">
        <v>790</v>
      </c>
      <c r="W152" s="329">
        <v>2192</v>
      </c>
    </row>
    <row r="153" spans="2:23" hidden="1" outlineLevel="1" x14ac:dyDescent="0.25">
      <c r="B153" s="328">
        <v>42156</v>
      </c>
      <c r="C153" s="331"/>
      <c r="D153" s="331"/>
      <c r="E153" s="331"/>
      <c r="F153" s="331"/>
      <c r="G153" s="331"/>
      <c r="H153" s="331"/>
      <c r="I153" s="331">
        <v>294</v>
      </c>
      <c r="J153" s="331">
        <v>92</v>
      </c>
      <c r="K153" s="331">
        <v>386</v>
      </c>
      <c r="L153" s="331">
        <v>445</v>
      </c>
      <c r="M153" s="331">
        <v>90</v>
      </c>
      <c r="N153" s="331">
        <v>535</v>
      </c>
      <c r="O153" s="331">
        <v>855</v>
      </c>
      <c r="P153" s="331">
        <v>618</v>
      </c>
      <c r="Q153" s="331">
        <v>1473</v>
      </c>
      <c r="R153" s="331">
        <v>22</v>
      </c>
      <c r="S153" s="331">
        <v>18</v>
      </c>
      <c r="T153" s="331">
        <v>40</v>
      </c>
      <c r="U153" s="329">
        <v>1616</v>
      </c>
      <c r="V153" s="329">
        <v>818</v>
      </c>
      <c r="W153" s="329">
        <v>2434</v>
      </c>
    </row>
    <row r="154" spans="2:23" hidden="1" outlineLevel="1" x14ac:dyDescent="0.25">
      <c r="B154" s="328">
        <v>42186</v>
      </c>
      <c r="C154" s="331"/>
      <c r="D154" s="331"/>
      <c r="E154" s="331"/>
      <c r="F154" s="331"/>
      <c r="G154" s="331"/>
      <c r="H154" s="331"/>
      <c r="I154" s="331">
        <v>360</v>
      </c>
      <c r="J154" s="331">
        <v>87</v>
      </c>
      <c r="K154" s="331">
        <v>447</v>
      </c>
      <c r="L154" s="331">
        <v>503</v>
      </c>
      <c r="M154" s="331">
        <v>108</v>
      </c>
      <c r="N154" s="331">
        <v>611</v>
      </c>
      <c r="O154" s="331">
        <v>1027</v>
      </c>
      <c r="P154" s="331">
        <v>645</v>
      </c>
      <c r="Q154" s="331">
        <v>1672</v>
      </c>
      <c r="R154" s="331">
        <v>31</v>
      </c>
      <c r="S154" s="331">
        <v>15</v>
      </c>
      <c r="T154" s="331">
        <v>46</v>
      </c>
      <c r="U154" s="329">
        <v>1921</v>
      </c>
      <c r="V154" s="329">
        <v>855</v>
      </c>
      <c r="W154" s="329">
        <v>2776</v>
      </c>
    </row>
    <row r="155" spans="2:23" hidden="1" outlineLevel="1" x14ac:dyDescent="0.25">
      <c r="B155" s="328">
        <v>42217</v>
      </c>
      <c r="C155" s="331"/>
      <c r="D155" s="331"/>
      <c r="E155" s="331"/>
      <c r="F155" s="331"/>
      <c r="G155" s="331"/>
      <c r="H155" s="331"/>
      <c r="I155" s="331">
        <v>296</v>
      </c>
      <c r="J155" s="331">
        <v>77</v>
      </c>
      <c r="K155" s="331">
        <v>373</v>
      </c>
      <c r="L155" s="331">
        <v>496</v>
      </c>
      <c r="M155" s="331">
        <v>109</v>
      </c>
      <c r="N155" s="331">
        <v>605</v>
      </c>
      <c r="O155" s="331">
        <v>884</v>
      </c>
      <c r="P155" s="331">
        <v>541</v>
      </c>
      <c r="Q155" s="331">
        <v>1425</v>
      </c>
      <c r="R155" s="331">
        <v>16</v>
      </c>
      <c r="S155" s="331">
        <v>11</v>
      </c>
      <c r="T155" s="331">
        <v>27</v>
      </c>
      <c r="U155" s="329">
        <v>1692</v>
      </c>
      <c r="V155" s="329">
        <v>738</v>
      </c>
      <c r="W155" s="329">
        <v>2430</v>
      </c>
    </row>
    <row r="156" spans="2:23" hidden="1" outlineLevel="1" x14ac:dyDescent="0.25">
      <c r="B156" s="328">
        <v>42248</v>
      </c>
      <c r="C156" s="331"/>
      <c r="D156" s="331"/>
      <c r="E156" s="331"/>
      <c r="F156" s="331"/>
      <c r="G156" s="331"/>
      <c r="H156" s="331"/>
      <c r="I156" s="331">
        <v>322</v>
      </c>
      <c r="J156" s="331">
        <v>76</v>
      </c>
      <c r="K156" s="331">
        <v>398</v>
      </c>
      <c r="L156" s="331">
        <v>456</v>
      </c>
      <c r="M156" s="331">
        <v>122</v>
      </c>
      <c r="N156" s="331">
        <v>578</v>
      </c>
      <c r="O156" s="331">
        <v>897</v>
      </c>
      <c r="P156" s="331">
        <v>568</v>
      </c>
      <c r="Q156" s="331">
        <v>1465</v>
      </c>
      <c r="R156" s="331">
        <v>11</v>
      </c>
      <c r="S156" s="331">
        <v>16</v>
      </c>
      <c r="T156" s="331">
        <v>27</v>
      </c>
      <c r="U156" s="329">
        <v>1686</v>
      </c>
      <c r="V156" s="329">
        <v>782</v>
      </c>
      <c r="W156" s="329">
        <v>2468</v>
      </c>
    </row>
    <row r="157" spans="2:23" hidden="1" outlineLevel="1" x14ac:dyDescent="0.25">
      <c r="B157" s="328">
        <v>42278</v>
      </c>
      <c r="C157" s="331"/>
      <c r="D157" s="331"/>
      <c r="E157" s="331"/>
      <c r="F157" s="331"/>
      <c r="G157" s="331"/>
      <c r="H157" s="331"/>
      <c r="I157" s="331">
        <v>362</v>
      </c>
      <c r="J157" s="331">
        <v>90</v>
      </c>
      <c r="K157" s="331">
        <v>452</v>
      </c>
      <c r="L157" s="331">
        <v>493</v>
      </c>
      <c r="M157" s="331">
        <v>90</v>
      </c>
      <c r="N157" s="331">
        <v>583</v>
      </c>
      <c r="O157" s="331">
        <v>996</v>
      </c>
      <c r="P157" s="331">
        <v>568</v>
      </c>
      <c r="Q157" s="331">
        <v>1564</v>
      </c>
      <c r="R157" s="331">
        <v>18</v>
      </c>
      <c r="S157" s="331">
        <v>18</v>
      </c>
      <c r="T157" s="331">
        <v>36</v>
      </c>
      <c r="U157" s="329">
        <v>1869</v>
      </c>
      <c r="V157" s="329">
        <v>766</v>
      </c>
      <c r="W157" s="329">
        <v>2635</v>
      </c>
    </row>
    <row r="158" spans="2:23" hidden="1" outlineLevel="1" x14ac:dyDescent="0.25">
      <c r="B158" s="328">
        <v>42309</v>
      </c>
      <c r="C158" s="331"/>
      <c r="D158" s="331"/>
      <c r="E158" s="331"/>
      <c r="F158" s="331"/>
      <c r="G158" s="331"/>
      <c r="H158" s="331"/>
      <c r="I158" s="331">
        <v>277</v>
      </c>
      <c r="J158" s="331">
        <v>76</v>
      </c>
      <c r="K158" s="331">
        <v>353</v>
      </c>
      <c r="L158" s="331">
        <v>503</v>
      </c>
      <c r="M158" s="331">
        <v>110</v>
      </c>
      <c r="N158" s="331">
        <v>613</v>
      </c>
      <c r="O158" s="331">
        <v>900</v>
      </c>
      <c r="P158" s="331">
        <v>568</v>
      </c>
      <c r="Q158" s="331">
        <v>1468</v>
      </c>
      <c r="R158" s="331">
        <v>20</v>
      </c>
      <c r="S158" s="331">
        <v>10</v>
      </c>
      <c r="T158" s="331">
        <v>30</v>
      </c>
      <c r="U158" s="329">
        <v>1700</v>
      </c>
      <c r="V158" s="329">
        <v>764</v>
      </c>
      <c r="W158" s="329">
        <v>2464</v>
      </c>
    </row>
    <row r="159" spans="2:23" hidden="1" outlineLevel="1" x14ac:dyDescent="0.25">
      <c r="B159" s="328">
        <v>42339</v>
      </c>
      <c r="C159" s="331"/>
      <c r="D159" s="331"/>
      <c r="E159" s="331"/>
      <c r="F159" s="331"/>
      <c r="G159" s="331"/>
      <c r="H159" s="331"/>
      <c r="I159" s="331">
        <v>256</v>
      </c>
      <c r="J159" s="331">
        <v>54</v>
      </c>
      <c r="K159" s="331">
        <v>310</v>
      </c>
      <c r="L159" s="331">
        <v>403</v>
      </c>
      <c r="M159" s="331">
        <v>88</v>
      </c>
      <c r="N159" s="331">
        <v>491</v>
      </c>
      <c r="O159" s="331">
        <v>851</v>
      </c>
      <c r="P159" s="331">
        <v>586</v>
      </c>
      <c r="Q159" s="331">
        <v>1437</v>
      </c>
      <c r="R159" s="331">
        <v>22</v>
      </c>
      <c r="S159" s="331">
        <v>11</v>
      </c>
      <c r="T159" s="331">
        <v>33</v>
      </c>
      <c r="U159" s="329">
        <v>1532</v>
      </c>
      <c r="V159" s="329">
        <v>739</v>
      </c>
      <c r="W159" s="329">
        <v>2271</v>
      </c>
    </row>
    <row r="160" spans="2:23" collapsed="1" x14ac:dyDescent="0.25">
      <c r="B160" s="330" t="s">
        <v>697</v>
      </c>
      <c r="C160" s="329" t="s">
        <v>781</v>
      </c>
      <c r="D160" s="329" t="s">
        <v>781</v>
      </c>
      <c r="E160" s="329" t="s">
        <v>781</v>
      </c>
      <c r="F160" s="329" t="s">
        <v>781</v>
      </c>
      <c r="G160" s="329" t="s">
        <v>781</v>
      </c>
      <c r="H160" s="329" t="s">
        <v>781</v>
      </c>
      <c r="I160" s="329">
        <v>308</v>
      </c>
      <c r="J160" s="329">
        <v>77</v>
      </c>
      <c r="K160" s="329">
        <v>385</v>
      </c>
      <c r="L160" s="329">
        <v>468</v>
      </c>
      <c r="M160" s="329">
        <v>98</v>
      </c>
      <c r="N160" s="329">
        <v>566</v>
      </c>
      <c r="O160" s="329">
        <v>878</v>
      </c>
      <c r="P160" s="329">
        <v>587</v>
      </c>
      <c r="Q160" s="329">
        <v>1465</v>
      </c>
      <c r="R160" s="329">
        <v>21</v>
      </c>
      <c r="S160" s="329">
        <v>13</v>
      </c>
      <c r="T160" s="329">
        <v>34</v>
      </c>
      <c r="U160" s="329">
        <v>1675</v>
      </c>
      <c r="V160" s="329">
        <v>776</v>
      </c>
      <c r="W160" s="329">
        <v>2451</v>
      </c>
    </row>
    <row r="161" spans="2:23" hidden="1" outlineLevel="1" x14ac:dyDescent="0.25">
      <c r="B161" s="328">
        <v>42370</v>
      </c>
      <c r="C161" s="331"/>
      <c r="D161" s="331"/>
      <c r="E161" s="331"/>
      <c r="F161" s="331"/>
      <c r="G161" s="331"/>
      <c r="H161" s="331"/>
      <c r="I161" s="331">
        <v>317</v>
      </c>
      <c r="J161" s="331">
        <v>78</v>
      </c>
      <c r="K161" s="331">
        <v>395</v>
      </c>
      <c r="L161" s="331">
        <v>407</v>
      </c>
      <c r="M161" s="331">
        <v>101</v>
      </c>
      <c r="N161" s="331">
        <v>508</v>
      </c>
      <c r="O161" s="331">
        <v>1007</v>
      </c>
      <c r="P161" s="331">
        <v>581</v>
      </c>
      <c r="Q161" s="331">
        <v>1588</v>
      </c>
      <c r="R161" s="331">
        <v>20</v>
      </c>
      <c r="S161" s="331">
        <v>19</v>
      </c>
      <c r="T161" s="331">
        <v>39</v>
      </c>
      <c r="U161" s="329">
        <v>1751</v>
      </c>
      <c r="V161" s="329">
        <v>779</v>
      </c>
      <c r="W161" s="329">
        <v>2530</v>
      </c>
    </row>
    <row r="162" spans="2:23" hidden="1" outlineLevel="1" x14ac:dyDescent="0.25">
      <c r="B162" s="328">
        <v>42401</v>
      </c>
      <c r="C162" s="331"/>
      <c r="D162" s="331"/>
      <c r="E162" s="331"/>
      <c r="F162" s="331"/>
      <c r="G162" s="331"/>
      <c r="H162" s="331"/>
      <c r="I162" s="331">
        <v>373</v>
      </c>
      <c r="J162" s="331">
        <v>72</v>
      </c>
      <c r="K162" s="331">
        <v>445</v>
      </c>
      <c r="L162" s="331">
        <v>415</v>
      </c>
      <c r="M162" s="331">
        <v>99</v>
      </c>
      <c r="N162" s="331">
        <v>514</v>
      </c>
      <c r="O162" s="331">
        <v>1093</v>
      </c>
      <c r="P162" s="331">
        <v>666</v>
      </c>
      <c r="Q162" s="331">
        <v>1759</v>
      </c>
      <c r="R162" s="331">
        <v>19</v>
      </c>
      <c r="S162" s="331">
        <v>11</v>
      </c>
      <c r="T162" s="331">
        <v>30</v>
      </c>
      <c r="U162" s="329">
        <v>1900</v>
      </c>
      <c r="V162" s="329">
        <v>848</v>
      </c>
      <c r="W162" s="329">
        <v>2748</v>
      </c>
    </row>
    <row r="163" spans="2:23" hidden="1" outlineLevel="1" x14ac:dyDescent="0.25">
      <c r="B163" s="328">
        <v>42430</v>
      </c>
      <c r="C163" s="331"/>
      <c r="D163" s="331"/>
      <c r="E163" s="331"/>
      <c r="F163" s="331"/>
      <c r="G163" s="331"/>
      <c r="H163" s="331"/>
      <c r="I163" s="331">
        <v>367</v>
      </c>
      <c r="J163" s="331">
        <v>64</v>
      </c>
      <c r="K163" s="331">
        <v>431</v>
      </c>
      <c r="L163" s="331">
        <v>433</v>
      </c>
      <c r="M163" s="331">
        <v>88</v>
      </c>
      <c r="N163" s="331">
        <v>521</v>
      </c>
      <c r="O163" s="331">
        <v>945</v>
      </c>
      <c r="P163" s="331">
        <v>569</v>
      </c>
      <c r="Q163" s="331">
        <v>1514</v>
      </c>
      <c r="R163" s="331">
        <v>14</v>
      </c>
      <c r="S163" s="331">
        <v>14</v>
      </c>
      <c r="T163" s="331">
        <v>28</v>
      </c>
      <c r="U163" s="329">
        <v>1759</v>
      </c>
      <c r="V163" s="329">
        <v>735</v>
      </c>
      <c r="W163" s="329">
        <v>2494</v>
      </c>
    </row>
    <row r="164" spans="2:23" hidden="1" outlineLevel="1" x14ac:dyDescent="0.25">
      <c r="B164" s="328">
        <v>42461</v>
      </c>
      <c r="C164" s="331"/>
      <c r="D164" s="331"/>
      <c r="E164" s="331"/>
      <c r="F164" s="331"/>
      <c r="G164" s="331"/>
      <c r="H164" s="331"/>
      <c r="I164" s="331">
        <v>416</v>
      </c>
      <c r="J164" s="331">
        <v>110</v>
      </c>
      <c r="K164" s="331">
        <v>526</v>
      </c>
      <c r="L164" s="331">
        <v>482</v>
      </c>
      <c r="M164" s="331">
        <v>91</v>
      </c>
      <c r="N164" s="331">
        <v>573</v>
      </c>
      <c r="O164" s="331">
        <v>1057</v>
      </c>
      <c r="P164" s="331">
        <v>638</v>
      </c>
      <c r="Q164" s="331">
        <v>1695</v>
      </c>
      <c r="R164" s="331">
        <v>17</v>
      </c>
      <c r="S164" s="331">
        <v>17</v>
      </c>
      <c r="T164" s="331">
        <v>34</v>
      </c>
      <c r="U164" s="329">
        <v>1972</v>
      </c>
      <c r="V164" s="329">
        <v>856</v>
      </c>
      <c r="W164" s="329">
        <v>2828</v>
      </c>
    </row>
    <row r="165" spans="2:23" hidden="1" outlineLevel="1" x14ac:dyDescent="0.25">
      <c r="B165" s="328">
        <v>42491</v>
      </c>
      <c r="C165" s="331"/>
      <c r="D165" s="331"/>
      <c r="E165" s="331"/>
      <c r="F165" s="331"/>
      <c r="G165" s="331"/>
      <c r="H165" s="331"/>
      <c r="I165" s="331">
        <v>452</v>
      </c>
      <c r="J165" s="331">
        <v>105</v>
      </c>
      <c r="K165" s="331">
        <v>557</v>
      </c>
      <c r="L165" s="331">
        <v>463</v>
      </c>
      <c r="M165" s="331">
        <v>108</v>
      </c>
      <c r="N165" s="331">
        <v>571</v>
      </c>
      <c r="O165" s="331">
        <v>1167</v>
      </c>
      <c r="P165" s="331">
        <v>954</v>
      </c>
      <c r="Q165" s="331">
        <v>2121</v>
      </c>
      <c r="R165" s="331">
        <v>18</v>
      </c>
      <c r="S165" s="331">
        <v>8</v>
      </c>
      <c r="T165" s="331">
        <v>26</v>
      </c>
      <c r="U165" s="329">
        <v>2100</v>
      </c>
      <c r="V165" s="329">
        <v>1175</v>
      </c>
      <c r="W165" s="329">
        <v>3275</v>
      </c>
    </row>
    <row r="166" spans="2:23" hidden="1" outlineLevel="1" x14ac:dyDescent="0.25">
      <c r="B166" s="328">
        <v>42522</v>
      </c>
      <c r="C166" s="331"/>
      <c r="D166" s="331"/>
      <c r="E166" s="331"/>
      <c r="F166" s="331"/>
      <c r="G166" s="331"/>
      <c r="H166" s="331"/>
      <c r="I166" s="331">
        <v>420</v>
      </c>
      <c r="J166" s="331">
        <v>79</v>
      </c>
      <c r="K166" s="331">
        <v>499</v>
      </c>
      <c r="L166" s="331">
        <v>423</v>
      </c>
      <c r="M166" s="331">
        <v>98</v>
      </c>
      <c r="N166" s="331">
        <v>521</v>
      </c>
      <c r="O166" s="331">
        <v>991</v>
      </c>
      <c r="P166" s="331">
        <v>708</v>
      </c>
      <c r="Q166" s="331">
        <v>1699</v>
      </c>
      <c r="R166" s="331">
        <v>24</v>
      </c>
      <c r="S166" s="331">
        <v>14</v>
      </c>
      <c r="T166" s="331">
        <v>38</v>
      </c>
      <c r="U166" s="329">
        <v>1858</v>
      </c>
      <c r="V166" s="329">
        <v>899</v>
      </c>
      <c r="W166" s="329">
        <v>2757</v>
      </c>
    </row>
    <row r="167" spans="2:23" hidden="1" outlineLevel="1" x14ac:dyDescent="0.25">
      <c r="B167" s="328">
        <v>42552</v>
      </c>
      <c r="C167" s="331"/>
      <c r="D167" s="331"/>
      <c r="E167" s="331"/>
      <c r="F167" s="331"/>
      <c r="G167" s="331"/>
      <c r="H167" s="331"/>
      <c r="I167" s="331">
        <v>485</v>
      </c>
      <c r="J167" s="331">
        <v>84</v>
      </c>
      <c r="K167" s="331">
        <v>569</v>
      </c>
      <c r="L167" s="331">
        <v>399</v>
      </c>
      <c r="M167" s="331">
        <v>95</v>
      </c>
      <c r="N167" s="331">
        <v>494</v>
      </c>
      <c r="O167" s="331">
        <v>881</v>
      </c>
      <c r="P167" s="331">
        <v>619</v>
      </c>
      <c r="Q167" s="331">
        <v>1500</v>
      </c>
      <c r="R167" s="331">
        <v>12</v>
      </c>
      <c r="S167" s="331">
        <v>10</v>
      </c>
      <c r="T167" s="331">
        <v>22</v>
      </c>
      <c r="U167" s="329">
        <v>1777</v>
      </c>
      <c r="V167" s="329">
        <v>808</v>
      </c>
      <c r="W167" s="329">
        <v>2585</v>
      </c>
    </row>
    <row r="168" spans="2:23" hidden="1" outlineLevel="1" x14ac:dyDescent="0.25">
      <c r="B168" s="328">
        <v>42583</v>
      </c>
      <c r="C168" s="331"/>
      <c r="D168" s="331"/>
      <c r="E168" s="331"/>
      <c r="F168" s="331"/>
      <c r="G168" s="331"/>
      <c r="H168" s="331"/>
      <c r="I168" s="331">
        <v>536</v>
      </c>
      <c r="J168" s="331">
        <v>114</v>
      </c>
      <c r="K168" s="331">
        <v>650</v>
      </c>
      <c r="L168" s="331">
        <v>574</v>
      </c>
      <c r="M168" s="331">
        <v>105</v>
      </c>
      <c r="N168" s="331">
        <v>679</v>
      </c>
      <c r="O168" s="331">
        <v>1195</v>
      </c>
      <c r="P168" s="331">
        <v>854</v>
      </c>
      <c r="Q168" s="331">
        <v>2049</v>
      </c>
      <c r="R168" s="331">
        <v>23</v>
      </c>
      <c r="S168" s="331">
        <v>17</v>
      </c>
      <c r="T168" s="331">
        <v>40</v>
      </c>
      <c r="U168" s="329">
        <v>2328</v>
      </c>
      <c r="V168" s="329">
        <v>1090</v>
      </c>
      <c r="W168" s="329">
        <v>3418</v>
      </c>
    </row>
    <row r="169" spans="2:23" hidden="1" outlineLevel="1" x14ac:dyDescent="0.25">
      <c r="B169" s="328">
        <v>42614</v>
      </c>
      <c r="C169" s="331"/>
      <c r="D169" s="331"/>
      <c r="E169" s="331"/>
      <c r="F169" s="331"/>
      <c r="G169" s="331"/>
      <c r="H169" s="331"/>
      <c r="I169" s="331">
        <v>372</v>
      </c>
      <c r="J169" s="331">
        <v>77</v>
      </c>
      <c r="K169" s="331">
        <v>449</v>
      </c>
      <c r="L169" s="331">
        <v>465</v>
      </c>
      <c r="M169" s="331">
        <v>95</v>
      </c>
      <c r="N169" s="331">
        <v>560</v>
      </c>
      <c r="O169" s="331">
        <v>980</v>
      </c>
      <c r="P169" s="331">
        <v>701</v>
      </c>
      <c r="Q169" s="331">
        <v>1681</v>
      </c>
      <c r="R169" s="331">
        <v>19</v>
      </c>
      <c r="S169" s="331">
        <v>6</v>
      </c>
      <c r="T169" s="331">
        <v>25</v>
      </c>
      <c r="U169" s="329">
        <v>1836</v>
      </c>
      <c r="V169" s="329">
        <v>879</v>
      </c>
      <c r="W169" s="329">
        <v>2715</v>
      </c>
    </row>
    <row r="170" spans="2:23" hidden="1" outlineLevel="1" x14ac:dyDescent="0.25">
      <c r="B170" s="328">
        <v>42644</v>
      </c>
      <c r="C170" s="331"/>
      <c r="D170" s="331"/>
      <c r="E170" s="331"/>
      <c r="F170" s="331"/>
      <c r="G170" s="331"/>
      <c r="H170" s="331"/>
      <c r="I170" s="331">
        <v>300</v>
      </c>
      <c r="J170" s="331">
        <v>68</v>
      </c>
      <c r="K170" s="331">
        <v>368</v>
      </c>
      <c r="L170" s="331">
        <v>345</v>
      </c>
      <c r="M170" s="331">
        <v>70</v>
      </c>
      <c r="N170" s="331">
        <v>415</v>
      </c>
      <c r="O170" s="331">
        <v>839</v>
      </c>
      <c r="P170" s="331">
        <v>482</v>
      </c>
      <c r="Q170" s="331">
        <v>1321</v>
      </c>
      <c r="R170" s="331">
        <v>13</v>
      </c>
      <c r="S170" s="331">
        <v>9</v>
      </c>
      <c r="T170" s="331">
        <v>22</v>
      </c>
      <c r="U170" s="329">
        <v>1497</v>
      </c>
      <c r="V170" s="329">
        <v>629</v>
      </c>
      <c r="W170" s="329">
        <v>2126</v>
      </c>
    </row>
    <row r="171" spans="2:23" hidden="1" outlineLevel="1" x14ac:dyDescent="0.25">
      <c r="B171" s="328">
        <v>42675</v>
      </c>
      <c r="C171" s="331"/>
      <c r="D171" s="331"/>
      <c r="E171" s="331"/>
      <c r="F171" s="331"/>
      <c r="G171" s="331"/>
      <c r="H171" s="331"/>
      <c r="I171" s="331">
        <v>304</v>
      </c>
      <c r="J171" s="331">
        <v>62</v>
      </c>
      <c r="K171" s="331">
        <v>366</v>
      </c>
      <c r="L171" s="331">
        <v>324</v>
      </c>
      <c r="M171" s="331">
        <v>72</v>
      </c>
      <c r="N171" s="331">
        <v>396</v>
      </c>
      <c r="O171" s="331">
        <v>727</v>
      </c>
      <c r="P171" s="331">
        <v>505</v>
      </c>
      <c r="Q171" s="331">
        <v>1232</v>
      </c>
      <c r="R171" s="331">
        <v>7</v>
      </c>
      <c r="S171" s="331">
        <v>2</v>
      </c>
      <c r="T171" s="331">
        <v>9</v>
      </c>
      <c r="U171" s="329">
        <v>1362</v>
      </c>
      <c r="V171" s="329">
        <v>641</v>
      </c>
      <c r="W171" s="329">
        <v>2003</v>
      </c>
    </row>
    <row r="172" spans="2:23" hidden="1" outlineLevel="1" x14ac:dyDescent="0.25">
      <c r="B172" s="328">
        <v>42705</v>
      </c>
      <c r="C172" s="331"/>
      <c r="D172" s="331"/>
      <c r="E172" s="331"/>
      <c r="F172" s="331"/>
      <c r="G172" s="331"/>
      <c r="H172" s="331"/>
      <c r="I172" s="331">
        <v>317</v>
      </c>
      <c r="J172" s="331">
        <v>72</v>
      </c>
      <c r="K172" s="331">
        <v>389</v>
      </c>
      <c r="L172" s="331">
        <v>400</v>
      </c>
      <c r="M172" s="331">
        <v>87</v>
      </c>
      <c r="N172" s="331">
        <v>487</v>
      </c>
      <c r="O172" s="331">
        <v>843</v>
      </c>
      <c r="P172" s="331">
        <v>600</v>
      </c>
      <c r="Q172" s="331">
        <v>1443</v>
      </c>
      <c r="R172" s="331">
        <v>19</v>
      </c>
      <c r="S172" s="331">
        <v>20</v>
      </c>
      <c r="T172" s="331">
        <v>39</v>
      </c>
      <c r="U172" s="329">
        <v>1579</v>
      </c>
      <c r="V172" s="329">
        <v>779</v>
      </c>
      <c r="W172" s="329">
        <v>2358</v>
      </c>
    </row>
    <row r="173" spans="2:23" collapsed="1" x14ac:dyDescent="0.25">
      <c r="B173" s="330" t="s">
        <v>698</v>
      </c>
      <c r="C173" s="329" t="s">
        <v>781</v>
      </c>
      <c r="D173" s="329" t="s">
        <v>781</v>
      </c>
      <c r="E173" s="329" t="s">
        <v>781</v>
      </c>
      <c r="F173" s="329" t="s">
        <v>781</v>
      </c>
      <c r="G173" s="329" t="s">
        <v>781</v>
      </c>
      <c r="H173" s="329" t="s">
        <v>781</v>
      </c>
      <c r="I173" s="329">
        <v>388</v>
      </c>
      <c r="J173" s="329">
        <v>82</v>
      </c>
      <c r="K173" s="329">
        <v>470</v>
      </c>
      <c r="L173" s="329">
        <v>428</v>
      </c>
      <c r="M173" s="329">
        <v>92</v>
      </c>
      <c r="N173" s="329">
        <v>520</v>
      </c>
      <c r="O173" s="329">
        <v>977</v>
      </c>
      <c r="P173" s="329">
        <v>656</v>
      </c>
      <c r="Q173" s="329">
        <v>1634</v>
      </c>
      <c r="R173" s="329">
        <v>17</v>
      </c>
      <c r="S173" s="329">
        <v>12</v>
      </c>
      <c r="T173" s="329">
        <v>29</v>
      </c>
      <c r="U173" s="329">
        <v>1810</v>
      </c>
      <c r="V173" s="329">
        <v>843</v>
      </c>
      <c r="W173" s="329">
        <v>2653</v>
      </c>
    </row>
    <row r="174" spans="2:23" hidden="1" outlineLevel="1" x14ac:dyDescent="0.25">
      <c r="B174" s="328">
        <v>42736</v>
      </c>
      <c r="C174" s="331"/>
      <c r="D174" s="331"/>
      <c r="E174" s="331"/>
      <c r="F174" s="331"/>
      <c r="G174" s="331"/>
      <c r="H174" s="331"/>
      <c r="I174" s="331">
        <v>372</v>
      </c>
      <c r="J174" s="331">
        <v>93</v>
      </c>
      <c r="K174" s="331">
        <v>465</v>
      </c>
      <c r="L174" s="331">
        <v>416</v>
      </c>
      <c r="M174" s="331">
        <v>92</v>
      </c>
      <c r="N174" s="331">
        <v>508</v>
      </c>
      <c r="O174" s="331">
        <v>976</v>
      </c>
      <c r="P174" s="331">
        <v>666</v>
      </c>
      <c r="Q174" s="331">
        <v>1642</v>
      </c>
      <c r="R174" s="331">
        <v>25</v>
      </c>
      <c r="S174" s="331">
        <v>18</v>
      </c>
      <c r="T174" s="331">
        <v>43</v>
      </c>
      <c r="U174" s="329">
        <v>1789</v>
      </c>
      <c r="V174" s="329">
        <v>869</v>
      </c>
      <c r="W174" s="329">
        <v>2658</v>
      </c>
    </row>
    <row r="175" spans="2:23" hidden="1" outlineLevel="1" x14ac:dyDescent="0.25">
      <c r="B175" s="328">
        <v>42767</v>
      </c>
      <c r="C175" s="331"/>
      <c r="D175" s="331"/>
      <c r="E175" s="331"/>
      <c r="F175" s="331"/>
      <c r="G175" s="331"/>
      <c r="H175" s="331"/>
      <c r="I175" s="331">
        <v>365</v>
      </c>
      <c r="J175" s="331">
        <v>82</v>
      </c>
      <c r="K175" s="331">
        <v>447</v>
      </c>
      <c r="L175" s="331">
        <v>396</v>
      </c>
      <c r="M175" s="331">
        <v>68</v>
      </c>
      <c r="N175" s="331">
        <v>464</v>
      </c>
      <c r="O175" s="331">
        <v>916</v>
      </c>
      <c r="P175" s="331">
        <v>675</v>
      </c>
      <c r="Q175" s="331">
        <v>1591</v>
      </c>
      <c r="R175" s="331">
        <v>12</v>
      </c>
      <c r="S175" s="331">
        <v>16</v>
      </c>
      <c r="T175" s="331">
        <v>28</v>
      </c>
      <c r="U175" s="329">
        <v>1689</v>
      </c>
      <c r="V175" s="329">
        <v>841</v>
      </c>
      <c r="W175" s="329">
        <v>2530</v>
      </c>
    </row>
    <row r="176" spans="2:23" hidden="1" outlineLevel="1" x14ac:dyDescent="0.25">
      <c r="B176" s="328">
        <v>42795</v>
      </c>
      <c r="C176" s="331"/>
      <c r="D176" s="331"/>
      <c r="E176" s="331"/>
      <c r="F176" s="331"/>
      <c r="G176" s="331"/>
      <c r="H176" s="331"/>
      <c r="I176" s="331">
        <v>421</v>
      </c>
      <c r="J176" s="331">
        <v>86</v>
      </c>
      <c r="K176" s="331">
        <v>507</v>
      </c>
      <c r="L176" s="331">
        <v>509</v>
      </c>
      <c r="M176" s="331">
        <v>100</v>
      </c>
      <c r="N176" s="331">
        <v>609</v>
      </c>
      <c r="O176" s="331">
        <v>1206</v>
      </c>
      <c r="P176" s="331">
        <v>736</v>
      </c>
      <c r="Q176" s="331">
        <v>1942</v>
      </c>
      <c r="R176" s="331">
        <v>18</v>
      </c>
      <c r="S176" s="331">
        <v>11</v>
      </c>
      <c r="T176" s="331">
        <v>29</v>
      </c>
      <c r="U176" s="329">
        <v>2154</v>
      </c>
      <c r="V176" s="329">
        <v>933</v>
      </c>
      <c r="W176" s="329">
        <v>3087</v>
      </c>
    </row>
    <row r="177" spans="2:23" hidden="1" outlineLevel="1" x14ac:dyDescent="0.25">
      <c r="B177" s="328">
        <v>42826</v>
      </c>
      <c r="C177" s="331"/>
      <c r="D177" s="331"/>
      <c r="E177" s="331"/>
      <c r="F177" s="331"/>
      <c r="G177" s="331"/>
      <c r="H177" s="331"/>
      <c r="I177" s="331">
        <v>346</v>
      </c>
      <c r="J177" s="331">
        <v>84</v>
      </c>
      <c r="K177" s="331">
        <v>430</v>
      </c>
      <c r="L177" s="331">
        <v>404</v>
      </c>
      <c r="M177" s="331">
        <v>79</v>
      </c>
      <c r="N177" s="331">
        <v>483</v>
      </c>
      <c r="O177" s="331">
        <v>897</v>
      </c>
      <c r="P177" s="331">
        <v>593</v>
      </c>
      <c r="Q177" s="331">
        <v>1490</v>
      </c>
      <c r="R177" s="331">
        <v>13</v>
      </c>
      <c r="S177" s="331">
        <v>7</v>
      </c>
      <c r="T177" s="331">
        <v>20</v>
      </c>
      <c r="U177" s="329">
        <v>1660</v>
      </c>
      <c r="V177" s="329">
        <v>763</v>
      </c>
      <c r="W177" s="329">
        <v>2423</v>
      </c>
    </row>
    <row r="178" spans="2:23" hidden="1" outlineLevel="1" x14ac:dyDescent="0.25">
      <c r="B178" s="328">
        <v>42856</v>
      </c>
      <c r="C178" s="331"/>
      <c r="D178" s="331"/>
      <c r="E178" s="331"/>
      <c r="F178" s="331"/>
      <c r="G178" s="331"/>
      <c r="H178" s="331"/>
      <c r="I178" s="331">
        <v>386</v>
      </c>
      <c r="J178" s="331">
        <v>95</v>
      </c>
      <c r="K178" s="331">
        <v>481</v>
      </c>
      <c r="L178" s="331">
        <v>503</v>
      </c>
      <c r="M178" s="331">
        <v>91</v>
      </c>
      <c r="N178" s="331">
        <v>594</v>
      </c>
      <c r="O178" s="331">
        <v>1155</v>
      </c>
      <c r="P178" s="331">
        <v>953</v>
      </c>
      <c r="Q178" s="331">
        <v>2108</v>
      </c>
      <c r="R178" s="331">
        <v>21</v>
      </c>
      <c r="S178" s="331">
        <v>15</v>
      </c>
      <c r="T178" s="331">
        <v>36</v>
      </c>
      <c r="U178" s="329">
        <v>2065</v>
      </c>
      <c r="V178" s="329">
        <v>1154</v>
      </c>
      <c r="W178" s="329">
        <v>3219</v>
      </c>
    </row>
    <row r="179" spans="2:23" hidden="1" outlineLevel="1" x14ac:dyDescent="0.25">
      <c r="B179" s="328">
        <v>42887</v>
      </c>
      <c r="C179" s="331"/>
      <c r="D179" s="331"/>
      <c r="E179" s="331"/>
      <c r="F179" s="331"/>
      <c r="G179" s="331"/>
      <c r="H179" s="331"/>
      <c r="I179" s="331">
        <v>362</v>
      </c>
      <c r="J179" s="331">
        <v>91</v>
      </c>
      <c r="K179" s="331">
        <v>453</v>
      </c>
      <c r="L179" s="331">
        <v>464</v>
      </c>
      <c r="M179" s="331">
        <v>94</v>
      </c>
      <c r="N179" s="331">
        <v>558</v>
      </c>
      <c r="O179" s="331">
        <v>1065</v>
      </c>
      <c r="P179" s="331">
        <v>784</v>
      </c>
      <c r="Q179" s="331">
        <v>1849</v>
      </c>
      <c r="R179" s="331">
        <v>22</v>
      </c>
      <c r="S179" s="331">
        <v>4</v>
      </c>
      <c r="T179" s="331">
        <v>26</v>
      </c>
      <c r="U179" s="329">
        <v>1913</v>
      </c>
      <c r="V179" s="329">
        <v>973</v>
      </c>
      <c r="W179" s="329">
        <v>2886</v>
      </c>
    </row>
    <row r="180" spans="2:23" hidden="1" outlineLevel="1" x14ac:dyDescent="0.25">
      <c r="B180" s="328">
        <v>42917</v>
      </c>
      <c r="C180" s="331"/>
      <c r="D180" s="331"/>
      <c r="E180" s="331"/>
      <c r="F180" s="331"/>
      <c r="G180" s="331"/>
      <c r="H180" s="331"/>
      <c r="I180" s="331">
        <v>429</v>
      </c>
      <c r="J180" s="331">
        <v>113</v>
      </c>
      <c r="K180" s="331">
        <v>542</v>
      </c>
      <c r="L180" s="331">
        <v>483</v>
      </c>
      <c r="M180" s="331">
        <v>91</v>
      </c>
      <c r="N180" s="331">
        <v>574</v>
      </c>
      <c r="O180" s="331">
        <v>1238</v>
      </c>
      <c r="P180" s="331">
        <v>780</v>
      </c>
      <c r="Q180" s="331">
        <v>2018</v>
      </c>
      <c r="R180" s="331">
        <v>24</v>
      </c>
      <c r="S180" s="331">
        <v>12</v>
      </c>
      <c r="T180" s="331">
        <v>36</v>
      </c>
      <c r="U180" s="329">
        <v>2174</v>
      </c>
      <c r="V180" s="329">
        <v>996</v>
      </c>
      <c r="W180" s="329">
        <v>3170</v>
      </c>
    </row>
    <row r="181" spans="2:23" hidden="1" outlineLevel="1" x14ac:dyDescent="0.25">
      <c r="B181" s="328">
        <v>42948</v>
      </c>
      <c r="C181" s="331"/>
      <c r="D181" s="331"/>
      <c r="E181" s="331"/>
      <c r="F181" s="331"/>
      <c r="G181" s="331"/>
      <c r="H181" s="331"/>
      <c r="I181" s="331">
        <v>521</v>
      </c>
      <c r="J181" s="331">
        <v>105</v>
      </c>
      <c r="K181" s="331">
        <v>626</v>
      </c>
      <c r="L181" s="331">
        <v>462</v>
      </c>
      <c r="M181" s="331">
        <v>107</v>
      </c>
      <c r="N181" s="331">
        <v>569</v>
      </c>
      <c r="O181" s="331">
        <v>1335</v>
      </c>
      <c r="P181" s="331">
        <v>922</v>
      </c>
      <c r="Q181" s="331">
        <v>2257</v>
      </c>
      <c r="R181" s="331">
        <v>17</v>
      </c>
      <c r="S181" s="331">
        <v>15</v>
      </c>
      <c r="T181" s="331">
        <v>32</v>
      </c>
      <c r="U181" s="329">
        <v>2335</v>
      </c>
      <c r="V181" s="329">
        <v>1149</v>
      </c>
      <c r="W181" s="329">
        <v>3484</v>
      </c>
    </row>
    <row r="182" spans="2:23" hidden="1" outlineLevel="1" x14ac:dyDescent="0.25">
      <c r="B182" s="328">
        <v>42979</v>
      </c>
      <c r="C182" s="331"/>
      <c r="D182" s="331"/>
      <c r="E182" s="331"/>
      <c r="F182" s="331"/>
      <c r="G182" s="331"/>
      <c r="H182" s="331"/>
      <c r="I182" s="331">
        <v>379</v>
      </c>
      <c r="J182" s="331">
        <v>98</v>
      </c>
      <c r="K182" s="331">
        <v>477</v>
      </c>
      <c r="L182" s="331">
        <v>374</v>
      </c>
      <c r="M182" s="331">
        <v>85</v>
      </c>
      <c r="N182" s="331">
        <v>459</v>
      </c>
      <c r="O182" s="331">
        <v>1080</v>
      </c>
      <c r="P182" s="331">
        <v>734</v>
      </c>
      <c r="Q182" s="331">
        <v>1814</v>
      </c>
      <c r="R182" s="331">
        <v>17</v>
      </c>
      <c r="S182" s="331">
        <v>6</v>
      </c>
      <c r="T182" s="331">
        <v>23</v>
      </c>
      <c r="U182" s="329">
        <v>1850</v>
      </c>
      <c r="V182" s="329">
        <v>923</v>
      </c>
      <c r="W182" s="329">
        <v>2773</v>
      </c>
    </row>
    <row r="183" spans="2:23" hidden="1" outlineLevel="1" x14ac:dyDescent="0.25">
      <c r="B183" s="328">
        <v>43009</v>
      </c>
      <c r="C183" s="331"/>
      <c r="D183" s="331"/>
      <c r="E183" s="331"/>
      <c r="F183" s="331"/>
      <c r="G183" s="331"/>
      <c r="H183" s="331"/>
      <c r="I183" s="331">
        <v>479</v>
      </c>
      <c r="J183" s="331">
        <v>103</v>
      </c>
      <c r="K183" s="331">
        <v>582</v>
      </c>
      <c r="L183" s="331">
        <v>487</v>
      </c>
      <c r="M183" s="331">
        <v>111</v>
      </c>
      <c r="N183" s="331">
        <v>598</v>
      </c>
      <c r="O183" s="331">
        <v>1111</v>
      </c>
      <c r="P183" s="331">
        <v>789</v>
      </c>
      <c r="Q183" s="331">
        <v>1900</v>
      </c>
      <c r="R183" s="331">
        <v>25</v>
      </c>
      <c r="S183" s="331">
        <v>12</v>
      </c>
      <c r="T183" s="331">
        <v>37</v>
      </c>
      <c r="U183" s="329">
        <v>2102</v>
      </c>
      <c r="V183" s="329">
        <v>1015</v>
      </c>
      <c r="W183" s="329">
        <v>3117</v>
      </c>
    </row>
    <row r="184" spans="2:23" hidden="1" outlineLevel="1" x14ac:dyDescent="0.25">
      <c r="B184" s="328">
        <v>43040</v>
      </c>
      <c r="C184" s="331"/>
      <c r="D184" s="331"/>
      <c r="E184" s="331"/>
      <c r="F184" s="331"/>
      <c r="G184" s="331"/>
      <c r="H184" s="331"/>
      <c r="I184" s="331">
        <v>427</v>
      </c>
      <c r="J184" s="331">
        <v>87</v>
      </c>
      <c r="K184" s="331">
        <v>514</v>
      </c>
      <c r="L184" s="331">
        <v>464</v>
      </c>
      <c r="M184" s="331">
        <v>92</v>
      </c>
      <c r="N184" s="331">
        <v>556</v>
      </c>
      <c r="O184" s="331">
        <v>1097</v>
      </c>
      <c r="P184" s="331">
        <v>660</v>
      </c>
      <c r="Q184" s="331">
        <v>1757</v>
      </c>
      <c r="R184" s="331">
        <v>22</v>
      </c>
      <c r="S184" s="331">
        <v>6</v>
      </c>
      <c r="T184" s="331">
        <v>28</v>
      </c>
      <c r="U184" s="329">
        <v>2010</v>
      </c>
      <c r="V184" s="329">
        <v>845</v>
      </c>
      <c r="W184" s="329">
        <v>2855</v>
      </c>
    </row>
    <row r="185" spans="2:23" hidden="1" outlineLevel="1" x14ac:dyDescent="0.25">
      <c r="B185" s="328">
        <v>43070</v>
      </c>
      <c r="C185" s="331"/>
      <c r="D185" s="331"/>
      <c r="E185" s="331"/>
      <c r="F185" s="331"/>
      <c r="G185" s="331"/>
      <c r="H185" s="331"/>
      <c r="I185" s="331">
        <v>184</v>
      </c>
      <c r="J185" s="331">
        <v>34</v>
      </c>
      <c r="K185" s="331">
        <v>218</v>
      </c>
      <c r="L185" s="331">
        <v>341</v>
      </c>
      <c r="M185" s="331">
        <v>64</v>
      </c>
      <c r="N185" s="331">
        <v>405</v>
      </c>
      <c r="O185" s="331">
        <v>524</v>
      </c>
      <c r="P185" s="331">
        <v>287</v>
      </c>
      <c r="Q185" s="331">
        <v>811</v>
      </c>
      <c r="R185" s="331">
        <v>14</v>
      </c>
      <c r="S185" s="331">
        <v>9</v>
      </c>
      <c r="T185" s="331">
        <v>23</v>
      </c>
      <c r="U185" s="329">
        <v>1063</v>
      </c>
      <c r="V185" s="329">
        <v>394</v>
      </c>
      <c r="W185" s="329">
        <v>1457</v>
      </c>
    </row>
    <row r="186" spans="2:23" collapsed="1" x14ac:dyDescent="0.25">
      <c r="B186" s="330" t="s">
        <v>699</v>
      </c>
      <c r="C186" s="329" t="s">
        <v>781</v>
      </c>
      <c r="D186" s="329" t="s">
        <v>781</v>
      </c>
      <c r="E186" s="329" t="s">
        <v>781</v>
      </c>
      <c r="F186" s="329" t="s">
        <v>781</v>
      </c>
      <c r="G186" s="329" t="s">
        <v>781</v>
      </c>
      <c r="H186" s="329" t="s">
        <v>781</v>
      </c>
      <c r="I186" s="329">
        <v>389</v>
      </c>
      <c r="J186" s="329">
        <v>89</v>
      </c>
      <c r="K186" s="329">
        <v>479</v>
      </c>
      <c r="L186" s="329">
        <v>442</v>
      </c>
      <c r="M186" s="329">
        <v>90</v>
      </c>
      <c r="N186" s="329">
        <v>531</v>
      </c>
      <c r="O186" s="329">
        <v>1050</v>
      </c>
      <c r="P186" s="329">
        <v>715</v>
      </c>
      <c r="Q186" s="329">
        <v>1765</v>
      </c>
      <c r="R186" s="329">
        <v>19</v>
      </c>
      <c r="S186" s="329">
        <v>11</v>
      </c>
      <c r="T186" s="329">
        <v>30</v>
      </c>
      <c r="U186" s="329">
        <v>1900</v>
      </c>
      <c r="V186" s="329">
        <v>905</v>
      </c>
      <c r="W186" s="329">
        <v>2805</v>
      </c>
    </row>
    <row r="187" spans="2:23" hidden="1" outlineLevel="1" x14ac:dyDescent="0.25">
      <c r="B187" s="328">
        <v>43101</v>
      </c>
      <c r="C187" s="331"/>
      <c r="D187" s="331"/>
      <c r="E187" s="331"/>
      <c r="F187" s="331"/>
      <c r="G187" s="331"/>
      <c r="H187" s="331"/>
      <c r="I187" s="331">
        <v>219</v>
      </c>
      <c r="J187" s="331">
        <v>33</v>
      </c>
      <c r="K187" s="331">
        <v>252</v>
      </c>
      <c r="L187" s="331">
        <v>417</v>
      </c>
      <c r="M187" s="331">
        <v>86</v>
      </c>
      <c r="N187" s="331">
        <v>503</v>
      </c>
      <c r="O187" s="331">
        <v>637</v>
      </c>
      <c r="P187" s="331">
        <v>305</v>
      </c>
      <c r="Q187" s="331">
        <v>942</v>
      </c>
      <c r="R187" s="331">
        <v>22</v>
      </c>
      <c r="S187" s="331">
        <v>16</v>
      </c>
      <c r="T187" s="331">
        <v>38</v>
      </c>
      <c r="U187" s="329">
        <v>1295</v>
      </c>
      <c r="V187" s="329">
        <v>440</v>
      </c>
      <c r="W187" s="329">
        <v>1735</v>
      </c>
    </row>
    <row r="188" spans="2:23" hidden="1" outlineLevel="1" x14ac:dyDescent="0.25">
      <c r="B188" s="328">
        <v>43132</v>
      </c>
      <c r="C188" s="331"/>
      <c r="D188" s="331"/>
      <c r="E188" s="331"/>
      <c r="F188" s="331"/>
      <c r="G188" s="331"/>
      <c r="H188" s="331"/>
      <c r="I188" s="331">
        <v>169</v>
      </c>
      <c r="J188" s="331">
        <v>21</v>
      </c>
      <c r="K188" s="331">
        <v>190</v>
      </c>
      <c r="L188" s="331">
        <v>370</v>
      </c>
      <c r="M188" s="331">
        <v>66</v>
      </c>
      <c r="N188" s="331">
        <v>436</v>
      </c>
      <c r="O188" s="331">
        <v>572</v>
      </c>
      <c r="P188" s="331">
        <v>310</v>
      </c>
      <c r="Q188" s="331">
        <v>882</v>
      </c>
      <c r="R188" s="331">
        <v>16</v>
      </c>
      <c r="S188" s="331">
        <v>4</v>
      </c>
      <c r="T188" s="331">
        <v>20</v>
      </c>
      <c r="U188" s="329">
        <v>1127</v>
      </c>
      <c r="V188" s="329">
        <v>401</v>
      </c>
      <c r="W188" s="329">
        <v>1528</v>
      </c>
    </row>
    <row r="189" spans="2:23" hidden="1" outlineLevel="1" x14ac:dyDescent="0.25">
      <c r="B189" s="328">
        <v>43160</v>
      </c>
      <c r="C189" s="331"/>
      <c r="D189" s="331"/>
      <c r="E189" s="331"/>
      <c r="F189" s="331"/>
      <c r="G189" s="331"/>
      <c r="H189" s="331"/>
      <c r="I189" s="331">
        <v>253</v>
      </c>
      <c r="J189" s="331">
        <v>34</v>
      </c>
      <c r="K189" s="331">
        <v>287</v>
      </c>
      <c r="L189" s="331">
        <v>431</v>
      </c>
      <c r="M189" s="331">
        <v>91</v>
      </c>
      <c r="N189" s="331">
        <v>522</v>
      </c>
      <c r="O189" s="331">
        <v>576</v>
      </c>
      <c r="P189" s="331">
        <v>367</v>
      </c>
      <c r="Q189" s="331">
        <v>943</v>
      </c>
      <c r="R189" s="331">
        <v>21</v>
      </c>
      <c r="S189" s="331">
        <v>9</v>
      </c>
      <c r="T189" s="331">
        <v>30</v>
      </c>
      <c r="U189" s="329">
        <v>1281</v>
      </c>
      <c r="V189" s="329">
        <v>501</v>
      </c>
      <c r="W189" s="329">
        <v>1782</v>
      </c>
    </row>
    <row r="190" spans="2:23" hidden="1" outlineLevel="1" x14ac:dyDescent="0.25">
      <c r="B190" s="328">
        <v>43191</v>
      </c>
      <c r="C190" s="331"/>
      <c r="D190" s="331"/>
      <c r="E190" s="331"/>
      <c r="F190" s="331"/>
      <c r="G190" s="331"/>
      <c r="H190" s="331"/>
      <c r="I190" s="331">
        <v>202</v>
      </c>
      <c r="J190" s="331">
        <v>35</v>
      </c>
      <c r="K190" s="331">
        <v>237</v>
      </c>
      <c r="L190" s="331">
        <v>444</v>
      </c>
      <c r="M190" s="331">
        <v>86</v>
      </c>
      <c r="N190" s="331">
        <v>530</v>
      </c>
      <c r="O190" s="331">
        <v>615</v>
      </c>
      <c r="P190" s="331">
        <v>310</v>
      </c>
      <c r="Q190" s="331">
        <v>925</v>
      </c>
      <c r="R190" s="331">
        <v>24</v>
      </c>
      <c r="S190" s="331">
        <v>15</v>
      </c>
      <c r="T190" s="331">
        <v>39</v>
      </c>
      <c r="U190" s="329">
        <v>1285</v>
      </c>
      <c r="V190" s="329">
        <v>446</v>
      </c>
      <c r="W190" s="329">
        <v>1731</v>
      </c>
    </row>
    <row r="191" spans="2:23" hidden="1" outlineLevel="1" x14ac:dyDescent="0.25">
      <c r="B191" s="328">
        <v>43221</v>
      </c>
      <c r="C191" s="331"/>
      <c r="D191" s="331"/>
      <c r="E191" s="331"/>
      <c r="F191" s="331"/>
      <c r="G191" s="331"/>
      <c r="H191" s="331"/>
      <c r="I191" s="331">
        <v>235</v>
      </c>
      <c r="J191" s="331">
        <v>52</v>
      </c>
      <c r="K191" s="331">
        <v>287</v>
      </c>
      <c r="L191" s="331">
        <v>373</v>
      </c>
      <c r="M191" s="331">
        <v>72</v>
      </c>
      <c r="N191" s="331">
        <v>445</v>
      </c>
      <c r="O191" s="331">
        <v>724</v>
      </c>
      <c r="P191" s="331">
        <v>395</v>
      </c>
      <c r="Q191" s="331">
        <v>1119</v>
      </c>
      <c r="R191" s="331">
        <v>16</v>
      </c>
      <c r="S191" s="331">
        <v>19</v>
      </c>
      <c r="T191" s="331">
        <v>35</v>
      </c>
      <c r="U191" s="329">
        <v>1348</v>
      </c>
      <c r="V191" s="329">
        <v>538</v>
      </c>
      <c r="W191" s="329">
        <v>1886</v>
      </c>
    </row>
    <row r="192" spans="2:23" hidden="1" outlineLevel="1" x14ac:dyDescent="0.25">
      <c r="B192" s="328">
        <v>43252</v>
      </c>
      <c r="C192" s="331"/>
      <c r="D192" s="331"/>
      <c r="E192" s="331"/>
      <c r="F192" s="331"/>
      <c r="G192" s="331"/>
      <c r="H192" s="331"/>
      <c r="I192" s="331">
        <v>213</v>
      </c>
      <c r="J192" s="331">
        <v>39</v>
      </c>
      <c r="K192" s="331">
        <v>252</v>
      </c>
      <c r="L192" s="331">
        <v>421</v>
      </c>
      <c r="M192" s="331">
        <v>80</v>
      </c>
      <c r="N192" s="331">
        <v>501</v>
      </c>
      <c r="O192" s="331">
        <v>624</v>
      </c>
      <c r="P192" s="331">
        <v>312</v>
      </c>
      <c r="Q192" s="331">
        <v>936</v>
      </c>
      <c r="R192" s="331">
        <v>22</v>
      </c>
      <c r="S192" s="331">
        <v>10</v>
      </c>
      <c r="T192" s="331">
        <v>32</v>
      </c>
      <c r="U192" s="329">
        <v>1280</v>
      </c>
      <c r="V192" s="329">
        <v>441</v>
      </c>
      <c r="W192" s="329">
        <v>1721</v>
      </c>
    </row>
    <row r="193" spans="2:23" hidden="1" outlineLevel="1" x14ac:dyDescent="0.25">
      <c r="B193" s="328">
        <v>43282</v>
      </c>
      <c r="C193" s="331"/>
      <c r="D193" s="331"/>
      <c r="E193" s="331"/>
      <c r="F193" s="331"/>
      <c r="G193" s="331"/>
      <c r="H193" s="331"/>
      <c r="I193" s="331">
        <v>237</v>
      </c>
      <c r="J193" s="331">
        <v>42</v>
      </c>
      <c r="K193" s="331">
        <v>279</v>
      </c>
      <c r="L193" s="331">
        <v>380</v>
      </c>
      <c r="M193" s="331">
        <v>90</v>
      </c>
      <c r="N193" s="331">
        <v>470</v>
      </c>
      <c r="O193" s="331">
        <v>653</v>
      </c>
      <c r="P193" s="331">
        <v>327</v>
      </c>
      <c r="Q193" s="331">
        <v>980</v>
      </c>
      <c r="R193" s="331">
        <v>21</v>
      </c>
      <c r="S193" s="331">
        <v>13</v>
      </c>
      <c r="T193" s="331">
        <v>34</v>
      </c>
      <c r="U193" s="329">
        <v>1291</v>
      </c>
      <c r="V193" s="329">
        <v>472</v>
      </c>
      <c r="W193" s="329">
        <v>1763</v>
      </c>
    </row>
    <row r="194" spans="2:23" hidden="1" outlineLevel="1" x14ac:dyDescent="0.25">
      <c r="B194" s="328">
        <v>43313</v>
      </c>
      <c r="C194" s="331"/>
      <c r="D194" s="331"/>
      <c r="E194" s="331"/>
      <c r="F194" s="331"/>
      <c r="G194" s="331"/>
      <c r="H194" s="331"/>
      <c r="I194" s="331">
        <v>297</v>
      </c>
      <c r="J194" s="331">
        <v>47</v>
      </c>
      <c r="K194" s="331">
        <v>344</v>
      </c>
      <c r="L194" s="331">
        <v>507</v>
      </c>
      <c r="M194" s="331">
        <v>112</v>
      </c>
      <c r="N194" s="331">
        <v>619</v>
      </c>
      <c r="O194" s="331">
        <v>683</v>
      </c>
      <c r="P194" s="331">
        <v>359</v>
      </c>
      <c r="Q194" s="331">
        <v>1042</v>
      </c>
      <c r="R194" s="331">
        <v>24</v>
      </c>
      <c r="S194" s="331">
        <v>13</v>
      </c>
      <c r="T194" s="331">
        <v>37</v>
      </c>
      <c r="U194" s="329">
        <v>1511</v>
      </c>
      <c r="V194" s="329">
        <v>531</v>
      </c>
      <c r="W194" s="329">
        <v>2042</v>
      </c>
    </row>
    <row r="195" spans="2:23" hidden="1" outlineLevel="1" x14ac:dyDescent="0.25">
      <c r="B195" s="328">
        <v>43344</v>
      </c>
      <c r="C195" s="331"/>
      <c r="D195" s="331"/>
      <c r="E195" s="331"/>
      <c r="F195" s="331"/>
      <c r="G195" s="331"/>
      <c r="H195" s="331"/>
      <c r="I195" s="331">
        <v>198</v>
      </c>
      <c r="J195" s="331">
        <v>23</v>
      </c>
      <c r="K195" s="331">
        <v>221</v>
      </c>
      <c r="L195" s="331">
        <v>331</v>
      </c>
      <c r="M195" s="331">
        <v>85</v>
      </c>
      <c r="N195" s="331">
        <v>416</v>
      </c>
      <c r="O195" s="331">
        <v>578</v>
      </c>
      <c r="P195" s="331">
        <v>300</v>
      </c>
      <c r="Q195" s="331">
        <v>878</v>
      </c>
      <c r="R195" s="331">
        <v>17</v>
      </c>
      <c r="S195" s="331">
        <v>11</v>
      </c>
      <c r="T195" s="331">
        <v>28</v>
      </c>
      <c r="U195" s="329">
        <v>1124</v>
      </c>
      <c r="V195" s="329">
        <v>419</v>
      </c>
      <c r="W195" s="329">
        <v>1543</v>
      </c>
    </row>
    <row r="196" spans="2:23" hidden="1" outlineLevel="1" x14ac:dyDescent="0.25">
      <c r="B196" s="328">
        <v>43374</v>
      </c>
      <c r="C196" s="331"/>
      <c r="D196" s="331"/>
      <c r="E196" s="331"/>
      <c r="F196" s="331"/>
      <c r="G196" s="331"/>
      <c r="H196" s="331"/>
      <c r="I196" s="331">
        <v>290</v>
      </c>
      <c r="J196" s="331">
        <v>42</v>
      </c>
      <c r="K196" s="331">
        <v>332</v>
      </c>
      <c r="L196" s="331">
        <v>443</v>
      </c>
      <c r="M196" s="331">
        <v>112</v>
      </c>
      <c r="N196" s="331">
        <v>555</v>
      </c>
      <c r="O196" s="331">
        <v>794</v>
      </c>
      <c r="P196" s="331">
        <v>384</v>
      </c>
      <c r="Q196" s="331">
        <v>1178</v>
      </c>
      <c r="R196" s="331">
        <v>29</v>
      </c>
      <c r="S196" s="331">
        <v>16</v>
      </c>
      <c r="T196" s="331">
        <v>45</v>
      </c>
      <c r="U196" s="329">
        <v>1556</v>
      </c>
      <c r="V196" s="329">
        <v>554</v>
      </c>
      <c r="W196" s="329">
        <v>2110</v>
      </c>
    </row>
    <row r="197" spans="2:23" hidden="1" outlineLevel="1" x14ac:dyDescent="0.25">
      <c r="B197" s="328">
        <v>43405</v>
      </c>
      <c r="C197" s="331"/>
      <c r="D197" s="331"/>
      <c r="E197" s="331"/>
      <c r="F197" s="331"/>
      <c r="G197" s="331"/>
      <c r="H197" s="331"/>
      <c r="I197" s="331">
        <v>196</v>
      </c>
      <c r="J197" s="331">
        <v>41</v>
      </c>
      <c r="K197" s="331">
        <v>237</v>
      </c>
      <c r="L197" s="331">
        <v>425</v>
      </c>
      <c r="M197" s="331">
        <v>96</v>
      </c>
      <c r="N197" s="331">
        <v>521</v>
      </c>
      <c r="O197" s="331">
        <v>610</v>
      </c>
      <c r="P197" s="331">
        <v>246</v>
      </c>
      <c r="Q197" s="331">
        <v>856</v>
      </c>
      <c r="R197" s="331">
        <v>17</v>
      </c>
      <c r="S197" s="331">
        <v>16</v>
      </c>
      <c r="T197" s="331">
        <v>33</v>
      </c>
      <c r="U197" s="329">
        <v>1248</v>
      </c>
      <c r="V197" s="329">
        <v>399</v>
      </c>
      <c r="W197" s="329">
        <v>1647</v>
      </c>
    </row>
    <row r="198" spans="2:23" hidden="1" outlineLevel="1" x14ac:dyDescent="0.25">
      <c r="B198" s="328">
        <v>43435</v>
      </c>
      <c r="C198" s="331"/>
      <c r="D198" s="331"/>
      <c r="E198" s="331"/>
      <c r="F198" s="331"/>
      <c r="G198" s="331"/>
      <c r="H198" s="331"/>
      <c r="I198" s="331">
        <v>161</v>
      </c>
      <c r="J198" s="331">
        <v>21</v>
      </c>
      <c r="K198" s="331">
        <v>182</v>
      </c>
      <c r="L198" s="331">
        <v>324</v>
      </c>
      <c r="M198" s="331">
        <v>94</v>
      </c>
      <c r="N198" s="331">
        <v>418</v>
      </c>
      <c r="O198" s="331">
        <v>530</v>
      </c>
      <c r="P198" s="331">
        <v>273</v>
      </c>
      <c r="Q198" s="331">
        <v>803</v>
      </c>
      <c r="R198" s="331">
        <v>21</v>
      </c>
      <c r="S198" s="331">
        <v>10</v>
      </c>
      <c r="T198" s="331">
        <v>31</v>
      </c>
      <c r="U198" s="329">
        <v>1036</v>
      </c>
      <c r="V198" s="329">
        <v>398</v>
      </c>
      <c r="W198" s="329">
        <v>1434</v>
      </c>
    </row>
    <row r="199" spans="2:23" collapsed="1" x14ac:dyDescent="0.25">
      <c r="B199" s="330" t="s">
        <v>700</v>
      </c>
      <c r="C199" s="329" t="s">
        <v>781</v>
      </c>
      <c r="D199" s="329" t="s">
        <v>781</v>
      </c>
      <c r="E199" s="329" t="s">
        <v>781</v>
      </c>
      <c r="F199" s="329" t="s">
        <v>781</v>
      </c>
      <c r="G199" s="329" t="s">
        <v>781</v>
      </c>
      <c r="H199" s="329" t="s">
        <v>781</v>
      </c>
      <c r="I199" s="329">
        <v>223</v>
      </c>
      <c r="J199" s="329">
        <v>36</v>
      </c>
      <c r="K199" s="329">
        <v>258</v>
      </c>
      <c r="L199" s="329">
        <v>406</v>
      </c>
      <c r="M199" s="329">
        <v>89</v>
      </c>
      <c r="N199" s="329">
        <v>495</v>
      </c>
      <c r="O199" s="329">
        <v>633</v>
      </c>
      <c r="P199" s="329">
        <v>324</v>
      </c>
      <c r="Q199" s="329">
        <v>957</v>
      </c>
      <c r="R199" s="329">
        <v>21</v>
      </c>
      <c r="S199" s="329">
        <v>13</v>
      </c>
      <c r="T199" s="329">
        <v>34</v>
      </c>
      <c r="U199" s="329">
        <v>1282</v>
      </c>
      <c r="V199" s="329">
        <v>462</v>
      </c>
      <c r="W199" s="329">
        <v>1744</v>
      </c>
    </row>
    <row r="200" spans="2:23" hidden="1" outlineLevel="1" x14ac:dyDescent="0.25">
      <c r="B200" s="328">
        <v>43466</v>
      </c>
      <c r="C200" s="331"/>
      <c r="D200" s="331"/>
      <c r="E200" s="331"/>
      <c r="F200" s="331"/>
      <c r="G200" s="331"/>
      <c r="H200" s="331"/>
      <c r="I200" s="331">
        <v>225</v>
      </c>
      <c r="J200" s="331">
        <v>31</v>
      </c>
      <c r="K200" s="331">
        <v>256</v>
      </c>
      <c r="L200" s="331">
        <v>401</v>
      </c>
      <c r="M200" s="331">
        <v>95</v>
      </c>
      <c r="N200" s="331">
        <v>496</v>
      </c>
      <c r="O200" s="331">
        <v>656</v>
      </c>
      <c r="P200" s="331">
        <v>264</v>
      </c>
      <c r="Q200" s="331">
        <v>920</v>
      </c>
      <c r="R200" s="331">
        <v>25</v>
      </c>
      <c r="S200" s="331">
        <v>22</v>
      </c>
      <c r="T200" s="331">
        <v>47</v>
      </c>
      <c r="U200" s="329">
        <v>1307</v>
      </c>
      <c r="V200" s="329">
        <v>412</v>
      </c>
      <c r="W200" s="329">
        <v>1719</v>
      </c>
    </row>
    <row r="201" spans="2:23" hidden="1" outlineLevel="1" x14ac:dyDescent="0.25">
      <c r="B201" s="328">
        <v>43497</v>
      </c>
      <c r="C201" s="331"/>
      <c r="D201" s="331"/>
      <c r="E201" s="331"/>
      <c r="F201" s="331"/>
      <c r="G201" s="331"/>
      <c r="H201" s="331"/>
      <c r="I201" s="331">
        <v>190</v>
      </c>
      <c r="J201" s="331">
        <v>29</v>
      </c>
      <c r="K201" s="331">
        <v>219</v>
      </c>
      <c r="L201" s="331">
        <v>347</v>
      </c>
      <c r="M201" s="331">
        <v>86</v>
      </c>
      <c r="N201" s="331">
        <v>433</v>
      </c>
      <c r="O201" s="331">
        <v>543</v>
      </c>
      <c r="P201" s="331">
        <v>252</v>
      </c>
      <c r="Q201" s="331">
        <v>795</v>
      </c>
      <c r="R201" s="331">
        <v>29</v>
      </c>
      <c r="S201" s="331">
        <v>9</v>
      </c>
      <c r="T201" s="331">
        <v>38</v>
      </c>
      <c r="U201" s="329">
        <v>1109</v>
      </c>
      <c r="V201" s="329">
        <v>376</v>
      </c>
      <c r="W201" s="329">
        <v>1485</v>
      </c>
    </row>
    <row r="202" spans="2:23" hidden="1" outlineLevel="1" x14ac:dyDescent="0.25">
      <c r="B202" s="328">
        <v>43525</v>
      </c>
      <c r="C202" s="331"/>
      <c r="D202" s="331"/>
      <c r="E202" s="331"/>
      <c r="F202" s="331"/>
      <c r="G202" s="331"/>
      <c r="H202" s="331"/>
      <c r="I202" s="331">
        <v>235</v>
      </c>
      <c r="J202" s="331">
        <v>28</v>
      </c>
      <c r="K202" s="331">
        <v>263</v>
      </c>
      <c r="L202" s="331">
        <v>428</v>
      </c>
      <c r="M202" s="331">
        <v>72</v>
      </c>
      <c r="N202" s="331">
        <v>500</v>
      </c>
      <c r="O202" s="331">
        <v>662</v>
      </c>
      <c r="P202" s="331">
        <v>268</v>
      </c>
      <c r="Q202" s="331">
        <v>930</v>
      </c>
      <c r="R202" s="331">
        <v>26</v>
      </c>
      <c r="S202" s="331">
        <v>13</v>
      </c>
      <c r="T202" s="331">
        <v>39</v>
      </c>
      <c r="U202" s="329">
        <v>1351</v>
      </c>
      <c r="V202" s="329">
        <v>381</v>
      </c>
      <c r="W202" s="329">
        <v>1732</v>
      </c>
    </row>
    <row r="203" spans="2:23" hidden="1" outlineLevel="1" x14ac:dyDescent="0.25">
      <c r="B203" s="328">
        <v>43556</v>
      </c>
      <c r="C203" s="331"/>
      <c r="D203" s="331"/>
      <c r="E203" s="331"/>
      <c r="F203" s="331"/>
      <c r="G203" s="331"/>
      <c r="H203" s="331"/>
      <c r="I203" s="331">
        <v>206</v>
      </c>
      <c r="J203" s="331">
        <v>29</v>
      </c>
      <c r="K203" s="331">
        <v>235</v>
      </c>
      <c r="L203" s="331">
        <v>453</v>
      </c>
      <c r="M203" s="331">
        <v>98</v>
      </c>
      <c r="N203" s="331">
        <v>551</v>
      </c>
      <c r="O203" s="331">
        <v>611</v>
      </c>
      <c r="P203" s="331">
        <v>263</v>
      </c>
      <c r="Q203" s="331">
        <v>874</v>
      </c>
      <c r="R203" s="331">
        <v>25</v>
      </c>
      <c r="S203" s="331">
        <v>20</v>
      </c>
      <c r="T203" s="331">
        <v>45</v>
      </c>
      <c r="U203" s="329">
        <v>1295</v>
      </c>
      <c r="V203" s="329">
        <v>410</v>
      </c>
      <c r="W203" s="329">
        <v>1705</v>
      </c>
    </row>
    <row r="204" spans="2:23" hidden="1" outlineLevel="1" x14ac:dyDescent="0.25">
      <c r="B204" s="328">
        <v>43586</v>
      </c>
      <c r="C204" s="331"/>
      <c r="D204" s="331"/>
      <c r="E204" s="331"/>
      <c r="F204" s="331"/>
      <c r="G204" s="331"/>
      <c r="H204" s="331"/>
      <c r="I204" s="331">
        <v>200</v>
      </c>
      <c r="J204" s="331">
        <v>23</v>
      </c>
      <c r="K204" s="331">
        <v>223</v>
      </c>
      <c r="L204" s="331">
        <v>411</v>
      </c>
      <c r="M204" s="331">
        <v>86</v>
      </c>
      <c r="N204" s="331">
        <v>497</v>
      </c>
      <c r="O204" s="331">
        <v>602</v>
      </c>
      <c r="P204" s="331">
        <v>310</v>
      </c>
      <c r="Q204" s="331">
        <v>912</v>
      </c>
      <c r="R204" s="331">
        <v>16</v>
      </c>
      <c r="S204" s="331">
        <v>16</v>
      </c>
      <c r="T204" s="331">
        <v>32</v>
      </c>
      <c r="U204" s="329">
        <v>1229</v>
      </c>
      <c r="V204" s="329">
        <v>435</v>
      </c>
      <c r="W204" s="329">
        <v>1664</v>
      </c>
    </row>
    <row r="205" spans="2:23" hidden="1" outlineLevel="1" x14ac:dyDescent="0.25">
      <c r="B205" s="328">
        <v>43617</v>
      </c>
      <c r="C205" s="331"/>
      <c r="D205" s="331"/>
      <c r="E205" s="331"/>
      <c r="F205" s="331"/>
      <c r="G205" s="331"/>
      <c r="H205" s="331"/>
      <c r="I205" s="331">
        <v>205</v>
      </c>
      <c r="J205" s="331">
        <v>28</v>
      </c>
      <c r="K205" s="331">
        <v>233</v>
      </c>
      <c r="L205" s="331">
        <v>361</v>
      </c>
      <c r="M205" s="331">
        <v>75</v>
      </c>
      <c r="N205" s="331">
        <v>436</v>
      </c>
      <c r="O205" s="331">
        <v>524</v>
      </c>
      <c r="P205" s="331">
        <v>233</v>
      </c>
      <c r="Q205" s="331">
        <v>757</v>
      </c>
      <c r="R205" s="331">
        <v>22</v>
      </c>
      <c r="S205" s="331">
        <v>14</v>
      </c>
      <c r="T205" s="331">
        <v>36</v>
      </c>
      <c r="U205" s="329">
        <v>1112</v>
      </c>
      <c r="V205" s="329">
        <v>350</v>
      </c>
      <c r="W205" s="329">
        <v>1462</v>
      </c>
    </row>
    <row r="206" spans="2:23" hidden="1" outlineLevel="1" x14ac:dyDescent="0.25">
      <c r="B206" s="328">
        <v>43647</v>
      </c>
      <c r="C206" s="331"/>
      <c r="D206" s="331"/>
      <c r="E206" s="331"/>
      <c r="F206" s="331"/>
      <c r="G206" s="331"/>
      <c r="H206" s="331"/>
      <c r="I206" s="331">
        <v>214</v>
      </c>
      <c r="J206" s="331">
        <v>29</v>
      </c>
      <c r="K206" s="331">
        <v>243</v>
      </c>
      <c r="L206" s="331">
        <v>417</v>
      </c>
      <c r="M206" s="331">
        <v>117</v>
      </c>
      <c r="N206" s="331">
        <v>534</v>
      </c>
      <c r="O206" s="331">
        <v>612</v>
      </c>
      <c r="P206" s="331">
        <v>277</v>
      </c>
      <c r="Q206" s="331">
        <v>889</v>
      </c>
      <c r="R206" s="331">
        <v>16</v>
      </c>
      <c r="S206" s="331">
        <v>6</v>
      </c>
      <c r="T206" s="331">
        <v>22</v>
      </c>
      <c r="U206" s="329">
        <v>1259</v>
      </c>
      <c r="V206" s="329">
        <v>429</v>
      </c>
      <c r="W206" s="329">
        <v>1688</v>
      </c>
    </row>
    <row r="207" spans="2:23" hidden="1" outlineLevel="1" x14ac:dyDescent="0.25">
      <c r="B207" s="328">
        <v>43678</v>
      </c>
      <c r="C207" s="331"/>
      <c r="D207" s="331"/>
      <c r="E207" s="331"/>
      <c r="F207" s="331"/>
      <c r="G207" s="331"/>
      <c r="H207" s="331"/>
      <c r="I207" s="331">
        <v>224</v>
      </c>
      <c r="J207" s="331">
        <v>33</v>
      </c>
      <c r="K207" s="331">
        <v>257</v>
      </c>
      <c r="L207" s="331">
        <v>420</v>
      </c>
      <c r="M207" s="331">
        <v>104</v>
      </c>
      <c r="N207" s="331">
        <v>524</v>
      </c>
      <c r="O207" s="331">
        <v>686</v>
      </c>
      <c r="P207" s="331">
        <v>307</v>
      </c>
      <c r="Q207" s="331">
        <v>993</v>
      </c>
      <c r="R207" s="331">
        <v>20</v>
      </c>
      <c r="S207" s="331">
        <v>15</v>
      </c>
      <c r="T207" s="331">
        <v>35</v>
      </c>
      <c r="U207" s="329">
        <v>1350</v>
      </c>
      <c r="V207" s="329">
        <v>459</v>
      </c>
      <c r="W207" s="329">
        <v>1809</v>
      </c>
    </row>
    <row r="208" spans="2:23" hidden="1" outlineLevel="1" x14ac:dyDescent="0.25">
      <c r="B208" s="328">
        <v>43709</v>
      </c>
      <c r="C208" s="331"/>
      <c r="D208" s="331"/>
      <c r="E208" s="331"/>
      <c r="F208" s="331"/>
      <c r="G208" s="331"/>
      <c r="H208" s="331"/>
      <c r="I208" s="331">
        <v>185</v>
      </c>
      <c r="J208" s="331">
        <v>25</v>
      </c>
      <c r="K208" s="331">
        <v>210</v>
      </c>
      <c r="L208" s="331">
        <v>347</v>
      </c>
      <c r="M208" s="331">
        <v>85</v>
      </c>
      <c r="N208" s="331">
        <v>432</v>
      </c>
      <c r="O208" s="331">
        <v>563</v>
      </c>
      <c r="P208" s="331">
        <v>278</v>
      </c>
      <c r="Q208" s="331">
        <v>841</v>
      </c>
      <c r="R208" s="331">
        <v>20</v>
      </c>
      <c r="S208" s="331">
        <v>13</v>
      </c>
      <c r="T208" s="331">
        <v>33</v>
      </c>
      <c r="U208" s="329">
        <v>1115</v>
      </c>
      <c r="V208" s="329">
        <v>401</v>
      </c>
      <c r="W208" s="329">
        <v>1516</v>
      </c>
    </row>
    <row r="209" spans="2:23" hidden="1" outlineLevel="1" x14ac:dyDescent="0.25">
      <c r="B209" s="328">
        <v>43739</v>
      </c>
      <c r="C209" s="331"/>
      <c r="D209" s="331"/>
      <c r="E209" s="331"/>
      <c r="F209" s="331"/>
      <c r="G209" s="331"/>
      <c r="H209" s="331"/>
      <c r="I209" s="331">
        <v>182</v>
      </c>
      <c r="J209" s="331">
        <v>29</v>
      </c>
      <c r="K209" s="331">
        <v>211</v>
      </c>
      <c r="L209" s="331">
        <v>361</v>
      </c>
      <c r="M209" s="331">
        <v>76</v>
      </c>
      <c r="N209" s="331">
        <v>437</v>
      </c>
      <c r="O209" s="331">
        <v>515</v>
      </c>
      <c r="P209" s="331">
        <v>227</v>
      </c>
      <c r="Q209" s="331">
        <v>742</v>
      </c>
      <c r="R209" s="331">
        <v>15</v>
      </c>
      <c r="S209" s="331">
        <v>9</v>
      </c>
      <c r="T209" s="331">
        <v>24</v>
      </c>
      <c r="U209" s="329">
        <v>1073</v>
      </c>
      <c r="V209" s="329">
        <v>341</v>
      </c>
      <c r="W209" s="329">
        <v>1414</v>
      </c>
    </row>
    <row r="210" spans="2:23" hidden="1" outlineLevel="1" x14ac:dyDescent="0.25">
      <c r="B210" s="328">
        <v>43770</v>
      </c>
      <c r="C210" s="331"/>
      <c r="D210" s="331"/>
      <c r="E210" s="331"/>
      <c r="F210" s="331"/>
      <c r="G210" s="331"/>
      <c r="H210" s="331"/>
      <c r="I210" s="331">
        <v>145</v>
      </c>
      <c r="J210" s="331">
        <v>16</v>
      </c>
      <c r="K210" s="331">
        <v>161</v>
      </c>
      <c r="L210" s="331">
        <v>247</v>
      </c>
      <c r="M210" s="331">
        <v>61</v>
      </c>
      <c r="N210" s="331">
        <v>308</v>
      </c>
      <c r="O210" s="331">
        <v>415</v>
      </c>
      <c r="P210" s="331">
        <v>229</v>
      </c>
      <c r="Q210" s="331">
        <v>644</v>
      </c>
      <c r="R210" s="331">
        <v>16</v>
      </c>
      <c r="S210" s="331">
        <v>11</v>
      </c>
      <c r="T210" s="331">
        <v>27</v>
      </c>
      <c r="U210" s="329">
        <v>823</v>
      </c>
      <c r="V210" s="329">
        <v>317</v>
      </c>
      <c r="W210" s="329">
        <v>1140</v>
      </c>
    </row>
    <row r="211" spans="2:23" hidden="1" outlineLevel="1" x14ac:dyDescent="0.25">
      <c r="B211" s="328">
        <v>43800</v>
      </c>
      <c r="C211" s="331"/>
      <c r="D211" s="331"/>
      <c r="E211" s="331"/>
      <c r="F211" s="331"/>
      <c r="G211" s="331"/>
      <c r="H211" s="331"/>
      <c r="I211" s="331">
        <v>286</v>
      </c>
      <c r="J211" s="331">
        <v>42</v>
      </c>
      <c r="K211" s="331">
        <v>328</v>
      </c>
      <c r="L211" s="331">
        <v>482</v>
      </c>
      <c r="M211" s="331">
        <v>109</v>
      </c>
      <c r="N211" s="331">
        <v>591</v>
      </c>
      <c r="O211" s="331">
        <v>924</v>
      </c>
      <c r="P211" s="331">
        <v>485</v>
      </c>
      <c r="Q211" s="331">
        <v>1409</v>
      </c>
      <c r="R211" s="331">
        <v>34</v>
      </c>
      <c r="S211" s="331">
        <v>29</v>
      </c>
      <c r="T211" s="331">
        <v>63</v>
      </c>
      <c r="U211" s="329">
        <v>1726</v>
      </c>
      <c r="V211" s="329">
        <v>665</v>
      </c>
      <c r="W211" s="329">
        <v>2391</v>
      </c>
    </row>
    <row r="212" spans="2:23" collapsed="1" x14ac:dyDescent="0.25">
      <c r="B212" s="330" t="s">
        <v>701</v>
      </c>
      <c r="C212" s="329" t="s">
        <v>781</v>
      </c>
      <c r="D212" s="329" t="s">
        <v>781</v>
      </c>
      <c r="E212" s="329" t="s">
        <v>781</v>
      </c>
      <c r="F212" s="329" t="s">
        <v>781</v>
      </c>
      <c r="G212" s="329" t="s">
        <v>781</v>
      </c>
      <c r="H212" s="329" t="s">
        <v>781</v>
      </c>
      <c r="I212" s="329">
        <v>208</v>
      </c>
      <c r="J212" s="329">
        <v>29</v>
      </c>
      <c r="K212" s="329">
        <v>237</v>
      </c>
      <c r="L212" s="329">
        <v>390</v>
      </c>
      <c r="M212" s="329">
        <v>89</v>
      </c>
      <c r="N212" s="329">
        <v>478</v>
      </c>
      <c r="O212" s="329">
        <v>609</v>
      </c>
      <c r="P212" s="329">
        <v>283</v>
      </c>
      <c r="Q212" s="329">
        <v>892</v>
      </c>
      <c r="R212" s="329">
        <v>22</v>
      </c>
      <c r="S212" s="329">
        <v>15</v>
      </c>
      <c r="T212" s="329">
        <v>37</v>
      </c>
      <c r="U212" s="329">
        <v>1229</v>
      </c>
      <c r="V212" s="329">
        <v>415</v>
      </c>
      <c r="W212" s="329">
        <v>1644</v>
      </c>
    </row>
    <row r="213" spans="2:23" hidden="1" outlineLevel="1" x14ac:dyDescent="0.25">
      <c r="B213" s="328">
        <v>43831</v>
      </c>
      <c r="C213" s="331"/>
      <c r="D213" s="331"/>
      <c r="E213" s="331"/>
      <c r="F213" s="331"/>
      <c r="G213" s="331"/>
      <c r="H213" s="331"/>
      <c r="I213" s="331">
        <v>265</v>
      </c>
      <c r="J213" s="331">
        <v>52</v>
      </c>
      <c r="K213" s="331">
        <v>317</v>
      </c>
      <c r="L213" s="331">
        <v>522</v>
      </c>
      <c r="M213" s="331">
        <v>115</v>
      </c>
      <c r="N213" s="331">
        <v>637</v>
      </c>
      <c r="O213" s="331">
        <v>1339</v>
      </c>
      <c r="P213" s="331">
        <v>593</v>
      </c>
      <c r="Q213" s="331">
        <v>1932</v>
      </c>
      <c r="R213" s="331">
        <v>37</v>
      </c>
      <c r="S213" s="331">
        <v>39</v>
      </c>
      <c r="T213" s="331">
        <v>76</v>
      </c>
      <c r="U213" s="329">
        <v>2163</v>
      </c>
      <c r="V213" s="329">
        <v>799</v>
      </c>
      <c r="W213" s="329">
        <v>2962</v>
      </c>
    </row>
    <row r="214" spans="2:23" hidden="1" outlineLevel="1" x14ac:dyDescent="0.25">
      <c r="B214" s="328">
        <v>43862</v>
      </c>
      <c r="C214" s="331"/>
      <c r="D214" s="331"/>
      <c r="E214" s="331"/>
      <c r="F214" s="331"/>
      <c r="G214" s="331"/>
      <c r="H214" s="331"/>
      <c r="I214" s="331">
        <v>276</v>
      </c>
      <c r="J214" s="331">
        <v>33</v>
      </c>
      <c r="K214" s="331">
        <v>309</v>
      </c>
      <c r="L214" s="331">
        <v>438</v>
      </c>
      <c r="M214" s="331">
        <v>105</v>
      </c>
      <c r="N214" s="331">
        <v>543</v>
      </c>
      <c r="O214" s="331">
        <v>1948</v>
      </c>
      <c r="P214" s="331">
        <v>823</v>
      </c>
      <c r="Q214" s="331">
        <v>2771</v>
      </c>
      <c r="R214" s="331">
        <v>36</v>
      </c>
      <c r="S214" s="331">
        <v>19</v>
      </c>
      <c r="T214" s="331">
        <v>55</v>
      </c>
      <c r="U214" s="329">
        <v>2698</v>
      </c>
      <c r="V214" s="329">
        <v>980</v>
      </c>
      <c r="W214" s="329">
        <v>3678</v>
      </c>
    </row>
    <row r="215" spans="2:23" hidden="1" outlineLevel="1" x14ac:dyDescent="0.25">
      <c r="B215" s="328">
        <v>43891</v>
      </c>
      <c r="C215" s="331"/>
      <c r="D215" s="331"/>
      <c r="E215" s="331"/>
      <c r="F215" s="331"/>
      <c r="G215" s="331"/>
      <c r="H215" s="331"/>
      <c r="I215" s="331">
        <v>153</v>
      </c>
      <c r="J215" s="331">
        <v>36</v>
      </c>
      <c r="K215" s="331">
        <v>189</v>
      </c>
      <c r="L215" s="331">
        <v>295</v>
      </c>
      <c r="M215" s="331">
        <v>78</v>
      </c>
      <c r="N215" s="331">
        <v>373</v>
      </c>
      <c r="O215" s="331">
        <v>779</v>
      </c>
      <c r="P215" s="331">
        <v>510</v>
      </c>
      <c r="Q215" s="331">
        <v>1289</v>
      </c>
      <c r="R215" s="331">
        <v>26</v>
      </c>
      <c r="S215" s="331">
        <v>20</v>
      </c>
      <c r="T215" s="331">
        <v>46</v>
      </c>
      <c r="U215" s="329">
        <v>1253</v>
      </c>
      <c r="V215" s="329">
        <v>644</v>
      </c>
      <c r="W215" s="329">
        <v>1897</v>
      </c>
    </row>
    <row r="216" spans="2:23" hidden="1" outlineLevel="1" x14ac:dyDescent="0.25">
      <c r="B216" s="328">
        <v>43922</v>
      </c>
      <c r="C216" s="331"/>
      <c r="D216" s="331"/>
      <c r="E216" s="331"/>
      <c r="F216" s="331"/>
      <c r="G216" s="331"/>
      <c r="H216" s="331"/>
      <c r="I216" s="331">
        <v>63</v>
      </c>
      <c r="J216" s="331">
        <v>15</v>
      </c>
      <c r="K216" s="331">
        <v>78</v>
      </c>
      <c r="L216" s="331">
        <v>82</v>
      </c>
      <c r="M216" s="331">
        <v>10</v>
      </c>
      <c r="N216" s="331">
        <v>92</v>
      </c>
      <c r="O216" s="331">
        <v>294</v>
      </c>
      <c r="P216" s="331">
        <v>200</v>
      </c>
      <c r="Q216" s="331">
        <v>494</v>
      </c>
      <c r="R216" s="331">
        <v>9</v>
      </c>
      <c r="S216" s="331">
        <v>6</v>
      </c>
      <c r="T216" s="331">
        <v>15</v>
      </c>
      <c r="U216" s="329">
        <v>448</v>
      </c>
      <c r="V216" s="329">
        <v>231</v>
      </c>
      <c r="W216" s="329">
        <v>679</v>
      </c>
    </row>
    <row r="217" spans="2:23" hidden="1" outlineLevel="1" x14ac:dyDescent="0.25">
      <c r="B217" s="328">
        <v>43952</v>
      </c>
      <c r="C217" s="331"/>
      <c r="D217" s="331"/>
      <c r="E217" s="331"/>
      <c r="F217" s="331"/>
      <c r="G217" s="331"/>
      <c r="H217" s="331"/>
      <c r="I217" s="331">
        <v>137</v>
      </c>
      <c r="J217" s="331">
        <v>35</v>
      </c>
      <c r="K217" s="331">
        <v>172</v>
      </c>
      <c r="L217" s="331">
        <v>190</v>
      </c>
      <c r="M217" s="331">
        <v>51</v>
      </c>
      <c r="N217" s="331">
        <v>241</v>
      </c>
      <c r="O217" s="331">
        <v>434</v>
      </c>
      <c r="P217" s="331">
        <v>363</v>
      </c>
      <c r="Q217" s="331">
        <v>797</v>
      </c>
      <c r="R217" s="331">
        <v>20</v>
      </c>
      <c r="S217" s="331">
        <v>7</v>
      </c>
      <c r="T217" s="331">
        <v>27</v>
      </c>
      <c r="U217" s="329">
        <v>781</v>
      </c>
      <c r="V217" s="329">
        <v>456</v>
      </c>
      <c r="W217" s="329">
        <v>1237</v>
      </c>
    </row>
    <row r="218" spans="2:23" hidden="1" outlineLevel="1" x14ac:dyDescent="0.25">
      <c r="B218" s="328">
        <v>43983</v>
      </c>
      <c r="C218" s="331"/>
      <c r="D218" s="331"/>
      <c r="E218" s="331"/>
      <c r="F218" s="331"/>
      <c r="G218" s="331"/>
      <c r="H218" s="331"/>
      <c r="I218" s="331">
        <v>125</v>
      </c>
      <c r="J218" s="331">
        <v>28</v>
      </c>
      <c r="K218" s="331">
        <v>153</v>
      </c>
      <c r="L218" s="331">
        <v>172</v>
      </c>
      <c r="M218" s="331">
        <v>44</v>
      </c>
      <c r="N218" s="331">
        <v>216</v>
      </c>
      <c r="O218" s="331">
        <v>526</v>
      </c>
      <c r="P218" s="331">
        <v>332</v>
      </c>
      <c r="Q218" s="331">
        <v>858</v>
      </c>
      <c r="R218" s="331">
        <v>13</v>
      </c>
      <c r="S218" s="331">
        <v>15</v>
      </c>
      <c r="T218" s="331">
        <v>28</v>
      </c>
      <c r="U218" s="329">
        <v>836</v>
      </c>
      <c r="V218" s="329">
        <v>419</v>
      </c>
      <c r="W218" s="329">
        <v>1255</v>
      </c>
    </row>
    <row r="219" spans="2:23" hidden="1" outlineLevel="1" x14ac:dyDescent="0.25">
      <c r="B219" s="328">
        <v>44013</v>
      </c>
      <c r="C219" s="331"/>
      <c r="D219" s="331"/>
      <c r="E219" s="331"/>
      <c r="F219" s="331"/>
      <c r="G219" s="331"/>
      <c r="H219" s="331"/>
      <c r="I219" s="331">
        <v>205</v>
      </c>
      <c r="J219" s="331">
        <v>53</v>
      </c>
      <c r="K219" s="331">
        <v>258</v>
      </c>
      <c r="L219" s="331">
        <v>234</v>
      </c>
      <c r="M219" s="331">
        <v>50</v>
      </c>
      <c r="N219" s="331">
        <v>284</v>
      </c>
      <c r="O219" s="331">
        <v>705</v>
      </c>
      <c r="P219" s="331">
        <v>399</v>
      </c>
      <c r="Q219" s="331">
        <v>1104</v>
      </c>
      <c r="R219" s="331">
        <v>20</v>
      </c>
      <c r="S219" s="331">
        <v>12</v>
      </c>
      <c r="T219" s="331">
        <v>32</v>
      </c>
      <c r="U219" s="329">
        <v>1164</v>
      </c>
      <c r="V219" s="329">
        <v>514</v>
      </c>
      <c r="W219" s="329">
        <v>1678</v>
      </c>
    </row>
    <row r="220" spans="2:23" hidden="1" outlineLevel="1" x14ac:dyDescent="0.25">
      <c r="B220" s="328">
        <v>44044</v>
      </c>
      <c r="C220" s="331"/>
      <c r="D220" s="331"/>
      <c r="E220" s="331"/>
      <c r="F220" s="331"/>
      <c r="G220" s="331"/>
      <c r="H220" s="331"/>
      <c r="I220" s="331">
        <v>295</v>
      </c>
      <c r="J220" s="331">
        <v>38</v>
      </c>
      <c r="K220" s="331">
        <v>333</v>
      </c>
      <c r="L220" s="331">
        <v>306</v>
      </c>
      <c r="M220" s="331">
        <v>81</v>
      </c>
      <c r="N220" s="331">
        <v>387</v>
      </c>
      <c r="O220" s="331">
        <v>1115</v>
      </c>
      <c r="P220" s="331">
        <v>590</v>
      </c>
      <c r="Q220" s="331">
        <v>1705</v>
      </c>
      <c r="R220" s="331">
        <v>23</v>
      </c>
      <c r="S220" s="331">
        <v>11</v>
      </c>
      <c r="T220" s="331">
        <v>34</v>
      </c>
      <c r="U220" s="329">
        <v>1739</v>
      </c>
      <c r="V220" s="329">
        <v>720</v>
      </c>
      <c r="W220" s="329">
        <v>2459</v>
      </c>
    </row>
    <row r="221" spans="2:23" hidden="1" outlineLevel="1" x14ac:dyDescent="0.25">
      <c r="B221" s="328">
        <v>44075</v>
      </c>
      <c r="C221" s="331"/>
      <c r="D221" s="331"/>
      <c r="E221" s="331"/>
      <c r="F221" s="331"/>
      <c r="G221" s="331"/>
      <c r="H221" s="331"/>
      <c r="I221" s="331">
        <v>283</v>
      </c>
      <c r="J221" s="331">
        <v>50</v>
      </c>
      <c r="K221" s="331">
        <v>333</v>
      </c>
      <c r="L221" s="331">
        <v>394</v>
      </c>
      <c r="M221" s="331">
        <v>104</v>
      </c>
      <c r="N221" s="331">
        <v>498</v>
      </c>
      <c r="O221" s="331">
        <v>1020</v>
      </c>
      <c r="P221" s="331">
        <v>522</v>
      </c>
      <c r="Q221" s="331">
        <v>1542</v>
      </c>
      <c r="R221" s="331">
        <v>27</v>
      </c>
      <c r="S221" s="331">
        <v>34</v>
      </c>
      <c r="T221" s="331">
        <v>61</v>
      </c>
      <c r="U221" s="329">
        <v>1724</v>
      </c>
      <c r="V221" s="329">
        <v>710</v>
      </c>
      <c r="W221" s="329">
        <v>2434</v>
      </c>
    </row>
    <row r="222" spans="2:23" hidden="1" outlineLevel="1" x14ac:dyDescent="0.25">
      <c r="B222" s="328">
        <v>44105</v>
      </c>
      <c r="C222" s="331"/>
      <c r="D222" s="331"/>
      <c r="E222" s="331"/>
      <c r="F222" s="331"/>
      <c r="G222" s="331"/>
      <c r="H222" s="331"/>
      <c r="I222" s="331">
        <v>312</v>
      </c>
      <c r="J222" s="331">
        <v>56</v>
      </c>
      <c r="K222" s="331">
        <v>368</v>
      </c>
      <c r="L222" s="331">
        <v>550</v>
      </c>
      <c r="M222" s="331">
        <v>102</v>
      </c>
      <c r="N222" s="331">
        <v>652</v>
      </c>
      <c r="O222" s="331">
        <v>985</v>
      </c>
      <c r="P222" s="331">
        <v>461</v>
      </c>
      <c r="Q222" s="331">
        <v>1446</v>
      </c>
      <c r="R222" s="331">
        <v>43</v>
      </c>
      <c r="S222" s="331">
        <v>29</v>
      </c>
      <c r="T222" s="331">
        <v>72</v>
      </c>
      <c r="U222" s="329">
        <v>1890</v>
      </c>
      <c r="V222" s="329">
        <v>648</v>
      </c>
      <c r="W222" s="329">
        <v>2538</v>
      </c>
    </row>
    <row r="223" spans="2:23" hidden="1" outlineLevel="1" x14ac:dyDescent="0.25">
      <c r="B223" s="328">
        <v>44136</v>
      </c>
      <c r="C223" s="331"/>
      <c r="D223" s="331"/>
      <c r="E223" s="331"/>
      <c r="F223" s="331"/>
      <c r="G223" s="331"/>
      <c r="H223" s="331"/>
      <c r="I223" s="331">
        <v>279</v>
      </c>
      <c r="J223" s="331">
        <v>37</v>
      </c>
      <c r="K223" s="331">
        <v>316</v>
      </c>
      <c r="L223" s="331">
        <v>517</v>
      </c>
      <c r="M223" s="331">
        <v>111</v>
      </c>
      <c r="N223" s="331">
        <v>628</v>
      </c>
      <c r="O223" s="331">
        <v>960</v>
      </c>
      <c r="P223" s="331">
        <v>435</v>
      </c>
      <c r="Q223" s="331">
        <v>1395</v>
      </c>
      <c r="R223" s="331">
        <v>47</v>
      </c>
      <c r="S223" s="331">
        <v>28</v>
      </c>
      <c r="T223" s="331">
        <v>75</v>
      </c>
      <c r="U223" s="329">
        <v>1803</v>
      </c>
      <c r="V223" s="329">
        <v>611</v>
      </c>
      <c r="W223" s="329">
        <v>2414</v>
      </c>
    </row>
    <row r="224" spans="2:23" hidden="1" outlineLevel="1" x14ac:dyDescent="0.25">
      <c r="B224" s="328">
        <v>44166</v>
      </c>
      <c r="C224" s="331"/>
      <c r="D224" s="331"/>
      <c r="E224" s="331"/>
      <c r="F224" s="331"/>
      <c r="G224" s="331"/>
      <c r="H224" s="331"/>
      <c r="I224" s="331">
        <v>269</v>
      </c>
      <c r="J224" s="331">
        <v>49</v>
      </c>
      <c r="K224" s="331">
        <v>318</v>
      </c>
      <c r="L224" s="331">
        <v>488</v>
      </c>
      <c r="M224" s="331">
        <v>98</v>
      </c>
      <c r="N224" s="331">
        <v>586</v>
      </c>
      <c r="O224" s="331">
        <v>935</v>
      </c>
      <c r="P224" s="331">
        <v>482</v>
      </c>
      <c r="Q224" s="331">
        <v>1417</v>
      </c>
      <c r="R224" s="331">
        <v>30</v>
      </c>
      <c r="S224" s="331">
        <v>24</v>
      </c>
      <c r="T224" s="331">
        <v>54</v>
      </c>
      <c r="U224" s="329">
        <v>1722</v>
      </c>
      <c r="V224" s="329">
        <v>653</v>
      </c>
      <c r="W224" s="329">
        <v>2375</v>
      </c>
    </row>
    <row r="225" spans="2:23" collapsed="1" x14ac:dyDescent="0.25">
      <c r="B225" s="330" t="s">
        <v>702</v>
      </c>
      <c r="C225" s="329" t="s">
        <v>781</v>
      </c>
      <c r="D225" s="329" t="s">
        <v>781</v>
      </c>
      <c r="E225" s="329" t="s">
        <v>781</v>
      </c>
      <c r="F225" s="329" t="s">
        <v>781</v>
      </c>
      <c r="G225" s="329" t="s">
        <v>781</v>
      </c>
      <c r="H225" s="329" t="s">
        <v>781</v>
      </c>
      <c r="I225" s="329">
        <v>222</v>
      </c>
      <c r="J225" s="329">
        <v>40</v>
      </c>
      <c r="K225" s="329">
        <v>262</v>
      </c>
      <c r="L225" s="329">
        <v>349</v>
      </c>
      <c r="M225" s="329">
        <v>79</v>
      </c>
      <c r="N225" s="329">
        <v>428</v>
      </c>
      <c r="O225" s="329">
        <v>920</v>
      </c>
      <c r="P225" s="329">
        <v>476</v>
      </c>
      <c r="Q225" s="329">
        <v>1396</v>
      </c>
      <c r="R225" s="329">
        <v>28</v>
      </c>
      <c r="S225" s="329">
        <v>20</v>
      </c>
      <c r="T225" s="329">
        <v>48</v>
      </c>
      <c r="U225" s="329">
        <v>1518</v>
      </c>
      <c r="V225" s="329">
        <v>615</v>
      </c>
      <c r="W225" s="329">
        <v>2134</v>
      </c>
    </row>
    <row r="226" spans="2:23" hidden="1" outlineLevel="1" x14ac:dyDescent="0.25">
      <c r="B226" s="328">
        <v>44197</v>
      </c>
      <c r="C226" s="331"/>
      <c r="D226" s="331"/>
      <c r="E226" s="331"/>
      <c r="F226" s="331"/>
      <c r="G226" s="331"/>
      <c r="H226" s="331"/>
      <c r="I226" s="331">
        <v>301</v>
      </c>
      <c r="J226" s="331">
        <v>40</v>
      </c>
      <c r="K226" s="331">
        <v>341</v>
      </c>
      <c r="L226" s="331">
        <v>482</v>
      </c>
      <c r="M226" s="331">
        <v>113</v>
      </c>
      <c r="N226" s="331">
        <v>595</v>
      </c>
      <c r="O226" s="331">
        <v>913</v>
      </c>
      <c r="P226" s="331">
        <v>410</v>
      </c>
      <c r="Q226" s="331">
        <v>1323</v>
      </c>
      <c r="R226" s="331">
        <v>54</v>
      </c>
      <c r="S226" s="331">
        <v>24</v>
      </c>
      <c r="T226" s="331">
        <v>78</v>
      </c>
      <c r="U226" s="329">
        <v>1750</v>
      </c>
      <c r="V226" s="329">
        <v>587</v>
      </c>
      <c r="W226" s="329">
        <v>2337</v>
      </c>
    </row>
    <row r="227" spans="2:23" hidden="1" outlineLevel="1" x14ac:dyDescent="0.25">
      <c r="B227" s="328">
        <v>44228</v>
      </c>
      <c r="C227" s="331"/>
      <c r="D227" s="331"/>
      <c r="E227" s="331"/>
      <c r="F227" s="331"/>
      <c r="G227" s="331"/>
      <c r="H227" s="331"/>
      <c r="I227" s="331">
        <v>288</v>
      </c>
      <c r="J227" s="331">
        <v>40</v>
      </c>
      <c r="K227" s="331">
        <v>328</v>
      </c>
      <c r="L227" s="331">
        <v>443</v>
      </c>
      <c r="M227" s="331">
        <v>90</v>
      </c>
      <c r="N227" s="331">
        <v>533</v>
      </c>
      <c r="O227" s="331">
        <v>897</v>
      </c>
      <c r="P227" s="331">
        <v>434</v>
      </c>
      <c r="Q227" s="331">
        <v>1331</v>
      </c>
      <c r="R227" s="331">
        <v>46</v>
      </c>
      <c r="S227" s="331">
        <v>20</v>
      </c>
      <c r="T227" s="331">
        <v>66</v>
      </c>
      <c r="U227" s="329">
        <v>1674</v>
      </c>
      <c r="V227" s="329">
        <v>584</v>
      </c>
      <c r="W227" s="329">
        <v>2258</v>
      </c>
    </row>
    <row r="228" spans="2:23" hidden="1" outlineLevel="1" x14ac:dyDescent="0.25">
      <c r="B228" s="328">
        <v>44256</v>
      </c>
      <c r="C228" s="331"/>
      <c r="D228" s="331"/>
      <c r="E228" s="331"/>
      <c r="F228" s="331"/>
      <c r="G228" s="331"/>
      <c r="H228" s="331"/>
      <c r="I228" s="331">
        <v>271</v>
      </c>
      <c r="J228" s="331">
        <v>62</v>
      </c>
      <c r="K228" s="331">
        <v>333</v>
      </c>
      <c r="L228" s="331">
        <v>595</v>
      </c>
      <c r="M228" s="331">
        <v>135</v>
      </c>
      <c r="N228" s="331">
        <v>730</v>
      </c>
      <c r="O228" s="331">
        <v>1098</v>
      </c>
      <c r="P228" s="331">
        <v>566</v>
      </c>
      <c r="Q228" s="331">
        <v>1664</v>
      </c>
      <c r="R228" s="331">
        <v>40</v>
      </c>
      <c r="S228" s="331">
        <v>32</v>
      </c>
      <c r="T228" s="331">
        <v>72</v>
      </c>
      <c r="U228" s="329">
        <v>2004</v>
      </c>
      <c r="V228" s="329">
        <v>795</v>
      </c>
      <c r="W228" s="329">
        <v>2799</v>
      </c>
    </row>
    <row r="229" spans="2:23" hidden="1" outlineLevel="1" x14ac:dyDescent="0.25">
      <c r="B229" s="328">
        <v>44287</v>
      </c>
      <c r="C229" s="331"/>
      <c r="D229" s="331"/>
      <c r="E229" s="331"/>
      <c r="F229" s="331"/>
      <c r="G229" s="331"/>
      <c r="H229" s="331"/>
      <c r="I229" s="331">
        <v>379</v>
      </c>
      <c r="J229" s="331">
        <v>51</v>
      </c>
      <c r="K229" s="331">
        <v>430</v>
      </c>
      <c r="L229" s="331">
        <v>706</v>
      </c>
      <c r="M229" s="331">
        <v>175</v>
      </c>
      <c r="N229" s="331">
        <v>881</v>
      </c>
      <c r="O229" s="331">
        <v>1191</v>
      </c>
      <c r="P229" s="331">
        <v>661</v>
      </c>
      <c r="Q229" s="331">
        <v>1852</v>
      </c>
      <c r="R229" s="331">
        <v>52</v>
      </c>
      <c r="S229" s="331">
        <v>49</v>
      </c>
      <c r="T229" s="331">
        <v>101</v>
      </c>
      <c r="U229" s="329">
        <v>2328</v>
      </c>
      <c r="V229" s="329">
        <v>936</v>
      </c>
      <c r="W229" s="329">
        <v>3264</v>
      </c>
    </row>
    <row r="230" spans="2:23" hidden="1" outlineLevel="1" x14ac:dyDescent="0.25">
      <c r="B230" s="328">
        <v>44317</v>
      </c>
      <c r="C230" s="331"/>
      <c r="D230" s="331"/>
      <c r="E230" s="331"/>
      <c r="F230" s="331"/>
      <c r="G230" s="331"/>
      <c r="H230" s="331"/>
      <c r="I230" s="331">
        <v>445</v>
      </c>
      <c r="J230" s="331">
        <v>63</v>
      </c>
      <c r="K230" s="331">
        <v>508</v>
      </c>
      <c r="L230" s="331">
        <v>668</v>
      </c>
      <c r="M230" s="331">
        <v>183</v>
      </c>
      <c r="N230" s="331">
        <v>851</v>
      </c>
      <c r="O230" s="331">
        <v>1364</v>
      </c>
      <c r="P230" s="331">
        <v>695</v>
      </c>
      <c r="Q230" s="331">
        <v>2059</v>
      </c>
      <c r="R230" s="331">
        <v>52</v>
      </c>
      <c r="S230" s="331">
        <v>55</v>
      </c>
      <c r="T230" s="331">
        <v>107</v>
      </c>
      <c r="U230" s="329">
        <v>2529</v>
      </c>
      <c r="V230" s="329">
        <v>996</v>
      </c>
      <c r="W230" s="329">
        <v>3525</v>
      </c>
    </row>
    <row r="231" spans="2:23" hidden="1" outlineLevel="1" x14ac:dyDescent="0.25">
      <c r="B231" s="328">
        <v>44348</v>
      </c>
      <c r="C231" s="331"/>
      <c r="D231" s="331"/>
      <c r="E231" s="331"/>
      <c r="F231" s="331"/>
      <c r="G231" s="331"/>
      <c r="H231" s="331"/>
      <c r="I231" s="331">
        <v>514</v>
      </c>
      <c r="J231" s="331">
        <v>59</v>
      </c>
      <c r="K231" s="331">
        <v>573</v>
      </c>
      <c r="L231" s="331">
        <v>638</v>
      </c>
      <c r="M231" s="331">
        <v>188</v>
      </c>
      <c r="N231" s="331">
        <v>826</v>
      </c>
      <c r="O231" s="331">
        <v>1309</v>
      </c>
      <c r="P231" s="331">
        <v>595</v>
      </c>
      <c r="Q231" s="331">
        <v>1904</v>
      </c>
      <c r="R231" s="331">
        <v>80</v>
      </c>
      <c r="S231" s="331">
        <v>71</v>
      </c>
      <c r="T231" s="331">
        <v>151</v>
      </c>
      <c r="U231" s="329">
        <v>2541</v>
      </c>
      <c r="V231" s="329">
        <v>913</v>
      </c>
      <c r="W231" s="329">
        <v>3454</v>
      </c>
    </row>
    <row r="232" spans="2:23" hidden="1" outlineLevel="1" x14ac:dyDescent="0.25">
      <c r="B232" s="328">
        <v>44378</v>
      </c>
      <c r="C232" s="331"/>
      <c r="D232" s="331"/>
      <c r="E232" s="331"/>
      <c r="F232" s="331"/>
      <c r="G232" s="331"/>
      <c r="H232" s="331"/>
      <c r="I232" s="331">
        <v>486</v>
      </c>
      <c r="J232" s="331">
        <v>63</v>
      </c>
      <c r="K232" s="331">
        <v>549</v>
      </c>
      <c r="L232" s="331">
        <v>752</v>
      </c>
      <c r="M232" s="331">
        <v>211</v>
      </c>
      <c r="N232" s="331">
        <v>963</v>
      </c>
      <c r="O232" s="331">
        <v>1383</v>
      </c>
      <c r="P232" s="331">
        <v>644</v>
      </c>
      <c r="Q232" s="331">
        <v>2027</v>
      </c>
      <c r="R232" s="331">
        <v>72</v>
      </c>
      <c r="S232" s="331">
        <v>63</v>
      </c>
      <c r="T232" s="331">
        <v>135</v>
      </c>
      <c r="U232" s="329">
        <v>2693</v>
      </c>
      <c r="V232" s="329">
        <v>981</v>
      </c>
      <c r="W232" s="329">
        <v>3674</v>
      </c>
    </row>
    <row r="233" spans="2:23" hidden="1" outlineLevel="1" x14ac:dyDescent="0.25">
      <c r="B233" s="328">
        <v>44409</v>
      </c>
      <c r="C233" s="331"/>
      <c r="D233" s="331"/>
      <c r="E233" s="331"/>
      <c r="F233" s="331"/>
      <c r="G233" s="331"/>
      <c r="H233" s="331"/>
      <c r="I233" s="331">
        <v>548</v>
      </c>
      <c r="J233" s="331">
        <v>77</v>
      </c>
      <c r="K233" s="331">
        <v>625</v>
      </c>
      <c r="L233" s="331">
        <v>803</v>
      </c>
      <c r="M233" s="331">
        <v>253</v>
      </c>
      <c r="N233" s="331">
        <v>1056</v>
      </c>
      <c r="O233" s="331">
        <v>1661</v>
      </c>
      <c r="P233" s="331">
        <v>769</v>
      </c>
      <c r="Q233" s="331">
        <v>2430</v>
      </c>
      <c r="R233" s="331">
        <v>80</v>
      </c>
      <c r="S233" s="331">
        <v>64</v>
      </c>
      <c r="T233" s="331">
        <v>144</v>
      </c>
      <c r="U233" s="329">
        <v>3092</v>
      </c>
      <c r="V233" s="329">
        <v>1163</v>
      </c>
      <c r="W233" s="329">
        <v>4255</v>
      </c>
    </row>
    <row r="234" spans="2:23" hidden="1" outlineLevel="1" x14ac:dyDescent="0.25">
      <c r="B234" s="328">
        <v>44440</v>
      </c>
      <c r="C234" s="331"/>
      <c r="D234" s="331"/>
      <c r="E234" s="331"/>
      <c r="F234" s="331"/>
      <c r="G234" s="331"/>
      <c r="H234" s="331"/>
      <c r="I234" s="331">
        <v>522</v>
      </c>
      <c r="J234" s="331">
        <v>76</v>
      </c>
      <c r="K234" s="331">
        <v>598</v>
      </c>
      <c r="L234" s="331">
        <v>756</v>
      </c>
      <c r="M234" s="331">
        <v>179</v>
      </c>
      <c r="N234" s="331">
        <v>935</v>
      </c>
      <c r="O234" s="331">
        <v>1640</v>
      </c>
      <c r="P234" s="331">
        <v>770</v>
      </c>
      <c r="Q234" s="331">
        <v>2410</v>
      </c>
      <c r="R234" s="331">
        <v>106</v>
      </c>
      <c r="S234" s="331">
        <v>72</v>
      </c>
      <c r="T234" s="331">
        <v>178</v>
      </c>
      <c r="U234" s="329">
        <v>3024</v>
      </c>
      <c r="V234" s="329">
        <v>1097</v>
      </c>
      <c r="W234" s="329">
        <v>4121</v>
      </c>
    </row>
    <row r="235" spans="2:23" hidden="1" outlineLevel="1" x14ac:dyDescent="0.25">
      <c r="B235" s="328">
        <v>44470</v>
      </c>
      <c r="C235" s="331"/>
      <c r="D235" s="331"/>
      <c r="E235" s="331"/>
      <c r="F235" s="331"/>
      <c r="G235" s="331"/>
      <c r="H235" s="331"/>
      <c r="I235" s="331">
        <v>481</v>
      </c>
      <c r="J235" s="331">
        <v>82</v>
      </c>
      <c r="K235" s="331">
        <v>563</v>
      </c>
      <c r="L235" s="331">
        <v>833</v>
      </c>
      <c r="M235" s="331">
        <v>219</v>
      </c>
      <c r="N235" s="331">
        <v>1052</v>
      </c>
      <c r="O235" s="331">
        <v>1462</v>
      </c>
      <c r="P235" s="331">
        <v>699</v>
      </c>
      <c r="Q235" s="331">
        <v>2161</v>
      </c>
      <c r="R235" s="331">
        <v>78</v>
      </c>
      <c r="S235" s="331">
        <v>48</v>
      </c>
      <c r="T235" s="331">
        <v>126</v>
      </c>
      <c r="U235" s="329">
        <v>2854</v>
      </c>
      <c r="V235" s="329">
        <v>1048</v>
      </c>
      <c r="W235" s="329">
        <v>3902</v>
      </c>
    </row>
    <row r="236" spans="2:23" hidden="1" outlineLevel="1" x14ac:dyDescent="0.25">
      <c r="B236" s="328">
        <v>44501</v>
      </c>
      <c r="C236" s="331"/>
      <c r="D236" s="331"/>
      <c r="E236" s="331"/>
      <c r="F236" s="331"/>
      <c r="G236" s="331"/>
      <c r="H236" s="331"/>
      <c r="I236" s="331">
        <v>443</v>
      </c>
      <c r="J236" s="331">
        <v>46</v>
      </c>
      <c r="K236" s="331">
        <v>489</v>
      </c>
      <c r="L236" s="331">
        <v>919</v>
      </c>
      <c r="M236" s="331">
        <v>199</v>
      </c>
      <c r="N236" s="331">
        <v>1118</v>
      </c>
      <c r="O236" s="331">
        <v>1827</v>
      </c>
      <c r="P236" s="331">
        <v>823</v>
      </c>
      <c r="Q236" s="331">
        <v>2650</v>
      </c>
      <c r="R236" s="331">
        <v>75</v>
      </c>
      <c r="S236" s="331">
        <v>66</v>
      </c>
      <c r="T236" s="331">
        <v>141</v>
      </c>
      <c r="U236" s="329">
        <v>3264</v>
      </c>
      <c r="V236" s="329">
        <v>1134</v>
      </c>
      <c r="W236" s="329">
        <v>4398</v>
      </c>
    </row>
    <row r="237" spans="2:23" hidden="1" outlineLevel="1" x14ac:dyDescent="0.25">
      <c r="B237" s="328">
        <v>44531</v>
      </c>
      <c r="C237" s="331"/>
      <c r="D237" s="331"/>
      <c r="E237" s="331"/>
      <c r="F237" s="331"/>
      <c r="G237" s="331"/>
      <c r="H237" s="331"/>
      <c r="I237" s="331">
        <v>521</v>
      </c>
      <c r="J237" s="331">
        <v>73</v>
      </c>
      <c r="K237" s="331">
        <v>594</v>
      </c>
      <c r="L237" s="331">
        <v>892</v>
      </c>
      <c r="M237" s="331">
        <v>237</v>
      </c>
      <c r="N237" s="331">
        <v>1129</v>
      </c>
      <c r="O237" s="331">
        <v>1747</v>
      </c>
      <c r="P237" s="331">
        <v>888</v>
      </c>
      <c r="Q237" s="331">
        <v>2635</v>
      </c>
      <c r="R237" s="331">
        <v>68</v>
      </c>
      <c r="S237" s="331">
        <v>54</v>
      </c>
      <c r="T237" s="331">
        <v>122</v>
      </c>
      <c r="U237" s="329">
        <v>3228</v>
      </c>
      <c r="V237" s="329">
        <v>1252</v>
      </c>
      <c r="W237" s="329">
        <v>4480</v>
      </c>
    </row>
    <row r="238" spans="2:23" collapsed="1" x14ac:dyDescent="0.25">
      <c r="B238" s="330" t="s">
        <v>703</v>
      </c>
      <c r="C238" s="329" t="s">
        <v>781</v>
      </c>
      <c r="D238" s="329" t="s">
        <v>781</v>
      </c>
      <c r="E238" s="329" t="s">
        <v>781</v>
      </c>
      <c r="F238" s="329" t="s">
        <v>781</v>
      </c>
      <c r="G238" s="329" t="s">
        <v>781</v>
      </c>
      <c r="H238" s="329" t="s">
        <v>781</v>
      </c>
      <c r="I238" s="329">
        <v>433</v>
      </c>
      <c r="J238" s="329">
        <v>61</v>
      </c>
      <c r="K238" s="329">
        <v>494</v>
      </c>
      <c r="L238" s="329">
        <v>707</v>
      </c>
      <c r="M238" s="329">
        <v>182</v>
      </c>
      <c r="N238" s="329">
        <v>889</v>
      </c>
      <c r="O238" s="329">
        <v>1374</v>
      </c>
      <c r="P238" s="329">
        <v>663</v>
      </c>
      <c r="Q238" s="329">
        <v>2037</v>
      </c>
      <c r="R238" s="329">
        <v>67</v>
      </c>
      <c r="S238" s="329">
        <v>52</v>
      </c>
      <c r="T238" s="329">
        <v>118</v>
      </c>
      <c r="U238" s="329">
        <v>2582</v>
      </c>
      <c r="V238" s="329">
        <v>957</v>
      </c>
      <c r="W238" s="329">
        <v>3539</v>
      </c>
    </row>
    <row r="239" spans="2:23" hidden="1" outlineLevel="1" x14ac:dyDescent="0.25">
      <c r="B239" s="328">
        <v>44562</v>
      </c>
      <c r="C239" s="331"/>
      <c r="D239" s="331"/>
      <c r="E239" s="331"/>
      <c r="F239" s="331"/>
      <c r="G239" s="331"/>
      <c r="H239" s="331"/>
      <c r="I239" s="331">
        <v>235</v>
      </c>
      <c r="J239" s="331">
        <v>64</v>
      </c>
      <c r="K239" s="331">
        <v>299</v>
      </c>
      <c r="L239" s="331">
        <v>1179</v>
      </c>
      <c r="M239" s="331">
        <v>276</v>
      </c>
      <c r="N239" s="331">
        <v>1455</v>
      </c>
      <c r="O239" s="331">
        <v>789</v>
      </c>
      <c r="P239" s="331">
        <v>522</v>
      </c>
      <c r="Q239" s="331">
        <v>1311</v>
      </c>
      <c r="R239" s="331">
        <v>102</v>
      </c>
      <c r="S239" s="331">
        <v>74</v>
      </c>
      <c r="T239" s="331">
        <v>176</v>
      </c>
      <c r="U239" s="329">
        <v>2305</v>
      </c>
      <c r="V239" s="329">
        <v>936</v>
      </c>
      <c r="W239" s="329">
        <v>3241</v>
      </c>
    </row>
    <row r="240" spans="2:23" hidden="1" outlineLevel="1" x14ac:dyDescent="0.25">
      <c r="B240" s="328">
        <v>44593</v>
      </c>
      <c r="C240" s="331">
        <v>1563</v>
      </c>
      <c r="D240" s="331">
        <v>767</v>
      </c>
      <c r="E240" s="331">
        <v>2330</v>
      </c>
      <c r="F240" s="331">
        <v>9501</v>
      </c>
      <c r="G240" s="331">
        <v>10019</v>
      </c>
      <c r="H240" s="331">
        <v>19520</v>
      </c>
      <c r="I240" s="331"/>
      <c r="J240" s="331"/>
      <c r="K240" s="331"/>
      <c r="L240" s="331">
        <v>939</v>
      </c>
      <c r="M240" s="331">
        <v>254</v>
      </c>
      <c r="N240" s="331">
        <v>1193</v>
      </c>
      <c r="O240" s="331"/>
      <c r="P240" s="331"/>
      <c r="Q240" s="331"/>
      <c r="R240" s="331">
        <v>295</v>
      </c>
      <c r="S240" s="331">
        <v>419</v>
      </c>
      <c r="T240" s="331">
        <v>714</v>
      </c>
      <c r="U240" s="329">
        <v>12298</v>
      </c>
      <c r="V240" s="329">
        <v>11459</v>
      </c>
      <c r="W240" s="329">
        <v>23757</v>
      </c>
    </row>
    <row r="241" spans="2:23" hidden="1" outlineLevel="1" x14ac:dyDescent="0.25">
      <c r="B241" s="328">
        <v>44621</v>
      </c>
      <c r="C241" s="331">
        <v>244</v>
      </c>
      <c r="D241" s="331">
        <v>83</v>
      </c>
      <c r="E241" s="331">
        <v>327</v>
      </c>
      <c r="F241" s="331">
        <v>2791</v>
      </c>
      <c r="G241" s="331">
        <v>3360</v>
      </c>
      <c r="H241" s="331">
        <v>6151</v>
      </c>
      <c r="I241" s="331"/>
      <c r="J241" s="331"/>
      <c r="K241" s="331"/>
      <c r="L241" s="331">
        <v>1187</v>
      </c>
      <c r="M241" s="331">
        <v>309</v>
      </c>
      <c r="N241" s="331">
        <v>1496</v>
      </c>
      <c r="O241" s="331"/>
      <c r="P241" s="331"/>
      <c r="Q241" s="331"/>
      <c r="R241" s="331">
        <v>129</v>
      </c>
      <c r="S241" s="331">
        <v>119</v>
      </c>
      <c r="T241" s="331">
        <v>248</v>
      </c>
      <c r="U241" s="329">
        <v>4351</v>
      </c>
      <c r="V241" s="329">
        <v>3871</v>
      </c>
      <c r="W241" s="329">
        <v>8222</v>
      </c>
    </row>
    <row r="242" spans="2:23" hidden="1" outlineLevel="1" x14ac:dyDescent="0.25">
      <c r="B242" s="328">
        <v>44652</v>
      </c>
      <c r="C242" s="331">
        <v>186</v>
      </c>
      <c r="D242" s="331">
        <v>81</v>
      </c>
      <c r="E242" s="331">
        <v>267</v>
      </c>
      <c r="F242" s="331">
        <v>1679</v>
      </c>
      <c r="G242" s="331">
        <v>2079</v>
      </c>
      <c r="H242" s="331">
        <v>3758</v>
      </c>
      <c r="I242" s="331"/>
      <c r="J242" s="331"/>
      <c r="K242" s="331"/>
      <c r="L242" s="331">
        <v>1102</v>
      </c>
      <c r="M242" s="331">
        <v>276</v>
      </c>
      <c r="N242" s="331">
        <v>1378</v>
      </c>
      <c r="O242" s="331"/>
      <c r="P242" s="331"/>
      <c r="Q242" s="331"/>
      <c r="R242" s="331">
        <v>110</v>
      </c>
      <c r="S242" s="331">
        <v>78</v>
      </c>
      <c r="T242" s="331">
        <v>188</v>
      </c>
      <c r="U242" s="329">
        <v>3077</v>
      </c>
      <c r="V242" s="329">
        <v>2514</v>
      </c>
      <c r="W242" s="329">
        <v>5591</v>
      </c>
    </row>
    <row r="243" spans="2:23" hidden="1" outlineLevel="1" x14ac:dyDescent="0.25">
      <c r="B243" s="328">
        <v>44682</v>
      </c>
      <c r="C243" s="331">
        <v>236</v>
      </c>
      <c r="D243" s="331">
        <v>147</v>
      </c>
      <c r="E243" s="331">
        <v>383</v>
      </c>
      <c r="F243" s="331">
        <v>1483</v>
      </c>
      <c r="G243" s="331">
        <v>2013</v>
      </c>
      <c r="H243" s="331">
        <v>3496</v>
      </c>
      <c r="I243" s="331"/>
      <c r="J243" s="331"/>
      <c r="K243" s="331"/>
      <c r="L243" s="331">
        <v>1074</v>
      </c>
      <c r="M243" s="331">
        <v>255</v>
      </c>
      <c r="N243" s="331">
        <v>1329</v>
      </c>
      <c r="O243" s="331"/>
      <c r="P243" s="331"/>
      <c r="Q243" s="331"/>
      <c r="R243" s="331">
        <v>128</v>
      </c>
      <c r="S243" s="331">
        <v>132</v>
      </c>
      <c r="T243" s="331">
        <v>260</v>
      </c>
      <c r="U243" s="329">
        <v>2921</v>
      </c>
      <c r="V243" s="329">
        <v>2547</v>
      </c>
      <c r="W243" s="329">
        <v>5468</v>
      </c>
    </row>
    <row r="244" spans="2:23" hidden="1" outlineLevel="1" x14ac:dyDescent="0.25">
      <c r="B244" s="328">
        <v>44713</v>
      </c>
      <c r="C244" s="331">
        <v>210</v>
      </c>
      <c r="D244" s="331">
        <v>165</v>
      </c>
      <c r="E244" s="331">
        <v>375</v>
      </c>
      <c r="F244" s="331">
        <v>1586</v>
      </c>
      <c r="G244" s="331">
        <v>2450</v>
      </c>
      <c r="H244" s="331">
        <v>4036</v>
      </c>
      <c r="I244" s="331"/>
      <c r="J244" s="331"/>
      <c r="K244" s="331"/>
      <c r="L244" s="331">
        <v>955</v>
      </c>
      <c r="M244" s="331">
        <v>249</v>
      </c>
      <c r="N244" s="331">
        <v>1204</v>
      </c>
      <c r="O244" s="331"/>
      <c r="P244" s="331"/>
      <c r="Q244" s="331"/>
      <c r="R244" s="331">
        <v>112</v>
      </c>
      <c r="S244" s="331">
        <v>105</v>
      </c>
      <c r="T244" s="331">
        <v>217</v>
      </c>
      <c r="U244" s="329">
        <v>2863</v>
      </c>
      <c r="V244" s="329">
        <v>2969</v>
      </c>
      <c r="W244" s="329">
        <v>5832</v>
      </c>
    </row>
    <row r="245" spans="2:23" hidden="1" outlineLevel="1" x14ac:dyDescent="0.25">
      <c r="B245" s="328">
        <v>44743</v>
      </c>
      <c r="C245" s="331">
        <v>310</v>
      </c>
      <c r="D245" s="331">
        <v>236</v>
      </c>
      <c r="E245" s="331">
        <v>546</v>
      </c>
      <c r="F245" s="331">
        <v>2042</v>
      </c>
      <c r="G245" s="331">
        <v>3494</v>
      </c>
      <c r="H245" s="331">
        <v>5536</v>
      </c>
      <c r="I245" s="331"/>
      <c r="J245" s="331"/>
      <c r="K245" s="331"/>
      <c r="L245" s="331">
        <v>1051</v>
      </c>
      <c r="M245" s="331">
        <v>267</v>
      </c>
      <c r="N245" s="331">
        <v>1318</v>
      </c>
      <c r="O245" s="331"/>
      <c r="P245" s="331"/>
      <c r="Q245" s="331"/>
      <c r="R245" s="331">
        <v>131</v>
      </c>
      <c r="S245" s="331">
        <v>108</v>
      </c>
      <c r="T245" s="331">
        <v>239</v>
      </c>
      <c r="U245" s="329">
        <v>3534</v>
      </c>
      <c r="V245" s="329">
        <v>4105</v>
      </c>
      <c r="W245" s="329">
        <v>7639</v>
      </c>
    </row>
    <row r="246" spans="2:23" hidden="1" outlineLevel="1" x14ac:dyDescent="0.25">
      <c r="B246" s="328">
        <v>44774</v>
      </c>
      <c r="C246" s="331">
        <v>476</v>
      </c>
      <c r="D246" s="331">
        <v>298</v>
      </c>
      <c r="E246" s="331">
        <v>774</v>
      </c>
      <c r="F246" s="331">
        <v>4237</v>
      </c>
      <c r="G246" s="331">
        <v>5860</v>
      </c>
      <c r="H246" s="331">
        <v>10097</v>
      </c>
      <c r="I246" s="331"/>
      <c r="J246" s="331"/>
      <c r="K246" s="331"/>
      <c r="L246" s="331">
        <v>1380</v>
      </c>
      <c r="M246" s="331">
        <v>285</v>
      </c>
      <c r="N246" s="331">
        <v>1665</v>
      </c>
      <c r="O246" s="331"/>
      <c r="P246" s="331"/>
      <c r="Q246" s="331"/>
      <c r="R246" s="331">
        <v>133</v>
      </c>
      <c r="S246" s="331">
        <v>159</v>
      </c>
      <c r="T246" s="331">
        <v>292</v>
      </c>
      <c r="U246" s="329">
        <v>6226</v>
      </c>
      <c r="V246" s="329">
        <v>6602</v>
      </c>
      <c r="W246" s="329">
        <v>12828</v>
      </c>
    </row>
    <row r="247" spans="2:23" hidden="1" outlineLevel="1" x14ac:dyDescent="0.25">
      <c r="B247" s="328">
        <v>44805</v>
      </c>
      <c r="C247" s="331">
        <v>360</v>
      </c>
      <c r="D247" s="331">
        <v>487</v>
      </c>
      <c r="E247" s="331">
        <v>847</v>
      </c>
      <c r="F247" s="331">
        <v>2276</v>
      </c>
      <c r="G247" s="331">
        <v>2663</v>
      </c>
      <c r="H247" s="331">
        <v>4939</v>
      </c>
      <c r="I247" s="331"/>
      <c r="J247" s="331"/>
      <c r="K247" s="331"/>
      <c r="L247" s="331">
        <v>898</v>
      </c>
      <c r="M247" s="331">
        <v>209</v>
      </c>
      <c r="N247" s="331">
        <v>1107</v>
      </c>
      <c r="O247" s="331"/>
      <c r="P247" s="331"/>
      <c r="Q247" s="331"/>
      <c r="R247" s="331">
        <v>108</v>
      </c>
      <c r="S247" s="331">
        <v>101</v>
      </c>
      <c r="T247" s="331">
        <v>209</v>
      </c>
      <c r="U247" s="329">
        <v>3642</v>
      </c>
      <c r="V247" s="329">
        <v>3460</v>
      </c>
      <c r="W247" s="329">
        <v>7102</v>
      </c>
    </row>
    <row r="248" spans="2:23" hidden="1" outlineLevel="1" x14ac:dyDescent="0.25">
      <c r="B248" s="328">
        <v>44835</v>
      </c>
      <c r="C248" s="331">
        <v>599</v>
      </c>
      <c r="D248" s="331">
        <v>687</v>
      </c>
      <c r="E248" s="331">
        <v>1286</v>
      </c>
      <c r="F248" s="331">
        <v>3084</v>
      </c>
      <c r="G248" s="331">
        <v>3064</v>
      </c>
      <c r="H248" s="331">
        <v>6148</v>
      </c>
      <c r="I248" s="331"/>
      <c r="J248" s="331"/>
      <c r="K248" s="331"/>
      <c r="L248" s="331">
        <v>949</v>
      </c>
      <c r="M248" s="331">
        <v>194</v>
      </c>
      <c r="N248" s="331">
        <v>1143</v>
      </c>
      <c r="O248" s="331"/>
      <c r="P248" s="331"/>
      <c r="Q248" s="331"/>
      <c r="R248" s="331">
        <v>97</v>
      </c>
      <c r="S248" s="331">
        <v>117</v>
      </c>
      <c r="T248" s="331">
        <v>214</v>
      </c>
      <c r="U248" s="329">
        <v>4729</v>
      </c>
      <c r="V248" s="329">
        <v>4062</v>
      </c>
      <c r="W248" s="329">
        <v>8791</v>
      </c>
    </row>
    <row r="249" spans="2:23" hidden="1" outlineLevel="1" x14ac:dyDescent="0.25">
      <c r="B249" s="328">
        <v>44866</v>
      </c>
      <c r="C249" s="331">
        <v>452</v>
      </c>
      <c r="D249" s="331">
        <v>534</v>
      </c>
      <c r="E249" s="331">
        <v>986</v>
      </c>
      <c r="F249" s="331">
        <v>2303</v>
      </c>
      <c r="G249" s="331">
        <v>2633</v>
      </c>
      <c r="H249" s="331">
        <v>4936</v>
      </c>
      <c r="I249" s="331"/>
      <c r="J249" s="331"/>
      <c r="K249" s="331"/>
      <c r="L249" s="331">
        <v>986</v>
      </c>
      <c r="M249" s="331">
        <v>229</v>
      </c>
      <c r="N249" s="331">
        <v>1215</v>
      </c>
      <c r="O249" s="331"/>
      <c r="P249" s="331"/>
      <c r="Q249" s="331"/>
      <c r="R249" s="331">
        <v>101</v>
      </c>
      <c r="S249" s="331">
        <v>117</v>
      </c>
      <c r="T249" s="331">
        <v>218</v>
      </c>
      <c r="U249" s="329">
        <v>3842</v>
      </c>
      <c r="V249" s="329">
        <v>3513</v>
      </c>
      <c r="W249" s="329">
        <v>7355</v>
      </c>
    </row>
    <row r="250" spans="2:23" hidden="1" outlineLevel="1" x14ac:dyDescent="0.25">
      <c r="B250" s="328">
        <v>44896</v>
      </c>
      <c r="C250" s="331">
        <v>199</v>
      </c>
      <c r="D250" s="331">
        <v>205</v>
      </c>
      <c r="E250" s="331">
        <v>404</v>
      </c>
      <c r="F250" s="331">
        <v>1084</v>
      </c>
      <c r="G250" s="331">
        <v>1535</v>
      </c>
      <c r="H250" s="331">
        <v>2619</v>
      </c>
      <c r="I250" s="331"/>
      <c r="J250" s="331"/>
      <c r="K250" s="331"/>
      <c r="L250" s="331">
        <v>722</v>
      </c>
      <c r="M250" s="331">
        <v>212</v>
      </c>
      <c r="N250" s="331">
        <v>934</v>
      </c>
      <c r="O250" s="331"/>
      <c r="P250" s="331"/>
      <c r="Q250" s="331"/>
      <c r="R250" s="331">
        <v>85</v>
      </c>
      <c r="S250" s="331">
        <v>102</v>
      </c>
      <c r="T250" s="331">
        <v>187</v>
      </c>
      <c r="U250" s="329">
        <v>2090</v>
      </c>
      <c r="V250" s="329">
        <v>2054</v>
      </c>
      <c r="W250" s="329">
        <v>4144</v>
      </c>
    </row>
    <row r="251" spans="2:23" collapsed="1" x14ac:dyDescent="0.25">
      <c r="B251" s="330" t="s">
        <v>704</v>
      </c>
      <c r="C251" s="329">
        <v>440</v>
      </c>
      <c r="D251" s="329">
        <v>335</v>
      </c>
      <c r="E251" s="329">
        <v>775</v>
      </c>
      <c r="F251" s="329">
        <v>2915</v>
      </c>
      <c r="G251" s="329">
        <v>3561</v>
      </c>
      <c r="H251" s="329">
        <v>6476</v>
      </c>
      <c r="I251" s="329">
        <v>235</v>
      </c>
      <c r="J251" s="329">
        <v>64</v>
      </c>
      <c r="K251" s="329">
        <v>299</v>
      </c>
      <c r="L251" s="329">
        <v>1035</v>
      </c>
      <c r="M251" s="329">
        <v>251</v>
      </c>
      <c r="N251" s="329">
        <v>1286</v>
      </c>
      <c r="O251" s="329">
        <v>789</v>
      </c>
      <c r="P251" s="329">
        <v>522</v>
      </c>
      <c r="Q251" s="329">
        <v>1311</v>
      </c>
      <c r="R251" s="329">
        <v>128</v>
      </c>
      <c r="S251" s="329">
        <v>136</v>
      </c>
      <c r="T251" s="329">
        <v>264</v>
      </c>
      <c r="U251" s="329">
        <v>4323</v>
      </c>
      <c r="V251" s="329">
        <v>4008</v>
      </c>
      <c r="W251" s="329">
        <v>8331</v>
      </c>
    </row>
    <row r="252" spans="2:23" outlineLevel="1" x14ac:dyDescent="0.25">
      <c r="B252" s="328">
        <v>44927</v>
      </c>
      <c r="C252" s="331">
        <v>193</v>
      </c>
      <c r="D252" s="331">
        <v>200</v>
      </c>
      <c r="E252" s="331">
        <v>393</v>
      </c>
      <c r="F252" s="331">
        <v>1777</v>
      </c>
      <c r="G252" s="331">
        <v>2056</v>
      </c>
      <c r="H252" s="331">
        <v>3833</v>
      </c>
      <c r="I252" s="331"/>
      <c r="J252" s="331"/>
      <c r="K252" s="331"/>
      <c r="L252" s="331">
        <v>824</v>
      </c>
      <c r="M252" s="331">
        <v>195</v>
      </c>
      <c r="N252" s="331">
        <v>1019</v>
      </c>
      <c r="O252" s="331"/>
      <c r="P252" s="331"/>
      <c r="Q252" s="331"/>
      <c r="R252" s="331">
        <v>115</v>
      </c>
      <c r="S252" s="331">
        <v>119</v>
      </c>
      <c r="T252" s="331">
        <v>234</v>
      </c>
      <c r="U252" s="329">
        <v>2909</v>
      </c>
      <c r="V252" s="329">
        <v>2570</v>
      </c>
      <c r="W252" s="329">
        <v>5479</v>
      </c>
    </row>
    <row r="253" spans="2:23" outlineLevel="1" x14ac:dyDescent="0.25">
      <c r="B253" s="328">
        <v>44958</v>
      </c>
      <c r="C253" s="331">
        <v>221</v>
      </c>
      <c r="D253" s="331">
        <v>184</v>
      </c>
      <c r="E253" s="331">
        <v>405</v>
      </c>
      <c r="F253" s="331">
        <v>1425</v>
      </c>
      <c r="G253" s="331">
        <v>1627</v>
      </c>
      <c r="H253" s="331">
        <v>3052</v>
      </c>
      <c r="I253" s="331"/>
      <c r="J253" s="331"/>
      <c r="K253" s="331"/>
      <c r="L253" s="331">
        <v>631</v>
      </c>
      <c r="M253" s="331">
        <v>149</v>
      </c>
      <c r="N253" s="331">
        <v>780</v>
      </c>
      <c r="O253" s="331"/>
      <c r="P253" s="331"/>
      <c r="Q253" s="331"/>
      <c r="R253" s="331">
        <v>107</v>
      </c>
      <c r="S253" s="331">
        <v>101</v>
      </c>
      <c r="T253" s="331">
        <v>208</v>
      </c>
      <c r="U253" s="329">
        <v>2384</v>
      </c>
      <c r="V253" s="329">
        <v>2061</v>
      </c>
      <c r="W253" s="329">
        <v>4445</v>
      </c>
    </row>
    <row r="254" spans="2:23" outlineLevel="1" x14ac:dyDescent="0.25">
      <c r="B254" s="328">
        <v>44986</v>
      </c>
      <c r="C254" s="331">
        <v>183</v>
      </c>
      <c r="D254" s="331">
        <v>163</v>
      </c>
      <c r="E254" s="331">
        <v>346</v>
      </c>
      <c r="F254" s="331">
        <v>1172</v>
      </c>
      <c r="G254" s="331">
        <v>1408</v>
      </c>
      <c r="H254" s="331">
        <v>2580</v>
      </c>
      <c r="I254" s="331"/>
      <c r="J254" s="331"/>
      <c r="K254" s="331"/>
      <c r="L254" s="331">
        <v>842</v>
      </c>
      <c r="M254" s="331">
        <v>187</v>
      </c>
      <c r="N254" s="331">
        <v>1029</v>
      </c>
      <c r="O254" s="331"/>
      <c r="P254" s="331"/>
      <c r="Q254" s="331"/>
      <c r="R254" s="331">
        <v>113</v>
      </c>
      <c r="S254" s="331">
        <v>78</v>
      </c>
      <c r="T254" s="331">
        <v>191</v>
      </c>
      <c r="U254" s="329">
        <v>2310</v>
      </c>
      <c r="V254" s="329">
        <v>1836</v>
      </c>
      <c r="W254" s="329">
        <v>4146</v>
      </c>
    </row>
    <row r="255" spans="2:23" outlineLevel="1" x14ac:dyDescent="0.25">
      <c r="B255" s="328">
        <v>45017</v>
      </c>
      <c r="C255" s="331">
        <v>170</v>
      </c>
      <c r="D255" s="331">
        <v>159</v>
      </c>
      <c r="E255" s="331">
        <v>329</v>
      </c>
      <c r="F255" s="331">
        <v>1786</v>
      </c>
      <c r="G255" s="331">
        <v>2164</v>
      </c>
      <c r="H255" s="331">
        <v>3950</v>
      </c>
      <c r="I255" s="331"/>
      <c r="J255" s="331"/>
      <c r="K255" s="331"/>
      <c r="L255" s="331">
        <v>626</v>
      </c>
      <c r="M255" s="331">
        <v>145</v>
      </c>
      <c r="N255" s="331">
        <v>771</v>
      </c>
      <c r="O255" s="331"/>
      <c r="P255" s="331"/>
      <c r="Q255" s="331"/>
      <c r="R255" s="331">
        <v>101</v>
      </c>
      <c r="S255" s="331">
        <v>82</v>
      </c>
      <c r="T255" s="331">
        <v>183</v>
      </c>
      <c r="U255" s="329">
        <v>2683</v>
      </c>
      <c r="V255" s="329">
        <v>2550</v>
      </c>
      <c r="W255" s="329">
        <v>5233</v>
      </c>
    </row>
    <row r="256" spans="2:23" outlineLevel="1" x14ac:dyDescent="0.25">
      <c r="B256" s="328">
        <v>45047</v>
      </c>
      <c r="C256" s="331">
        <v>174</v>
      </c>
      <c r="D256" s="331">
        <v>168</v>
      </c>
      <c r="E256" s="331">
        <v>342</v>
      </c>
      <c r="F256" s="331">
        <v>1391</v>
      </c>
      <c r="G256" s="331">
        <v>1743</v>
      </c>
      <c r="H256" s="331">
        <v>3134</v>
      </c>
      <c r="I256" s="331"/>
      <c r="J256" s="331"/>
      <c r="K256" s="331"/>
      <c r="L256" s="331">
        <v>591</v>
      </c>
      <c r="M256" s="331">
        <v>171</v>
      </c>
      <c r="N256" s="331">
        <v>762</v>
      </c>
      <c r="O256" s="331"/>
      <c r="P256" s="331"/>
      <c r="Q256" s="331"/>
      <c r="R256" s="331">
        <v>91</v>
      </c>
      <c r="S256" s="331">
        <v>90</v>
      </c>
      <c r="T256" s="331">
        <v>181</v>
      </c>
      <c r="U256" s="329">
        <v>2247</v>
      </c>
      <c r="V256" s="329">
        <v>2172</v>
      </c>
      <c r="W256" s="329">
        <v>4419</v>
      </c>
    </row>
    <row r="257" spans="2:23" outlineLevel="1" x14ac:dyDescent="0.25">
      <c r="B257" s="328">
        <v>45078</v>
      </c>
      <c r="C257" s="331">
        <v>171</v>
      </c>
      <c r="D257" s="331">
        <v>155</v>
      </c>
      <c r="E257" s="331">
        <v>326</v>
      </c>
      <c r="F257" s="331">
        <v>944</v>
      </c>
      <c r="G257" s="331">
        <v>1272</v>
      </c>
      <c r="H257" s="331">
        <v>2216</v>
      </c>
      <c r="I257" s="331"/>
      <c r="J257" s="331"/>
      <c r="K257" s="331"/>
      <c r="L257" s="331">
        <v>435</v>
      </c>
      <c r="M257" s="331">
        <v>108</v>
      </c>
      <c r="N257" s="331">
        <v>543</v>
      </c>
      <c r="O257" s="331"/>
      <c r="P257" s="331"/>
      <c r="Q257" s="331"/>
      <c r="R257" s="331">
        <v>83</v>
      </c>
      <c r="S257" s="331">
        <v>59</v>
      </c>
      <c r="T257" s="331">
        <v>142</v>
      </c>
      <c r="U257" s="329">
        <v>1633</v>
      </c>
      <c r="V257" s="329">
        <v>1594</v>
      </c>
      <c r="W257" s="329">
        <v>3227</v>
      </c>
    </row>
    <row r="258" spans="2:23" outlineLevel="1" x14ac:dyDescent="0.25">
      <c r="B258" s="328">
        <v>45108</v>
      </c>
      <c r="C258" s="331">
        <v>155</v>
      </c>
      <c r="D258" s="331">
        <v>148</v>
      </c>
      <c r="E258" s="331">
        <v>303</v>
      </c>
      <c r="F258" s="331">
        <v>1037</v>
      </c>
      <c r="G258" s="331">
        <v>1327</v>
      </c>
      <c r="H258" s="331">
        <v>2364</v>
      </c>
      <c r="I258" s="331"/>
      <c r="J258" s="331"/>
      <c r="K258" s="331"/>
      <c r="L258" s="331">
        <v>312</v>
      </c>
      <c r="M258" s="331">
        <v>89</v>
      </c>
      <c r="N258" s="331">
        <v>401</v>
      </c>
      <c r="O258" s="331"/>
      <c r="P258" s="331"/>
      <c r="Q258" s="331"/>
      <c r="R258" s="331">
        <v>53</v>
      </c>
      <c r="S258" s="331">
        <v>66</v>
      </c>
      <c r="T258" s="331">
        <v>119</v>
      </c>
      <c r="U258" s="329">
        <v>1557</v>
      </c>
      <c r="V258" s="329">
        <v>1630</v>
      </c>
      <c r="W258" s="329">
        <v>3187</v>
      </c>
    </row>
    <row r="259" spans="2:23" outlineLevel="1" x14ac:dyDescent="0.25">
      <c r="B259" s="328">
        <v>45139</v>
      </c>
      <c r="C259" s="331">
        <v>157</v>
      </c>
      <c r="D259" s="331">
        <v>114</v>
      </c>
      <c r="E259" s="331">
        <v>271</v>
      </c>
      <c r="F259" s="331">
        <v>1001</v>
      </c>
      <c r="G259" s="331">
        <v>1388</v>
      </c>
      <c r="H259" s="331">
        <v>2389</v>
      </c>
      <c r="I259" s="331"/>
      <c r="J259" s="331"/>
      <c r="K259" s="331"/>
      <c r="L259" s="331">
        <v>160</v>
      </c>
      <c r="M259" s="331">
        <v>56</v>
      </c>
      <c r="N259" s="331">
        <v>216</v>
      </c>
      <c r="O259" s="331"/>
      <c r="P259" s="331"/>
      <c r="Q259" s="331"/>
      <c r="R259" s="331">
        <v>32</v>
      </c>
      <c r="S259" s="331">
        <v>76</v>
      </c>
      <c r="T259" s="331">
        <v>108</v>
      </c>
      <c r="U259" s="329">
        <v>1350</v>
      </c>
      <c r="V259" s="329">
        <v>1634</v>
      </c>
      <c r="W259" s="329">
        <v>2984</v>
      </c>
    </row>
    <row r="260" spans="2:23" outlineLevel="1" x14ac:dyDescent="0.25">
      <c r="B260" s="328">
        <v>45170</v>
      </c>
      <c r="C260" s="331">
        <v>385</v>
      </c>
      <c r="D260" s="331">
        <v>203</v>
      </c>
      <c r="E260" s="331">
        <v>588</v>
      </c>
      <c r="F260" s="331">
        <v>701</v>
      </c>
      <c r="G260" s="331">
        <v>947</v>
      </c>
      <c r="H260" s="331">
        <v>1648</v>
      </c>
      <c r="I260" s="331"/>
      <c r="J260" s="331"/>
      <c r="K260" s="331"/>
      <c r="L260" s="331">
        <v>54</v>
      </c>
      <c r="M260" s="331">
        <v>20</v>
      </c>
      <c r="N260" s="331">
        <v>74</v>
      </c>
      <c r="O260" s="331"/>
      <c r="P260" s="331"/>
      <c r="Q260" s="331"/>
      <c r="R260" s="331">
        <v>27</v>
      </c>
      <c r="S260" s="331">
        <v>51</v>
      </c>
      <c r="T260" s="331">
        <v>78</v>
      </c>
      <c r="U260" s="329">
        <v>1167</v>
      </c>
      <c r="V260" s="329">
        <v>1221</v>
      </c>
      <c r="W260" s="329">
        <v>2388</v>
      </c>
    </row>
    <row r="261" spans="2:23" outlineLevel="1" x14ac:dyDescent="0.25">
      <c r="B261" s="328">
        <v>45200</v>
      </c>
      <c r="C261" s="331">
        <v>379</v>
      </c>
      <c r="D261" s="331">
        <v>179</v>
      </c>
      <c r="E261" s="331">
        <v>558</v>
      </c>
      <c r="F261" s="331">
        <v>679</v>
      </c>
      <c r="G261" s="331">
        <v>998</v>
      </c>
      <c r="H261" s="331">
        <v>1677</v>
      </c>
      <c r="I261" s="331"/>
      <c r="J261" s="331"/>
      <c r="K261" s="331"/>
      <c r="L261" s="331">
        <v>29</v>
      </c>
      <c r="M261" s="331">
        <v>11</v>
      </c>
      <c r="N261" s="331">
        <v>40</v>
      </c>
      <c r="O261" s="331"/>
      <c r="P261" s="331"/>
      <c r="Q261" s="331"/>
      <c r="R261" s="331">
        <v>28</v>
      </c>
      <c r="S261" s="331">
        <v>40</v>
      </c>
      <c r="T261" s="331">
        <v>68</v>
      </c>
      <c r="U261" s="329">
        <v>1115</v>
      </c>
      <c r="V261" s="329">
        <v>1228</v>
      </c>
      <c r="W261" s="329">
        <v>2343</v>
      </c>
    </row>
    <row r="262" spans="2:23" outlineLevel="1" x14ac:dyDescent="0.25">
      <c r="B262" s="328">
        <v>45231</v>
      </c>
      <c r="C262" s="331">
        <v>105</v>
      </c>
      <c r="D262" s="331">
        <v>49</v>
      </c>
      <c r="E262" s="331">
        <v>154</v>
      </c>
      <c r="F262" s="331">
        <v>685</v>
      </c>
      <c r="G262" s="331">
        <v>1126</v>
      </c>
      <c r="H262" s="331">
        <v>1811</v>
      </c>
      <c r="I262" s="331"/>
      <c r="J262" s="331"/>
      <c r="K262" s="331"/>
      <c r="L262" s="331">
        <v>11</v>
      </c>
      <c r="M262" s="331">
        <v>4</v>
      </c>
      <c r="N262" s="331">
        <v>15</v>
      </c>
      <c r="O262" s="331"/>
      <c r="P262" s="331"/>
      <c r="Q262" s="331"/>
      <c r="R262" s="331">
        <v>14</v>
      </c>
      <c r="S262" s="331">
        <v>37</v>
      </c>
      <c r="T262" s="331">
        <v>51</v>
      </c>
      <c r="U262" s="329">
        <v>815</v>
      </c>
      <c r="V262" s="329">
        <v>1216</v>
      </c>
      <c r="W262" s="329">
        <v>2031</v>
      </c>
    </row>
    <row r="263" spans="2:23" outlineLevel="1" x14ac:dyDescent="0.25">
      <c r="B263" s="328">
        <v>45261</v>
      </c>
      <c r="C263" s="331">
        <v>2</v>
      </c>
      <c r="D263" s="331">
        <v>3</v>
      </c>
      <c r="E263" s="331">
        <v>5</v>
      </c>
      <c r="F263" s="331"/>
      <c r="G263" s="331">
        <v>5</v>
      </c>
      <c r="H263" s="331">
        <v>5</v>
      </c>
      <c r="I263" s="331"/>
      <c r="J263" s="331"/>
      <c r="K263" s="331"/>
      <c r="L263" s="331"/>
      <c r="M263" s="331"/>
      <c r="N263" s="331"/>
      <c r="O263" s="331"/>
      <c r="P263" s="331"/>
      <c r="Q263" s="331"/>
      <c r="R263" s="331">
        <v>4</v>
      </c>
      <c r="S263" s="331">
        <v>1</v>
      </c>
      <c r="T263" s="331">
        <v>5</v>
      </c>
      <c r="U263" s="329">
        <v>6</v>
      </c>
      <c r="V263" s="329">
        <v>9</v>
      </c>
      <c r="W263" s="329">
        <v>15</v>
      </c>
    </row>
    <row r="264" spans="2:23" x14ac:dyDescent="0.25">
      <c r="B264" s="330" t="s">
        <v>869</v>
      </c>
      <c r="C264" s="329">
        <v>191</v>
      </c>
      <c r="D264" s="329">
        <v>144</v>
      </c>
      <c r="E264" s="329">
        <v>335</v>
      </c>
      <c r="F264" s="329">
        <v>1145</v>
      </c>
      <c r="G264" s="329">
        <v>1338</v>
      </c>
      <c r="H264" s="329">
        <v>2388</v>
      </c>
      <c r="I264" s="329" t="s">
        <v>781</v>
      </c>
      <c r="J264" s="329" t="s">
        <v>781</v>
      </c>
      <c r="K264" s="329" t="s">
        <v>781</v>
      </c>
      <c r="L264" s="329">
        <v>410</v>
      </c>
      <c r="M264" s="329">
        <v>103</v>
      </c>
      <c r="N264" s="329">
        <v>514</v>
      </c>
      <c r="O264" s="329" t="s">
        <v>781</v>
      </c>
      <c r="P264" s="329" t="s">
        <v>781</v>
      </c>
      <c r="Q264" s="329" t="s">
        <v>781</v>
      </c>
      <c r="R264" s="329">
        <v>64</v>
      </c>
      <c r="S264" s="329">
        <v>67</v>
      </c>
      <c r="T264" s="329">
        <v>131</v>
      </c>
      <c r="U264" s="329">
        <v>1681</v>
      </c>
      <c r="V264" s="329">
        <v>1643</v>
      </c>
      <c r="W264" s="329">
        <v>3325</v>
      </c>
    </row>
    <row r="265" spans="2:23" ht="32.25" x14ac:dyDescent="0.25">
      <c r="B265" s="330" t="s">
        <v>966</v>
      </c>
      <c r="C265" s="329">
        <v>7130</v>
      </c>
      <c r="D265" s="329">
        <v>5415</v>
      </c>
      <c r="E265" s="329">
        <v>12545</v>
      </c>
      <c r="F265" s="329">
        <v>44664</v>
      </c>
      <c r="G265" s="329">
        <v>55231</v>
      </c>
      <c r="H265" s="329">
        <v>99895</v>
      </c>
      <c r="I265" s="329">
        <v>50026</v>
      </c>
      <c r="J265" s="329">
        <v>9515</v>
      </c>
      <c r="K265" s="329">
        <v>59541</v>
      </c>
      <c r="L265" s="329">
        <v>118973</v>
      </c>
      <c r="M265" s="329">
        <v>24882</v>
      </c>
      <c r="N265" s="329">
        <v>143855</v>
      </c>
      <c r="O265" s="329">
        <v>162263</v>
      </c>
      <c r="P265" s="329">
        <v>95221</v>
      </c>
      <c r="Q265" s="329">
        <v>257484</v>
      </c>
      <c r="R265" s="329">
        <v>13291</v>
      </c>
      <c r="S265" s="329">
        <v>8208</v>
      </c>
      <c r="T265" s="329">
        <v>21499</v>
      </c>
      <c r="U265" s="329">
        <v>396347</v>
      </c>
      <c r="V265" s="329">
        <v>198472</v>
      </c>
      <c r="W265" s="329">
        <v>594819</v>
      </c>
    </row>
    <row r="266" spans="2:23" ht="69" customHeight="1" x14ac:dyDescent="0.25">
      <c r="B266" s="428" t="s">
        <v>938</v>
      </c>
      <c r="C266" s="428"/>
      <c r="D266" s="428"/>
      <c r="E266" s="428"/>
      <c r="F266" s="428"/>
      <c r="G266" s="428"/>
      <c r="H266" s="428"/>
      <c r="I266" s="428"/>
      <c r="J266" s="428"/>
      <c r="K266" s="428"/>
      <c r="L266" s="428"/>
      <c r="M266" s="428"/>
      <c r="N266" s="428"/>
      <c r="O266" s="428"/>
      <c r="P266" s="428"/>
      <c r="Q266" s="428"/>
      <c r="R266" s="428"/>
      <c r="S266" s="428"/>
      <c r="T266" s="428"/>
      <c r="U266" s="428"/>
      <c r="V266" s="428"/>
      <c r="W266" s="428"/>
    </row>
    <row r="267" spans="2:23" ht="30" customHeight="1" x14ac:dyDescent="0.25">
      <c r="B267" s="3"/>
      <c r="C267" s="3"/>
      <c r="D267" s="3"/>
      <c r="E267" s="3"/>
      <c r="F267" s="3"/>
      <c r="G267" s="3"/>
      <c r="H267" s="3"/>
    </row>
  </sheetData>
  <mergeCells count="68">
    <mergeCell ref="B266:W266"/>
    <mergeCell ref="B22:E22"/>
    <mergeCell ref="F32:Q32"/>
    <mergeCell ref="R32:T33"/>
    <mergeCell ref="F33:H33"/>
    <mergeCell ref="I33:K33"/>
    <mergeCell ref="L33:N33"/>
    <mergeCell ref="O33:Q33"/>
    <mergeCell ref="B54:E54"/>
    <mergeCell ref="B50:E50"/>
    <mergeCell ref="B51:E51"/>
    <mergeCell ref="B52:E52"/>
    <mergeCell ref="B53:E53"/>
    <mergeCell ref="B55:T55"/>
    <mergeCell ref="B45:E45"/>
    <mergeCell ref="B46:E46"/>
    <mergeCell ref="B48:E48"/>
    <mergeCell ref="B49:E49"/>
    <mergeCell ref="B40:E40"/>
    <mergeCell ref="B41:E41"/>
    <mergeCell ref="B42:E42"/>
    <mergeCell ref="B43:E43"/>
    <mergeCell ref="B44:E44"/>
    <mergeCell ref="B60:B62"/>
    <mergeCell ref="U60:W61"/>
    <mergeCell ref="C61:E61"/>
    <mergeCell ref="F61:H61"/>
    <mergeCell ref="I61:K61"/>
    <mergeCell ref="L61:N61"/>
    <mergeCell ref="O61:Q61"/>
    <mergeCell ref="R61:T61"/>
    <mergeCell ref="C60:T60"/>
    <mergeCell ref="B4:H4"/>
    <mergeCell ref="B5:H5"/>
    <mergeCell ref="B12:E12"/>
    <mergeCell ref="B15:E15"/>
    <mergeCell ref="B14:E14"/>
    <mergeCell ref="B13:E13"/>
    <mergeCell ref="B11:E11"/>
    <mergeCell ref="B21:E21"/>
    <mergeCell ref="B23:E23"/>
    <mergeCell ref="B25:E25"/>
    <mergeCell ref="B57:H57"/>
    <mergeCell ref="B58:H58"/>
    <mergeCell ref="B24:E24"/>
    <mergeCell ref="B27:T27"/>
    <mergeCell ref="B26:E26"/>
    <mergeCell ref="B29:H29"/>
    <mergeCell ref="B33:E34"/>
    <mergeCell ref="B35:E35"/>
    <mergeCell ref="B36:E36"/>
    <mergeCell ref="B37:E37"/>
    <mergeCell ref="B38:E38"/>
    <mergeCell ref="B39:E39"/>
    <mergeCell ref="B47:E47"/>
    <mergeCell ref="B20:E20"/>
    <mergeCell ref="F7:Q7"/>
    <mergeCell ref="R7:T8"/>
    <mergeCell ref="B7:E9"/>
    <mergeCell ref="B10:E10"/>
    <mergeCell ref="B18:E18"/>
    <mergeCell ref="F8:H8"/>
    <mergeCell ref="I8:K8"/>
    <mergeCell ref="L8:N8"/>
    <mergeCell ref="O8:Q8"/>
    <mergeCell ref="B16:E16"/>
    <mergeCell ref="B17:E17"/>
    <mergeCell ref="B19:E19"/>
  </mergeCell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70F42-AE11-47C1-B453-B8AC1B6B7F8F}">
  <sheetPr>
    <tabColor rgb="FF00B0F0"/>
  </sheetPr>
  <dimension ref="B2:W272"/>
  <sheetViews>
    <sheetView showGridLines="0" zoomScaleNormal="100" workbookViewId="0"/>
  </sheetViews>
  <sheetFormatPr baseColWidth="10" defaultColWidth="11.42578125" defaultRowHeight="15" outlineLevelRow="1" x14ac:dyDescent="0.25"/>
  <cols>
    <col min="1" max="1" width="7.5703125" style="7" customWidth="1"/>
    <col min="2" max="2" width="32.28515625" style="7" customWidth="1"/>
    <col min="3" max="3" width="19.85546875" style="7" customWidth="1"/>
    <col min="4" max="5" width="14.5703125" style="7" customWidth="1"/>
    <col min="6" max="6" width="14.140625" style="7" customWidth="1"/>
    <col min="7" max="8" width="11.42578125" style="7"/>
    <col min="9" max="9" width="13.5703125" style="7" customWidth="1"/>
    <col min="10" max="11" width="11.42578125" style="7"/>
    <col min="12" max="12" width="11.140625" style="7" customWidth="1"/>
    <col min="13" max="16384" width="11.42578125" style="7"/>
  </cols>
  <sheetData>
    <row r="2" spans="2:17" ht="23.25" x14ac:dyDescent="0.25">
      <c r="B2" s="1" t="s">
        <v>864</v>
      </c>
    </row>
    <row r="4" spans="2:17" ht="18.75" x14ac:dyDescent="0.3">
      <c r="B4" s="2" t="s">
        <v>786</v>
      </c>
      <c r="C4" s="2"/>
      <c r="D4" s="2"/>
      <c r="E4" s="2"/>
      <c r="F4" s="2"/>
      <c r="G4" s="2"/>
      <c r="H4" s="2"/>
      <c r="I4" s="8"/>
    </row>
    <row r="5" spans="2:17" x14ac:dyDescent="0.25">
      <c r="B5" s="15" t="s">
        <v>866</v>
      </c>
      <c r="C5" s="163"/>
      <c r="D5" s="163"/>
      <c r="E5" s="163"/>
      <c r="F5" s="163"/>
      <c r="G5" s="163"/>
      <c r="H5" s="163"/>
    </row>
    <row r="6" spans="2:17" x14ac:dyDescent="0.25">
      <c r="B6" s="213"/>
      <c r="C6" s="163"/>
      <c r="D6" s="163"/>
      <c r="E6" s="164"/>
      <c r="F6" s="164"/>
      <c r="G6" s="164"/>
      <c r="H6" s="164"/>
    </row>
    <row r="7" spans="2:17" x14ac:dyDescent="0.25">
      <c r="B7" s="413" t="s">
        <v>521</v>
      </c>
      <c r="C7" s="414" t="s">
        <v>477</v>
      </c>
      <c r="D7" s="414"/>
      <c r="E7" s="414"/>
      <c r="F7" s="414"/>
      <c r="G7" s="414"/>
      <c r="H7" s="414"/>
      <c r="I7" s="414"/>
      <c r="J7" s="414"/>
      <c r="K7" s="414"/>
      <c r="L7" s="414"/>
      <c r="M7" s="414"/>
      <c r="N7" s="414"/>
      <c r="O7" s="447" t="s">
        <v>949</v>
      </c>
      <c r="P7" s="448"/>
      <c r="Q7" s="449"/>
    </row>
    <row r="8" spans="2:17" ht="15" customHeight="1" x14ac:dyDescent="0.25">
      <c r="B8" s="413"/>
      <c r="C8" s="414" t="s">
        <v>885</v>
      </c>
      <c r="D8" s="414"/>
      <c r="E8" s="414"/>
      <c r="F8" s="414" t="s">
        <v>886</v>
      </c>
      <c r="G8" s="414"/>
      <c r="H8" s="414"/>
      <c r="I8" s="414" t="s">
        <v>2</v>
      </c>
      <c r="J8" s="414"/>
      <c r="K8" s="414"/>
      <c r="L8" s="414" t="s">
        <v>3</v>
      </c>
      <c r="M8" s="414"/>
      <c r="N8" s="414"/>
      <c r="O8" s="450"/>
      <c r="P8" s="451"/>
      <c r="Q8" s="452"/>
    </row>
    <row r="9" spans="2:17" x14ac:dyDescent="0.25">
      <c r="B9" s="413"/>
      <c r="C9" s="161" t="s">
        <v>73</v>
      </c>
      <c r="D9" s="161" t="s">
        <v>74</v>
      </c>
      <c r="E9" s="161" t="s">
        <v>25</v>
      </c>
      <c r="F9" s="161" t="s">
        <v>73</v>
      </c>
      <c r="G9" s="161" t="s">
        <v>74</v>
      </c>
      <c r="H9" s="161" t="s">
        <v>25</v>
      </c>
      <c r="I9" s="161" t="s">
        <v>73</v>
      </c>
      <c r="J9" s="161" t="s">
        <v>74</v>
      </c>
      <c r="K9" s="161" t="s">
        <v>25</v>
      </c>
      <c r="L9" s="161" t="s">
        <v>73</v>
      </c>
      <c r="M9" s="161" t="s">
        <v>74</v>
      </c>
      <c r="N9" s="161" t="s">
        <v>25</v>
      </c>
      <c r="O9" s="299" t="s">
        <v>73</v>
      </c>
      <c r="P9" s="299" t="s">
        <v>74</v>
      </c>
      <c r="Q9" s="299" t="s">
        <v>25</v>
      </c>
    </row>
    <row r="10" spans="2:17" x14ac:dyDescent="0.25">
      <c r="B10" s="288" t="s">
        <v>519</v>
      </c>
      <c r="C10" s="276">
        <v>0.1111111111111111</v>
      </c>
      <c r="D10" s="276">
        <v>0</v>
      </c>
      <c r="E10" s="276">
        <v>5.0847457627118647E-2</v>
      </c>
      <c r="F10" s="276">
        <v>0.70226537216828477</v>
      </c>
      <c r="G10" s="276">
        <v>0.68835616438356162</v>
      </c>
      <c r="H10" s="276">
        <v>0.69550748752079872</v>
      </c>
      <c r="I10" s="276">
        <v>4.6511627906976744E-2</v>
      </c>
      <c r="J10" s="276">
        <v>5.8823529411764705E-2</v>
      </c>
      <c r="K10" s="276">
        <v>5.1948051948051951E-2</v>
      </c>
      <c r="L10" s="276">
        <v>0.6428571428571429</v>
      </c>
      <c r="M10" s="276">
        <v>0.46666666666666667</v>
      </c>
      <c r="N10" s="276">
        <v>0.52272727272727271</v>
      </c>
      <c r="O10" s="298">
        <v>0.58778625954198471</v>
      </c>
      <c r="P10" s="298">
        <v>0.55927835051546393</v>
      </c>
      <c r="Q10" s="298">
        <v>0.57362355953905253</v>
      </c>
    </row>
    <row r="11" spans="2:17" x14ac:dyDescent="0.25">
      <c r="B11" s="289" t="s">
        <v>505</v>
      </c>
      <c r="C11" s="276">
        <v>0.18181818181818182</v>
      </c>
      <c r="D11" s="276">
        <v>2.0833333333333332E-2</v>
      </c>
      <c r="E11" s="276">
        <v>7.1428571428571425E-2</v>
      </c>
      <c r="F11" s="276">
        <v>0.69505494505494503</v>
      </c>
      <c r="G11" s="276">
        <v>0.68523676880222839</v>
      </c>
      <c r="H11" s="276">
        <v>0.69017980636237897</v>
      </c>
      <c r="I11" s="276">
        <v>5.6338028169014086E-2</v>
      </c>
      <c r="J11" s="276">
        <v>0.05</v>
      </c>
      <c r="K11" s="276">
        <v>5.4054054054054057E-2</v>
      </c>
      <c r="L11" s="276">
        <v>0.35714285714285715</v>
      </c>
      <c r="M11" s="276">
        <v>0.7142857142857143</v>
      </c>
      <c r="N11" s="276">
        <v>0.5714285714285714</v>
      </c>
      <c r="O11" s="298">
        <v>0.56475583864118895</v>
      </c>
      <c r="P11" s="298">
        <v>0.5641025641025641</v>
      </c>
      <c r="Q11" s="298">
        <v>0.56443024494142702</v>
      </c>
    </row>
    <row r="12" spans="2:17" x14ac:dyDescent="0.25">
      <c r="B12" s="289" t="s">
        <v>506</v>
      </c>
      <c r="C12" s="276">
        <v>4.7619047619047616E-2</v>
      </c>
      <c r="D12" s="276">
        <v>0</v>
      </c>
      <c r="E12" s="276">
        <v>1.9047619047619049E-2</v>
      </c>
      <c r="F12" s="276">
        <v>0.72606774668630336</v>
      </c>
      <c r="G12" s="276">
        <v>0.64469914040114618</v>
      </c>
      <c r="H12" s="276">
        <v>0.68482207697893971</v>
      </c>
      <c r="I12" s="276">
        <v>5.3097345132743362E-2</v>
      </c>
      <c r="J12" s="276">
        <v>6.7796610169491525E-2</v>
      </c>
      <c r="K12" s="276">
        <v>5.8139534883720929E-2</v>
      </c>
      <c r="L12" s="276">
        <v>0.5</v>
      </c>
      <c r="M12" s="276">
        <v>0.56756756756756754</v>
      </c>
      <c r="N12" s="276">
        <v>0.53846153846153844</v>
      </c>
      <c r="O12" s="298">
        <v>0.59744779582366592</v>
      </c>
      <c r="P12" s="298">
        <v>0.55425904317386232</v>
      </c>
      <c r="Q12" s="298">
        <v>0.5759162303664922</v>
      </c>
    </row>
    <row r="13" spans="2:17" x14ac:dyDescent="0.25">
      <c r="B13" s="289" t="s">
        <v>507</v>
      </c>
      <c r="C13" s="276">
        <v>0.17241379310344829</v>
      </c>
      <c r="D13" s="276">
        <v>2.0408163265306121E-2</v>
      </c>
      <c r="E13" s="276">
        <v>7.6923076923076927E-2</v>
      </c>
      <c r="F13" s="276">
        <v>0.76705882352941179</v>
      </c>
      <c r="G13" s="276">
        <v>0.68321513002364065</v>
      </c>
      <c r="H13" s="276">
        <v>0.72523584905660377</v>
      </c>
      <c r="I13" s="276">
        <v>7.0588235294117646E-2</v>
      </c>
      <c r="J13" s="276">
        <v>0.11627906976744186</v>
      </c>
      <c r="K13" s="276">
        <v>8.59375E-2</v>
      </c>
      <c r="L13" s="276">
        <v>0.36363636363636365</v>
      </c>
      <c r="M13" s="276">
        <v>0.5</v>
      </c>
      <c r="N13" s="276">
        <v>0.45454545454545453</v>
      </c>
      <c r="O13" s="298">
        <v>0.62</v>
      </c>
      <c r="P13" s="298">
        <v>0.56983240223463683</v>
      </c>
      <c r="Q13" s="298">
        <v>0.59521619135234594</v>
      </c>
    </row>
    <row r="14" spans="2:17" x14ac:dyDescent="0.25">
      <c r="B14" s="289" t="s">
        <v>508</v>
      </c>
      <c r="C14" s="276">
        <v>0.15942028985507245</v>
      </c>
      <c r="D14" s="276">
        <v>2.0270270270270271E-2</v>
      </c>
      <c r="E14" s="276">
        <v>6.4516129032258063E-2</v>
      </c>
      <c r="F14" s="276">
        <v>0.75983606557377048</v>
      </c>
      <c r="G14" s="276">
        <v>0.72112211221122113</v>
      </c>
      <c r="H14" s="276">
        <v>0.74054276315789469</v>
      </c>
      <c r="I14" s="276">
        <v>4.9618320610687022E-2</v>
      </c>
      <c r="J14" s="276">
        <v>7.2580645161290328E-2</v>
      </c>
      <c r="K14" s="276">
        <v>5.6994818652849742E-2</v>
      </c>
      <c r="L14" s="276">
        <v>0.38095238095238093</v>
      </c>
      <c r="M14" s="276">
        <v>0.42857142857142855</v>
      </c>
      <c r="N14" s="276">
        <v>0.40886699507389163</v>
      </c>
      <c r="O14" s="298">
        <v>0.60122324159021412</v>
      </c>
      <c r="P14" s="298">
        <v>0.58452900810979413</v>
      </c>
      <c r="Q14" s="298">
        <v>0.592958616429895</v>
      </c>
    </row>
    <row r="15" spans="2:17" x14ac:dyDescent="0.25">
      <c r="B15" s="289" t="s">
        <v>509</v>
      </c>
      <c r="C15" s="276">
        <v>0.22123893805309736</v>
      </c>
      <c r="D15" s="276">
        <v>1.9083969465648856E-2</v>
      </c>
      <c r="E15" s="276">
        <v>0.11270491803278689</v>
      </c>
      <c r="F15" s="276">
        <v>0.76867317995587769</v>
      </c>
      <c r="G15" s="276">
        <v>0.70168519182502687</v>
      </c>
      <c r="H15" s="276">
        <v>0.73733646427373367</v>
      </c>
      <c r="I15" s="276">
        <v>7.03125E-2</v>
      </c>
      <c r="J15" s="276">
        <v>7.8602620087336247E-2</v>
      </c>
      <c r="K15" s="276">
        <v>7.28744939271255E-2</v>
      </c>
      <c r="L15" s="276">
        <v>0.41666666666666669</v>
      </c>
      <c r="M15" s="276">
        <v>0.45161290322580644</v>
      </c>
      <c r="N15" s="276">
        <v>0.43636363636363634</v>
      </c>
      <c r="O15" s="298">
        <v>0.63618533954400591</v>
      </c>
      <c r="P15" s="298">
        <v>0.59422362024592512</v>
      </c>
      <c r="Q15" s="298">
        <v>0.6168162618796198</v>
      </c>
    </row>
    <row r="16" spans="2:17" x14ac:dyDescent="0.25">
      <c r="B16" s="289" t="s">
        <v>517</v>
      </c>
      <c r="C16" s="276">
        <v>0.17046979865771811</v>
      </c>
      <c r="D16" s="276">
        <v>8.8987764182424916E-3</v>
      </c>
      <c r="E16" s="276">
        <v>8.211678832116788E-2</v>
      </c>
      <c r="F16" s="276">
        <v>0.73149505313301577</v>
      </c>
      <c r="G16" s="276">
        <v>0.6875</v>
      </c>
      <c r="H16" s="276">
        <v>0.71143113414391068</v>
      </c>
      <c r="I16" s="276">
        <v>5.8421851289833078E-2</v>
      </c>
      <c r="J16" s="276">
        <v>0.10782865583456426</v>
      </c>
      <c r="K16" s="276">
        <v>7.5187969924812026E-2</v>
      </c>
      <c r="L16" s="276">
        <v>0.48905109489051096</v>
      </c>
      <c r="M16" s="276">
        <v>0.53806228373702425</v>
      </c>
      <c r="N16" s="276">
        <v>0.51769464105156726</v>
      </c>
      <c r="O16" s="298">
        <v>0.62658700522778188</v>
      </c>
      <c r="P16" s="298">
        <v>0.5911905183088626</v>
      </c>
      <c r="Q16" s="298">
        <v>0.6103822481373502</v>
      </c>
    </row>
    <row r="17" spans="2:23" ht="30" x14ac:dyDescent="0.25">
      <c r="B17" s="289" t="s">
        <v>510</v>
      </c>
      <c r="C17" s="276">
        <v>0.30645161290322581</v>
      </c>
      <c r="D17" s="276">
        <v>2.5477707006369428E-2</v>
      </c>
      <c r="E17" s="276">
        <v>0.1494661921708185</v>
      </c>
      <c r="F17" s="276">
        <v>0.78346456692913391</v>
      </c>
      <c r="G17" s="276">
        <v>0.73529411764705888</v>
      </c>
      <c r="H17" s="276">
        <v>0.75987943737441388</v>
      </c>
      <c r="I17" s="276">
        <v>5.8479532163742687E-2</v>
      </c>
      <c r="J17" s="276">
        <v>7.3170731707317069E-2</v>
      </c>
      <c r="K17" s="276">
        <v>6.236559139784946E-2</v>
      </c>
      <c r="L17" s="276">
        <v>0.44</v>
      </c>
      <c r="M17" s="276">
        <v>0.52857142857142858</v>
      </c>
      <c r="N17" s="276">
        <v>0.49166666666666664</v>
      </c>
      <c r="O17" s="298">
        <v>0.62009569377990426</v>
      </c>
      <c r="P17" s="298">
        <v>0.61742826780021254</v>
      </c>
      <c r="Q17" s="298">
        <v>0.61883182275931525</v>
      </c>
    </row>
    <row r="18" spans="2:23" x14ac:dyDescent="0.25">
      <c r="B18" s="160" t="s">
        <v>511</v>
      </c>
      <c r="C18" s="276">
        <v>0.34302325581395349</v>
      </c>
      <c r="D18" s="276">
        <v>3.9106145251396648E-2</v>
      </c>
      <c r="E18" s="276">
        <v>0.18803418803418803</v>
      </c>
      <c r="F18" s="276">
        <v>0.80624263839811539</v>
      </c>
      <c r="G18" s="276">
        <v>0.73558282208588954</v>
      </c>
      <c r="H18" s="276">
        <v>0.77163461538461542</v>
      </c>
      <c r="I18" s="276">
        <v>4.8661800486618008E-2</v>
      </c>
      <c r="J18" s="276">
        <v>0.12269938650306748</v>
      </c>
      <c r="K18" s="276">
        <v>6.968641114982578E-2</v>
      </c>
      <c r="L18" s="276">
        <v>0.36538461538461536</v>
      </c>
      <c r="M18" s="276">
        <v>0.43312101910828027</v>
      </c>
      <c r="N18" s="276">
        <v>0.4061302681992337</v>
      </c>
      <c r="O18" s="298">
        <v>0.62306079664570235</v>
      </c>
      <c r="P18" s="298">
        <v>0.60779708783466413</v>
      </c>
      <c r="Q18" s="298">
        <v>0.61586176340274701</v>
      </c>
    </row>
    <row r="19" spans="2:23" x14ac:dyDescent="0.25">
      <c r="B19" s="160" t="s">
        <v>813</v>
      </c>
      <c r="C19" s="276">
        <v>0.27692307692307694</v>
      </c>
      <c r="D19" s="276">
        <v>7.0707070707070704E-2</v>
      </c>
      <c r="E19" s="276">
        <v>0.1524390243902439</v>
      </c>
      <c r="F19" s="276">
        <v>0.74230330672748002</v>
      </c>
      <c r="G19" s="276">
        <v>0.73529411764705888</v>
      </c>
      <c r="H19" s="276">
        <v>0.73899939722724528</v>
      </c>
      <c r="I19" s="276">
        <v>3.4285714285714287E-2</v>
      </c>
      <c r="J19" s="276">
        <v>7.5630252100840331E-2</v>
      </c>
      <c r="K19" s="276">
        <v>4.4776119402985072E-2</v>
      </c>
      <c r="L19" s="276">
        <v>0.35</v>
      </c>
      <c r="M19" s="276">
        <v>0.3611111111111111</v>
      </c>
      <c r="N19" s="276">
        <v>0.35638297872340424</v>
      </c>
      <c r="O19" s="298">
        <v>0.51676384839650147</v>
      </c>
      <c r="P19" s="298">
        <v>0.56859205776173283</v>
      </c>
      <c r="Q19" s="298">
        <v>0.53991935483870968</v>
      </c>
    </row>
    <row r="20" spans="2:23" x14ac:dyDescent="0.25">
      <c r="B20" s="160" t="s">
        <v>512</v>
      </c>
      <c r="C20" s="276">
        <v>0.24505928853754941</v>
      </c>
      <c r="D20" s="276">
        <v>1.2145748987854251E-2</v>
      </c>
      <c r="E20" s="276">
        <v>0.13</v>
      </c>
      <c r="F20" s="276">
        <v>0.777122641509434</v>
      </c>
      <c r="G20" s="276">
        <v>0.75736209041891334</v>
      </c>
      <c r="H20" s="276">
        <v>0.76750756811301712</v>
      </c>
      <c r="I20" s="276">
        <v>5.2098408104196817E-2</v>
      </c>
      <c r="J20" s="276">
        <v>6.4516129032258063E-2</v>
      </c>
      <c r="K20" s="276">
        <v>5.5378061767838126E-2</v>
      </c>
      <c r="L20" s="276">
        <v>0.37086092715231789</v>
      </c>
      <c r="M20" s="276">
        <v>0.51965065502183405</v>
      </c>
      <c r="N20" s="276">
        <v>0.46052631578947367</v>
      </c>
      <c r="O20" s="298">
        <v>0.5856004396812311</v>
      </c>
      <c r="P20" s="298">
        <v>0.62647527910685807</v>
      </c>
      <c r="Q20" s="298">
        <v>0.60451727192205496</v>
      </c>
    </row>
    <row r="21" spans="2:23" x14ac:dyDescent="0.25">
      <c r="B21" s="160" t="s">
        <v>513</v>
      </c>
      <c r="C21" s="276">
        <v>0.21774193548387097</v>
      </c>
      <c r="D21" s="276">
        <v>1.0526315789473684E-2</v>
      </c>
      <c r="E21" s="276">
        <v>9.2356687898089165E-2</v>
      </c>
      <c r="F21" s="276">
        <v>0.78623629719853838</v>
      </c>
      <c r="G21" s="276">
        <v>0.75573549257759787</v>
      </c>
      <c r="H21" s="276">
        <v>0.7717669654289373</v>
      </c>
      <c r="I21" s="276">
        <v>3.9014373716632446E-2</v>
      </c>
      <c r="J21" s="276">
        <v>0.11299435028248588</v>
      </c>
      <c r="K21" s="276">
        <v>5.8734939759036146E-2</v>
      </c>
      <c r="L21" s="276">
        <v>0.36144578313253012</v>
      </c>
      <c r="M21" s="276">
        <v>0.44155844155844154</v>
      </c>
      <c r="N21" s="276">
        <v>0.41350210970464135</v>
      </c>
      <c r="O21" s="298">
        <v>0.58518835616438358</v>
      </c>
      <c r="P21" s="298">
        <v>0.60409385921118319</v>
      </c>
      <c r="Q21" s="298">
        <v>0.59391564876699698</v>
      </c>
    </row>
    <row r="22" spans="2:23" x14ac:dyDescent="0.25">
      <c r="B22" s="160" t="s">
        <v>518</v>
      </c>
      <c r="C22" s="276">
        <v>0.43137254901960786</v>
      </c>
      <c r="D22" s="276">
        <v>3.7037037037037035E-2</v>
      </c>
      <c r="E22" s="276">
        <v>0.18939393939393939</v>
      </c>
      <c r="F22" s="276">
        <v>0.74774774774774777</v>
      </c>
      <c r="G22" s="276">
        <v>0.72402597402597402</v>
      </c>
      <c r="H22" s="276">
        <v>0.7363494539781591</v>
      </c>
      <c r="I22" s="276">
        <v>6.9444444444444448E-2</v>
      </c>
      <c r="J22" s="276">
        <v>4.3478260869565216E-2</v>
      </c>
      <c r="K22" s="276">
        <v>6.3157894736842107E-2</v>
      </c>
      <c r="L22" s="276">
        <v>0.40476190476190477</v>
      </c>
      <c r="M22" s="276">
        <v>0.42253521126760563</v>
      </c>
      <c r="N22" s="276">
        <v>0.41592920353982299</v>
      </c>
      <c r="O22" s="298">
        <v>0.60575858250276859</v>
      </c>
      <c r="P22" s="298">
        <v>0.59090909090909094</v>
      </c>
      <c r="Q22" s="298">
        <v>0.59871869539895162</v>
      </c>
    </row>
    <row r="23" spans="2:23" x14ac:dyDescent="0.25">
      <c r="B23" s="160" t="s">
        <v>514</v>
      </c>
      <c r="C23" s="276">
        <v>0.21</v>
      </c>
      <c r="D23" s="276">
        <v>0</v>
      </c>
      <c r="E23" s="276">
        <v>8.7136929460580909E-2</v>
      </c>
      <c r="F23" s="276">
        <v>0.75076923076923074</v>
      </c>
      <c r="G23" s="276">
        <v>0.72875816993464049</v>
      </c>
      <c r="H23" s="276">
        <v>0.74009508716323291</v>
      </c>
      <c r="I23" s="276">
        <v>7.2784810126582278E-2</v>
      </c>
      <c r="J23" s="276">
        <v>7.2727272727272724E-2</v>
      </c>
      <c r="K23" s="276">
        <v>7.2765072765072769E-2</v>
      </c>
      <c r="L23" s="276">
        <v>0.42</v>
      </c>
      <c r="M23" s="276">
        <v>0.48275862068965519</v>
      </c>
      <c r="N23" s="276">
        <v>0.45985401459854014</v>
      </c>
      <c r="O23" s="298">
        <v>0.58480176211453749</v>
      </c>
      <c r="P23" s="298">
        <v>0.57981220657276999</v>
      </c>
      <c r="Q23" s="298">
        <v>0.58238636363636365</v>
      </c>
    </row>
    <row r="24" spans="2:23" ht="30" x14ac:dyDescent="0.25">
      <c r="B24" s="160" t="s">
        <v>515</v>
      </c>
      <c r="C24" s="276">
        <v>9.0909090909090912E-2</v>
      </c>
      <c r="D24" s="276">
        <v>0</v>
      </c>
      <c r="E24" s="276">
        <v>0.04</v>
      </c>
      <c r="F24" s="276">
        <v>0.72727272727272729</v>
      </c>
      <c r="G24" s="276">
        <v>0.68862275449101795</v>
      </c>
      <c r="H24" s="276">
        <v>0.70716510903426788</v>
      </c>
      <c r="I24" s="276">
        <v>0</v>
      </c>
      <c r="J24" s="276">
        <v>8.3333333333333329E-2</v>
      </c>
      <c r="K24" s="276">
        <v>2.7777777777777776E-2</v>
      </c>
      <c r="L24" s="276">
        <v>0.4</v>
      </c>
      <c r="M24" s="276">
        <v>0.72727272727272729</v>
      </c>
      <c r="N24" s="276">
        <v>0.625</v>
      </c>
      <c r="O24" s="298">
        <v>0.59278350515463918</v>
      </c>
      <c r="P24" s="298">
        <v>0.60784313725490191</v>
      </c>
      <c r="Q24" s="298">
        <v>0.60050251256281406</v>
      </c>
    </row>
    <row r="25" spans="2:23" ht="30" x14ac:dyDescent="0.25">
      <c r="B25" s="160" t="s">
        <v>516</v>
      </c>
      <c r="C25" s="276">
        <v>0.15789473684210525</v>
      </c>
      <c r="D25" s="276">
        <v>0</v>
      </c>
      <c r="E25" s="276">
        <v>6.8181818181818177E-2</v>
      </c>
      <c r="F25" s="276">
        <v>0.70609318996415771</v>
      </c>
      <c r="G25" s="276">
        <v>0.59836065573770492</v>
      </c>
      <c r="H25" s="276">
        <v>0.65583173996175903</v>
      </c>
      <c r="I25" s="276">
        <v>7.1428571428571425E-2</v>
      </c>
      <c r="J25" s="276">
        <v>0.16666666666666666</v>
      </c>
      <c r="K25" s="276">
        <v>0.1</v>
      </c>
      <c r="L25" s="276">
        <v>0.4</v>
      </c>
      <c r="M25" s="276">
        <v>0.5</v>
      </c>
      <c r="N25" s="276">
        <v>0.46666666666666667</v>
      </c>
      <c r="O25" s="298">
        <v>0.61309523809523814</v>
      </c>
      <c r="P25" s="298">
        <v>0.52491694352159468</v>
      </c>
      <c r="Q25" s="298">
        <v>0.5714285714285714</v>
      </c>
    </row>
    <row r="26" spans="2:23" x14ac:dyDescent="0.25">
      <c r="B26" s="350" t="s">
        <v>921</v>
      </c>
      <c r="C26" s="298">
        <v>0.21789321789321789</v>
      </c>
      <c r="D26" s="298">
        <v>1.6704631738800303E-2</v>
      </c>
      <c r="E26" s="298">
        <v>0.10545300233396987</v>
      </c>
      <c r="F26" s="298">
        <v>0.75279078141879729</v>
      </c>
      <c r="G26" s="298">
        <v>0.709738203103075</v>
      </c>
      <c r="H26" s="298">
        <v>0.73241894788761785</v>
      </c>
      <c r="I26" s="298">
        <v>5.5031749086011161E-2</v>
      </c>
      <c r="J26" s="298">
        <v>8.982826948480846E-2</v>
      </c>
      <c r="K26" s="298">
        <v>6.5613283342260312E-2</v>
      </c>
      <c r="L26" s="298">
        <v>0.42419928825622777</v>
      </c>
      <c r="M26" s="298">
        <v>0.48898467432950193</v>
      </c>
      <c r="N26" s="298">
        <v>0.46292585170340683</v>
      </c>
      <c r="O26" s="298">
        <v>0.61013415269814275</v>
      </c>
      <c r="P26" s="298">
        <v>0.59406312625250501</v>
      </c>
      <c r="Q26" s="298">
        <v>0.6026291546638981</v>
      </c>
    </row>
    <row r="27" spans="2:23" ht="89.25" customHeight="1" x14ac:dyDescent="0.25">
      <c r="B27" s="474" t="s">
        <v>965</v>
      </c>
      <c r="C27" s="474"/>
      <c r="D27" s="474"/>
      <c r="E27" s="474"/>
      <c r="F27" s="474"/>
      <c r="G27" s="474"/>
      <c r="H27" s="474"/>
      <c r="I27" s="474"/>
      <c r="J27" s="474"/>
      <c r="K27" s="474"/>
      <c r="L27" s="474"/>
      <c r="M27" s="474"/>
      <c r="N27" s="474"/>
      <c r="O27" s="474"/>
      <c r="P27" s="474"/>
      <c r="Q27" s="474"/>
      <c r="R27" s="70"/>
      <c r="S27" s="70"/>
      <c r="T27" s="70"/>
      <c r="U27" s="70"/>
      <c r="V27" s="70"/>
      <c r="W27" s="70"/>
    </row>
    <row r="29" spans="2:23" ht="18.75" x14ac:dyDescent="0.3">
      <c r="B29" s="2" t="s">
        <v>865</v>
      </c>
      <c r="C29" s="2"/>
      <c r="D29" s="2"/>
      <c r="E29" s="2"/>
      <c r="F29" s="2"/>
      <c r="G29" s="2"/>
      <c r="H29" s="2"/>
    </row>
    <row r="30" spans="2:23" x14ac:dyDescent="0.25">
      <c r="B30" s="6" t="s">
        <v>867</v>
      </c>
      <c r="C30" s="163"/>
      <c r="D30" s="163"/>
      <c r="E30" s="163"/>
      <c r="F30" s="163"/>
      <c r="G30" s="163"/>
      <c r="H30" s="163"/>
    </row>
    <row r="31" spans="2:23" x14ac:dyDescent="0.25">
      <c r="B31" s="213"/>
      <c r="C31" s="163"/>
      <c r="D31" s="163"/>
      <c r="E31" s="164"/>
      <c r="F31" s="164"/>
      <c r="G31" s="164"/>
      <c r="H31" s="164"/>
    </row>
    <row r="32" spans="2:23" x14ac:dyDescent="0.25">
      <c r="B32" s="413" t="s">
        <v>521</v>
      </c>
      <c r="C32" s="414" t="s">
        <v>477</v>
      </c>
      <c r="D32" s="414"/>
      <c r="E32" s="414"/>
      <c r="F32" s="414"/>
      <c r="G32" s="414"/>
      <c r="H32" s="414"/>
      <c r="I32" s="414"/>
      <c r="J32" s="414"/>
      <c r="K32" s="414"/>
      <c r="L32" s="414"/>
      <c r="M32" s="414"/>
      <c r="N32" s="414"/>
      <c r="O32" s="447" t="s">
        <v>949</v>
      </c>
      <c r="P32" s="448"/>
      <c r="Q32" s="449"/>
    </row>
    <row r="33" spans="2:17" x14ac:dyDescent="0.25">
      <c r="B33" s="413"/>
      <c r="C33" s="414" t="s">
        <v>885</v>
      </c>
      <c r="D33" s="414"/>
      <c r="E33" s="414"/>
      <c r="F33" s="414" t="s">
        <v>886</v>
      </c>
      <c r="G33" s="414"/>
      <c r="H33" s="414"/>
      <c r="I33" s="414" t="s">
        <v>2</v>
      </c>
      <c r="J33" s="414"/>
      <c r="K33" s="414"/>
      <c r="L33" s="414" t="s">
        <v>3</v>
      </c>
      <c r="M33" s="414"/>
      <c r="N33" s="414"/>
      <c r="O33" s="450"/>
      <c r="P33" s="451"/>
      <c r="Q33" s="452"/>
    </row>
    <row r="34" spans="2:17" x14ac:dyDescent="0.25">
      <c r="B34" s="413"/>
      <c r="C34" s="161" t="s">
        <v>73</v>
      </c>
      <c r="D34" s="161" t="s">
        <v>74</v>
      </c>
      <c r="E34" s="161" t="s">
        <v>25</v>
      </c>
      <c r="F34" s="161" t="s">
        <v>73</v>
      </c>
      <c r="G34" s="161" t="s">
        <v>74</v>
      </c>
      <c r="H34" s="161" t="s">
        <v>25</v>
      </c>
      <c r="I34" s="161" t="s">
        <v>73</v>
      </c>
      <c r="J34" s="161" t="s">
        <v>74</v>
      </c>
      <c r="K34" s="161" t="s">
        <v>25</v>
      </c>
      <c r="L34" s="161" t="s">
        <v>73</v>
      </c>
      <c r="M34" s="161" t="s">
        <v>74</v>
      </c>
      <c r="N34" s="161" t="s">
        <v>25</v>
      </c>
      <c r="O34" s="299" t="s">
        <v>73</v>
      </c>
      <c r="P34" s="299" t="s">
        <v>74</v>
      </c>
      <c r="Q34" s="299" t="s">
        <v>25</v>
      </c>
    </row>
    <row r="35" spans="2:17" x14ac:dyDescent="0.25">
      <c r="B35" s="288" t="s">
        <v>519</v>
      </c>
      <c r="C35" s="276">
        <v>0.51204819277108438</v>
      </c>
      <c r="D35" s="276">
        <v>0.22429906542056074</v>
      </c>
      <c r="E35" s="276">
        <v>0.39926739926739929</v>
      </c>
      <c r="F35" s="276">
        <v>0.83530183727034124</v>
      </c>
      <c r="G35" s="276">
        <v>0.79105520614954572</v>
      </c>
      <c r="H35" s="276">
        <v>0.81387478849407779</v>
      </c>
      <c r="I35" s="276">
        <v>0.38222222222222224</v>
      </c>
      <c r="J35" s="276">
        <v>0.45833333333333331</v>
      </c>
      <c r="K35" s="276">
        <v>0.41192411924119243</v>
      </c>
      <c r="L35" s="276">
        <v>0.82894736842105265</v>
      </c>
      <c r="M35" s="276">
        <v>0.72307692307692306</v>
      </c>
      <c r="N35" s="276">
        <v>0.76213592233009708</v>
      </c>
      <c r="O35" s="298">
        <v>0.75690607734806625</v>
      </c>
      <c r="P35" s="298">
        <v>0.72626931567328923</v>
      </c>
      <c r="Q35" s="298">
        <v>0.74230870365500923</v>
      </c>
    </row>
    <row r="36" spans="2:17" x14ac:dyDescent="0.25">
      <c r="B36" s="289" t="s">
        <v>505</v>
      </c>
      <c r="C36" s="276">
        <v>0.44385026737967914</v>
      </c>
      <c r="D36" s="276">
        <v>0.1111111111111111</v>
      </c>
      <c r="E36" s="276">
        <v>0.30990415335463256</v>
      </c>
      <c r="F36" s="276">
        <v>0.82132396016403042</v>
      </c>
      <c r="G36" s="276">
        <v>0.8009977827050998</v>
      </c>
      <c r="H36" s="276">
        <v>0.81088009114212478</v>
      </c>
      <c r="I36" s="276">
        <v>0.24233128834355827</v>
      </c>
      <c r="J36" s="276">
        <v>0.4</v>
      </c>
      <c r="K36" s="276">
        <v>0.29313929313929316</v>
      </c>
      <c r="L36" s="276">
        <v>0.75268817204301075</v>
      </c>
      <c r="M36" s="276">
        <v>0.82014388489208634</v>
      </c>
      <c r="N36" s="276">
        <v>0.7931034482758621</v>
      </c>
      <c r="O36" s="298">
        <v>0.70644185041072205</v>
      </c>
      <c r="P36" s="298">
        <v>0.73516187050359716</v>
      </c>
      <c r="Q36" s="298">
        <v>0.72052016751157155</v>
      </c>
    </row>
    <row r="37" spans="2:17" x14ac:dyDescent="0.25">
      <c r="B37" s="289" t="s">
        <v>506</v>
      </c>
      <c r="C37" s="276">
        <v>0.5535714285714286</v>
      </c>
      <c r="D37" s="276">
        <v>0.15894039735099338</v>
      </c>
      <c r="E37" s="276">
        <v>0.41531322505800466</v>
      </c>
      <c r="F37" s="276">
        <v>0.83805451630144312</v>
      </c>
      <c r="G37" s="276">
        <v>0.78121606948968514</v>
      </c>
      <c r="H37" s="276">
        <v>0.80985725828171296</v>
      </c>
      <c r="I37" s="276">
        <v>0.216796875</v>
      </c>
      <c r="J37" s="276">
        <v>0.25791855203619912</v>
      </c>
      <c r="K37" s="276">
        <v>0.22919508867667121</v>
      </c>
      <c r="L37" s="276">
        <v>0.69523809523809521</v>
      </c>
      <c r="M37" s="276">
        <v>0.79333333333333333</v>
      </c>
      <c r="N37" s="276">
        <v>0.75294117647058822</v>
      </c>
      <c r="O37" s="298">
        <v>0.74908385427893942</v>
      </c>
      <c r="P37" s="298">
        <v>0.73181169757489306</v>
      </c>
      <c r="Q37" s="298">
        <v>0.74087054833239119</v>
      </c>
    </row>
    <row r="38" spans="2:17" x14ac:dyDescent="0.25">
      <c r="B38" s="289" t="s">
        <v>507</v>
      </c>
      <c r="C38" s="276">
        <v>0.76331360946745563</v>
      </c>
      <c r="D38" s="276">
        <v>0.31</v>
      </c>
      <c r="E38" s="276">
        <v>0.59479553903345728</v>
      </c>
      <c r="F38" s="276">
        <v>0.87242591662481161</v>
      </c>
      <c r="G38" s="276">
        <v>0.79492983250339522</v>
      </c>
      <c r="H38" s="276">
        <v>0.83166666666666667</v>
      </c>
      <c r="I38" s="276">
        <v>0.25925925925925924</v>
      </c>
      <c r="J38" s="276">
        <v>0.43165467625899279</v>
      </c>
      <c r="K38" s="276">
        <v>0.30816326530612242</v>
      </c>
      <c r="L38" s="276">
        <v>0.63235294117647056</v>
      </c>
      <c r="M38" s="276">
        <v>0.85833333333333328</v>
      </c>
      <c r="N38" s="276">
        <v>0.77659574468085102</v>
      </c>
      <c r="O38" s="298">
        <v>0.7754943776657619</v>
      </c>
      <c r="P38" s="298">
        <v>0.75934579439252337</v>
      </c>
      <c r="Q38" s="298">
        <v>0.76743734214105308</v>
      </c>
    </row>
    <row r="39" spans="2:17" x14ac:dyDescent="0.25">
      <c r="B39" s="289" t="s">
        <v>508</v>
      </c>
      <c r="C39" s="276">
        <v>0.75227272727272732</v>
      </c>
      <c r="D39" s="276">
        <v>0.38175675675675674</v>
      </c>
      <c r="E39" s="276">
        <v>0.60326086956521741</v>
      </c>
      <c r="F39" s="276">
        <v>0.87815723941657775</v>
      </c>
      <c r="G39" s="276">
        <v>0.83407275953859805</v>
      </c>
      <c r="H39" s="276">
        <v>0.85608954428355688</v>
      </c>
      <c r="I39" s="276">
        <v>0.27941176470588236</v>
      </c>
      <c r="J39" s="276">
        <v>0.43452380952380953</v>
      </c>
      <c r="K39" s="276">
        <v>0.32650602409638552</v>
      </c>
      <c r="L39" s="276">
        <v>0.65993265993265993</v>
      </c>
      <c r="M39" s="276">
        <v>0.79101123595505618</v>
      </c>
      <c r="N39" s="276">
        <v>0.73854447439353099</v>
      </c>
      <c r="O39" s="298">
        <v>0.77005988023952099</v>
      </c>
      <c r="P39" s="298">
        <v>0.78255813953488373</v>
      </c>
      <c r="Q39" s="298">
        <v>0.77603334491142761</v>
      </c>
    </row>
    <row r="40" spans="2:17" x14ac:dyDescent="0.25">
      <c r="B40" s="289" t="s">
        <v>509</v>
      </c>
      <c r="C40" s="276">
        <v>0.72342064714946075</v>
      </c>
      <c r="D40" s="276">
        <v>0.37697160883280756</v>
      </c>
      <c r="E40" s="276">
        <v>0.60973084886128359</v>
      </c>
      <c r="F40" s="276">
        <v>0.87776580232042101</v>
      </c>
      <c r="G40" s="276">
        <v>0.8333805009197679</v>
      </c>
      <c r="H40" s="276">
        <v>0.85678938041261243</v>
      </c>
      <c r="I40" s="276">
        <v>0.2327354260089686</v>
      </c>
      <c r="J40" s="276">
        <v>0.38109452736318405</v>
      </c>
      <c r="K40" s="276">
        <v>0.27882534775888718</v>
      </c>
      <c r="L40" s="276">
        <v>0.69714285714285718</v>
      </c>
      <c r="M40" s="276">
        <v>0.75526579739217647</v>
      </c>
      <c r="N40" s="276">
        <v>0.73129051266941658</v>
      </c>
      <c r="O40" s="298">
        <v>0.78951052447377634</v>
      </c>
      <c r="P40" s="298">
        <v>0.78437686344663093</v>
      </c>
      <c r="Q40" s="298">
        <v>0.78716923662668947</v>
      </c>
    </row>
    <row r="41" spans="2:17" x14ac:dyDescent="0.25">
      <c r="B41" s="289" t="s">
        <v>517</v>
      </c>
      <c r="C41" s="276">
        <v>0.59635847718136681</v>
      </c>
      <c r="D41" s="276">
        <v>0.2436638506002668</v>
      </c>
      <c r="E41" s="276">
        <v>0.47391170114232789</v>
      </c>
      <c r="F41" s="276">
        <v>0.8327259262146518</v>
      </c>
      <c r="G41" s="276">
        <v>0.79713908450704229</v>
      </c>
      <c r="H41" s="276">
        <v>0.81601223759961139</v>
      </c>
      <c r="I41" s="276">
        <v>0.17295650702318496</v>
      </c>
      <c r="J41" s="276">
        <v>0.31955150665732307</v>
      </c>
      <c r="K41" s="276">
        <v>0.22070067328540455</v>
      </c>
      <c r="L41" s="276">
        <v>0.69971509971509971</v>
      </c>
      <c r="M41" s="276">
        <v>0.77832512315270941</v>
      </c>
      <c r="N41" s="276">
        <v>0.74540682414698167</v>
      </c>
      <c r="O41" s="298">
        <v>0.75153471299284857</v>
      </c>
      <c r="P41" s="298">
        <v>0.74705071820910174</v>
      </c>
      <c r="Q41" s="298">
        <v>0.74949002866168024</v>
      </c>
    </row>
    <row r="42" spans="2:17" ht="30" x14ac:dyDescent="0.25">
      <c r="B42" s="289" t="s">
        <v>510</v>
      </c>
      <c r="C42" s="276">
        <v>0.80890804597701149</v>
      </c>
      <c r="D42" s="276">
        <v>0.5178997613365155</v>
      </c>
      <c r="E42" s="276">
        <v>0.69955156950672648</v>
      </c>
      <c r="F42" s="276">
        <v>0.88843481814466696</v>
      </c>
      <c r="G42" s="276">
        <v>0.84765733296368173</v>
      </c>
      <c r="H42" s="276">
        <v>0.86822397801442808</v>
      </c>
      <c r="I42" s="276">
        <v>0.26575342465753427</v>
      </c>
      <c r="J42" s="276">
        <v>0.40157480314960631</v>
      </c>
      <c r="K42" s="276">
        <v>0.30081300813008133</v>
      </c>
      <c r="L42" s="276">
        <v>0.70833333333333337</v>
      </c>
      <c r="M42" s="276">
        <v>0.82844574780058655</v>
      </c>
      <c r="N42" s="276">
        <v>0.77882960413080893</v>
      </c>
      <c r="O42" s="298">
        <v>0.78310113260499148</v>
      </c>
      <c r="P42" s="298">
        <v>0.80482828969738185</v>
      </c>
      <c r="Q42" s="298">
        <v>0.79329787234042548</v>
      </c>
    </row>
    <row r="43" spans="2:17" x14ac:dyDescent="0.25">
      <c r="B43" s="160" t="s">
        <v>511</v>
      </c>
      <c r="C43" s="276">
        <v>0.81344148319814602</v>
      </c>
      <c r="D43" s="276">
        <v>0.59963768115942029</v>
      </c>
      <c r="E43" s="276">
        <v>0.73003533568904588</v>
      </c>
      <c r="F43" s="276">
        <v>0.89297227595099937</v>
      </c>
      <c r="G43" s="276">
        <v>0.85821474773609319</v>
      </c>
      <c r="H43" s="276">
        <v>0.87562156926057477</v>
      </c>
      <c r="I43" s="276">
        <v>0.25402298850574712</v>
      </c>
      <c r="J43" s="276">
        <v>0.44444444444444442</v>
      </c>
      <c r="K43" s="276">
        <v>0.30724637681159422</v>
      </c>
      <c r="L43" s="276">
        <v>0.68980477223427328</v>
      </c>
      <c r="M43" s="276">
        <v>0.77810650887573962</v>
      </c>
      <c r="N43" s="276">
        <v>0.74230430958663152</v>
      </c>
      <c r="O43" s="298">
        <v>0.7752102782142527</v>
      </c>
      <c r="P43" s="298">
        <v>0.80878231080660234</v>
      </c>
      <c r="Q43" s="298">
        <v>0.79102288284764322</v>
      </c>
    </row>
    <row r="44" spans="2:17" x14ac:dyDescent="0.25">
      <c r="B44" s="160" t="s">
        <v>813</v>
      </c>
      <c r="C44" s="276">
        <v>0.84507042253521125</v>
      </c>
      <c r="D44" s="276">
        <v>0.59176029962546817</v>
      </c>
      <c r="E44" s="276">
        <v>0.74747474747474751</v>
      </c>
      <c r="F44" s="276">
        <v>0.88459488272921105</v>
      </c>
      <c r="G44" s="276">
        <v>0.85706068449813055</v>
      </c>
      <c r="H44" s="276">
        <v>0.87135150089915614</v>
      </c>
      <c r="I44" s="276">
        <v>0.26514657980456025</v>
      </c>
      <c r="J44" s="276">
        <v>0.39238095238095239</v>
      </c>
      <c r="K44" s="276">
        <v>0.29757281553398057</v>
      </c>
      <c r="L44" s="276">
        <v>0.63141025641025639</v>
      </c>
      <c r="M44" s="276">
        <v>0.75406032482598606</v>
      </c>
      <c r="N44" s="276">
        <v>0.70255720053835802</v>
      </c>
      <c r="O44" s="298">
        <v>0.71087136929460581</v>
      </c>
      <c r="P44" s="298">
        <v>0.7806382978723404</v>
      </c>
      <c r="Q44" s="298">
        <v>0.7414452214452214</v>
      </c>
    </row>
    <row r="45" spans="2:17" x14ac:dyDescent="0.25">
      <c r="B45" s="160" t="s">
        <v>512</v>
      </c>
      <c r="C45" s="276">
        <v>0.77249134948096887</v>
      </c>
      <c r="D45" s="276">
        <v>0.49520766773162939</v>
      </c>
      <c r="E45" s="276">
        <v>0.67508417508417506</v>
      </c>
      <c r="F45" s="276">
        <v>0.88440928808369479</v>
      </c>
      <c r="G45" s="276">
        <v>0.84886877828054297</v>
      </c>
      <c r="H45" s="276">
        <v>0.86718989783838296</v>
      </c>
      <c r="I45" s="276">
        <v>0.29794034090909088</v>
      </c>
      <c r="J45" s="276">
        <v>0.43478260869565216</v>
      </c>
      <c r="K45" s="276">
        <v>0.33471825499870161</v>
      </c>
      <c r="L45" s="276">
        <v>0.69786535303776687</v>
      </c>
      <c r="M45" s="276">
        <v>0.79130434782608694</v>
      </c>
      <c r="N45" s="276">
        <v>0.75408763897972531</v>
      </c>
      <c r="O45" s="298">
        <v>0.768453911127433</v>
      </c>
      <c r="P45" s="298">
        <v>0.79730027144009974</v>
      </c>
      <c r="Q45" s="298">
        <v>0.78157429343655105</v>
      </c>
    </row>
    <row r="46" spans="2:17" x14ac:dyDescent="0.25">
      <c r="B46" s="160" t="s">
        <v>513</v>
      </c>
      <c r="C46" s="276">
        <v>0.78726708074534157</v>
      </c>
      <c r="D46" s="276">
        <v>0.41801385681293302</v>
      </c>
      <c r="E46" s="276">
        <v>0.6388115134633241</v>
      </c>
      <c r="F46" s="276">
        <v>0.8718901915927938</v>
      </c>
      <c r="G46" s="276">
        <v>0.85666361695638915</v>
      </c>
      <c r="H46" s="276">
        <v>0.86452184179456903</v>
      </c>
      <c r="I46" s="276">
        <v>0.21229050279329609</v>
      </c>
      <c r="J46" s="276">
        <v>0.38757763975155279</v>
      </c>
      <c r="K46" s="276">
        <v>0.26666666666666666</v>
      </c>
      <c r="L46" s="276">
        <v>0.62318840579710144</v>
      </c>
      <c r="M46" s="276">
        <v>0.75938566552901021</v>
      </c>
      <c r="N46" s="276">
        <v>0.70891514500537056</v>
      </c>
      <c r="O46" s="298">
        <v>0.73672362631740507</v>
      </c>
      <c r="P46" s="298">
        <v>0.78215223097112863</v>
      </c>
      <c r="Q46" s="298">
        <v>0.75769760396584962</v>
      </c>
    </row>
    <row r="47" spans="2:17" x14ac:dyDescent="0.25">
      <c r="B47" s="160" t="s">
        <v>518</v>
      </c>
      <c r="C47" s="276">
        <v>0.84326018808777425</v>
      </c>
      <c r="D47" s="276">
        <v>0.46560846560846558</v>
      </c>
      <c r="E47" s="276">
        <v>0.702755905511811</v>
      </c>
      <c r="F47" s="276">
        <v>0.86594079618917996</v>
      </c>
      <c r="G47" s="276">
        <v>0.85274801244382992</v>
      </c>
      <c r="H47" s="276">
        <v>0.85939643347050754</v>
      </c>
      <c r="I47" s="276">
        <v>0.37900874635568516</v>
      </c>
      <c r="J47" s="276">
        <v>0.51778656126482214</v>
      </c>
      <c r="K47" s="276">
        <v>0.41640042598509053</v>
      </c>
      <c r="L47" s="276">
        <v>0.64516129032258063</v>
      </c>
      <c r="M47" s="276">
        <v>0.80747126436781613</v>
      </c>
      <c r="N47" s="276">
        <v>0.75093632958801493</v>
      </c>
      <c r="O47" s="298">
        <v>0.77336561743341403</v>
      </c>
      <c r="P47" s="298">
        <v>0.80559326635894646</v>
      </c>
      <c r="Q47" s="298">
        <v>0.78855753231793169</v>
      </c>
    </row>
    <row r="48" spans="2:17" x14ac:dyDescent="0.25">
      <c r="B48" s="160" t="s">
        <v>514</v>
      </c>
      <c r="C48" s="276">
        <v>0.79381443298969068</v>
      </c>
      <c r="D48" s="276">
        <v>0.42006269592476492</v>
      </c>
      <c r="E48" s="276">
        <v>0.66148723640399554</v>
      </c>
      <c r="F48" s="276">
        <v>0.8696107523127945</v>
      </c>
      <c r="G48" s="276">
        <v>0.84451219512195119</v>
      </c>
      <c r="H48" s="276">
        <v>0.85723131357806281</v>
      </c>
      <c r="I48" s="276">
        <v>0.29436619718309859</v>
      </c>
      <c r="J48" s="276">
        <v>0.38586156111929309</v>
      </c>
      <c r="K48" s="276">
        <v>0.32396379228203909</v>
      </c>
      <c r="L48" s="276">
        <v>0.70544554455445541</v>
      </c>
      <c r="M48" s="276">
        <v>0.7768860353130016</v>
      </c>
      <c r="N48" s="276">
        <v>0.7487828627069133</v>
      </c>
      <c r="O48" s="298">
        <v>0.75562384757221879</v>
      </c>
      <c r="P48" s="298">
        <v>0.7765735723218008</v>
      </c>
      <c r="Q48" s="298">
        <v>0.76545786590138276</v>
      </c>
    </row>
    <row r="49" spans="2:23" ht="30" x14ac:dyDescent="0.25">
      <c r="B49" s="160" t="s">
        <v>515</v>
      </c>
      <c r="C49" s="276">
        <v>0.71186440677966101</v>
      </c>
      <c r="D49" s="276">
        <v>0.37931034482758619</v>
      </c>
      <c r="E49" s="276">
        <v>0.60227272727272729</v>
      </c>
      <c r="F49" s="276">
        <v>0.83676268861454051</v>
      </c>
      <c r="G49" s="276">
        <v>0.80392156862745101</v>
      </c>
      <c r="H49" s="276">
        <v>0.81994645247657294</v>
      </c>
      <c r="I49" s="276">
        <v>0.21774193548387097</v>
      </c>
      <c r="J49" s="276">
        <v>0.38775510204081631</v>
      </c>
      <c r="K49" s="276">
        <v>0.26589595375722541</v>
      </c>
      <c r="L49" s="276">
        <v>0.75</v>
      </c>
      <c r="M49" s="276">
        <v>0.8571428571428571</v>
      </c>
      <c r="N49" s="276">
        <v>0.8214285714285714</v>
      </c>
      <c r="O49" s="298">
        <v>0.74468085106382975</v>
      </c>
      <c r="P49" s="298">
        <v>0.77085650723025589</v>
      </c>
      <c r="Q49" s="298">
        <v>0.75747688961392057</v>
      </c>
    </row>
    <row r="50" spans="2:23" ht="30" x14ac:dyDescent="0.25">
      <c r="B50" s="160" t="s">
        <v>516</v>
      </c>
      <c r="C50" s="276">
        <v>0.69090909090909092</v>
      </c>
      <c r="D50" s="276">
        <v>0.35185185185185186</v>
      </c>
      <c r="E50" s="276">
        <v>0.57926829268292679</v>
      </c>
      <c r="F50" s="276">
        <v>0.82479584261321459</v>
      </c>
      <c r="G50" s="276">
        <v>0.78792692613185067</v>
      </c>
      <c r="H50" s="276">
        <v>0.80698388334612436</v>
      </c>
      <c r="I50" s="276">
        <v>0.29770992366412213</v>
      </c>
      <c r="J50" s="276">
        <v>0.5357142857142857</v>
      </c>
      <c r="K50" s="276">
        <v>0.36898395721925131</v>
      </c>
      <c r="L50" s="276">
        <v>0.75757575757575757</v>
      </c>
      <c r="M50" s="276">
        <v>0.76315789473684215</v>
      </c>
      <c r="N50" s="276">
        <v>0.76056338028169013</v>
      </c>
      <c r="O50" s="298">
        <v>0.77146311970979442</v>
      </c>
      <c r="P50" s="298">
        <v>0.76055363321799307</v>
      </c>
      <c r="Q50" s="298">
        <v>0.76637625040335589</v>
      </c>
    </row>
    <row r="51" spans="2:23" ht="15" customHeight="1" x14ac:dyDescent="0.25">
      <c r="B51" s="350" t="s">
        <v>921</v>
      </c>
      <c r="C51" s="298">
        <v>0.69838265657260845</v>
      </c>
      <c r="D51" s="298">
        <v>0.37276751640970845</v>
      </c>
      <c r="E51" s="298">
        <v>0.58101788170563962</v>
      </c>
      <c r="F51" s="298">
        <v>0.85812957165821879</v>
      </c>
      <c r="G51" s="298">
        <v>0.82262802108241839</v>
      </c>
      <c r="H51" s="298">
        <v>0.8410264995695016</v>
      </c>
      <c r="I51" s="298">
        <v>0.24233635268394985</v>
      </c>
      <c r="J51" s="298">
        <v>0.38232538773810765</v>
      </c>
      <c r="K51" s="298">
        <v>0.28434005871697171</v>
      </c>
      <c r="L51" s="298">
        <v>0.69039264828738511</v>
      </c>
      <c r="M51" s="298">
        <v>0.78173567782189446</v>
      </c>
      <c r="N51" s="298">
        <v>0.74479729729729727</v>
      </c>
      <c r="O51" s="298">
        <v>0.76014067857415912</v>
      </c>
      <c r="P51" s="298">
        <v>0.77094190575456689</v>
      </c>
      <c r="Q51" s="298">
        <v>0.76512750700457477</v>
      </c>
    </row>
    <row r="52" spans="2:23" customFormat="1" ht="90" customHeight="1" x14ac:dyDescent="0.25">
      <c r="B52" s="474" t="s">
        <v>965</v>
      </c>
      <c r="C52" s="474"/>
      <c r="D52" s="474"/>
      <c r="E52" s="474"/>
      <c r="F52" s="474"/>
      <c r="G52" s="474"/>
      <c r="H52" s="474"/>
      <c r="I52" s="474"/>
      <c r="J52" s="474"/>
      <c r="K52" s="474"/>
      <c r="L52" s="474"/>
      <c r="M52" s="474"/>
      <c r="N52" s="474"/>
      <c r="O52" s="474"/>
      <c r="P52" s="474"/>
      <c r="Q52" s="474"/>
    </row>
    <row r="54" spans="2:23" ht="18.75" x14ac:dyDescent="0.3">
      <c r="B54" s="2" t="s">
        <v>787</v>
      </c>
      <c r="C54" s="2"/>
      <c r="D54" s="2"/>
      <c r="E54" s="2"/>
      <c r="F54" s="2"/>
      <c r="G54" s="8"/>
      <c r="H54"/>
      <c r="I54"/>
    </row>
    <row r="55" spans="2:23" x14ac:dyDescent="0.25">
      <c r="B55" s="351" t="s">
        <v>872</v>
      </c>
    </row>
    <row r="56" spans="2:23" x14ac:dyDescent="0.25">
      <c r="B56" s="15"/>
    </row>
    <row r="57" spans="2:23" x14ac:dyDescent="0.25">
      <c r="B57" s="435" t="s">
        <v>472</v>
      </c>
      <c r="C57" s="436" t="s">
        <v>477</v>
      </c>
      <c r="D57" s="437"/>
      <c r="E57" s="437"/>
      <c r="F57" s="437"/>
      <c r="G57" s="437"/>
      <c r="H57" s="437"/>
      <c r="I57" s="437"/>
      <c r="J57" s="437"/>
      <c r="K57" s="437"/>
      <c r="L57" s="437"/>
      <c r="M57" s="437"/>
      <c r="N57" s="437"/>
      <c r="O57" s="437"/>
      <c r="P57" s="437"/>
      <c r="Q57" s="437"/>
      <c r="R57" s="437"/>
      <c r="S57" s="437"/>
      <c r="T57" s="438"/>
      <c r="U57" s="432" t="s">
        <v>950</v>
      </c>
      <c r="V57" s="432"/>
      <c r="W57" s="432"/>
    </row>
    <row r="58" spans="2:23" x14ac:dyDescent="0.25">
      <c r="B58" s="435"/>
      <c r="C58" s="434" t="s">
        <v>936</v>
      </c>
      <c r="D58" s="434"/>
      <c r="E58" s="434"/>
      <c r="F58" s="434" t="s">
        <v>937</v>
      </c>
      <c r="G58" s="434"/>
      <c r="H58" s="434"/>
      <c r="I58" s="434" t="s">
        <v>942</v>
      </c>
      <c r="J58" s="434"/>
      <c r="K58" s="434"/>
      <c r="L58" s="434" t="s">
        <v>2</v>
      </c>
      <c r="M58" s="434"/>
      <c r="N58" s="434"/>
      <c r="O58" s="434" t="s">
        <v>941</v>
      </c>
      <c r="P58" s="434"/>
      <c r="Q58" s="434"/>
      <c r="R58" s="434" t="s">
        <v>3</v>
      </c>
      <c r="S58" s="434"/>
      <c r="T58" s="434"/>
      <c r="U58" s="432"/>
      <c r="V58" s="432"/>
      <c r="W58" s="432"/>
    </row>
    <row r="59" spans="2:23" x14ac:dyDescent="0.25">
      <c r="B59" s="435"/>
      <c r="C59" s="238" t="s">
        <v>73</v>
      </c>
      <c r="D59" s="238" t="s">
        <v>74</v>
      </c>
      <c r="E59" s="238" t="s">
        <v>25</v>
      </c>
      <c r="F59" s="238" t="s">
        <v>73</v>
      </c>
      <c r="G59" s="238" t="s">
        <v>74</v>
      </c>
      <c r="H59" s="238" t="s">
        <v>25</v>
      </c>
      <c r="I59" s="238" t="s">
        <v>73</v>
      </c>
      <c r="J59" s="238" t="s">
        <v>74</v>
      </c>
      <c r="K59" s="238" t="s">
        <v>25</v>
      </c>
      <c r="L59" s="238" t="s">
        <v>73</v>
      </c>
      <c r="M59" s="238" t="s">
        <v>74</v>
      </c>
      <c r="N59" s="238" t="s">
        <v>25</v>
      </c>
      <c r="O59" s="238" t="s">
        <v>73</v>
      </c>
      <c r="P59" s="238" t="s">
        <v>74</v>
      </c>
      <c r="Q59" s="238" t="s">
        <v>25</v>
      </c>
      <c r="R59" s="238" t="s">
        <v>73</v>
      </c>
      <c r="S59" s="238" t="s">
        <v>74</v>
      </c>
      <c r="T59" s="238" t="s">
        <v>25</v>
      </c>
      <c r="U59" s="300" t="s">
        <v>73</v>
      </c>
      <c r="V59" s="300" t="s">
        <v>74</v>
      </c>
      <c r="W59" s="300" t="s">
        <v>25</v>
      </c>
    </row>
    <row r="60" spans="2:23" hidden="1" outlineLevel="1" x14ac:dyDescent="0.25">
      <c r="B60" s="328">
        <v>39630</v>
      </c>
      <c r="C60" s="374" t="s">
        <v>781</v>
      </c>
      <c r="D60" s="374" t="s">
        <v>781</v>
      </c>
      <c r="E60" s="374" t="s">
        <v>781</v>
      </c>
      <c r="F60" s="374" t="s">
        <v>781</v>
      </c>
      <c r="G60" s="374" t="s">
        <v>781</v>
      </c>
      <c r="H60" s="374" t="s">
        <v>781</v>
      </c>
      <c r="I60" s="374">
        <v>0.99291377063423114</v>
      </c>
      <c r="J60" s="374">
        <v>0.98814574494634388</v>
      </c>
      <c r="K60" s="374">
        <v>0.99206172233867007</v>
      </c>
      <c r="L60" s="374">
        <v>0.56155706553034668</v>
      </c>
      <c r="M60" s="374">
        <v>0.77443609022556392</v>
      </c>
      <c r="N60" s="374">
        <v>0.60553728070175439</v>
      </c>
      <c r="O60" s="374">
        <v>0.75202057310800885</v>
      </c>
      <c r="P60" s="374">
        <v>0.66639072847682124</v>
      </c>
      <c r="Q60" s="374">
        <v>0.72569974554707384</v>
      </c>
      <c r="R60" s="374">
        <v>0.16034755134281201</v>
      </c>
      <c r="S60" s="374">
        <v>0.2638888888888889</v>
      </c>
      <c r="T60" s="374">
        <v>0.19540229885057472</v>
      </c>
      <c r="U60" s="375">
        <v>0.88271417893865023</v>
      </c>
      <c r="V60" s="375">
        <v>0.87758634902316379</v>
      </c>
      <c r="W60" s="375">
        <v>0.88170490313787842</v>
      </c>
    </row>
    <row r="61" spans="2:23" hidden="1" outlineLevel="1" x14ac:dyDescent="0.25">
      <c r="B61" s="328">
        <v>39661</v>
      </c>
      <c r="C61" s="374" t="s">
        <v>781</v>
      </c>
      <c r="D61" s="374" t="s">
        <v>781</v>
      </c>
      <c r="E61" s="374" t="s">
        <v>781</v>
      </c>
      <c r="F61" s="374" t="s">
        <v>781</v>
      </c>
      <c r="G61" s="374" t="s">
        <v>781</v>
      </c>
      <c r="H61" s="374" t="s">
        <v>781</v>
      </c>
      <c r="I61" s="374">
        <v>0.98183429330970318</v>
      </c>
      <c r="J61" s="374">
        <v>0.98637015781922521</v>
      </c>
      <c r="K61" s="374">
        <v>0.98290453622207175</v>
      </c>
      <c r="L61" s="374">
        <v>0.55663665408074359</v>
      </c>
      <c r="M61" s="374">
        <v>0.75038206826286291</v>
      </c>
      <c r="N61" s="374">
        <v>0.59961577579387504</v>
      </c>
      <c r="O61" s="374">
        <v>0.80420012353304504</v>
      </c>
      <c r="P61" s="374">
        <v>0.67349551856594114</v>
      </c>
      <c r="Q61" s="374">
        <v>0.76166666666666671</v>
      </c>
      <c r="R61" s="374">
        <v>0.10618556701030928</v>
      </c>
      <c r="S61" s="374">
        <v>0.21476510067114093</v>
      </c>
      <c r="T61" s="374">
        <v>0.1475095785440613</v>
      </c>
      <c r="U61" s="375">
        <v>0.76214667891693244</v>
      </c>
      <c r="V61" s="375">
        <v>0.79585509138381205</v>
      </c>
      <c r="W61" s="375">
        <v>0.7705330680849336</v>
      </c>
    </row>
    <row r="62" spans="2:23" hidden="1" outlineLevel="1" x14ac:dyDescent="0.25">
      <c r="B62" s="328">
        <v>39692</v>
      </c>
      <c r="C62" s="374" t="s">
        <v>781</v>
      </c>
      <c r="D62" s="374" t="s">
        <v>781</v>
      </c>
      <c r="E62" s="374" t="s">
        <v>781</v>
      </c>
      <c r="F62" s="374" t="s">
        <v>781</v>
      </c>
      <c r="G62" s="374" t="s">
        <v>781</v>
      </c>
      <c r="H62" s="374" t="s">
        <v>781</v>
      </c>
      <c r="I62" s="374">
        <v>0.98981348637015787</v>
      </c>
      <c r="J62" s="374">
        <v>0.98317307692307687</v>
      </c>
      <c r="K62" s="374">
        <v>0.98828729281767957</v>
      </c>
      <c r="L62" s="374">
        <v>0.49196064314854809</v>
      </c>
      <c r="M62" s="374">
        <v>0.68088888888888888</v>
      </c>
      <c r="N62" s="374">
        <v>0.53212396069538925</v>
      </c>
      <c r="O62" s="374">
        <v>0.74460742018981885</v>
      </c>
      <c r="P62" s="374">
        <v>0.61102603369065855</v>
      </c>
      <c r="Q62" s="374">
        <v>0.69646799116997793</v>
      </c>
      <c r="R62" s="374">
        <v>0.15311909262759923</v>
      </c>
      <c r="S62" s="374">
        <v>0.31921824104234525</v>
      </c>
      <c r="T62" s="374">
        <v>0.21411483253588517</v>
      </c>
      <c r="U62" s="375">
        <v>0.77138401559454195</v>
      </c>
      <c r="V62" s="375">
        <v>0.79423769507803121</v>
      </c>
      <c r="W62" s="375">
        <v>0.77698646262507354</v>
      </c>
    </row>
    <row r="63" spans="2:23" hidden="1" outlineLevel="1" x14ac:dyDescent="0.25">
      <c r="B63" s="328">
        <v>39722</v>
      </c>
      <c r="C63" s="374" t="s">
        <v>781</v>
      </c>
      <c r="D63" s="374" t="s">
        <v>781</v>
      </c>
      <c r="E63" s="374" t="s">
        <v>781</v>
      </c>
      <c r="F63" s="374" t="s">
        <v>781</v>
      </c>
      <c r="G63" s="374" t="s">
        <v>781</v>
      </c>
      <c r="H63" s="374" t="s">
        <v>781</v>
      </c>
      <c r="I63" s="374">
        <v>0.98596433289299867</v>
      </c>
      <c r="J63" s="374">
        <v>0.98871968415115619</v>
      </c>
      <c r="K63" s="374">
        <v>0.98658832545663555</v>
      </c>
      <c r="L63" s="374">
        <v>0.47790314997649269</v>
      </c>
      <c r="M63" s="374">
        <v>0.66779949022939677</v>
      </c>
      <c r="N63" s="374">
        <v>0.51905726385564355</v>
      </c>
      <c r="O63" s="374">
        <v>0.77055449330783943</v>
      </c>
      <c r="P63" s="374">
        <v>0.63622754491017963</v>
      </c>
      <c r="Q63" s="374">
        <v>0.71820303383897321</v>
      </c>
      <c r="R63" s="374">
        <v>0.26706231454005935</v>
      </c>
      <c r="S63" s="374">
        <v>0.41304347826086957</v>
      </c>
      <c r="T63" s="374">
        <v>0.31861804222648754</v>
      </c>
      <c r="U63" s="375">
        <v>0.76113914307705466</v>
      </c>
      <c r="V63" s="375">
        <v>0.79957916885849556</v>
      </c>
      <c r="W63" s="375">
        <v>0.77057115198451109</v>
      </c>
    </row>
    <row r="64" spans="2:23" hidden="1" outlineLevel="1" x14ac:dyDescent="0.25">
      <c r="B64" s="328">
        <v>39753</v>
      </c>
      <c r="C64" s="374" t="s">
        <v>781</v>
      </c>
      <c r="D64" s="374" t="s">
        <v>781</v>
      </c>
      <c r="E64" s="374" t="s">
        <v>781</v>
      </c>
      <c r="F64" s="374" t="s">
        <v>781</v>
      </c>
      <c r="G64" s="374" t="s">
        <v>781</v>
      </c>
      <c r="H64" s="374" t="s">
        <v>781</v>
      </c>
      <c r="I64" s="374">
        <v>0.99139102854553696</v>
      </c>
      <c r="J64" s="374">
        <v>0.98374613003095979</v>
      </c>
      <c r="K64" s="374">
        <v>0.98966000701016477</v>
      </c>
      <c r="L64" s="374">
        <v>0.51647058823529413</v>
      </c>
      <c r="M64" s="374">
        <v>0.73179611650485432</v>
      </c>
      <c r="N64" s="374">
        <v>0.56905749851807941</v>
      </c>
      <c r="O64" s="374">
        <v>0.81161137440758291</v>
      </c>
      <c r="P64" s="374">
        <v>0.76243093922651939</v>
      </c>
      <c r="Q64" s="374">
        <v>0.79235760634462871</v>
      </c>
      <c r="R64" s="374">
        <v>0.39632545931758528</v>
      </c>
      <c r="S64" s="374">
        <v>0.60386473429951693</v>
      </c>
      <c r="T64" s="374">
        <v>0.46938775510204084</v>
      </c>
      <c r="U64" s="375">
        <v>0.79728904628159725</v>
      </c>
      <c r="V64" s="375">
        <v>0.84193998604326592</v>
      </c>
      <c r="W64" s="375">
        <v>0.80886476707372235</v>
      </c>
    </row>
    <row r="65" spans="2:23" hidden="1" outlineLevel="1" x14ac:dyDescent="0.25">
      <c r="B65" s="328">
        <v>39783</v>
      </c>
      <c r="C65" s="374" t="s">
        <v>781</v>
      </c>
      <c r="D65" s="374" t="s">
        <v>781</v>
      </c>
      <c r="E65" s="374" t="s">
        <v>781</v>
      </c>
      <c r="F65" s="374" t="s">
        <v>781</v>
      </c>
      <c r="G65" s="374" t="s">
        <v>781</v>
      </c>
      <c r="H65" s="374" t="s">
        <v>781</v>
      </c>
      <c r="I65" s="374">
        <v>0.99707531074823297</v>
      </c>
      <c r="J65" s="374">
        <v>0.99593495934959353</v>
      </c>
      <c r="K65" s="374">
        <v>0.99681230076879801</v>
      </c>
      <c r="L65" s="374">
        <v>0.53705905667855725</v>
      </c>
      <c r="M65" s="374">
        <v>0.70650887573964494</v>
      </c>
      <c r="N65" s="374">
        <v>0.57957244655581952</v>
      </c>
      <c r="O65" s="374">
        <v>0.80222222222222217</v>
      </c>
      <c r="P65" s="374">
        <v>0.74732006125574268</v>
      </c>
      <c r="Q65" s="374">
        <v>0.77913715389568572</v>
      </c>
      <c r="R65" s="374">
        <v>0.47715736040609136</v>
      </c>
      <c r="S65" s="374">
        <v>0.54506437768240346</v>
      </c>
      <c r="T65" s="374">
        <v>0.50239234449760761</v>
      </c>
      <c r="U65" s="375">
        <v>0.80252525252525253</v>
      </c>
      <c r="V65" s="375">
        <v>0.82303275920297192</v>
      </c>
      <c r="W65" s="375">
        <v>0.80810587262200162</v>
      </c>
    </row>
    <row r="66" spans="2:23" collapsed="1" x14ac:dyDescent="0.25">
      <c r="B66" s="330" t="s">
        <v>690</v>
      </c>
      <c r="C66" s="375" t="s">
        <v>781</v>
      </c>
      <c r="D66" s="375" t="s">
        <v>781</v>
      </c>
      <c r="E66" s="375" t="s">
        <v>781</v>
      </c>
      <c r="F66" s="375" t="s">
        <v>781</v>
      </c>
      <c r="G66" s="375" t="s">
        <v>781</v>
      </c>
      <c r="H66" s="375" t="s">
        <v>781</v>
      </c>
      <c r="I66" s="375">
        <v>0.99065337368702155</v>
      </c>
      <c r="J66" s="375">
        <v>0.98742577715682855</v>
      </c>
      <c r="K66" s="375">
        <v>0.98999787188763566</v>
      </c>
      <c r="L66" s="375">
        <v>0.53199834847233696</v>
      </c>
      <c r="M66" s="375">
        <v>0.72913616398243042</v>
      </c>
      <c r="N66" s="375">
        <v>0.57536231884057976</v>
      </c>
      <c r="O66" s="375">
        <v>0.77496382054992763</v>
      </c>
      <c r="P66" s="375">
        <v>0.67909454061251662</v>
      </c>
      <c r="Q66" s="375">
        <v>0.7407407407407407</v>
      </c>
      <c r="R66" s="375">
        <v>0.21052631578947367</v>
      </c>
      <c r="S66" s="375">
        <v>0.33333333333333331</v>
      </c>
      <c r="T66" s="375">
        <v>0.25470763131813678</v>
      </c>
      <c r="U66" s="375">
        <v>0.82364961891085831</v>
      </c>
      <c r="V66" s="375">
        <v>0.83377012354923252</v>
      </c>
      <c r="W66" s="375">
        <v>0.82591265779597411</v>
      </c>
    </row>
    <row r="67" spans="2:23" hidden="1" outlineLevel="1" x14ac:dyDescent="0.25">
      <c r="B67" s="328">
        <v>39814</v>
      </c>
      <c r="C67" s="374" t="s">
        <v>781</v>
      </c>
      <c r="D67" s="374" t="s">
        <v>781</v>
      </c>
      <c r="E67" s="374" t="s">
        <v>781</v>
      </c>
      <c r="F67" s="374" t="s">
        <v>781</v>
      </c>
      <c r="G67" s="374" t="s">
        <v>781</v>
      </c>
      <c r="H67" s="374" t="s">
        <v>781</v>
      </c>
      <c r="I67" s="374">
        <v>0.99726692985119947</v>
      </c>
      <c r="J67" s="374">
        <v>0.98912133891213394</v>
      </c>
      <c r="K67" s="374">
        <v>0.99509803921568629</v>
      </c>
      <c r="L67" s="374">
        <v>0.55152838427947604</v>
      </c>
      <c r="M67" s="374">
        <v>0.71754636233951496</v>
      </c>
      <c r="N67" s="374">
        <v>0.59043798060849217</v>
      </c>
      <c r="O67" s="374">
        <v>0.86775818639798485</v>
      </c>
      <c r="P67" s="374">
        <v>0.81681681681681684</v>
      </c>
      <c r="Q67" s="374">
        <v>0.84452054794520548</v>
      </c>
      <c r="R67" s="374">
        <v>0.61722488038277512</v>
      </c>
      <c r="S67" s="374">
        <v>0.70940170940170943</v>
      </c>
      <c r="T67" s="374">
        <v>0.65030674846625769</v>
      </c>
      <c r="U67" s="375">
        <v>0.80853568800588671</v>
      </c>
      <c r="V67" s="375">
        <v>0.85658082975679539</v>
      </c>
      <c r="W67" s="375">
        <v>0.82254196642685851</v>
      </c>
    </row>
    <row r="68" spans="2:23" hidden="1" outlineLevel="1" x14ac:dyDescent="0.25">
      <c r="B68" s="328">
        <v>39845</v>
      </c>
      <c r="C68" s="374" t="s">
        <v>781</v>
      </c>
      <c r="D68" s="374" t="s">
        <v>781</v>
      </c>
      <c r="E68" s="374" t="s">
        <v>781</v>
      </c>
      <c r="F68" s="374" t="s">
        <v>781</v>
      </c>
      <c r="G68" s="374" t="s">
        <v>781</v>
      </c>
      <c r="H68" s="374" t="s">
        <v>781</v>
      </c>
      <c r="I68" s="374">
        <v>0.99919322307382008</v>
      </c>
      <c r="J68" s="374">
        <v>0.9977194982896237</v>
      </c>
      <c r="K68" s="374">
        <v>0.99880810488676997</v>
      </c>
      <c r="L68" s="374">
        <v>0.54698375870069604</v>
      </c>
      <c r="M68" s="374">
        <v>0.77883096366508686</v>
      </c>
      <c r="N68" s="374">
        <v>0.60924904539669067</v>
      </c>
      <c r="O68" s="374">
        <v>0.94366197183098588</v>
      </c>
      <c r="P68" s="374">
        <v>0.94896030245746688</v>
      </c>
      <c r="Q68" s="374">
        <v>0.94606164383561642</v>
      </c>
      <c r="R68" s="374">
        <v>0.72702702702702704</v>
      </c>
      <c r="S68" s="374">
        <v>0.84210526315789469</v>
      </c>
      <c r="T68" s="374">
        <v>0.77090301003344486</v>
      </c>
      <c r="U68" s="375">
        <v>0.82348426707597855</v>
      </c>
      <c r="V68" s="375">
        <v>0.90957212174680191</v>
      </c>
      <c r="W68" s="375">
        <v>0.84957882069795432</v>
      </c>
    </row>
    <row r="69" spans="2:23" hidden="1" outlineLevel="1" x14ac:dyDescent="0.25">
      <c r="B69" s="328">
        <v>39873</v>
      </c>
      <c r="C69" s="374" t="s">
        <v>781</v>
      </c>
      <c r="D69" s="374" t="s">
        <v>781</v>
      </c>
      <c r="E69" s="374" t="s">
        <v>781</v>
      </c>
      <c r="F69" s="374" t="s">
        <v>781</v>
      </c>
      <c r="G69" s="374" t="s">
        <v>781</v>
      </c>
      <c r="H69" s="374" t="s">
        <v>781</v>
      </c>
      <c r="I69" s="374">
        <v>0.99937578027465668</v>
      </c>
      <c r="J69" s="374">
        <v>0.9971830985915493</v>
      </c>
      <c r="K69" s="374">
        <v>0.99882876551885691</v>
      </c>
      <c r="L69" s="374">
        <v>0.54297352342158856</v>
      </c>
      <c r="M69" s="374">
        <v>0.73684210526315785</v>
      </c>
      <c r="N69" s="374">
        <v>0.5888024883359253</v>
      </c>
      <c r="O69" s="374">
        <v>0.9287598944591029</v>
      </c>
      <c r="P69" s="374">
        <v>0.95380029806259314</v>
      </c>
      <c r="Q69" s="374">
        <v>0.94051784464660604</v>
      </c>
      <c r="R69" s="374">
        <v>0.6875</v>
      </c>
      <c r="S69" s="374">
        <v>0.83061889250814336</v>
      </c>
      <c r="T69" s="374">
        <v>0.74569536423841054</v>
      </c>
      <c r="U69" s="375">
        <v>0.80801165331391112</v>
      </c>
      <c r="V69" s="375">
        <v>0.89796646450231898</v>
      </c>
      <c r="W69" s="375">
        <v>0.83409184940008274</v>
      </c>
    </row>
    <row r="70" spans="2:23" hidden="1" outlineLevel="1" x14ac:dyDescent="0.25">
      <c r="B70" s="328">
        <v>39904</v>
      </c>
      <c r="C70" s="374" t="s">
        <v>781</v>
      </c>
      <c r="D70" s="374" t="s">
        <v>781</v>
      </c>
      <c r="E70" s="374" t="s">
        <v>781</v>
      </c>
      <c r="F70" s="374" t="s">
        <v>781</v>
      </c>
      <c r="G70" s="374" t="s">
        <v>781</v>
      </c>
      <c r="H70" s="374" t="s">
        <v>781</v>
      </c>
      <c r="I70" s="374">
        <v>0.99547983310152988</v>
      </c>
      <c r="J70" s="374">
        <v>0.99363732767762458</v>
      </c>
      <c r="K70" s="374">
        <v>0.99502487562189057</v>
      </c>
      <c r="L70" s="374">
        <v>0.57708430367955288</v>
      </c>
      <c r="M70" s="374">
        <v>0.77777777777777779</v>
      </c>
      <c r="N70" s="374">
        <v>0.62508858965272851</v>
      </c>
      <c r="O70" s="374">
        <v>0.95325779036827196</v>
      </c>
      <c r="P70" s="374">
        <v>0.95812395309882747</v>
      </c>
      <c r="Q70" s="374">
        <v>0.95548733691481202</v>
      </c>
      <c r="R70" s="374">
        <v>0.8125</v>
      </c>
      <c r="S70" s="374">
        <v>0.85614035087719298</v>
      </c>
      <c r="T70" s="374">
        <v>0.83024251069900146</v>
      </c>
      <c r="U70" s="375">
        <v>0.83205858421480883</v>
      </c>
      <c r="V70" s="375">
        <v>0.91120000000000001</v>
      </c>
      <c r="W70" s="375">
        <v>0.85494505494505491</v>
      </c>
    </row>
    <row r="71" spans="2:23" hidden="1" outlineLevel="1" x14ac:dyDescent="0.25">
      <c r="B71" s="328">
        <v>39934</v>
      </c>
      <c r="C71" s="374" t="s">
        <v>781</v>
      </c>
      <c r="D71" s="374" t="s">
        <v>781</v>
      </c>
      <c r="E71" s="374" t="s">
        <v>781</v>
      </c>
      <c r="F71" s="374" t="s">
        <v>781</v>
      </c>
      <c r="G71" s="374" t="s">
        <v>781</v>
      </c>
      <c r="H71" s="374" t="s">
        <v>781</v>
      </c>
      <c r="I71" s="374">
        <v>0.97562804649418822</v>
      </c>
      <c r="J71" s="374">
        <v>0.99096045197740112</v>
      </c>
      <c r="K71" s="374">
        <v>0.97944819819819817</v>
      </c>
      <c r="L71" s="374">
        <v>0.55781584582441113</v>
      </c>
      <c r="M71" s="374">
        <v>0.73421926910299007</v>
      </c>
      <c r="N71" s="374">
        <v>0.60080971659919025</v>
      </c>
      <c r="O71" s="374">
        <v>0.95189003436426112</v>
      </c>
      <c r="P71" s="374">
        <v>0.94965277777777779</v>
      </c>
      <c r="Q71" s="374">
        <v>0.95077720207253891</v>
      </c>
      <c r="R71" s="374">
        <v>0.87782805429864252</v>
      </c>
      <c r="S71" s="374">
        <v>0.85761589403973515</v>
      </c>
      <c r="T71" s="374">
        <v>0.8696236559139785</v>
      </c>
      <c r="U71" s="375">
        <v>0.82496851951789896</v>
      </c>
      <c r="V71" s="375">
        <v>0.89852008456659616</v>
      </c>
      <c r="W71" s="375">
        <v>0.8469207470974256</v>
      </c>
    </row>
    <row r="72" spans="2:23" hidden="1" outlineLevel="1" x14ac:dyDescent="0.25">
      <c r="B72" s="328">
        <v>39965</v>
      </c>
      <c r="C72" s="374" t="s">
        <v>781</v>
      </c>
      <c r="D72" s="374" t="s">
        <v>781</v>
      </c>
      <c r="E72" s="374" t="s">
        <v>781</v>
      </c>
      <c r="F72" s="374" t="s">
        <v>781</v>
      </c>
      <c r="G72" s="374" t="s">
        <v>781</v>
      </c>
      <c r="H72" s="374" t="s">
        <v>781</v>
      </c>
      <c r="I72" s="374">
        <v>0.94102694458566349</v>
      </c>
      <c r="J72" s="374">
        <v>0.9437439379243453</v>
      </c>
      <c r="K72" s="374">
        <v>0.94196130753835894</v>
      </c>
      <c r="L72" s="374">
        <v>0.59266503667481663</v>
      </c>
      <c r="M72" s="374">
        <v>0.76190476190476186</v>
      </c>
      <c r="N72" s="374">
        <v>0.63741007194244603</v>
      </c>
      <c r="O72" s="374">
        <v>0.70383459483526267</v>
      </c>
      <c r="P72" s="374">
        <v>0.94699665696106983</v>
      </c>
      <c r="Q72" s="374">
        <v>0.78660842112991447</v>
      </c>
      <c r="R72" s="374">
        <v>0.87073170731707317</v>
      </c>
      <c r="S72" s="374">
        <v>0.90883190883190879</v>
      </c>
      <c r="T72" s="374">
        <v>0.88830486202365311</v>
      </c>
      <c r="U72" s="375">
        <v>0.71145745577085084</v>
      </c>
      <c r="V72" s="375">
        <v>0.93960218748487634</v>
      </c>
      <c r="W72" s="375">
        <v>0.7887120827256191</v>
      </c>
    </row>
    <row r="73" spans="2:23" hidden="1" outlineLevel="1" x14ac:dyDescent="0.25">
      <c r="B73" s="328">
        <v>39995</v>
      </c>
      <c r="C73" s="374" t="s">
        <v>781</v>
      </c>
      <c r="D73" s="374" t="s">
        <v>781</v>
      </c>
      <c r="E73" s="374" t="s">
        <v>781</v>
      </c>
      <c r="F73" s="374" t="s">
        <v>781</v>
      </c>
      <c r="G73" s="374" t="s">
        <v>781</v>
      </c>
      <c r="H73" s="374" t="s">
        <v>781</v>
      </c>
      <c r="I73" s="374">
        <v>0.9748489705338429</v>
      </c>
      <c r="J73" s="374">
        <v>0.96660808435852374</v>
      </c>
      <c r="K73" s="374">
        <v>0.97383500919018273</v>
      </c>
      <c r="L73" s="374">
        <v>0.57894736842105265</v>
      </c>
      <c r="M73" s="374">
        <v>0.76839237057220711</v>
      </c>
      <c r="N73" s="374">
        <v>0.61946386946386944</v>
      </c>
      <c r="O73" s="374">
        <v>0.88928828181164632</v>
      </c>
      <c r="P73" s="374">
        <v>0.95486549918757901</v>
      </c>
      <c r="Q73" s="374">
        <v>0.91948131113019871</v>
      </c>
      <c r="R73" s="374">
        <v>0.92500000000000004</v>
      </c>
      <c r="S73" s="374">
        <v>0.90909090909090906</v>
      </c>
      <c r="T73" s="374">
        <v>0.9178082191780822</v>
      </c>
      <c r="U73" s="375">
        <v>0.88508294495323148</v>
      </c>
      <c r="V73" s="375">
        <v>0.94749986715553425</v>
      </c>
      <c r="W73" s="375">
        <v>0.90881176518120477</v>
      </c>
    </row>
    <row r="74" spans="2:23" hidden="1" outlineLevel="1" x14ac:dyDescent="0.25">
      <c r="B74" s="328">
        <v>40026</v>
      </c>
      <c r="C74" s="374" t="s">
        <v>781</v>
      </c>
      <c r="D74" s="374" t="s">
        <v>781</v>
      </c>
      <c r="E74" s="374" t="s">
        <v>781</v>
      </c>
      <c r="F74" s="374" t="s">
        <v>781</v>
      </c>
      <c r="G74" s="374" t="s">
        <v>781</v>
      </c>
      <c r="H74" s="374" t="s">
        <v>781</v>
      </c>
      <c r="I74" s="374">
        <v>0.97861751152073728</v>
      </c>
      <c r="J74" s="374">
        <v>0.97918112421929215</v>
      </c>
      <c r="K74" s="374">
        <v>0.97873579959219337</v>
      </c>
      <c r="L74" s="374">
        <v>0.5661842569714084</v>
      </c>
      <c r="M74" s="374">
        <v>0.73108265424912688</v>
      </c>
      <c r="N74" s="374">
        <v>0.60455037919826649</v>
      </c>
      <c r="O74" s="374">
        <v>0.97865600492080573</v>
      </c>
      <c r="P74" s="374">
        <v>0.97889646076060677</v>
      </c>
      <c r="Q74" s="374">
        <v>0.97875497647484622</v>
      </c>
      <c r="R74" s="374">
        <v>0.76715410573678289</v>
      </c>
      <c r="S74" s="374">
        <v>0.88695652173913042</v>
      </c>
      <c r="T74" s="374">
        <v>0.81420765027322406</v>
      </c>
      <c r="U74" s="375">
        <v>0.94608996207575247</v>
      </c>
      <c r="V74" s="375">
        <v>0.96854020296643251</v>
      </c>
      <c r="W74" s="375">
        <v>0.95463868493802206</v>
      </c>
    </row>
    <row r="75" spans="2:23" hidden="1" outlineLevel="1" x14ac:dyDescent="0.25">
      <c r="B75" s="328">
        <v>40057</v>
      </c>
      <c r="C75" s="374" t="s">
        <v>781</v>
      </c>
      <c r="D75" s="374" t="s">
        <v>781</v>
      </c>
      <c r="E75" s="374" t="s">
        <v>781</v>
      </c>
      <c r="F75" s="374" t="s">
        <v>781</v>
      </c>
      <c r="G75" s="374" t="s">
        <v>781</v>
      </c>
      <c r="H75" s="374" t="s">
        <v>781</v>
      </c>
      <c r="I75" s="374">
        <v>0.97145138750249549</v>
      </c>
      <c r="J75" s="374">
        <v>0.93535353535353538</v>
      </c>
      <c r="K75" s="374">
        <v>0.96319679704342465</v>
      </c>
      <c r="L75" s="374">
        <v>0.54488188976377949</v>
      </c>
      <c r="M75" s="374">
        <v>0.73768613974799546</v>
      </c>
      <c r="N75" s="374">
        <v>0.59419865221213009</v>
      </c>
      <c r="O75" s="374">
        <v>0.97623952432229977</v>
      </c>
      <c r="P75" s="374">
        <v>0.98140228097459825</v>
      </c>
      <c r="Q75" s="374">
        <v>0.97840504471202194</v>
      </c>
      <c r="R75" s="374">
        <v>0.85876288659793809</v>
      </c>
      <c r="S75" s="374">
        <v>0.88288288288288286</v>
      </c>
      <c r="T75" s="374">
        <v>0.86949055523755003</v>
      </c>
      <c r="U75" s="375">
        <v>0.95216347561332626</v>
      </c>
      <c r="V75" s="375">
        <v>0.97088149651460343</v>
      </c>
      <c r="W75" s="375">
        <v>0.95962973391524709</v>
      </c>
    </row>
    <row r="76" spans="2:23" hidden="1" outlineLevel="1" x14ac:dyDescent="0.25">
      <c r="B76" s="328">
        <v>40087</v>
      </c>
      <c r="C76" s="374" t="s">
        <v>781</v>
      </c>
      <c r="D76" s="374" t="s">
        <v>781</v>
      </c>
      <c r="E76" s="374" t="s">
        <v>781</v>
      </c>
      <c r="F76" s="374" t="s">
        <v>781</v>
      </c>
      <c r="G76" s="374" t="s">
        <v>781</v>
      </c>
      <c r="H76" s="374" t="s">
        <v>781</v>
      </c>
      <c r="I76" s="374">
        <v>0.96211389961389959</v>
      </c>
      <c r="J76" s="374">
        <v>0.9311827956989247</v>
      </c>
      <c r="K76" s="374">
        <v>0.95432388517782996</v>
      </c>
      <c r="L76" s="374">
        <v>0.53739272578667752</v>
      </c>
      <c r="M76" s="374">
        <v>0.73880597014925375</v>
      </c>
      <c r="N76" s="374">
        <v>0.58720393725007691</v>
      </c>
      <c r="O76" s="374">
        <v>0.95948293480482316</v>
      </c>
      <c r="P76" s="374">
        <v>0.96955890121500266</v>
      </c>
      <c r="Q76" s="374">
        <v>0.96387832699619769</v>
      </c>
      <c r="R76" s="374">
        <v>0.87221396731054979</v>
      </c>
      <c r="S76" s="374">
        <v>0.8764044943820225</v>
      </c>
      <c r="T76" s="374">
        <v>0.87406793703396857</v>
      </c>
      <c r="U76" s="375">
        <v>0.91921299746609031</v>
      </c>
      <c r="V76" s="375">
        <v>0.95340381495776694</v>
      </c>
      <c r="W76" s="375">
        <v>0.93288305414532691</v>
      </c>
    </row>
    <row r="77" spans="2:23" hidden="1" outlineLevel="1" x14ac:dyDescent="0.25">
      <c r="B77" s="328">
        <v>40118</v>
      </c>
      <c r="C77" s="374" t="s">
        <v>781</v>
      </c>
      <c r="D77" s="374" t="s">
        <v>781</v>
      </c>
      <c r="E77" s="374" t="s">
        <v>781</v>
      </c>
      <c r="F77" s="374" t="s">
        <v>781</v>
      </c>
      <c r="G77" s="374" t="s">
        <v>781</v>
      </c>
      <c r="H77" s="374" t="s">
        <v>781</v>
      </c>
      <c r="I77" s="374">
        <v>0.97840676976947771</v>
      </c>
      <c r="J77" s="374">
        <v>0.9737072743207712</v>
      </c>
      <c r="K77" s="374">
        <v>0.97723292469352019</v>
      </c>
      <c r="L77" s="374">
        <v>0.50476668339187158</v>
      </c>
      <c r="M77" s="374">
        <v>0.75407166123778502</v>
      </c>
      <c r="N77" s="374">
        <v>0.5634829305715382</v>
      </c>
      <c r="O77" s="374">
        <v>0.95859847592112502</v>
      </c>
      <c r="P77" s="374">
        <v>0.96682350102545545</v>
      </c>
      <c r="Q77" s="374">
        <v>0.96184223046912165</v>
      </c>
      <c r="R77" s="374">
        <v>0.87519025875190259</v>
      </c>
      <c r="S77" s="374">
        <v>0.91827956989247317</v>
      </c>
      <c r="T77" s="374">
        <v>0.89304812834224601</v>
      </c>
      <c r="U77" s="375">
        <v>0.91119855365308944</v>
      </c>
      <c r="V77" s="375">
        <v>0.95299267294699785</v>
      </c>
      <c r="W77" s="375">
        <v>0.9261811359372335</v>
      </c>
    </row>
    <row r="78" spans="2:23" hidden="1" outlineLevel="1" x14ac:dyDescent="0.25">
      <c r="B78" s="328">
        <v>40148</v>
      </c>
      <c r="C78" s="374" t="s">
        <v>781</v>
      </c>
      <c r="D78" s="374" t="s">
        <v>781</v>
      </c>
      <c r="E78" s="374" t="s">
        <v>781</v>
      </c>
      <c r="F78" s="374" t="s">
        <v>781</v>
      </c>
      <c r="G78" s="374" t="s">
        <v>781</v>
      </c>
      <c r="H78" s="374" t="s">
        <v>781</v>
      </c>
      <c r="I78" s="374">
        <v>0.98544303797468358</v>
      </c>
      <c r="J78" s="374">
        <v>0.98231009365244537</v>
      </c>
      <c r="K78" s="374">
        <v>0.98471244843484595</v>
      </c>
      <c r="L78" s="374">
        <v>0.50160599571734477</v>
      </c>
      <c r="M78" s="374">
        <v>0.71653543307086609</v>
      </c>
      <c r="N78" s="374">
        <v>0.55613264083100278</v>
      </c>
      <c r="O78" s="374">
        <v>0.94143540669856463</v>
      </c>
      <c r="P78" s="374">
        <v>0.90309822017139085</v>
      </c>
      <c r="Q78" s="374">
        <v>0.92735197965855432</v>
      </c>
      <c r="R78" s="374">
        <v>0.85419734904270983</v>
      </c>
      <c r="S78" s="374">
        <v>0.8884955752212389</v>
      </c>
      <c r="T78" s="374">
        <v>0.86977491961414788</v>
      </c>
      <c r="U78" s="375">
        <v>0.89552515937364607</v>
      </c>
      <c r="V78" s="375">
        <v>0.8969498116417548</v>
      </c>
      <c r="W78" s="375">
        <v>0.89600590502747479</v>
      </c>
    </row>
    <row r="79" spans="2:23" collapsed="1" x14ac:dyDescent="0.25">
      <c r="B79" s="330" t="s">
        <v>691</v>
      </c>
      <c r="C79" s="375" t="s">
        <v>781</v>
      </c>
      <c r="D79" s="375" t="s">
        <v>781</v>
      </c>
      <c r="E79" s="375" t="s">
        <v>781</v>
      </c>
      <c r="F79" s="375" t="s">
        <v>781</v>
      </c>
      <c r="G79" s="375" t="s">
        <v>781</v>
      </c>
      <c r="H79" s="375" t="s">
        <v>781</v>
      </c>
      <c r="I79" s="375">
        <v>0.97928683796539062</v>
      </c>
      <c r="J79" s="375">
        <v>0.97079646017699117</v>
      </c>
      <c r="K79" s="375">
        <v>0.97734169532672466</v>
      </c>
      <c r="L79" s="375">
        <v>0.55173951828724355</v>
      </c>
      <c r="M79" s="375">
        <v>0.74547983310152988</v>
      </c>
      <c r="N79" s="375">
        <v>0.59878419452887544</v>
      </c>
      <c r="O79" s="375">
        <v>0.90562453355044437</v>
      </c>
      <c r="P79" s="375">
        <v>0.964190325452567</v>
      </c>
      <c r="Q79" s="375">
        <v>0.92941365849732382</v>
      </c>
      <c r="R79" s="375">
        <v>0.81914893617021278</v>
      </c>
      <c r="S79" s="375">
        <v>0.87409200968523004</v>
      </c>
      <c r="T79" s="375">
        <v>0.84237461617195497</v>
      </c>
      <c r="U79" s="375">
        <v>0.87926029962546814</v>
      </c>
      <c r="V79" s="375">
        <v>0.94907444830652332</v>
      </c>
      <c r="W79" s="375">
        <v>0.90489178772605994</v>
      </c>
    </row>
    <row r="80" spans="2:23" hidden="1" outlineLevel="1" x14ac:dyDescent="0.25">
      <c r="B80" s="328">
        <v>40179</v>
      </c>
      <c r="C80" s="374" t="s">
        <v>781</v>
      </c>
      <c r="D80" s="374" t="s">
        <v>781</v>
      </c>
      <c r="E80" s="374" t="s">
        <v>781</v>
      </c>
      <c r="F80" s="374" t="s">
        <v>781</v>
      </c>
      <c r="G80" s="374" t="s">
        <v>781</v>
      </c>
      <c r="H80" s="374" t="s">
        <v>781</v>
      </c>
      <c r="I80" s="374">
        <v>0.99537366548042705</v>
      </c>
      <c r="J80" s="374">
        <v>0.99228224917309815</v>
      </c>
      <c r="K80" s="374">
        <v>0.99461931665321501</v>
      </c>
      <c r="L80" s="374">
        <v>0.53410404624277452</v>
      </c>
      <c r="M80" s="374">
        <v>0.73397435897435892</v>
      </c>
      <c r="N80" s="374">
        <v>0.58708581138487681</v>
      </c>
      <c r="O80" s="374">
        <v>0.965134328358209</v>
      </c>
      <c r="P80" s="374">
        <v>0.92137297944522056</v>
      </c>
      <c r="Q80" s="374">
        <v>0.94875242790975645</v>
      </c>
      <c r="R80" s="374">
        <v>0.90666666666666662</v>
      </c>
      <c r="S80" s="374">
        <v>0.96961325966850831</v>
      </c>
      <c r="T80" s="374">
        <v>0.93035343035343032</v>
      </c>
      <c r="U80" s="375">
        <v>0.91365149833518311</v>
      </c>
      <c r="V80" s="375">
        <v>0.91628041714947861</v>
      </c>
      <c r="W80" s="375">
        <v>0.91454037905871977</v>
      </c>
    </row>
    <row r="81" spans="2:23" hidden="1" outlineLevel="1" x14ac:dyDescent="0.25">
      <c r="B81" s="328">
        <v>40210</v>
      </c>
      <c r="C81" s="374" t="s">
        <v>781</v>
      </c>
      <c r="D81" s="374" t="s">
        <v>781</v>
      </c>
      <c r="E81" s="374" t="s">
        <v>781</v>
      </c>
      <c r="F81" s="374" t="s">
        <v>781</v>
      </c>
      <c r="G81" s="374" t="s">
        <v>781</v>
      </c>
      <c r="H81" s="374" t="s">
        <v>781</v>
      </c>
      <c r="I81" s="374">
        <v>0.99309392265193375</v>
      </c>
      <c r="J81" s="374">
        <v>0.9728729963008631</v>
      </c>
      <c r="K81" s="374">
        <v>0.98759637948374124</v>
      </c>
      <c r="L81" s="374">
        <v>0.52471984179301256</v>
      </c>
      <c r="M81" s="374">
        <v>0.74446680080482897</v>
      </c>
      <c r="N81" s="374">
        <v>0.57894736842105265</v>
      </c>
      <c r="O81" s="374">
        <v>0.98047127178825044</v>
      </c>
      <c r="P81" s="374">
        <v>0.95922174840085284</v>
      </c>
      <c r="Q81" s="374">
        <v>0.97245677523120222</v>
      </c>
      <c r="R81" s="374">
        <v>0.93202146690518783</v>
      </c>
      <c r="S81" s="374">
        <v>0.9513513513513514</v>
      </c>
      <c r="T81" s="374">
        <v>0.93972012917115177</v>
      </c>
      <c r="U81" s="375">
        <v>0.91430486403676747</v>
      </c>
      <c r="V81" s="375">
        <v>0.94106813996316763</v>
      </c>
      <c r="W81" s="375">
        <v>0.92345974549577925</v>
      </c>
    </row>
    <row r="82" spans="2:23" hidden="1" outlineLevel="1" x14ac:dyDescent="0.25">
      <c r="B82" s="328">
        <v>40238</v>
      </c>
      <c r="C82" s="374" t="s">
        <v>781</v>
      </c>
      <c r="D82" s="374" t="s">
        <v>781</v>
      </c>
      <c r="E82" s="374" t="s">
        <v>781</v>
      </c>
      <c r="F82" s="374" t="s">
        <v>781</v>
      </c>
      <c r="G82" s="374" t="s">
        <v>781</v>
      </c>
      <c r="H82" s="374" t="s">
        <v>781</v>
      </c>
      <c r="I82" s="374">
        <v>0.99150382327952424</v>
      </c>
      <c r="J82" s="374">
        <v>0.97549591598599772</v>
      </c>
      <c r="K82" s="374">
        <v>0.98723139208969168</v>
      </c>
      <c r="L82" s="374">
        <v>0.55942028985507242</v>
      </c>
      <c r="M82" s="374">
        <v>0.73570019723865876</v>
      </c>
      <c r="N82" s="374">
        <v>0.60678325384207732</v>
      </c>
      <c r="O82" s="374">
        <v>0.96668685645063601</v>
      </c>
      <c r="P82" s="374">
        <v>0.95064252336448596</v>
      </c>
      <c r="Q82" s="374">
        <v>0.96012892443595554</v>
      </c>
      <c r="R82" s="374">
        <v>0.94108527131782949</v>
      </c>
      <c r="S82" s="374">
        <v>0.97945205479452058</v>
      </c>
      <c r="T82" s="374">
        <v>0.95660203139427513</v>
      </c>
      <c r="U82" s="375">
        <v>0.91095156450921555</v>
      </c>
      <c r="V82" s="375">
        <v>0.93628013777267505</v>
      </c>
      <c r="W82" s="375">
        <v>0.92004396208270367</v>
      </c>
    </row>
    <row r="83" spans="2:23" hidden="1" outlineLevel="1" x14ac:dyDescent="0.25">
      <c r="B83" s="328">
        <v>40269</v>
      </c>
      <c r="C83" s="374" t="s">
        <v>781</v>
      </c>
      <c r="D83" s="374" t="s">
        <v>781</v>
      </c>
      <c r="E83" s="374" t="s">
        <v>781</v>
      </c>
      <c r="F83" s="374" t="s">
        <v>781</v>
      </c>
      <c r="G83" s="374" t="s">
        <v>781</v>
      </c>
      <c r="H83" s="374" t="s">
        <v>781</v>
      </c>
      <c r="I83" s="374">
        <v>0.99245283018867925</v>
      </c>
      <c r="J83" s="374">
        <v>0.97718631178707227</v>
      </c>
      <c r="K83" s="374">
        <v>0.98865784499054821</v>
      </c>
      <c r="L83" s="374">
        <v>0.49816625916870416</v>
      </c>
      <c r="M83" s="374">
        <v>0.734006734006734</v>
      </c>
      <c r="N83" s="374">
        <v>0.56098654708520179</v>
      </c>
      <c r="O83" s="374">
        <v>0.9634167385677308</v>
      </c>
      <c r="P83" s="374">
        <v>0.95561204536566291</v>
      </c>
      <c r="Q83" s="374">
        <v>0.95975799798331651</v>
      </c>
      <c r="R83" s="374">
        <v>0.91167192429022081</v>
      </c>
      <c r="S83" s="374">
        <v>0.96981891348088534</v>
      </c>
      <c r="T83" s="374">
        <v>0.93722369584438547</v>
      </c>
      <c r="U83" s="375">
        <v>0.89406698564593301</v>
      </c>
      <c r="V83" s="375">
        <v>0.94023448670288823</v>
      </c>
      <c r="W83" s="375">
        <v>0.91257739050676445</v>
      </c>
    </row>
    <row r="84" spans="2:23" hidden="1" outlineLevel="1" x14ac:dyDescent="0.25">
      <c r="B84" s="328">
        <v>40299</v>
      </c>
      <c r="C84" s="374" t="s">
        <v>781</v>
      </c>
      <c r="D84" s="374" t="s">
        <v>781</v>
      </c>
      <c r="E84" s="374" t="s">
        <v>781</v>
      </c>
      <c r="F84" s="374" t="s">
        <v>781</v>
      </c>
      <c r="G84" s="374" t="s">
        <v>781</v>
      </c>
      <c r="H84" s="374" t="s">
        <v>781</v>
      </c>
      <c r="I84" s="374">
        <v>0.99260969976905311</v>
      </c>
      <c r="J84" s="374">
        <v>0.98873591989987486</v>
      </c>
      <c r="K84" s="374">
        <v>0.99156545209176783</v>
      </c>
      <c r="L84" s="374">
        <v>0.50156152404747034</v>
      </c>
      <c r="M84" s="374">
        <v>0.7392120075046904</v>
      </c>
      <c r="N84" s="374">
        <v>0.56091846298031867</v>
      </c>
      <c r="O84" s="374">
        <v>0.97210657785179022</v>
      </c>
      <c r="P84" s="374">
        <v>0.96992481203007519</v>
      </c>
      <c r="Q84" s="374">
        <v>0.97101751459549623</v>
      </c>
      <c r="R84" s="374">
        <v>0.91979522184300344</v>
      </c>
      <c r="S84" s="374">
        <v>0.96955503512880559</v>
      </c>
      <c r="T84" s="374">
        <v>0.94076999012833173</v>
      </c>
      <c r="U84" s="375">
        <v>0.89132809086937526</v>
      </c>
      <c r="V84" s="375">
        <v>0.95341377730258137</v>
      </c>
      <c r="W84" s="375">
        <v>0.91721327134942365</v>
      </c>
    </row>
    <row r="85" spans="2:23" hidden="1" outlineLevel="1" x14ac:dyDescent="0.25">
      <c r="B85" s="328">
        <v>40330</v>
      </c>
      <c r="C85" s="374" t="s">
        <v>781</v>
      </c>
      <c r="D85" s="374" t="s">
        <v>781</v>
      </c>
      <c r="E85" s="374" t="s">
        <v>781</v>
      </c>
      <c r="F85" s="374" t="s">
        <v>781</v>
      </c>
      <c r="G85" s="374" t="s">
        <v>781</v>
      </c>
      <c r="H85" s="374" t="s">
        <v>781</v>
      </c>
      <c r="I85" s="374">
        <v>0.9973009446693657</v>
      </c>
      <c r="J85" s="374">
        <v>0.9893111638954869</v>
      </c>
      <c r="K85" s="374">
        <v>0.9951060358890701</v>
      </c>
      <c r="L85" s="374">
        <v>0.49114233353695785</v>
      </c>
      <c r="M85" s="374">
        <v>0.70149253731343286</v>
      </c>
      <c r="N85" s="374">
        <v>0.54302807179015189</v>
      </c>
      <c r="O85" s="374">
        <v>0.97142857142857142</v>
      </c>
      <c r="P85" s="374">
        <v>0.96987780619494179</v>
      </c>
      <c r="Q85" s="374">
        <v>0.97074931540950959</v>
      </c>
      <c r="R85" s="374">
        <v>0.8537477148080439</v>
      </c>
      <c r="S85" s="374">
        <v>0.92091836734693877</v>
      </c>
      <c r="T85" s="374">
        <v>0.88178913738019171</v>
      </c>
      <c r="U85" s="375">
        <v>0.91240604301555406</v>
      </c>
      <c r="V85" s="375">
        <v>0.95322434150772029</v>
      </c>
      <c r="W85" s="375">
        <v>0.9285682175769836</v>
      </c>
    </row>
    <row r="86" spans="2:23" hidden="1" outlineLevel="1" x14ac:dyDescent="0.25">
      <c r="B86" s="328">
        <v>40360</v>
      </c>
      <c r="C86" s="374" t="s">
        <v>781</v>
      </c>
      <c r="D86" s="374" t="s">
        <v>781</v>
      </c>
      <c r="E86" s="374" t="s">
        <v>781</v>
      </c>
      <c r="F86" s="374" t="s">
        <v>781</v>
      </c>
      <c r="G86" s="374" t="s">
        <v>781</v>
      </c>
      <c r="H86" s="374" t="s">
        <v>781</v>
      </c>
      <c r="I86" s="374">
        <v>0.77695666778636208</v>
      </c>
      <c r="J86" s="374">
        <v>0.89640591966173366</v>
      </c>
      <c r="K86" s="374">
        <v>0.80576089727249556</v>
      </c>
      <c r="L86" s="374">
        <v>0.46391752577319589</v>
      </c>
      <c r="M86" s="374">
        <v>0.58888888888888891</v>
      </c>
      <c r="N86" s="374">
        <v>0.49474645957058017</v>
      </c>
      <c r="O86" s="374">
        <v>0.73971128276560716</v>
      </c>
      <c r="P86" s="374">
        <v>0.80325408735486925</v>
      </c>
      <c r="Q86" s="374">
        <v>0.767984536988227</v>
      </c>
      <c r="R86" s="374">
        <v>0.66293929712460065</v>
      </c>
      <c r="S86" s="374">
        <v>0.65532879818594103</v>
      </c>
      <c r="T86" s="374">
        <v>0.65979381443298968</v>
      </c>
      <c r="U86" s="375">
        <v>0.72108714244987171</v>
      </c>
      <c r="V86" s="375">
        <v>0.79688785302988763</v>
      </c>
      <c r="W86" s="375">
        <v>0.75211876297917724</v>
      </c>
    </row>
    <row r="87" spans="2:23" hidden="1" outlineLevel="1" x14ac:dyDescent="0.25">
      <c r="B87" s="328">
        <v>40391</v>
      </c>
      <c r="C87" s="374" t="s">
        <v>781</v>
      </c>
      <c r="D87" s="374" t="s">
        <v>781</v>
      </c>
      <c r="E87" s="374" t="s">
        <v>781</v>
      </c>
      <c r="F87" s="374" t="s">
        <v>781</v>
      </c>
      <c r="G87" s="374" t="s">
        <v>781</v>
      </c>
      <c r="H87" s="374" t="s">
        <v>781</v>
      </c>
      <c r="I87" s="374">
        <v>0.74207718857860061</v>
      </c>
      <c r="J87" s="374">
        <v>0.86692381870781099</v>
      </c>
      <c r="K87" s="374">
        <v>0.77272727272727271</v>
      </c>
      <c r="L87" s="374">
        <v>0.43831168831168832</v>
      </c>
      <c r="M87" s="374">
        <v>0.62677165354330711</v>
      </c>
      <c r="N87" s="374">
        <v>0.48650825614176402</v>
      </c>
      <c r="O87" s="374">
        <v>0.69454131378549566</v>
      </c>
      <c r="P87" s="374">
        <v>0.75759269610583191</v>
      </c>
      <c r="Q87" s="374">
        <v>0.72184789187008269</v>
      </c>
      <c r="R87" s="374">
        <v>0.75367047308319735</v>
      </c>
      <c r="S87" s="374">
        <v>0.72062084257206205</v>
      </c>
      <c r="T87" s="374">
        <v>0.73966165413533835</v>
      </c>
      <c r="U87" s="375">
        <v>0.68003451951875726</v>
      </c>
      <c r="V87" s="375">
        <v>0.75865287392082137</v>
      </c>
      <c r="W87" s="375">
        <v>0.71108244256051112</v>
      </c>
    </row>
    <row r="88" spans="2:23" hidden="1" outlineLevel="1" x14ac:dyDescent="0.25">
      <c r="B88" s="328">
        <v>40422</v>
      </c>
      <c r="C88" s="374" t="s">
        <v>781</v>
      </c>
      <c r="D88" s="374" t="s">
        <v>781</v>
      </c>
      <c r="E88" s="374" t="s">
        <v>781</v>
      </c>
      <c r="F88" s="374" t="s">
        <v>781</v>
      </c>
      <c r="G88" s="374" t="s">
        <v>781</v>
      </c>
      <c r="H88" s="374" t="s">
        <v>781</v>
      </c>
      <c r="I88" s="374">
        <v>0.77849927849927847</v>
      </c>
      <c r="J88" s="374">
        <v>0.88249118683901295</v>
      </c>
      <c r="K88" s="374">
        <v>0.80292575213911122</v>
      </c>
      <c r="L88" s="374">
        <v>0.46965517241379312</v>
      </c>
      <c r="M88" s="374">
        <v>0.68993839835728954</v>
      </c>
      <c r="N88" s="374">
        <v>0.52503871966959215</v>
      </c>
      <c r="O88" s="374">
        <v>0.68314424635332249</v>
      </c>
      <c r="P88" s="374">
        <v>0.70234336047864387</v>
      </c>
      <c r="Q88" s="374">
        <v>0.69102695325827368</v>
      </c>
      <c r="R88" s="374">
        <v>0.73653846153846159</v>
      </c>
      <c r="S88" s="374">
        <v>0.69148936170212771</v>
      </c>
      <c r="T88" s="374">
        <v>0.7176339285714286</v>
      </c>
      <c r="U88" s="375">
        <v>0.68183856502242157</v>
      </c>
      <c r="V88" s="375">
        <v>0.72086405380933904</v>
      </c>
      <c r="W88" s="375">
        <v>0.69612997963147172</v>
      </c>
    </row>
    <row r="89" spans="2:23" hidden="1" outlineLevel="1" x14ac:dyDescent="0.25">
      <c r="B89" s="328">
        <v>40452</v>
      </c>
      <c r="C89" s="374" t="s">
        <v>781</v>
      </c>
      <c r="D89" s="374" t="s">
        <v>781</v>
      </c>
      <c r="E89" s="374" t="s">
        <v>781</v>
      </c>
      <c r="F89" s="374" t="s">
        <v>781</v>
      </c>
      <c r="G89" s="374" t="s">
        <v>781</v>
      </c>
      <c r="H89" s="374" t="s">
        <v>781</v>
      </c>
      <c r="I89" s="374">
        <v>0.77579573277369707</v>
      </c>
      <c r="J89" s="374">
        <v>0.90252293577981646</v>
      </c>
      <c r="K89" s="374">
        <v>0.80541409809702491</v>
      </c>
      <c r="L89" s="374">
        <v>0.44803548795944231</v>
      </c>
      <c r="M89" s="374">
        <v>0.52601156069364163</v>
      </c>
      <c r="N89" s="374">
        <v>0.46733428707677632</v>
      </c>
      <c r="O89" s="374">
        <v>0.69345911949685535</v>
      </c>
      <c r="P89" s="374">
        <v>0.71729957805907174</v>
      </c>
      <c r="Q89" s="374">
        <v>0.70315648085963733</v>
      </c>
      <c r="R89" s="374">
        <v>0.69344262295081971</v>
      </c>
      <c r="S89" s="374">
        <v>0.71047227926078027</v>
      </c>
      <c r="T89" s="374">
        <v>0.70100273473108476</v>
      </c>
      <c r="U89" s="375">
        <v>0.68177271678079554</v>
      </c>
      <c r="V89" s="375">
        <v>0.72533769954973393</v>
      </c>
      <c r="W89" s="375">
        <v>0.69748105874249733</v>
      </c>
    </row>
    <row r="90" spans="2:23" hidden="1" outlineLevel="1" x14ac:dyDescent="0.25">
      <c r="B90" s="328">
        <v>40483</v>
      </c>
      <c r="C90" s="374" t="s">
        <v>781</v>
      </c>
      <c r="D90" s="374" t="s">
        <v>781</v>
      </c>
      <c r="E90" s="374" t="s">
        <v>781</v>
      </c>
      <c r="F90" s="374" t="s">
        <v>781</v>
      </c>
      <c r="G90" s="374" t="s">
        <v>781</v>
      </c>
      <c r="H90" s="374" t="s">
        <v>781</v>
      </c>
      <c r="I90" s="374">
        <v>0.77413127413127414</v>
      </c>
      <c r="J90" s="374">
        <v>0.88669950738916259</v>
      </c>
      <c r="K90" s="374">
        <v>0.80099941211052317</v>
      </c>
      <c r="L90" s="374">
        <v>0.39743589743589741</v>
      </c>
      <c r="M90" s="374">
        <v>0.60279441117764476</v>
      </c>
      <c r="N90" s="374">
        <v>0.44735565259582727</v>
      </c>
      <c r="O90" s="374">
        <v>0.69447388342165028</v>
      </c>
      <c r="P90" s="374">
        <v>0.71938057250117315</v>
      </c>
      <c r="Q90" s="374">
        <v>0.70424220115947367</v>
      </c>
      <c r="R90" s="374">
        <v>0.71314741035856577</v>
      </c>
      <c r="S90" s="374">
        <v>0.7183908045977011</v>
      </c>
      <c r="T90" s="374">
        <v>0.71529411764705886</v>
      </c>
      <c r="U90" s="375">
        <v>0.67247046282313228</v>
      </c>
      <c r="V90" s="375">
        <v>0.73239912206652036</v>
      </c>
      <c r="W90" s="375">
        <v>0.69313154831199064</v>
      </c>
    </row>
    <row r="91" spans="2:23" hidden="1" outlineLevel="1" x14ac:dyDescent="0.25">
      <c r="B91" s="328">
        <v>40513</v>
      </c>
      <c r="C91" s="374" t="s">
        <v>781</v>
      </c>
      <c r="D91" s="374" t="s">
        <v>781</v>
      </c>
      <c r="E91" s="374" t="s">
        <v>781</v>
      </c>
      <c r="F91" s="374" t="s">
        <v>781</v>
      </c>
      <c r="G91" s="374" t="s">
        <v>781</v>
      </c>
      <c r="H91" s="374" t="s">
        <v>781</v>
      </c>
      <c r="I91" s="374">
        <v>0.75244140625</v>
      </c>
      <c r="J91" s="374">
        <v>0.86181277860326899</v>
      </c>
      <c r="K91" s="374">
        <v>0.77949283351708931</v>
      </c>
      <c r="L91" s="374">
        <v>0.44314868804664725</v>
      </c>
      <c r="M91" s="374">
        <v>0.68073878627968343</v>
      </c>
      <c r="N91" s="374">
        <v>0.50710227272727271</v>
      </c>
      <c r="O91" s="374">
        <v>0.65879496799823434</v>
      </c>
      <c r="P91" s="374">
        <v>0.70029004189494037</v>
      </c>
      <c r="Q91" s="374">
        <v>0.67566151427822896</v>
      </c>
      <c r="R91" s="374">
        <v>0.83401639344262291</v>
      </c>
      <c r="S91" s="374">
        <v>0.85436893203883491</v>
      </c>
      <c r="T91" s="374">
        <v>0.84333333333333338</v>
      </c>
      <c r="U91" s="375">
        <v>0.66563735177865613</v>
      </c>
      <c r="V91" s="375">
        <v>0.73636960805780605</v>
      </c>
      <c r="W91" s="375">
        <v>0.69114743741609408</v>
      </c>
    </row>
    <row r="92" spans="2:23" collapsed="1" x14ac:dyDescent="0.25">
      <c r="B92" s="330" t="s">
        <v>692</v>
      </c>
      <c r="C92" s="375" t="s">
        <v>781</v>
      </c>
      <c r="D92" s="375" t="s">
        <v>781</v>
      </c>
      <c r="E92" s="375" t="s">
        <v>781</v>
      </c>
      <c r="F92" s="375" t="s">
        <v>781</v>
      </c>
      <c r="G92" s="375" t="s">
        <v>781</v>
      </c>
      <c r="H92" s="375" t="s">
        <v>781</v>
      </c>
      <c r="I92" s="375">
        <v>0.87151277013752459</v>
      </c>
      <c r="J92" s="375">
        <v>0.93176470588235294</v>
      </c>
      <c r="K92" s="375">
        <v>0.88659793814432986</v>
      </c>
      <c r="L92" s="375">
        <v>0.48098001289490649</v>
      </c>
      <c r="M92" s="375">
        <v>0.67674858223062384</v>
      </c>
      <c r="N92" s="375">
        <v>0.53051417587698224</v>
      </c>
      <c r="O92" s="375">
        <v>0.81054590570719598</v>
      </c>
      <c r="P92" s="375">
        <v>0.83400605449041376</v>
      </c>
      <c r="Q92" s="375">
        <v>0.82050549764386693</v>
      </c>
      <c r="R92" s="375">
        <v>0.82179930795847755</v>
      </c>
      <c r="S92" s="375">
        <v>0.84172661870503596</v>
      </c>
      <c r="T92" s="375">
        <v>0.83098591549295775</v>
      </c>
      <c r="U92" s="375">
        <v>0.78317889115753103</v>
      </c>
      <c r="V92" s="375">
        <v>0.8342805476621028</v>
      </c>
      <c r="W92" s="375">
        <v>0.80250048837663601</v>
      </c>
    </row>
    <row r="93" spans="2:23" hidden="1" outlineLevel="1" x14ac:dyDescent="0.25">
      <c r="B93" s="328">
        <v>40544</v>
      </c>
      <c r="C93" s="374" t="s">
        <v>781</v>
      </c>
      <c r="D93" s="374" t="s">
        <v>781</v>
      </c>
      <c r="E93" s="374" t="s">
        <v>781</v>
      </c>
      <c r="F93" s="374" t="s">
        <v>781</v>
      </c>
      <c r="G93" s="374" t="s">
        <v>781</v>
      </c>
      <c r="H93" s="374" t="s">
        <v>781</v>
      </c>
      <c r="I93" s="374">
        <v>0.70281124497991965</v>
      </c>
      <c r="J93" s="374">
        <v>0.859375</v>
      </c>
      <c r="K93" s="374">
        <v>0.74424099232132312</v>
      </c>
      <c r="L93" s="374">
        <v>0.4345025053686471</v>
      </c>
      <c r="M93" s="374">
        <v>0.689873417721519</v>
      </c>
      <c r="N93" s="374">
        <v>0.49919828968466062</v>
      </c>
      <c r="O93" s="374">
        <v>0.69808356896010049</v>
      </c>
      <c r="P93" s="374">
        <v>0.73542116630669552</v>
      </c>
      <c r="Q93" s="374">
        <v>0.71380502000727541</v>
      </c>
      <c r="R93" s="374">
        <v>0.83539823008849556</v>
      </c>
      <c r="S93" s="374">
        <v>0.89743589743589747</v>
      </c>
      <c r="T93" s="374">
        <v>0.8621730382293763</v>
      </c>
      <c r="U93" s="375">
        <v>0.67230541689776302</v>
      </c>
      <c r="V93" s="375">
        <v>0.76014932337844143</v>
      </c>
      <c r="W93" s="375">
        <v>0.70505015364991008</v>
      </c>
    </row>
    <row r="94" spans="2:23" hidden="1" outlineLevel="1" x14ac:dyDescent="0.25">
      <c r="B94" s="328">
        <v>40575</v>
      </c>
      <c r="C94" s="374" t="s">
        <v>781</v>
      </c>
      <c r="D94" s="374" t="s">
        <v>781</v>
      </c>
      <c r="E94" s="374" t="s">
        <v>781</v>
      </c>
      <c r="F94" s="374" t="s">
        <v>781</v>
      </c>
      <c r="G94" s="374" t="s">
        <v>781</v>
      </c>
      <c r="H94" s="374" t="s">
        <v>781</v>
      </c>
      <c r="I94" s="374">
        <v>0.74942844078646553</v>
      </c>
      <c r="J94" s="374">
        <v>0.86810228802153433</v>
      </c>
      <c r="K94" s="374">
        <v>0.77952218430034126</v>
      </c>
      <c r="L94" s="374">
        <v>0.39108061749571182</v>
      </c>
      <c r="M94" s="374">
        <v>0.66974595842956119</v>
      </c>
      <c r="N94" s="374">
        <v>0.46654158849280802</v>
      </c>
      <c r="O94" s="374">
        <v>0.70397815912636508</v>
      </c>
      <c r="P94" s="374">
        <v>0.71690977849810911</v>
      </c>
      <c r="Q94" s="374">
        <v>0.70939977349943373</v>
      </c>
      <c r="R94" s="374">
        <v>0.80982905982905984</v>
      </c>
      <c r="S94" s="374">
        <v>0.91689750692520777</v>
      </c>
      <c r="T94" s="374">
        <v>0.856453558504222</v>
      </c>
      <c r="U94" s="375">
        <v>0.6798524974857526</v>
      </c>
      <c r="V94" s="375">
        <v>0.74823439587707574</v>
      </c>
      <c r="W94" s="375">
        <v>0.70510290386241892</v>
      </c>
    </row>
    <row r="95" spans="2:23" hidden="1" outlineLevel="1" x14ac:dyDescent="0.25">
      <c r="B95" s="328">
        <v>40603</v>
      </c>
      <c r="C95" s="374" t="s">
        <v>781</v>
      </c>
      <c r="D95" s="374" t="s">
        <v>781</v>
      </c>
      <c r="E95" s="374" t="s">
        <v>781</v>
      </c>
      <c r="F95" s="374" t="s">
        <v>781</v>
      </c>
      <c r="G95" s="374" t="s">
        <v>781</v>
      </c>
      <c r="H95" s="374" t="s">
        <v>781</v>
      </c>
      <c r="I95" s="374">
        <v>0.75494853523357086</v>
      </c>
      <c r="J95" s="374">
        <v>0.90500641848523744</v>
      </c>
      <c r="K95" s="374">
        <v>0.79031770045385774</v>
      </c>
      <c r="L95" s="374">
        <v>0.41482843137254904</v>
      </c>
      <c r="M95" s="374">
        <v>0.6962962962962963</v>
      </c>
      <c r="N95" s="374">
        <v>0.48480662983425415</v>
      </c>
      <c r="O95" s="374">
        <v>0.71947082767978288</v>
      </c>
      <c r="P95" s="374">
        <v>0.7229134266459305</v>
      </c>
      <c r="Q95" s="374">
        <v>0.72083247898298131</v>
      </c>
      <c r="R95" s="374">
        <v>0.81874999999999998</v>
      </c>
      <c r="S95" s="374">
        <v>0.8764044943820225</v>
      </c>
      <c r="T95" s="374">
        <v>0.84239631336405529</v>
      </c>
      <c r="U95" s="375">
        <v>0.68730129044323918</v>
      </c>
      <c r="V95" s="375">
        <v>0.75773745997865527</v>
      </c>
      <c r="W95" s="375">
        <v>0.71157146359401813</v>
      </c>
    </row>
    <row r="96" spans="2:23" hidden="1" outlineLevel="1" x14ac:dyDescent="0.25">
      <c r="B96" s="328">
        <v>40634</v>
      </c>
      <c r="C96" s="374" t="s">
        <v>781</v>
      </c>
      <c r="D96" s="374" t="s">
        <v>781</v>
      </c>
      <c r="E96" s="374" t="s">
        <v>781</v>
      </c>
      <c r="F96" s="374" t="s">
        <v>781</v>
      </c>
      <c r="G96" s="374" t="s">
        <v>781</v>
      </c>
      <c r="H96" s="374" t="s">
        <v>781</v>
      </c>
      <c r="I96" s="374">
        <v>0.74986286341195829</v>
      </c>
      <c r="J96" s="374">
        <v>0.87874015748031498</v>
      </c>
      <c r="K96" s="374">
        <v>0.78315703824247351</v>
      </c>
      <c r="L96" s="374">
        <v>0.42442748091603055</v>
      </c>
      <c r="M96" s="374">
        <v>0.70207852193995379</v>
      </c>
      <c r="N96" s="374">
        <v>0.49340218014916809</v>
      </c>
      <c r="O96" s="374">
        <v>0.71896316507503411</v>
      </c>
      <c r="P96" s="374">
        <v>0.72549742078113488</v>
      </c>
      <c r="Q96" s="374">
        <v>0.72145669291338588</v>
      </c>
      <c r="R96" s="374">
        <v>0.83</v>
      </c>
      <c r="S96" s="374">
        <v>0.89846153846153842</v>
      </c>
      <c r="T96" s="374">
        <v>0.8606896551724138</v>
      </c>
      <c r="U96" s="375">
        <v>0.68301601311310045</v>
      </c>
      <c r="V96" s="375">
        <v>0.76040905770635503</v>
      </c>
      <c r="W96" s="375">
        <v>0.70942016946336606</v>
      </c>
    </row>
    <row r="97" spans="2:23" hidden="1" outlineLevel="1" x14ac:dyDescent="0.25">
      <c r="B97" s="328">
        <v>40664</v>
      </c>
      <c r="C97" s="374" t="s">
        <v>781</v>
      </c>
      <c r="D97" s="374" t="s">
        <v>781</v>
      </c>
      <c r="E97" s="374" t="s">
        <v>781</v>
      </c>
      <c r="F97" s="374" t="s">
        <v>781</v>
      </c>
      <c r="G97" s="374" t="s">
        <v>781</v>
      </c>
      <c r="H97" s="374" t="s">
        <v>781</v>
      </c>
      <c r="I97" s="374">
        <v>0.71802706241815806</v>
      </c>
      <c r="J97" s="374">
        <v>0.89095744680851063</v>
      </c>
      <c r="K97" s="374">
        <v>0.7607624055208676</v>
      </c>
      <c r="L97" s="374">
        <v>0.42398884239888424</v>
      </c>
      <c r="M97" s="374">
        <v>0.64600000000000002</v>
      </c>
      <c r="N97" s="374">
        <v>0.48138572905894517</v>
      </c>
      <c r="O97" s="374">
        <v>0.68921389396709321</v>
      </c>
      <c r="P97" s="374">
        <v>0.71791940554444122</v>
      </c>
      <c r="Q97" s="374">
        <v>0.70041253205485565</v>
      </c>
      <c r="R97" s="374">
        <v>0.7657841140529531</v>
      </c>
      <c r="S97" s="374">
        <v>0.85882352941176465</v>
      </c>
      <c r="T97" s="374">
        <v>0.8038507821901324</v>
      </c>
      <c r="U97" s="375">
        <v>0.66064422878381168</v>
      </c>
      <c r="V97" s="375">
        <v>0.74582596739343943</v>
      </c>
      <c r="W97" s="375">
        <v>0.68999120254449486</v>
      </c>
    </row>
    <row r="98" spans="2:23" hidden="1" outlineLevel="1" x14ac:dyDescent="0.25">
      <c r="B98" s="328">
        <v>40695</v>
      </c>
      <c r="C98" s="374" t="s">
        <v>781</v>
      </c>
      <c r="D98" s="374" t="s">
        <v>781</v>
      </c>
      <c r="E98" s="374" t="s">
        <v>781</v>
      </c>
      <c r="F98" s="374" t="s">
        <v>781</v>
      </c>
      <c r="G98" s="374" t="s">
        <v>781</v>
      </c>
      <c r="H98" s="374" t="s">
        <v>781</v>
      </c>
      <c r="I98" s="374">
        <v>0.72415413533834583</v>
      </c>
      <c r="J98" s="374">
        <v>0.86524822695035464</v>
      </c>
      <c r="K98" s="374">
        <v>0.75926579597599719</v>
      </c>
      <c r="L98" s="374">
        <v>0.4275184275184275</v>
      </c>
      <c r="M98" s="374">
        <v>0.63436123348017626</v>
      </c>
      <c r="N98" s="374">
        <v>0.4835820895522388</v>
      </c>
      <c r="O98" s="374">
        <v>0.66330520683268157</v>
      </c>
      <c r="P98" s="374">
        <v>0.71213517665130566</v>
      </c>
      <c r="Q98" s="374">
        <v>0.68289376386492484</v>
      </c>
      <c r="R98" s="374">
        <v>0.73051224944320714</v>
      </c>
      <c r="S98" s="374">
        <v>0.85443037974683544</v>
      </c>
      <c r="T98" s="374">
        <v>0.78169934640522876</v>
      </c>
      <c r="U98" s="375">
        <v>0.64849254938200296</v>
      </c>
      <c r="V98" s="375">
        <v>0.73699788583509518</v>
      </c>
      <c r="W98" s="375">
        <v>0.67976395010084412</v>
      </c>
    </row>
    <row r="99" spans="2:23" hidden="1" outlineLevel="1" x14ac:dyDescent="0.25">
      <c r="B99" s="328">
        <v>40725</v>
      </c>
      <c r="C99" s="374" t="s">
        <v>781</v>
      </c>
      <c r="D99" s="374" t="s">
        <v>781</v>
      </c>
      <c r="E99" s="374" t="s">
        <v>781</v>
      </c>
      <c r="F99" s="374" t="s">
        <v>781</v>
      </c>
      <c r="G99" s="374" t="s">
        <v>781</v>
      </c>
      <c r="H99" s="374" t="s">
        <v>781</v>
      </c>
      <c r="I99" s="374">
        <v>0.72339608144448708</v>
      </c>
      <c r="J99" s="374">
        <v>0.88624338624338628</v>
      </c>
      <c r="K99" s="374">
        <v>0.7600476332241739</v>
      </c>
      <c r="L99" s="374">
        <v>0.41302681992337165</v>
      </c>
      <c r="M99" s="374">
        <v>0.68410041841004188</v>
      </c>
      <c r="N99" s="374">
        <v>0.48569826135726302</v>
      </c>
      <c r="O99" s="374">
        <v>0.62777777777777777</v>
      </c>
      <c r="P99" s="374">
        <v>0.71231484170781301</v>
      </c>
      <c r="Q99" s="374">
        <v>0.66616114994065678</v>
      </c>
      <c r="R99" s="374">
        <v>0.75268817204301075</v>
      </c>
      <c r="S99" s="374">
        <v>0.83790523690773067</v>
      </c>
      <c r="T99" s="374">
        <v>0.78832116788321172</v>
      </c>
      <c r="U99" s="375">
        <v>0.63078612898164133</v>
      </c>
      <c r="V99" s="375">
        <v>0.73207370026992136</v>
      </c>
      <c r="W99" s="375">
        <v>0.67136878732308269</v>
      </c>
    </row>
    <row r="100" spans="2:23" hidden="1" outlineLevel="1" x14ac:dyDescent="0.25">
      <c r="B100" s="328">
        <v>40756</v>
      </c>
      <c r="C100" s="374" t="s">
        <v>781</v>
      </c>
      <c r="D100" s="374" t="s">
        <v>781</v>
      </c>
      <c r="E100" s="374" t="s">
        <v>781</v>
      </c>
      <c r="F100" s="374" t="s">
        <v>781</v>
      </c>
      <c r="G100" s="374" t="s">
        <v>781</v>
      </c>
      <c r="H100" s="374" t="s">
        <v>781</v>
      </c>
      <c r="I100" s="374">
        <v>0.77841561423650973</v>
      </c>
      <c r="J100" s="374">
        <v>0.88363171355498726</v>
      </c>
      <c r="K100" s="374">
        <v>0.80265095729013258</v>
      </c>
      <c r="L100" s="374">
        <v>0.43376230128690385</v>
      </c>
      <c r="M100" s="374">
        <v>0.67088607594936711</v>
      </c>
      <c r="N100" s="374">
        <v>0.49637883008356548</v>
      </c>
      <c r="O100" s="374">
        <v>0.66959531416400431</v>
      </c>
      <c r="P100" s="374">
        <v>0.71138493578618534</v>
      </c>
      <c r="Q100" s="374">
        <v>0.68773542263070664</v>
      </c>
      <c r="R100" s="374">
        <v>0.7571942446043165</v>
      </c>
      <c r="S100" s="374">
        <v>0.83333333333333337</v>
      </c>
      <c r="T100" s="374">
        <v>0.78681318681318679</v>
      </c>
      <c r="U100" s="375">
        <v>0.67138810198300281</v>
      </c>
      <c r="V100" s="375">
        <v>0.73290830168204013</v>
      </c>
      <c r="W100" s="375">
        <v>0.69479715082068749</v>
      </c>
    </row>
    <row r="101" spans="2:23" hidden="1" outlineLevel="1" x14ac:dyDescent="0.25">
      <c r="B101" s="328">
        <v>40787</v>
      </c>
      <c r="C101" s="374" t="s">
        <v>781</v>
      </c>
      <c r="D101" s="374" t="s">
        <v>781</v>
      </c>
      <c r="E101" s="374" t="s">
        <v>781</v>
      </c>
      <c r="F101" s="374" t="s">
        <v>781</v>
      </c>
      <c r="G101" s="374" t="s">
        <v>781</v>
      </c>
      <c r="H101" s="374" t="s">
        <v>781</v>
      </c>
      <c r="I101" s="374">
        <v>0.81354051054384013</v>
      </c>
      <c r="J101" s="374">
        <v>0.90371229698375866</v>
      </c>
      <c r="K101" s="374">
        <v>0.83534361851332395</v>
      </c>
      <c r="L101" s="374">
        <v>0.43295354951796672</v>
      </c>
      <c r="M101" s="374">
        <v>0.66818181818181821</v>
      </c>
      <c r="N101" s="374">
        <v>0.49841872232764073</v>
      </c>
      <c r="O101" s="374">
        <v>0.70976207137858638</v>
      </c>
      <c r="P101" s="374">
        <v>0.7306245297215952</v>
      </c>
      <c r="Q101" s="374">
        <v>0.71833453571060502</v>
      </c>
      <c r="R101" s="374">
        <v>0.78708133971291872</v>
      </c>
      <c r="S101" s="374">
        <v>0.86458333333333337</v>
      </c>
      <c r="T101" s="374">
        <v>0.81869688385269124</v>
      </c>
      <c r="U101" s="375">
        <v>0.70946081379033876</v>
      </c>
      <c r="V101" s="375">
        <v>0.75936883629191321</v>
      </c>
      <c r="W101" s="375">
        <v>0.72735454837672775</v>
      </c>
    </row>
    <row r="102" spans="2:23" hidden="1" outlineLevel="1" x14ac:dyDescent="0.25">
      <c r="B102" s="328">
        <v>40817</v>
      </c>
      <c r="C102" s="374" t="s">
        <v>781</v>
      </c>
      <c r="D102" s="374" t="s">
        <v>781</v>
      </c>
      <c r="E102" s="374" t="s">
        <v>781</v>
      </c>
      <c r="F102" s="374" t="s">
        <v>781</v>
      </c>
      <c r="G102" s="374" t="s">
        <v>781</v>
      </c>
      <c r="H102" s="374" t="s">
        <v>781</v>
      </c>
      <c r="I102" s="374">
        <v>0.83048433048433046</v>
      </c>
      <c r="J102" s="374">
        <v>0.93481481481481477</v>
      </c>
      <c r="K102" s="374">
        <v>0.85580726357425385</v>
      </c>
      <c r="L102" s="374">
        <v>0.46735395189003437</v>
      </c>
      <c r="M102" s="374">
        <v>0.69267139479905437</v>
      </c>
      <c r="N102" s="374">
        <v>0.52741020793950855</v>
      </c>
      <c r="O102" s="374">
        <v>0.75725593667546176</v>
      </c>
      <c r="P102" s="374">
        <v>0.79763246899661777</v>
      </c>
      <c r="Q102" s="374">
        <v>0.77277158020145131</v>
      </c>
      <c r="R102" s="374">
        <v>0.84381338742393508</v>
      </c>
      <c r="S102" s="374">
        <v>0.91925465838509313</v>
      </c>
      <c r="T102" s="374">
        <v>0.87361963190184044</v>
      </c>
      <c r="U102" s="375">
        <v>0.74237933954276036</v>
      </c>
      <c r="V102" s="375">
        <v>0.81521739130434778</v>
      </c>
      <c r="W102" s="375">
        <v>0.76748057713651496</v>
      </c>
    </row>
    <row r="103" spans="2:23" hidden="1" outlineLevel="1" x14ac:dyDescent="0.25">
      <c r="B103" s="328">
        <v>40848</v>
      </c>
      <c r="C103" s="374" t="s">
        <v>781</v>
      </c>
      <c r="D103" s="374" t="s">
        <v>781</v>
      </c>
      <c r="E103" s="374" t="s">
        <v>781</v>
      </c>
      <c r="F103" s="374" t="s">
        <v>781</v>
      </c>
      <c r="G103" s="374" t="s">
        <v>781</v>
      </c>
      <c r="H103" s="374" t="s">
        <v>781</v>
      </c>
      <c r="I103" s="374">
        <v>0.84846266471449483</v>
      </c>
      <c r="J103" s="374">
        <v>0.93742889647326511</v>
      </c>
      <c r="K103" s="374">
        <v>0.87011908058709497</v>
      </c>
      <c r="L103" s="374">
        <v>0.46407624633431083</v>
      </c>
      <c r="M103" s="374">
        <v>0.68160377358490565</v>
      </c>
      <c r="N103" s="374">
        <v>0.51565995525727071</v>
      </c>
      <c r="O103" s="374">
        <v>0.72944162436548221</v>
      </c>
      <c r="P103" s="374">
        <v>0.78160723426036516</v>
      </c>
      <c r="Q103" s="374">
        <v>0.75169201659267881</v>
      </c>
      <c r="R103" s="374">
        <v>0.85185185185185186</v>
      </c>
      <c r="S103" s="374">
        <v>0.94252873563218387</v>
      </c>
      <c r="T103" s="374">
        <v>0.89121756487025949</v>
      </c>
      <c r="U103" s="375">
        <v>0.73204177628956391</v>
      </c>
      <c r="V103" s="375">
        <v>0.80326358731412029</v>
      </c>
      <c r="W103" s="375">
        <v>0.75891172674014495</v>
      </c>
    </row>
    <row r="104" spans="2:23" hidden="1" outlineLevel="1" x14ac:dyDescent="0.25">
      <c r="B104" s="328">
        <v>40878</v>
      </c>
      <c r="C104" s="374" t="s">
        <v>781</v>
      </c>
      <c r="D104" s="374" t="s">
        <v>781</v>
      </c>
      <c r="E104" s="374" t="s">
        <v>781</v>
      </c>
      <c r="F104" s="374" t="s">
        <v>781</v>
      </c>
      <c r="G104" s="374" t="s">
        <v>781</v>
      </c>
      <c r="H104" s="374" t="s">
        <v>781</v>
      </c>
      <c r="I104" s="374">
        <v>0.84099616858237547</v>
      </c>
      <c r="J104" s="374">
        <v>0.94917787742899851</v>
      </c>
      <c r="K104" s="374">
        <v>0.86724700761697493</v>
      </c>
      <c r="L104" s="374">
        <v>0.43968871595330739</v>
      </c>
      <c r="M104" s="374">
        <v>0.7172774869109948</v>
      </c>
      <c r="N104" s="374">
        <v>0.51489361702127656</v>
      </c>
      <c r="O104" s="374">
        <v>0.74273210378243204</v>
      </c>
      <c r="P104" s="374">
        <v>0.78462502611238771</v>
      </c>
      <c r="Q104" s="374">
        <v>0.76066160035762187</v>
      </c>
      <c r="R104" s="374">
        <v>0.88277511961722488</v>
      </c>
      <c r="S104" s="374">
        <v>0.91793313069908811</v>
      </c>
      <c r="T104" s="374">
        <v>0.89825970548862111</v>
      </c>
      <c r="U104" s="375">
        <v>0.7379178413209827</v>
      </c>
      <c r="V104" s="375">
        <v>0.80541592346359658</v>
      </c>
      <c r="W104" s="375">
        <v>0.76377414746257533</v>
      </c>
    </row>
    <row r="105" spans="2:23" collapsed="1" x14ac:dyDescent="0.25">
      <c r="B105" s="330" t="s">
        <v>693</v>
      </c>
      <c r="C105" s="375" t="s">
        <v>781</v>
      </c>
      <c r="D105" s="375" t="s">
        <v>781</v>
      </c>
      <c r="E105" s="375" t="s">
        <v>781</v>
      </c>
      <c r="F105" s="375" t="s">
        <v>781</v>
      </c>
      <c r="G105" s="375" t="s">
        <v>781</v>
      </c>
      <c r="H105" s="375" t="s">
        <v>781</v>
      </c>
      <c r="I105" s="375">
        <v>0.77014418999151824</v>
      </c>
      <c r="J105" s="375">
        <v>0.89618922470433637</v>
      </c>
      <c r="K105" s="375">
        <v>0.8008977236293684</v>
      </c>
      <c r="L105" s="375">
        <v>0.43023255813953487</v>
      </c>
      <c r="M105" s="375">
        <v>0.67912087912087915</v>
      </c>
      <c r="N105" s="375">
        <v>0.49512893982808021</v>
      </c>
      <c r="O105" s="375">
        <v>0.70042400521852577</v>
      </c>
      <c r="P105" s="375">
        <v>0.73799725651577508</v>
      </c>
      <c r="Q105" s="375">
        <v>0.71606700932800305</v>
      </c>
      <c r="R105" s="375">
        <v>0.80478087649402386</v>
      </c>
      <c r="S105" s="375">
        <v>0.88674033149171272</v>
      </c>
      <c r="T105" s="375">
        <v>0.83912037037037035</v>
      </c>
      <c r="U105" s="375">
        <v>0.6876094145107956</v>
      </c>
      <c r="V105" s="375">
        <v>0.76260080645161288</v>
      </c>
      <c r="W105" s="375">
        <v>0.71510410250092393</v>
      </c>
    </row>
    <row r="106" spans="2:23" hidden="1" outlineLevel="1" x14ac:dyDescent="0.25">
      <c r="B106" s="328">
        <v>40909</v>
      </c>
      <c r="C106" s="374" t="s">
        <v>781</v>
      </c>
      <c r="D106" s="374" t="s">
        <v>781</v>
      </c>
      <c r="E106" s="374" t="s">
        <v>781</v>
      </c>
      <c r="F106" s="374" t="s">
        <v>781</v>
      </c>
      <c r="G106" s="374" t="s">
        <v>781</v>
      </c>
      <c r="H106" s="374" t="s">
        <v>781</v>
      </c>
      <c r="I106" s="374">
        <v>0.84187472623740689</v>
      </c>
      <c r="J106" s="374">
        <v>0.93955321944809467</v>
      </c>
      <c r="K106" s="374">
        <v>0.86629434954007889</v>
      </c>
      <c r="L106" s="374">
        <v>0.47927927927927927</v>
      </c>
      <c r="M106" s="374">
        <v>0.68674698795180722</v>
      </c>
      <c r="N106" s="374">
        <v>0.53573770491803274</v>
      </c>
      <c r="O106" s="374">
        <v>0.75129918337045287</v>
      </c>
      <c r="P106" s="374">
        <v>0.7996285596368139</v>
      </c>
      <c r="Q106" s="374">
        <v>0.77152232104308782</v>
      </c>
      <c r="R106" s="374">
        <v>0.84549356223175964</v>
      </c>
      <c r="S106" s="374">
        <v>0.90740740740740744</v>
      </c>
      <c r="T106" s="374">
        <v>0.87088607594936707</v>
      </c>
      <c r="U106" s="375">
        <v>0.74646026052482539</v>
      </c>
      <c r="V106" s="375">
        <v>0.81452883706271673</v>
      </c>
      <c r="W106" s="375">
        <v>0.77195985832349467</v>
      </c>
    </row>
    <row r="107" spans="2:23" hidden="1" outlineLevel="1" x14ac:dyDescent="0.25">
      <c r="B107" s="328">
        <v>40940</v>
      </c>
      <c r="C107" s="374" t="s">
        <v>781</v>
      </c>
      <c r="D107" s="374" t="s">
        <v>781</v>
      </c>
      <c r="E107" s="374" t="s">
        <v>781</v>
      </c>
      <c r="F107" s="374" t="s">
        <v>781</v>
      </c>
      <c r="G107" s="374" t="s">
        <v>781</v>
      </c>
      <c r="H107" s="374" t="s">
        <v>781</v>
      </c>
      <c r="I107" s="374">
        <v>0.83244111349036398</v>
      </c>
      <c r="J107" s="374">
        <v>0.93729903536977488</v>
      </c>
      <c r="K107" s="374">
        <v>0.85863453815261048</v>
      </c>
      <c r="L107" s="374">
        <v>0.44712041884816756</v>
      </c>
      <c r="M107" s="374">
        <v>0.67292225201072386</v>
      </c>
      <c r="N107" s="374">
        <v>0.51054216867469882</v>
      </c>
      <c r="O107" s="374">
        <v>0.80994099767566596</v>
      </c>
      <c r="P107" s="374">
        <v>0.82113373692900382</v>
      </c>
      <c r="Q107" s="374">
        <v>0.81434919258697303</v>
      </c>
      <c r="R107" s="374">
        <v>0.84478935698447899</v>
      </c>
      <c r="S107" s="374">
        <v>0.92814371257485029</v>
      </c>
      <c r="T107" s="374">
        <v>0.88025477707006372</v>
      </c>
      <c r="U107" s="375">
        <v>0.77737679034622753</v>
      </c>
      <c r="V107" s="375">
        <v>0.8317549869030828</v>
      </c>
      <c r="W107" s="375">
        <v>0.79689081706435283</v>
      </c>
    </row>
    <row r="108" spans="2:23" hidden="1" outlineLevel="1" x14ac:dyDescent="0.25">
      <c r="B108" s="328">
        <v>40969</v>
      </c>
      <c r="C108" s="374" t="s">
        <v>781</v>
      </c>
      <c r="D108" s="374" t="s">
        <v>781</v>
      </c>
      <c r="E108" s="374" t="s">
        <v>781</v>
      </c>
      <c r="F108" s="374" t="s">
        <v>781</v>
      </c>
      <c r="G108" s="374" t="s">
        <v>781</v>
      </c>
      <c r="H108" s="374" t="s">
        <v>781</v>
      </c>
      <c r="I108" s="374">
        <v>0.8328651685393258</v>
      </c>
      <c r="J108" s="374">
        <v>0.93519882179675995</v>
      </c>
      <c r="K108" s="374">
        <v>0.85754884547069277</v>
      </c>
      <c r="L108" s="374">
        <v>0.44957983193277312</v>
      </c>
      <c r="M108" s="374">
        <v>0.68888888888888888</v>
      </c>
      <c r="N108" s="374">
        <v>0.51034482758620692</v>
      </c>
      <c r="O108" s="374">
        <v>0.80933062880324547</v>
      </c>
      <c r="P108" s="374">
        <v>0.8462897526501767</v>
      </c>
      <c r="Q108" s="374">
        <v>0.82415468718364038</v>
      </c>
      <c r="R108" s="374">
        <v>0.82705099778270508</v>
      </c>
      <c r="S108" s="374">
        <v>0.92668621700879761</v>
      </c>
      <c r="T108" s="374">
        <v>0.86994949494949492</v>
      </c>
      <c r="U108" s="375">
        <v>0.7711750747962447</v>
      </c>
      <c r="V108" s="375">
        <v>0.8507518099127529</v>
      </c>
      <c r="W108" s="375">
        <v>0.79960212201591507</v>
      </c>
    </row>
    <row r="109" spans="2:23" hidden="1" outlineLevel="1" x14ac:dyDescent="0.25">
      <c r="B109" s="328">
        <v>41000</v>
      </c>
      <c r="C109" s="374" t="s">
        <v>781</v>
      </c>
      <c r="D109" s="374" t="s">
        <v>781</v>
      </c>
      <c r="E109" s="374" t="s">
        <v>781</v>
      </c>
      <c r="F109" s="374" t="s">
        <v>781</v>
      </c>
      <c r="G109" s="374" t="s">
        <v>781</v>
      </c>
      <c r="H109" s="374" t="s">
        <v>781</v>
      </c>
      <c r="I109" s="374">
        <v>0.83742156303479753</v>
      </c>
      <c r="J109" s="374">
        <v>0.94516129032258067</v>
      </c>
      <c r="K109" s="374">
        <v>0.86557100716392754</v>
      </c>
      <c r="L109" s="374">
        <v>0.48767605633802819</v>
      </c>
      <c r="M109" s="374">
        <v>0.67733990147783252</v>
      </c>
      <c r="N109" s="374">
        <v>0.53761348897535666</v>
      </c>
      <c r="O109" s="374">
        <v>0.80559006211180129</v>
      </c>
      <c r="P109" s="374">
        <v>0.8210270434518383</v>
      </c>
      <c r="Q109" s="374">
        <v>0.81184583179411407</v>
      </c>
      <c r="R109" s="374">
        <v>0.83957219251336901</v>
      </c>
      <c r="S109" s="374">
        <v>0.9119718309859155</v>
      </c>
      <c r="T109" s="374">
        <v>0.87082066869300911</v>
      </c>
      <c r="U109" s="375">
        <v>0.7694303719263561</v>
      </c>
      <c r="V109" s="375">
        <v>0.83068898065637908</v>
      </c>
      <c r="W109" s="375">
        <v>0.7916338427603592</v>
      </c>
    </row>
    <row r="110" spans="2:23" hidden="1" outlineLevel="1" x14ac:dyDescent="0.25">
      <c r="B110" s="328">
        <v>41030</v>
      </c>
      <c r="C110" s="374" t="s">
        <v>781</v>
      </c>
      <c r="D110" s="374" t="s">
        <v>781</v>
      </c>
      <c r="E110" s="374" t="s">
        <v>781</v>
      </c>
      <c r="F110" s="374" t="s">
        <v>781</v>
      </c>
      <c r="G110" s="374" t="s">
        <v>781</v>
      </c>
      <c r="H110" s="374" t="s">
        <v>781</v>
      </c>
      <c r="I110" s="374">
        <v>0.8345656192236599</v>
      </c>
      <c r="J110" s="374">
        <v>0.92640692640692646</v>
      </c>
      <c r="K110" s="374">
        <v>0.85684284214210715</v>
      </c>
      <c r="L110" s="374">
        <v>0.4790764790764791</v>
      </c>
      <c r="M110" s="374">
        <v>0.70425138632162665</v>
      </c>
      <c r="N110" s="374">
        <v>0.54229372080954852</v>
      </c>
      <c r="O110" s="374">
        <v>0.74729827089337175</v>
      </c>
      <c r="P110" s="374">
        <v>0.80603117812420133</v>
      </c>
      <c r="Q110" s="374">
        <v>0.77157950343370307</v>
      </c>
      <c r="R110" s="374">
        <v>0.8381962864721485</v>
      </c>
      <c r="S110" s="374">
        <v>0.88356164383561642</v>
      </c>
      <c r="T110" s="374">
        <v>0.85799701046337817</v>
      </c>
      <c r="U110" s="375">
        <v>0.73161725920455745</v>
      </c>
      <c r="V110" s="375">
        <v>0.81540724397867259</v>
      </c>
      <c r="W110" s="375">
        <v>0.76216651025606652</v>
      </c>
    </row>
    <row r="111" spans="2:23" hidden="1" outlineLevel="1" x14ac:dyDescent="0.25">
      <c r="B111" s="328">
        <v>41061</v>
      </c>
      <c r="C111" s="374" t="s">
        <v>781</v>
      </c>
      <c r="D111" s="374" t="s">
        <v>781</v>
      </c>
      <c r="E111" s="374" t="s">
        <v>781</v>
      </c>
      <c r="F111" s="374" t="s">
        <v>781</v>
      </c>
      <c r="G111" s="374" t="s">
        <v>781</v>
      </c>
      <c r="H111" s="374" t="s">
        <v>781</v>
      </c>
      <c r="I111" s="374">
        <v>0.83341849770056209</v>
      </c>
      <c r="J111" s="374">
        <v>0.9170437405731523</v>
      </c>
      <c r="K111" s="374">
        <v>0.85458015267175569</v>
      </c>
      <c r="L111" s="374">
        <v>0.49880095923261392</v>
      </c>
      <c r="M111" s="374">
        <v>0.72106261859582543</v>
      </c>
      <c r="N111" s="374">
        <v>0.56467941507311581</v>
      </c>
      <c r="O111" s="374">
        <v>0.75810324129651863</v>
      </c>
      <c r="P111" s="374">
        <v>0.81033578174186782</v>
      </c>
      <c r="Q111" s="374">
        <v>0.78070374574347334</v>
      </c>
      <c r="R111" s="374">
        <v>0.7321428571428571</v>
      </c>
      <c r="S111" s="374">
        <v>0.88715953307392992</v>
      </c>
      <c r="T111" s="374">
        <v>0.79932546374367619</v>
      </c>
      <c r="U111" s="375">
        <v>0.73636150784359633</v>
      </c>
      <c r="V111" s="375">
        <v>0.81859669138619506</v>
      </c>
      <c r="W111" s="375">
        <v>0.76769799289906526</v>
      </c>
    </row>
    <row r="112" spans="2:23" hidden="1" outlineLevel="1" x14ac:dyDescent="0.25">
      <c r="B112" s="328">
        <v>41091</v>
      </c>
      <c r="C112" s="374" t="s">
        <v>781</v>
      </c>
      <c r="D112" s="374" t="s">
        <v>781</v>
      </c>
      <c r="E112" s="374" t="s">
        <v>781</v>
      </c>
      <c r="F112" s="374" t="s">
        <v>781</v>
      </c>
      <c r="G112" s="374" t="s">
        <v>781</v>
      </c>
      <c r="H112" s="374" t="s">
        <v>781</v>
      </c>
      <c r="I112" s="374">
        <v>0.86083853702051738</v>
      </c>
      <c r="J112" s="374">
        <v>0.9261939218523878</v>
      </c>
      <c r="K112" s="374">
        <v>0.87623593590180704</v>
      </c>
      <c r="L112" s="374">
        <v>0.49124270225187655</v>
      </c>
      <c r="M112" s="374">
        <v>0.72</v>
      </c>
      <c r="N112" s="374">
        <v>0.55856386109476164</v>
      </c>
      <c r="O112" s="374">
        <v>0.90663436451733137</v>
      </c>
      <c r="P112" s="374">
        <v>0.92324668955370282</v>
      </c>
      <c r="Q112" s="374">
        <v>0.91380770859805172</v>
      </c>
      <c r="R112" s="374">
        <v>0.79325842696629212</v>
      </c>
      <c r="S112" s="374">
        <v>0.91785714285714282</v>
      </c>
      <c r="T112" s="374">
        <v>0.8413793103448276</v>
      </c>
      <c r="U112" s="375">
        <v>0.83625162127107655</v>
      </c>
      <c r="V112" s="375">
        <v>0.9050279329608939</v>
      </c>
      <c r="W112" s="375">
        <v>0.86203634889534486</v>
      </c>
    </row>
    <row r="113" spans="2:23" hidden="1" outlineLevel="1" x14ac:dyDescent="0.25">
      <c r="B113" s="328">
        <v>41122</v>
      </c>
      <c r="C113" s="374" t="s">
        <v>781</v>
      </c>
      <c r="D113" s="374" t="s">
        <v>781</v>
      </c>
      <c r="E113" s="374" t="s">
        <v>781</v>
      </c>
      <c r="F113" s="374" t="s">
        <v>781</v>
      </c>
      <c r="G113" s="374" t="s">
        <v>781</v>
      </c>
      <c r="H113" s="374" t="s">
        <v>781</v>
      </c>
      <c r="I113" s="374">
        <v>0.79380603096984514</v>
      </c>
      <c r="J113" s="374">
        <v>0.91264667535853972</v>
      </c>
      <c r="K113" s="374">
        <v>0.82210493635516924</v>
      </c>
      <c r="L113" s="374">
        <v>0.47408963585434172</v>
      </c>
      <c r="M113" s="374">
        <v>0.71985157699443414</v>
      </c>
      <c r="N113" s="374">
        <v>0.54143365531265886</v>
      </c>
      <c r="O113" s="374">
        <v>0.94741843522331326</v>
      </c>
      <c r="P113" s="374">
        <v>0.95574764546510127</v>
      </c>
      <c r="Q113" s="374">
        <v>0.95116711183370106</v>
      </c>
      <c r="R113" s="374">
        <v>0.81050228310502281</v>
      </c>
      <c r="S113" s="374">
        <v>0.8517350157728707</v>
      </c>
      <c r="T113" s="374">
        <v>0.82781456953642385</v>
      </c>
      <c r="U113" s="375">
        <v>0.86672467551301569</v>
      </c>
      <c r="V113" s="375">
        <v>0.93513974823981227</v>
      </c>
      <c r="W113" s="375">
        <v>0.89440966976041447</v>
      </c>
    </row>
    <row r="114" spans="2:23" hidden="1" outlineLevel="1" x14ac:dyDescent="0.25">
      <c r="B114" s="328">
        <v>41153</v>
      </c>
      <c r="C114" s="374" t="s">
        <v>781</v>
      </c>
      <c r="D114" s="374" t="s">
        <v>781</v>
      </c>
      <c r="E114" s="374" t="s">
        <v>781</v>
      </c>
      <c r="F114" s="374" t="s">
        <v>781</v>
      </c>
      <c r="G114" s="374" t="s">
        <v>781</v>
      </c>
      <c r="H114" s="374" t="s">
        <v>781</v>
      </c>
      <c r="I114" s="374">
        <v>0.80255402750491156</v>
      </c>
      <c r="J114" s="374">
        <v>0.91705069124423966</v>
      </c>
      <c r="K114" s="374">
        <v>0.83029400818756982</v>
      </c>
      <c r="L114" s="374">
        <v>0.43762993762993763</v>
      </c>
      <c r="M114" s="374">
        <v>0.75213675213675213</v>
      </c>
      <c r="N114" s="374">
        <v>0.52170601675552175</v>
      </c>
      <c r="O114" s="374">
        <v>0.94598765432098764</v>
      </c>
      <c r="P114" s="374">
        <v>0.93919169447534301</v>
      </c>
      <c r="Q114" s="374">
        <v>0.94310985502695344</v>
      </c>
      <c r="R114" s="374">
        <v>0.8202614379084967</v>
      </c>
      <c r="S114" s="374">
        <v>0.86382978723404258</v>
      </c>
      <c r="T114" s="374">
        <v>0.83918669131238444</v>
      </c>
      <c r="U114" s="375">
        <v>0.88875698324022345</v>
      </c>
      <c r="V114" s="375">
        <v>0.92870926243567753</v>
      </c>
      <c r="W114" s="375">
        <v>0.90451623815967519</v>
      </c>
    </row>
    <row r="115" spans="2:23" hidden="1" outlineLevel="1" x14ac:dyDescent="0.25">
      <c r="B115" s="328">
        <v>41183</v>
      </c>
      <c r="C115" s="374" t="s">
        <v>781</v>
      </c>
      <c r="D115" s="374" t="s">
        <v>781</v>
      </c>
      <c r="E115" s="374" t="s">
        <v>781</v>
      </c>
      <c r="F115" s="374" t="s">
        <v>781</v>
      </c>
      <c r="G115" s="374" t="s">
        <v>781</v>
      </c>
      <c r="H115" s="374" t="s">
        <v>781</v>
      </c>
      <c r="I115" s="374">
        <v>0.80140350877192978</v>
      </c>
      <c r="J115" s="374">
        <v>0.89328537170263789</v>
      </c>
      <c r="K115" s="374">
        <v>0.82220412595005432</v>
      </c>
      <c r="L115" s="374">
        <v>0.42604387827317763</v>
      </c>
      <c r="M115" s="374">
        <v>0.71372549019607845</v>
      </c>
      <c r="N115" s="374">
        <v>0.5023400936037441</v>
      </c>
      <c r="O115" s="374">
        <v>0.92437855645402811</v>
      </c>
      <c r="P115" s="374">
        <v>0.92398009950248761</v>
      </c>
      <c r="Q115" s="374">
        <v>0.92420746817055455</v>
      </c>
      <c r="R115" s="374">
        <v>0.80281690140845074</v>
      </c>
      <c r="S115" s="374">
        <v>0.87577639751552794</v>
      </c>
      <c r="T115" s="374">
        <v>0.83422459893048129</v>
      </c>
      <c r="U115" s="375">
        <v>0.82704319521421654</v>
      </c>
      <c r="V115" s="375">
        <v>0.9018083993424002</v>
      </c>
      <c r="W115" s="375">
        <v>0.85474581902757785</v>
      </c>
    </row>
    <row r="116" spans="2:23" hidden="1" outlineLevel="1" x14ac:dyDescent="0.25">
      <c r="B116" s="328">
        <v>41214</v>
      </c>
      <c r="C116" s="374" t="s">
        <v>781</v>
      </c>
      <c r="D116" s="374" t="s">
        <v>781</v>
      </c>
      <c r="E116" s="374" t="s">
        <v>781</v>
      </c>
      <c r="F116" s="374" t="s">
        <v>781</v>
      </c>
      <c r="G116" s="374" t="s">
        <v>781</v>
      </c>
      <c r="H116" s="374" t="s">
        <v>781</v>
      </c>
      <c r="I116" s="374">
        <v>0.90587180636485876</v>
      </c>
      <c r="J116" s="374">
        <v>0.95014245014245013</v>
      </c>
      <c r="K116" s="374">
        <v>0.91646778042959431</v>
      </c>
      <c r="L116" s="374">
        <v>0.44310344827586207</v>
      </c>
      <c r="M116" s="374">
        <v>0.66101694915254239</v>
      </c>
      <c r="N116" s="374">
        <v>0.50031786395422762</v>
      </c>
      <c r="O116" s="374">
        <v>0.91983920548593046</v>
      </c>
      <c r="P116" s="374">
        <v>0.94039735099337751</v>
      </c>
      <c r="Q116" s="374">
        <v>0.93011706278822281</v>
      </c>
      <c r="R116" s="374">
        <v>0.80845070422535215</v>
      </c>
      <c r="S116" s="374">
        <v>0.87786259541984735</v>
      </c>
      <c r="T116" s="374">
        <v>0.83792544570502436</v>
      </c>
      <c r="U116" s="375">
        <v>0.84163009404388711</v>
      </c>
      <c r="V116" s="375">
        <v>0.91810883140053523</v>
      </c>
      <c r="W116" s="375">
        <v>0.8731958762886598</v>
      </c>
    </row>
    <row r="117" spans="2:23" hidden="1" outlineLevel="1" x14ac:dyDescent="0.25">
      <c r="B117" s="328">
        <v>41244</v>
      </c>
      <c r="C117" s="374" t="s">
        <v>781</v>
      </c>
      <c r="D117" s="374" t="s">
        <v>781</v>
      </c>
      <c r="E117" s="374" t="s">
        <v>781</v>
      </c>
      <c r="F117" s="374" t="s">
        <v>781</v>
      </c>
      <c r="G117" s="374" t="s">
        <v>781</v>
      </c>
      <c r="H117" s="374" t="s">
        <v>781</v>
      </c>
      <c r="I117" s="374">
        <v>0.88854648176682072</v>
      </c>
      <c r="J117" s="374">
        <v>0.92033898305084749</v>
      </c>
      <c r="K117" s="374">
        <v>0.89594008671659442</v>
      </c>
      <c r="L117" s="374">
        <v>0.45336008024072216</v>
      </c>
      <c r="M117" s="374">
        <v>0.6768149882903981</v>
      </c>
      <c r="N117" s="374">
        <v>0.5203651685393258</v>
      </c>
      <c r="O117" s="374">
        <v>0.84280565566953147</v>
      </c>
      <c r="P117" s="374">
        <v>0.87302013422818792</v>
      </c>
      <c r="Q117" s="374">
        <v>0.85815602836879434</v>
      </c>
      <c r="R117" s="374">
        <v>0.87539936102236426</v>
      </c>
      <c r="S117" s="374">
        <v>0.92083333333333328</v>
      </c>
      <c r="T117" s="374">
        <v>0.89511754068716098</v>
      </c>
      <c r="U117" s="375">
        <v>0.80069930069930073</v>
      </c>
      <c r="V117" s="375">
        <v>0.86411079887595343</v>
      </c>
      <c r="W117" s="375">
        <v>0.82736788789464799</v>
      </c>
    </row>
    <row r="118" spans="2:23" collapsed="1" x14ac:dyDescent="0.25">
      <c r="B118" s="330" t="s">
        <v>694</v>
      </c>
      <c r="C118" s="375" t="s">
        <v>781</v>
      </c>
      <c r="D118" s="375" t="s">
        <v>781</v>
      </c>
      <c r="E118" s="375" t="s">
        <v>781</v>
      </c>
      <c r="F118" s="375" t="s">
        <v>781</v>
      </c>
      <c r="G118" s="375" t="s">
        <v>781</v>
      </c>
      <c r="H118" s="375" t="s">
        <v>781</v>
      </c>
      <c r="I118" s="375">
        <v>0.83750000000000002</v>
      </c>
      <c r="J118" s="375">
        <v>0.92597968069666181</v>
      </c>
      <c r="K118" s="375">
        <v>0.85859649122807014</v>
      </c>
      <c r="L118" s="375">
        <v>0.46446700507614214</v>
      </c>
      <c r="M118" s="375">
        <v>0.70066518847006654</v>
      </c>
      <c r="N118" s="375">
        <v>0.52969993876301291</v>
      </c>
      <c r="O118" s="375">
        <v>0.85906584495621152</v>
      </c>
      <c r="P118" s="375">
        <v>0.88373083475298131</v>
      </c>
      <c r="Q118" s="375">
        <v>0.86972933161480392</v>
      </c>
      <c r="R118" s="375">
        <v>0.82025316455696207</v>
      </c>
      <c r="S118" s="375">
        <v>0.89690721649484539</v>
      </c>
      <c r="T118" s="375">
        <v>0.85276967930029157</v>
      </c>
      <c r="U118" s="375">
        <v>0.80581641926688885</v>
      </c>
      <c r="V118" s="375">
        <v>0.87563244654806593</v>
      </c>
      <c r="W118" s="375">
        <v>0.83243917654398003</v>
      </c>
    </row>
    <row r="119" spans="2:23" hidden="1" outlineLevel="1" x14ac:dyDescent="0.25">
      <c r="B119" s="328">
        <v>41275</v>
      </c>
      <c r="C119" s="374" t="s">
        <v>781</v>
      </c>
      <c r="D119" s="374" t="s">
        <v>781</v>
      </c>
      <c r="E119" s="374" t="s">
        <v>781</v>
      </c>
      <c r="F119" s="374" t="s">
        <v>781</v>
      </c>
      <c r="G119" s="374" t="s">
        <v>781</v>
      </c>
      <c r="H119" s="374" t="s">
        <v>781</v>
      </c>
      <c r="I119" s="374">
        <v>0.90585129784425866</v>
      </c>
      <c r="J119" s="374">
        <v>0.93783783783783781</v>
      </c>
      <c r="K119" s="374">
        <v>0.91370726850315298</v>
      </c>
      <c r="L119" s="374">
        <v>0.51154201292705448</v>
      </c>
      <c r="M119" s="374">
        <v>0.69401330376940129</v>
      </c>
      <c r="N119" s="374">
        <v>0.56518904823989569</v>
      </c>
      <c r="O119" s="374">
        <v>0.83725396063370139</v>
      </c>
      <c r="P119" s="374">
        <v>0.84439224897240162</v>
      </c>
      <c r="Q119" s="374">
        <v>0.84046487057580554</v>
      </c>
      <c r="R119" s="374">
        <v>0.84795321637426901</v>
      </c>
      <c r="S119" s="374">
        <v>0.86567164179104472</v>
      </c>
      <c r="T119" s="374">
        <v>0.8557377049180328</v>
      </c>
      <c r="U119" s="375">
        <v>0.81269074262461849</v>
      </c>
      <c r="V119" s="375">
        <v>0.84583761562178827</v>
      </c>
      <c r="W119" s="375">
        <v>0.82535941550789538</v>
      </c>
    </row>
    <row r="120" spans="2:23" hidden="1" outlineLevel="1" x14ac:dyDescent="0.25">
      <c r="B120" s="328">
        <v>41306</v>
      </c>
      <c r="C120" s="374" t="s">
        <v>781</v>
      </c>
      <c r="D120" s="374" t="s">
        <v>781</v>
      </c>
      <c r="E120" s="374" t="s">
        <v>781</v>
      </c>
      <c r="F120" s="374" t="s">
        <v>781</v>
      </c>
      <c r="G120" s="374" t="s">
        <v>781</v>
      </c>
      <c r="H120" s="374" t="s">
        <v>781</v>
      </c>
      <c r="I120" s="374">
        <v>0.89028776978417268</v>
      </c>
      <c r="J120" s="374">
        <v>0.91296928327645055</v>
      </c>
      <c r="K120" s="374">
        <v>0.89618456078083408</v>
      </c>
      <c r="L120" s="374">
        <v>0.47762747138397504</v>
      </c>
      <c r="M120" s="374">
        <v>0.67307692307692313</v>
      </c>
      <c r="N120" s="374">
        <v>0.53132075471698115</v>
      </c>
      <c r="O120" s="374">
        <v>0.85112832603570221</v>
      </c>
      <c r="P120" s="374">
        <v>0.87833140208574745</v>
      </c>
      <c r="Q120" s="374">
        <v>0.86379992803166605</v>
      </c>
      <c r="R120" s="374">
        <v>0.84108527131782951</v>
      </c>
      <c r="S120" s="374">
        <v>0.9247787610619469</v>
      </c>
      <c r="T120" s="374">
        <v>0.8801652892561983</v>
      </c>
      <c r="U120" s="375">
        <v>0.80054644808743169</v>
      </c>
      <c r="V120" s="375">
        <v>0.8666666666666667</v>
      </c>
      <c r="W120" s="375">
        <v>0.82642136991996673</v>
      </c>
    </row>
    <row r="121" spans="2:23" hidden="1" outlineLevel="1" x14ac:dyDescent="0.25">
      <c r="B121" s="328">
        <v>41334</v>
      </c>
      <c r="C121" s="374" t="s">
        <v>781</v>
      </c>
      <c r="D121" s="374" t="s">
        <v>781</v>
      </c>
      <c r="E121" s="374" t="s">
        <v>781</v>
      </c>
      <c r="F121" s="374" t="s">
        <v>781</v>
      </c>
      <c r="G121" s="374" t="s">
        <v>781</v>
      </c>
      <c r="H121" s="374" t="s">
        <v>781</v>
      </c>
      <c r="I121" s="374">
        <v>0.92895586652314321</v>
      </c>
      <c r="J121" s="374">
        <v>0.94054054054054059</v>
      </c>
      <c r="K121" s="374">
        <v>0.93162038955656856</v>
      </c>
      <c r="L121" s="374">
        <v>0.44405897658282739</v>
      </c>
      <c r="M121" s="374">
        <v>0.69069767441860463</v>
      </c>
      <c r="N121" s="374">
        <v>0.51105495893872399</v>
      </c>
      <c r="O121" s="374">
        <v>0.88863413036357686</v>
      </c>
      <c r="P121" s="374">
        <v>0.88298722044728439</v>
      </c>
      <c r="Q121" s="374">
        <v>0.88608961669965813</v>
      </c>
      <c r="R121" s="374">
        <v>0.80579710144927541</v>
      </c>
      <c r="S121" s="374">
        <v>0.87356321839080464</v>
      </c>
      <c r="T121" s="374">
        <v>0.83498349834983498</v>
      </c>
      <c r="U121" s="375">
        <v>0.81588391324699638</v>
      </c>
      <c r="V121" s="375">
        <v>0.86880000000000002</v>
      </c>
      <c r="W121" s="375">
        <v>0.83541687173934442</v>
      </c>
    </row>
    <row r="122" spans="2:23" hidden="1" outlineLevel="1" x14ac:dyDescent="0.25">
      <c r="B122" s="328">
        <v>41365</v>
      </c>
      <c r="C122" s="374" t="s">
        <v>781</v>
      </c>
      <c r="D122" s="374" t="s">
        <v>781</v>
      </c>
      <c r="E122" s="374" t="s">
        <v>781</v>
      </c>
      <c r="F122" s="374" t="s">
        <v>781</v>
      </c>
      <c r="G122" s="374" t="s">
        <v>781</v>
      </c>
      <c r="H122" s="374" t="s">
        <v>781</v>
      </c>
      <c r="I122" s="374">
        <v>0.92123845736013033</v>
      </c>
      <c r="J122" s="374">
        <v>0.94233937397034595</v>
      </c>
      <c r="K122" s="374">
        <v>0.92647058823529416</v>
      </c>
      <c r="L122" s="374">
        <v>0.42947702060221871</v>
      </c>
      <c r="M122" s="374">
        <v>0.65609756097560978</v>
      </c>
      <c r="N122" s="374">
        <v>0.48504784688995217</v>
      </c>
      <c r="O122" s="374">
        <v>0.90568561872909703</v>
      </c>
      <c r="P122" s="374">
        <v>0.90796277145811788</v>
      </c>
      <c r="Q122" s="374">
        <v>0.90680699371923268</v>
      </c>
      <c r="R122" s="374">
        <v>0.81081081081081086</v>
      </c>
      <c r="S122" s="374">
        <v>0.84251968503937003</v>
      </c>
      <c r="T122" s="374">
        <v>0.82371794871794868</v>
      </c>
      <c r="U122" s="375">
        <v>0.8116973541698902</v>
      </c>
      <c r="V122" s="375">
        <v>0.88422818791946312</v>
      </c>
      <c r="W122" s="375">
        <v>0.84015044663845795</v>
      </c>
    </row>
    <row r="123" spans="2:23" hidden="1" outlineLevel="1" x14ac:dyDescent="0.25">
      <c r="B123" s="328">
        <v>41395</v>
      </c>
      <c r="C123" s="374" t="s">
        <v>781</v>
      </c>
      <c r="D123" s="374" t="s">
        <v>781</v>
      </c>
      <c r="E123" s="374" t="s">
        <v>781</v>
      </c>
      <c r="F123" s="374" t="s">
        <v>781</v>
      </c>
      <c r="G123" s="374" t="s">
        <v>781</v>
      </c>
      <c r="H123" s="374" t="s">
        <v>781</v>
      </c>
      <c r="I123" s="374">
        <v>0.94044811320754718</v>
      </c>
      <c r="J123" s="374">
        <v>0.93220338983050843</v>
      </c>
      <c r="K123" s="374">
        <v>0.93832020997375332</v>
      </c>
      <c r="L123" s="374">
        <v>0.45244956772334294</v>
      </c>
      <c r="M123" s="374">
        <v>0.73670212765957444</v>
      </c>
      <c r="N123" s="374">
        <v>0.52787579393083983</v>
      </c>
      <c r="O123" s="374">
        <v>0.91120658789831721</v>
      </c>
      <c r="P123" s="374">
        <v>0.88902291917973464</v>
      </c>
      <c r="Q123" s="374">
        <v>0.89916516614830577</v>
      </c>
      <c r="R123" s="374">
        <v>0.79289940828402372</v>
      </c>
      <c r="S123" s="374">
        <v>0.85984848484848486</v>
      </c>
      <c r="T123" s="374">
        <v>0.82225913621262459</v>
      </c>
      <c r="U123" s="375">
        <v>0.83145875937286984</v>
      </c>
      <c r="V123" s="375">
        <v>0.88033435987681474</v>
      </c>
      <c r="W123" s="375">
        <v>0.85279431534472827</v>
      </c>
    </row>
    <row r="124" spans="2:23" hidden="1" outlineLevel="1" x14ac:dyDescent="0.25">
      <c r="B124" s="328">
        <v>41426</v>
      </c>
      <c r="C124" s="374" t="s">
        <v>781</v>
      </c>
      <c r="D124" s="374" t="s">
        <v>781</v>
      </c>
      <c r="E124" s="374" t="s">
        <v>781</v>
      </c>
      <c r="F124" s="374" t="s">
        <v>781</v>
      </c>
      <c r="G124" s="374" t="s">
        <v>781</v>
      </c>
      <c r="H124" s="374" t="s">
        <v>781</v>
      </c>
      <c r="I124" s="374">
        <v>0.84762424904423816</v>
      </c>
      <c r="J124" s="374">
        <v>0.87630662020905925</v>
      </c>
      <c r="K124" s="374">
        <v>0.85446985446985446</v>
      </c>
      <c r="L124" s="374">
        <v>0.45479962721342032</v>
      </c>
      <c r="M124" s="374">
        <v>0.67616580310880825</v>
      </c>
      <c r="N124" s="374">
        <v>0.51336531871144619</v>
      </c>
      <c r="O124" s="374">
        <v>0.79081797607500803</v>
      </c>
      <c r="P124" s="374">
        <v>0.82301740812379109</v>
      </c>
      <c r="Q124" s="374">
        <v>0.80694108151735267</v>
      </c>
      <c r="R124" s="374">
        <v>0.75141242937853103</v>
      </c>
      <c r="S124" s="374">
        <v>0.83396226415094343</v>
      </c>
      <c r="T124" s="374">
        <v>0.78675282714054928</v>
      </c>
      <c r="U124" s="375">
        <v>0.74822862541332069</v>
      </c>
      <c r="V124" s="375">
        <v>0.81765657499422228</v>
      </c>
      <c r="W124" s="375">
        <v>0.77636261472185808</v>
      </c>
    </row>
    <row r="125" spans="2:23" hidden="1" outlineLevel="1" x14ac:dyDescent="0.25">
      <c r="B125" s="328">
        <v>41456</v>
      </c>
      <c r="C125" s="374" t="s">
        <v>781</v>
      </c>
      <c r="D125" s="374" t="s">
        <v>781</v>
      </c>
      <c r="E125" s="374" t="s">
        <v>781</v>
      </c>
      <c r="F125" s="374" t="s">
        <v>781</v>
      </c>
      <c r="G125" s="374" t="s">
        <v>781</v>
      </c>
      <c r="H125" s="374" t="s">
        <v>781</v>
      </c>
      <c r="I125" s="374">
        <v>0.95879786718371307</v>
      </c>
      <c r="J125" s="374">
        <v>0.93819334389857367</v>
      </c>
      <c r="K125" s="374">
        <v>0.9539717891610987</v>
      </c>
      <c r="L125" s="374">
        <v>0.46227316141356256</v>
      </c>
      <c r="M125" s="374">
        <v>0.71279373368146215</v>
      </c>
      <c r="N125" s="374">
        <v>0.5293706293706294</v>
      </c>
      <c r="O125" s="374">
        <v>0.9267796610169492</v>
      </c>
      <c r="P125" s="374">
        <v>0.91717028083896202</v>
      </c>
      <c r="Q125" s="374">
        <v>0.92208918965816411</v>
      </c>
      <c r="R125" s="374">
        <v>0.83720930232558144</v>
      </c>
      <c r="S125" s="374">
        <v>0.84758364312267653</v>
      </c>
      <c r="T125" s="374">
        <v>0.84176182707993474</v>
      </c>
      <c r="U125" s="375">
        <v>0.85633978763272955</v>
      </c>
      <c r="V125" s="375">
        <v>0.896728515625</v>
      </c>
      <c r="W125" s="375">
        <v>0.87209523809523815</v>
      </c>
    </row>
    <row r="126" spans="2:23" hidden="1" outlineLevel="1" x14ac:dyDescent="0.25">
      <c r="B126" s="328">
        <v>41487</v>
      </c>
      <c r="C126" s="374" t="s">
        <v>781</v>
      </c>
      <c r="D126" s="374" t="s">
        <v>781</v>
      </c>
      <c r="E126" s="374" t="s">
        <v>781</v>
      </c>
      <c r="F126" s="374" t="s">
        <v>781</v>
      </c>
      <c r="G126" s="374" t="s">
        <v>781</v>
      </c>
      <c r="H126" s="374" t="s">
        <v>781</v>
      </c>
      <c r="I126" s="374">
        <v>0.93575920934411505</v>
      </c>
      <c r="J126" s="374">
        <v>0.94046008119079838</v>
      </c>
      <c r="K126" s="374">
        <v>0.93693086003372683</v>
      </c>
      <c r="L126" s="374">
        <v>0.45276292335115864</v>
      </c>
      <c r="M126" s="374">
        <v>0.68144044321329644</v>
      </c>
      <c r="N126" s="374">
        <v>0.50842886041807145</v>
      </c>
      <c r="O126" s="374">
        <v>0.80194123819517316</v>
      </c>
      <c r="P126" s="374">
        <v>0.82056825200741201</v>
      </c>
      <c r="Q126" s="374">
        <v>0.81049645390070924</v>
      </c>
      <c r="R126" s="374">
        <v>0.77049180327868849</v>
      </c>
      <c r="S126" s="374">
        <v>0.86119873817034698</v>
      </c>
      <c r="T126" s="374">
        <v>0.80913978494623651</v>
      </c>
      <c r="U126" s="375">
        <v>0.78779491235007248</v>
      </c>
      <c r="V126" s="375">
        <v>0.83157894736842108</v>
      </c>
      <c r="W126" s="375">
        <v>0.80444371834667538</v>
      </c>
    </row>
    <row r="127" spans="2:23" hidden="1" outlineLevel="1" x14ac:dyDescent="0.25">
      <c r="B127" s="328">
        <v>41518</v>
      </c>
      <c r="C127" s="374" t="s">
        <v>781</v>
      </c>
      <c r="D127" s="374" t="s">
        <v>781</v>
      </c>
      <c r="E127" s="374" t="s">
        <v>781</v>
      </c>
      <c r="F127" s="374" t="s">
        <v>781</v>
      </c>
      <c r="G127" s="374" t="s">
        <v>781</v>
      </c>
      <c r="H127" s="374" t="s">
        <v>781</v>
      </c>
      <c r="I127" s="374">
        <v>0.87039502885042164</v>
      </c>
      <c r="J127" s="374">
        <v>0.88304093567251463</v>
      </c>
      <c r="K127" s="374">
        <v>0.8733401430030644</v>
      </c>
      <c r="L127" s="374">
        <v>0.49043869516310462</v>
      </c>
      <c r="M127" s="374">
        <v>0.71381578947368418</v>
      </c>
      <c r="N127" s="374">
        <v>0.5473595976529757</v>
      </c>
      <c r="O127" s="374">
        <v>0.80207715133531154</v>
      </c>
      <c r="P127" s="374">
        <v>0.8418041063614945</v>
      </c>
      <c r="Q127" s="374">
        <v>0.82069074278504972</v>
      </c>
      <c r="R127" s="374">
        <v>0.69480519480519476</v>
      </c>
      <c r="S127" s="374">
        <v>0.88888888888888884</v>
      </c>
      <c r="T127" s="374">
        <v>0.78214285714285714</v>
      </c>
      <c r="U127" s="375">
        <v>0.77917888563049853</v>
      </c>
      <c r="V127" s="375">
        <v>0.84208026597007835</v>
      </c>
      <c r="W127" s="375">
        <v>0.80319100716163538</v>
      </c>
    </row>
    <row r="128" spans="2:23" hidden="1" outlineLevel="1" x14ac:dyDescent="0.25">
      <c r="B128" s="328">
        <v>41548</v>
      </c>
      <c r="C128" s="374" t="s">
        <v>781</v>
      </c>
      <c r="D128" s="374" t="s">
        <v>781</v>
      </c>
      <c r="E128" s="374" t="s">
        <v>781</v>
      </c>
      <c r="F128" s="374" t="s">
        <v>781</v>
      </c>
      <c r="G128" s="374" t="s">
        <v>781</v>
      </c>
      <c r="H128" s="374" t="s">
        <v>781</v>
      </c>
      <c r="I128" s="374">
        <v>0.83969465648854957</v>
      </c>
      <c r="J128" s="374">
        <v>0.87016574585635365</v>
      </c>
      <c r="K128" s="374">
        <v>0.8462918660287081</v>
      </c>
      <c r="L128" s="374">
        <v>0.45681381957773515</v>
      </c>
      <c r="M128" s="374">
        <v>0.72681704260651625</v>
      </c>
      <c r="N128" s="374">
        <v>0.53157529493407352</v>
      </c>
      <c r="O128" s="374">
        <v>0.81873865698729587</v>
      </c>
      <c r="P128" s="374">
        <v>0.85683472634133184</v>
      </c>
      <c r="Q128" s="374">
        <v>0.83614635949242333</v>
      </c>
      <c r="R128" s="374">
        <v>0.73493975903614461</v>
      </c>
      <c r="S128" s="374">
        <v>0.8571428571428571</v>
      </c>
      <c r="T128" s="374">
        <v>0.78561354019746121</v>
      </c>
      <c r="U128" s="375">
        <v>0.77666470241602825</v>
      </c>
      <c r="V128" s="375">
        <v>0.84861490440889586</v>
      </c>
      <c r="W128" s="375">
        <v>0.80376166336051724</v>
      </c>
    </row>
    <row r="129" spans="2:23" hidden="1" outlineLevel="1" x14ac:dyDescent="0.25">
      <c r="B129" s="328">
        <v>41579</v>
      </c>
      <c r="C129" s="374" t="s">
        <v>781</v>
      </c>
      <c r="D129" s="374" t="s">
        <v>781</v>
      </c>
      <c r="E129" s="374" t="s">
        <v>781</v>
      </c>
      <c r="F129" s="374" t="s">
        <v>781</v>
      </c>
      <c r="G129" s="374" t="s">
        <v>781</v>
      </c>
      <c r="H129" s="374" t="s">
        <v>781</v>
      </c>
      <c r="I129" s="374">
        <v>0.88721804511278191</v>
      </c>
      <c r="J129" s="374">
        <v>0.88095238095238093</v>
      </c>
      <c r="K129" s="374">
        <v>0.88589685075308078</v>
      </c>
      <c r="L129" s="374">
        <v>0.51876019575856447</v>
      </c>
      <c r="M129" s="374">
        <v>0.70930232558139539</v>
      </c>
      <c r="N129" s="374">
        <v>0.57520091848450061</v>
      </c>
      <c r="O129" s="374">
        <v>0.82749817651349378</v>
      </c>
      <c r="P129" s="374">
        <v>0.8311092577147623</v>
      </c>
      <c r="Q129" s="374">
        <v>0.82918287937743196</v>
      </c>
      <c r="R129" s="374">
        <v>0.84642857142857142</v>
      </c>
      <c r="S129" s="374">
        <v>0.94174757281553401</v>
      </c>
      <c r="T129" s="374">
        <v>0.88683127572016462</v>
      </c>
      <c r="U129" s="375">
        <v>0.81245339299030572</v>
      </c>
      <c r="V129" s="375">
        <v>0.835439229843562</v>
      </c>
      <c r="W129" s="375">
        <v>0.82124769797421726</v>
      </c>
    </row>
    <row r="130" spans="2:23" hidden="1" outlineLevel="1" x14ac:dyDescent="0.25">
      <c r="B130" s="328">
        <v>41609</v>
      </c>
      <c r="C130" s="374" t="s">
        <v>781</v>
      </c>
      <c r="D130" s="374" t="s">
        <v>781</v>
      </c>
      <c r="E130" s="374" t="s">
        <v>781</v>
      </c>
      <c r="F130" s="374" t="s">
        <v>781</v>
      </c>
      <c r="G130" s="374" t="s">
        <v>781</v>
      </c>
      <c r="H130" s="374" t="s">
        <v>781</v>
      </c>
      <c r="I130" s="374">
        <v>0.86290322580645162</v>
      </c>
      <c r="J130" s="374">
        <v>0.87131050767414409</v>
      </c>
      <c r="K130" s="374">
        <v>0.86476589066178389</v>
      </c>
      <c r="L130" s="374">
        <v>0.48378615249780893</v>
      </c>
      <c r="M130" s="374">
        <v>0.71014492753623193</v>
      </c>
      <c r="N130" s="374">
        <v>0.55110837438423643</v>
      </c>
      <c r="O130" s="374">
        <v>0.82653799758745472</v>
      </c>
      <c r="P130" s="374">
        <v>0.8259280089988752</v>
      </c>
      <c r="Q130" s="374">
        <v>0.8262563303467082</v>
      </c>
      <c r="R130" s="374">
        <v>0.81894150417827294</v>
      </c>
      <c r="S130" s="374">
        <v>0.93189964157706096</v>
      </c>
      <c r="T130" s="374">
        <v>0.86833855799373039</v>
      </c>
      <c r="U130" s="375">
        <v>0.79341143718826124</v>
      </c>
      <c r="V130" s="375">
        <v>0.82826718296224588</v>
      </c>
      <c r="W130" s="375">
        <v>0.80647033222109388</v>
      </c>
    </row>
    <row r="131" spans="2:23" collapsed="1" x14ac:dyDescent="0.25">
      <c r="B131" s="330" t="s">
        <v>695</v>
      </c>
      <c r="C131" s="375" t="s">
        <v>781</v>
      </c>
      <c r="D131" s="375" t="s">
        <v>781</v>
      </c>
      <c r="E131" s="375" t="s">
        <v>781</v>
      </c>
      <c r="F131" s="375" t="s">
        <v>781</v>
      </c>
      <c r="G131" s="375" t="s">
        <v>781</v>
      </c>
      <c r="H131" s="375" t="s">
        <v>781</v>
      </c>
      <c r="I131" s="375">
        <v>0.89645254074784275</v>
      </c>
      <c r="J131" s="375">
        <v>0.91007751937984493</v>
      </c>
      <c r="K131" s="375">
        <v>0.89967045038447457</v>
      </c>
      <c r="L131" s="375">
        <v>0.46621621621621623</v>
      </c>
      <c r="M131" s="375">
        <v>0.69791666666666663</v>
      </c>
      <c r="N131" s="375">
        <v>0.52924594785059897</v>
      </c>
      <c r="O131" s="375">
        <v>0.84528749259039715</v>
      </c>
      <c r="P131" s="375">
        <v>0.85864562787639709</v>
      </c>
      <c r="Q131" s="375">
        <v>0.85162094763092266</v>
      </c>
      <c r="R131" s="375">
        <v>0.79420289855072468</v>
      </c>
      <c r="S131" s="375">
        <v>0.87452471482889738</v>
      </c>
      <c r="T131" s="375">
        <v>0.82894736842105265</v>
      </c>
      <c r="U131" s="375">
        <v>0.80090630024850173</v>
      </c>
      <c r="V131" s="375">
        <v>0.85302261190586059</v>
      </c>
      <c r="W131" s="375">
        <v>0.82111856823266216</v>
      </c>
    </row>
    <row r="132" spans="2:23" hidden="1" outlineLevel="1" x14ac:dyDescent="0.25">
      <c r="B132" s="328">
        <v>41640</v>
      </c>
      <c r="C132" s="374" t="s">
        <v>781</v>
      </c>
      <c r="D132" s="374" t="s">
        <v>781</v>
      </c>
      <c r="E132" s="374" t="s">
        <v>781</v>
      </c>
      <c r="F132" s="374" t="s">
        <v>781</v>
      </c>
      <c r="G132" s="374" t="s">
        <v>781</v>
      </c>
      <c r="H132" s="374" t="s">
        <v>781</v>
      </c>
      <c r="I132" s="374">
        <v>0.83565891472868215</v>
      </c>
      <c r="J132" s="374">
        <v>0.88451776649746194</v>
      </c>
      <c r="K132" s="374">
        <v>0.8470902612826603</v>
      </c>
      <c r="L132" s="374">
        <v>0.49065880039331367</v>
      </c>
      <c r="M132" s="374">
        <v>0.74450549450549453</v>
      </c>
      <c r="N132" s="374">
        <v>0.55756698044895003</v>
      </c>
      <c r="O132" s="374">
        <v>0.7951078379800105</v>
      </c>
      <c r="P132" s="374">
        <v>0.82321268321866592</v>
      </c>
      <c r="Q132" s="374">
        <v>0.80825752274317708</v>
      </c>
      <c r="R132" s="374">
        <v>0.86702127659574468</v>
      </c>
      <c r="S132" s="374">
        <v>0.93090909090909091</v>
      </c>
      <c r="T132" s="374">
        <v>0.89400921658986177</v>
      </c>
      <c r="U132" s="375">
        <v>0.77221864951768493</v>
      </c>
      <c r="V132" s="375">
        <v>0.83354297693920332</v>
      </c>
      <c r="W132" s="375">
        <v>0.79553607014746908</v>
      </c>
    </row>
    <row r="133" spans="2:23" hidden="1" outlineLevel="1" x14ac:dyDescent="0.25">
      <c r="B133" s="328">
        <v>41671</v>
      </c>
      <c r="C133" s="374" t="s">
        <v>781</v>
      </c>
      <c r="D133" s="374" t="s">
        <v>781</v>
      </c>
      <c r="E133" s="374" t="s">
        <v>781</v>
      </c>
      <c r="F133" s="374" t="s">
        <v>781</v>
      </c>
      <c r="G133" s="374" t="s">
        <v>781</v>
      </c>
      <c r="H133" s="374" t="s">
        <v>781</v>
      </c>
      <c r="I133" s="374">
        <v>0.77470867501078977</v>
      </c>
      <c r="J133" s="374">
        <v>0.84977908689248893</v>
      </c>
      <c r="K133" s="374">
        <v>0.79172229639519354</v>
      </c>
      <c r="L133" s="374">
        <v>0.52858809801633611</v>
      </c>
      <c r="M133" s="374">
        <v>0.7168674698795181</v>
      </c>
      <c r="N133" s="374">
        <v>0.58116063919259886</v>
      </c>
      <c r="O133" s="374">
        <v>0.77742549143944195</v>
      </c>
      <c r="P133" s="374">
        <v>0.80854821617802897</v>
      </c>
      <c r="Q133" s="374">
        <v>0.79214703425229738</v>
      </c>
      <c r="R133" s="374">
        <v>0.8481481481481481</v>
      </c>
      <c r="S133" s="374">
        <v>0.90566037735849059</v>
      </c>
      <c r="T133" s="374">
        <v>0.87344398340248963</v>
      </c>
      <c r="U133" s="375">
        <v>0.74704455895725974</v>
      </c>
      <c r="V133" s="375">
        <v>0.81302417365564872</v>
      </c>
      <c r="W133" s="375">
        <v>0.77215546376267363</v>
      </c>
    </row>
    <row r="134" spans="2:23" hidden="1" outlineLevel="1" x14ac:dyDescent="0.25">
      <c r="B134" s="328">
        <v>41699</v>
      </c>
      <c r="C134" s="374" t="s">
        <v>781</v>
      </c>
      <c r="D134" s="374" t="s">
        <v>781</v>
      </c>
      <c r="E134" s="374" t="s">
        <v>781</v>
      </c>
      <c r="F134" s="374" t="s">
        <v>781</v>
      </c>
      <c r="G134" s="374" t="s">
        <v>781</v>
      </c>
      <c r="H134" s="374" t="s">
        <v>781</v>
      </c>
      <c r="I134" s="374">
        <v>0.77550324121460257</v>
      </c>
      <c r="J134" s="374">
        <v>0.85467980295566504</v>
      </c>
      <c r="K134" s="374">
        <v>0.79267966871493456</v>
      </c>
      <c r="L134" s="374">
        <v>0.50436300174520066</v>
      </c>
      <c r="M134" s="374">
        <v>0.71875</v>
      </c>
      <c r="N134" s="374">
        <v>0.56461731493099121</v>
      </c>
      <c r="O134" s="374">
        <v>0.7499307671005262</v>
      </c>
      <c r="P134" s="374">
        <v>0.80837408312958436</v>
      </c>
      <c r="Q134" s="374">
        <v>0.77771320645067554</v>
      </c>
      <c r="R134" s="374">
        <v>0.81047381546134667</v>
      </c>
      <c r="S134" s="374">
        <v>0.9083665338645418</v>
      </c>
      <c r="T134" s="374">
        <v>0.84815950920245398</v>
      </c>
      <c r="U134" s="375">
        <v>0.72740759055507476</v>
      </c>
      <c r="V134" s="375">
        <v>0.81308802007108505</v>
      </c>
      <c r="W134" s="375">
        <v>0.75924487259167184</v>
      </c>
    </row>
    <row r="135" spans="2:23" hidden="1" outlineLevel="1" x14ac:dyDescent="0.25">
      <c r="B135" s="328">
        <v>41730</v>
      </c>
      <c r="C135" s="374" t="s">
        <v>781</v>
      </c>
      <c r="D135" s="374" t="s">
        <v>781</v>
      </c>
      <c r="E135" s="374" t="s">
        <v>781</v>
      </c>
      <c r="F135" s="374" t="s">
        <v>781</v>
      </c>
      <c r="G135" s="374" t="s">
        <v>781</v>
      </c>
      <c r="H135" s="374" t="s">
        <v>781</v>
      </c>
      <c r="I135" s="374">
        <v>0.75409181636726552</v>
      </c>
      <c r="J135" s="374">
        <v>0.85931034482758617</v>
      </c>
      <c r="K135" s="374">
        <v>0.77770897832817343</v>
      </c>
      <c r="L135" s="374">
        <v>0.49716981132075472</v>
      </c>
      <c r="M135" s="374">
        <v>0.69870129870129871</v>
      </c>
      <c r="N135" s="374">
        <v>0.55086505190311419</v>
      </c>
      <c r="O135" s="374">
        <v>0.74238805970149258</v>
      </c>
      <c r="P135" s="374">
        <v>0.78952411370169273</v>
      </c>
      <c r="Q135" s="374">
        <v>0.76515969757753433</v>
      </c>
      <c r="R135" s="374">
        <v>0.8529411764705882</v>
      </c>
      <c r="S135" s="374">
        <v>0.91814946619217086</v>
      </c>
      <c r="T135" s="374">
        <v>0.88091603053435119</v>
      </c>
      <c r="U135" s="375">
        <v>0.71642200576210724</v>
      </c>
      <c r="V135" s="375">
        <v>0.80097302078726229</v>
      </c>
      <c r="W135" s="375">
        <v>0.7487934975869952</v>
      </c>
    </row>
    <row r="136" spans="2:23" hidden="1" outlineLevel="1" x14ac:dyDescent="0.25">
      <c r="B136" s="328">
        <v>41760</v>
      </c>
      <c r="C136" s="374" t="s">
        <v>781</v>
      </c>
      <c r="D136" s="374" t="s">
        <v>781</v>
      </c>
      <c r="E136" s="374" t="s">
        <v>781</v>
      </c>
      <c r="F136" s="374" t="s">
        <v>781</v>
      </c>
      <c r="G136" s="374" t="s">
        <v>781</v>
      </c>
      <c r="H136" s="374" t="s">
        <v>781</v>
      </c>
      <c r="I136" s="374">
        <v>0.79562542720437457</v>
      </c>
      <c r="J136" s="374">
        <v>0.8481481481481481</v>
      </c>
      <c r="K136" s="374">
        <v>0.8070128479657388</v>
      </c>
      <c r="L136" s="374">
        <v>0.48479262672811058</v>
      </c>
      <c r="M136" s="374">
        <v>0.75257731958762886</v>
      </c>
      <c r="N136" s="374">
        <v>0.55532926001357774</v>
      </c>
      <c r="O136" s="374">
        <v>0.738472798243474</v>
      </c>
      <c r="P136" s="374">
        <v>0.77891979040709391</v>
      </c>
      <c r="Q136" s="374">
        <v>0.7606224478534378</v>
      </c>
      <c r="R136" s="374">
        <v>0.80441640378548895</v>
      </c>
      <c r="S136" s="374">
        <v>0.93442622950819676</v>
      </c>
      <c r="T136" s="374">
        <v>0.86096256684491979</v>
      </c>
      <c r="U136" s="375">
        <v>0.72813575412365017</v>
      </c>
      <c r="V136" s="375">
        <v>0.79200499687695192</v>
      </c>
      <c r="W136" s="375">
        <v>0.75571438203762387</v>
      </c>
    </row>
    <row r="137" spans="2:23" hidden="1" outlineLevel="1" x14ac:dyDescent="0.25">
      <c r="B137" s="328">
        <v>41791</v>
      </c>
      <c r="C137" s="374" t="s">
        <v>781</v>
      </c>
      <c r="D137" s="374" t="s">
        <v>781</v>
      </c>
      <c r="E137" s="374" t="s">
        <v>781</v>
      </c>
      <c r="F137" s="374" t="s">
        <v>781</v>
      </c>
      <c r="G137" s="374" t="s">
        <v>781</v>
      </c>
      <c r="H137" s="374" t="s">
        <v>781</v>
      </c>
      <c r="I137" s="374">
        <v>0.81096800997091811</v>
      </c>
      <c r="J137" s="374">
        <v>0.84836065573770492</v>
      </c>
      <c r="K137" s="374">
        <v>0.81968779866199426</v>
      </c>
      <c r="L137" s="374">
        <v>0.49495967741935482</v>
      </c>
      <c r="M137" s="374">
        <v>0.73860911270983209</v>
      </c>
      <c r="N137" s="374">
        <v>0.56706884315117101</v>
      </c>
      <c r="O137" s="374">
        <v>0.77191072400653238</v>
      </c>
      <c r="P137" s="374">
        <v>0.79868938401048495</v>
      </c>
      <c r="Q137" s="374">
        <v>0.78555214314327682</v>
      </c>
      <c r="R137" s="374">
        <v>0.7769784172661871</v>
      </c>
      <c r="S137" s="374">
        <v>0.86363636363636365</v>
      </c>
      <c r="T137" s="374">
        <v>0.81526104417670686</v>
      </c>
      <c r="U137" s="375">
        <v>0.7475173445789689</v>
      </c>
      <c r="V137" s="375">
        <v>0.80362654320987659</v>
      </c>
      <c r="W137" s="375">
        <v>0.7707219784603111</v>
      </c>
    </row>
    <row r="138" spans="2:23" hidden="1" outlineLevel="1" x14ac:dyDescent="0.25">
      <c r="B138" s="328">
        <v>41821</v>
      </c>
      <c r="C138" s="374" t="s">
        <v>781</v>
      </c>
      <c r="D138" s="374" t="s">
        <v>781</v>
      </c>
      <c r="E138" s="374" t="s">
        <v>781</v>
      </c>
      <c r="F138" s="374" t="s">
        <v>781</v>
      </c>
      <c r="G138" s="374" t="s">
        <v>781</v>
      </c>
      <c r="H138" s="374" t="s">
        <v>781</v>
      </c>
      <c r="I138" s="374">
        <v>0.79490291262135926</v>
      </c>
      <c r="J138" s="374">
        <v>0.86894586894586889</v>
      </c>
      <c r="K138" s="374">
        <v>0.81127914303717708</v>
      </c>
      <c r="L138" s="374">
        <v>0.50133096716947645</v>
      </c>
      <c r="M138" s="374">
        <v>0.76279069767441865</v>
      </c>
      <c r="N138" s="374">
        <v>0.57353885677585104</v>
      </c>
      <c r="O138" s="374">
        <v>0.79060469765117436</v>
      </c>
      <c r="P138" s="374">
        <v>0.79590660132603053</v>
      </c>
      <c r="Q138" s="374">
        <v>0.79306652389238386</v>
      </c>
      <c r="R138" s="374">
        <v>0.80916030534351147</v>
      </c>
      <c r="S138" s="374">
        <v>0.90952380952380951</v>
      </c>
      <c r="T138" s="374">
        <v>0.85381355932203384</v>
      </c>
      <c r="U138" s="375">
        <v>0.75111280681673664</v>
      </c>
      <c r="V138" s="375">
        <v>0.80856370816877987</v>
      </c>
      <c r="W138" s="375">
        <v>0.77292094050812687</v>
      </c>
    </row>
    <row r="139" spans="2:23" hidden="1" outlineLevel="1" x14ac:dyDescent="0.25">
      <c r="B139" s="328">
        <v>41852</v>
      </c>
      <c r="C139" s="374" t="s">
        <v>781</v>
      </c>
      <c r="D139" s="374" t="s">
        <v>781</v>
      </c>
      <c r="E139" s="374" t="s">
        <v>781</v>
      </c>
      <c r="F139" s="374" t="s">
        <v>781</v>
      </c>
      <c r="G139" s="374" t="s">
        <v>781</v>
      </c>
      <c r="H139" s="374" t="s">
        <v>781</v>
      </c>
      <c r="I139" s="374">
        <v>0.80312386487468213</v>
      </c>
      <c r="J139" s="374">
        <v>0.85563380281690138</v>
      </c>
      <c r="K139" s="374">
        <v>0.81553398058252424</v>
      </c>
      <c r="L139" s="374">
        <v>0.48231233822260572</v>
      </c>
      <c r="M139" s="374">
        <v>0.7478813559322034</v>
      </c>
      <c r="N139" s="374">
        <v>0.55916615573267936</v>
      </c>
      <c r="O139" s="374">
        <v>0.78250755989765064</v>
      </c>
      <c r="P139" s="374">
        <v>0.78422900351066704</v>
      </c>
      <c r="Q139" s="374">
        <v>0.78330417395651086</v>
      </c>
      <c r="R139" s="374">
        <v>0.81132075471698117</v>
      </c>
      <c r="S139" s="374">
        <v>0.93506493506493504</v>
      </c>
      <c r="T139" s="374">
        <v>0.86895161290322576</v>
      </c>
      <c r="U139" s="375">
        <v>0.74905615856536101</v>
      </c>
      <c r="V139" s="375">
        <v>0.79916317991631802</v>
      </c>
      <c r="W139" s="375">
        <v>0.76823940585408479</v>
      </c>
    </row>
    <row r="140" spans="2:23" hidden="1" outlineLevel="1" x14ac:dyDescent="0.25">
      <c r="B140" s="328">
        <v>41883</v>
      </c>
      <c r="C140" s="374" t="s">
        <v>781</v>
      </c>
      <c r="D140" s="374" t="s">
        <v>781</v>
      </c>
      <c r="E140" s="374" t="s">
        <v>781</v>
      </c>
      <c r="F140" s="374" t="s">
        <v>781</v>
      </c>
      <c r="G140" s="374" t="s">
        <v>781</v>
      </c>
      <c r="H140" s="374" t="s">
        <v>781</v>
      </c>
      <c r="I140" s="374">
        <v>0.85737908226539894</v>
      </c>
      <c r="J140" s="374">
        <v>0.88621151271753684</v>
      </c>
      <c r="K140" s="374">
        <v>0.86418193303853441</v>
      </c>
      <c r="L140" s="374">
        <v>0.48731501057082455</v>
      </c>
      <c r="M140" s="374">
        <v>0.75442477876106195</v>
      </c>
      <c r="N140" s="374">
        <v>0.57367668097281832</v>
      </c>
      <c r="O140" s="374">
        <v>0.80488400488400491</v>
      </c>
      <c r="P140" s="374">
        <v>0.82081762829805738</v>
      </c>
      <c r="Q140" s="374">
        <v>0.8121686108165429</v>
      </c>
      <c r="R140" s="374">
        <v>0.88349514563106801</v>
      </c>
      <c r="S140" s="374">
        <v>0.93048128342245995</v>
      </c>
      <c r="T140" s="374">
        <v>0.90585241730279897</v>
      </c>
      <c r="U140" s="375">
        <v>0.78437255413514217</v>
      </c>
      <c r="V140" s="375">
        <v>0.82895553257497412</v>
      </c>
      <c r="W140" s="375">
        <v>0.80161587073034157</v>
      </c>
    </row>
    <row r="141" spans="2:23" hidden="1" outlineLevel="1" x14ac:dyDescent="0.25">
      <c r="B141" s="328">
        <v>41913</v>
      </c>
      <c r="C141" s="374" t="s">
        <v>781</v>
      </c>
      <c r="D141" s="374" t="s">
        <v>781</v>
      </c>
      <c r="E141" s="374" t="s">
        <v>781</v>
      </c>
      <c r="F141" s="374" t="s">
        <v>781</v>
      </c>
      <c r="G141" s="374" t="s">
        <v>781</v>
      </c>
      <c r="H141" s="374" t="s">
        <v>781</v>
      </c>
      <c r="I141" s="374">
        <v>0.83221225710014946</v>
      </c>
      <c r="J141" s="374">
        <v>0.88485607008760947</v>
      </c>
      <c r="K141" s="374">
        <v>0.84431654676258994</v>
      </c>
      <c r="L141" s="374">
        <v>0.5136026380873866</v>
      </c>
      <c r="M141" s="374">
        <v>0.74358974358974361</v>
      </c>
      <c r="N141" s="374">
        <v>0.57763236168947052</v>
      </c>
      <c r="O141" s="374">
        <v>0.76981833195706029</v>
      </c>
      <c r="P141" s="374">
        <v>0.81674487527784634</v>
      </c>
      <c r="Q141" s="374">
        <v>0.79118407736421903</v>
      </c>
      <c r="R141" s="374">
        <v>0.83127572016460904</v>
      </c>
      <c r="S141" s="374">
        <v>0.92972972972972978</v>
      </c>
      <c r="T141" s="374">
        <v>0.87383177570093462</v>
      </c>
      <c r="U141" s="375">
        <v>0.75545900178253123</v>
      </c>
      <c r="V141" s="375">
        <v>0.82421377931285222</v>
      </c>
      <c r="W141" s="375">
        <v>0.78158458244111351</v>
      </c>
    </row>
    <row r="142" spans="2:23" hidden="1" outlineLevel="1" x14ac:dyDescent="0.25">
      <c r="B142" s="328">
        <v>41944</v>
      </c>
      <c r="C142" s="374" t="s">
        <v>781</v>
      </c>
      <c r="D142" s="374" t="s">
        <v>781</v>
      </c>
      <c r="E142" s="374" t="s">
        <v>781</v>
      </c>
      <c r="F142" s="374" t="s">
        <v>781</v>
      </c>
      <c r="G142" s="374" t="s">
        <v>781</v>
      </c>
      <c r="H142" s="374" t="s">
        <v>781</v>
      </c>
      <c r="I142" s="374">
        <v>0.86229365768896615</v>
      </c>
      <c r="J142" s="374">
        <v>0.88128491620111726</v>
      </c>
      <c r="K142" s="374">
        <v>0.86679920477137173</v>
      </c>
      <c r="L142" s="374">
        <v>0.49287749287749288</v>
      </c>
      <c r="M142" s="374">
        <v>0.72747747747747749</v>
      </c>
      <c r="N142" s="374">
        <v>0.5624582498329993</v>
      </c>
      <c r="O142" s="374">
        <v>0.79334916864608074</v>
      </c>
      <c r="P142" s="374">
        <v>0.83197093551316981</v>
      </c>
      <c r="Q142" s="374">
        <v>0.81032876347664051</v>
      </c>
      <c r="R142" s="374">
        <v>0.87068965517241381</v>
      </c>
      <c r="S142" s="374">
        <v>0.88953488372093026</v>
      </c>
      <c r="T142" s="374">
        <v>0.87871287128712872</v>
      </c>
      <c r="U142" s="375">
        <v>0.77542644606900091</v>
      </c>
      <c r="V142" s="375">
        <v>0.83171521035598706</v>
      </c>
      <c r="W142" s="375">
        <v>0.79641248391248387</v>
      </c>
    </row>
    <row r="143" spans="2:23" hidden="1" outlineLevel="1" x14ac:dyDescent="0.25">
      <c r="B143" s="328">
        <v>41974</v>
      </c>
      <c r="C143" s="374" t="s">
        <v>781</v>
      </c>
      <c r="D143" s="374" t="s">
        <v>781</v>
      </c>
      <c r="E143" s="374" t="s">
        <v>781</v>
      </c>
      <c r="F143" s="374" t="s">
        <v>781</v>
      </c>
      <c r="G143" s="374" t="s">
        <v>781</v>
      </c>
      <c r="H143" s="374" t="s">
        <v>781</v>
      </c>
      <c r="I143" s="374">
        <v>0.89797837329572172</v>
      </c>
      <c r="J143" s="374">
        <v>0.91558441558441561</v>
      </c>
      <c r="K143" s="374">
        <v>0.90193219103171707</v>
      </c>
      <c r="L143" s="374">
        <v>0.52826086956521734</v>
      </c>
      <c r="M143" s="374">
        <v>0.77386934673366836</v>
      </c>
      <c r="N143" s="374">
        <v>0.60242792109256449</v>
      </c>
      <c r="O143" s="374">
        <v>0.80676328502415462</v>
      </c>
      <c r="P143" s="374">
        <v>0.8463485177151121</v>
      </c>
      <c r="Q143" s="374">
        <v>0.8247778874629812</v>
      </c>
      <c r="R143" s="374">
        <v>0.890625</v>
      </c>
      <c r="S143" s="374">
        <v>0.92941176470588238</v>
      </c>
      <c r="T143" s="374">
        <v>0.90883977900552482</v>
      </c>
      <c r="U143" s="375">
        <v>0.79972523278888719</v>
      </c>
      <c r="V143" s="375">
        <v>0.85341772151898732</v>
      </c>
      <c r="W143" s="375">
        <v>0.81992191219883825</v>
      </c>
    </row>
    <row r="144" spans="2:23" collapsed="1" x14ac:dyDescent="0.25">
      <c r="B144" s="330" t="s">
        <v>696</v>
      </c>
      <c r="C144" s="375" t="s">
        <v>781</v>
      </c>
      <c r="D144" s="375" t="s">
        <v>781</v>
      </c>
      <c r="E144" s="375" t="s">
        <v>781</v>
      </c>
      <c r="F144" s="375" t="s">
        <v>781</v>
      </c>
      <c r="G144" s="375" t="s">
        <v>781</v>
      </c>
      <c r="H144" s="375" t="s">
        <v>781</v>
      </c>
      <c r="I144" s="375">
        <v>0.81420118343195269</v>
      </c>
      <c r="J144" s="375">
        <v>0.86898395721925137</v>
      </c>
      <c r="K144" s="375">
        <v>0.82668291197075849</v>
      </c>
      <c r="L144" s="375">
        <v>0.5</v>
      </c>
      <c r="M144" s="375">
        <v>0.73860911270983209</v>
      </c>
      <c r="N144" s="375">
        <v>0.56830601092896171</v>
      </c>
      <c r="O144" s="375">
        <v>0.77706019116507363</v>
      </c>
      <c r="P144" s="375">
        <v>0.80672748004561001</v>
      </c>
      <c r="Q144" s="375">
        <v>0.79116411437864209</v>
      </c>
      <c r="R144" s="375">
        <v>0.83508771929824566</v>
      </c>
      <c r="S144" s="375">
        <v>0.91363636363636369</v>
      </c>
      <c r="T144" s="375">
        <v>0.8693069306930693</v>
      </c>
      <c r="U144" s="375">
        <v>0.7539415869733781</v>
      </c>
      <c r="V144" s="375">
        <v>0.81561733442354867</v>
      </c>
      <c r="W144" s="375">
        <v>0.77783056215360258</v>
      </c>
    </row>
    <row r="145" spans="2:23" hidden="1" outlineLevel="1" x14ac:dyDescent="0.25">
      <c r="B145" s="328">
        <v>42005</v>
      </c>
      <c r="C145" s="374" t="s">
        <v>781</v>
      </c>
      <c r="D145" s="374" t="s">
        <v>781</v>
      </c>
      <c r="E145" s="374" t="s">
        <v>781</v>
      </c>
      <c r="F145" s="374" t="s">
        <v>781</v>
      </c>
      <c r="G145" s="374" t="s">
        <v>781</v>
      </c>
      <c r="H145" s="374" t="s">
        <v>781</v>
      </c>
      <c r="I145" s="374">
        <v>0.83140569395017794</v>
      </c>
      <c r="J145" s="374">
        <v>0.86626139817629177</v>
      </c>
      <c r="K145" s="374">
        <v>0.83929800412938749</v>
      </c>
      <c r="L145" s="374">
        <v>0.56393129770992367</v>
      </c>
      <c r="M145" s="374">
        <v>0.81352459016393441</v>
      </c>
      <c r="N145" s="374">
        <v>0.64322916666666663</v>
      </c>
      <c r="O145" s="374">
        <v>0.75533617929562435</v>
      </c>
      <c r="P145" s="374">
        <v>0.78470547709266281</v>
      </c>
      <c r="Q145" s="374">
        <v>0.7681551646368967</v>
      </c>
      <c r="R145" s="374">
        <v>0.74576271186440679</v>
      </c>
      <c r="S145" s="374">
        <v>0.85858585858585856</v>
      </c>
      <c r="T145" s="374">
        <v>0.79723502304147464</v>
      </c>
      <c r="U145" s="375">
        <v>0.75104719352136273</v>
      </c>
      <c r="V145" s="375">
        <v>0.80279652844744454</v>
      </c>
      <c r="W145" s="375">
        <v>0.77002652519893899</v>
      </c>
    </row>
    <row r="146" spans="2:23" hidden="1" outlineLevel="1" x14ac:dyDescent="0.25">
      <c r="B146" s="328">
        <v>42036</v>
      </c>
      <c r="C146" s="374" t="s">
        <v>781</v>
      </c>
      <c r="D146" s="374" t="s">
        <v>781</v>
      </c>
      <c r="E146" s="374" t="s">
        <v>781</v>
      </c>
      <c r="F146" s="374" t="s">
        <v>781</v>
      </c>
      <c r="G146" s="374" t="s">
        <v>781</v>
      </c>
      <c r="H146" s="374" t="s">
        <v>781</v>
      </c>
      <c r="I146" s="374">
        <v>0.85963114754098358</v>
      </c>
      <c r="J146" s="374">
        <v>0.87175043327556323</v>
      </c>
      <c r="K146" s="374">
        <v>0.86239620403321471</v>
      </c>
      <c r="L146" s="374">
        <v>0.54573484069886946</v>
      </c>
      <c r="M146" s="374">
        <v>0.77701149425287352</v>
      </c>
      <c r="N146" s="374">
        <v>0.6171875</v>
      </c>
      <c r="O146" s="374">
        <v>0.79686593151479979</v>
      </c>
      <c r="P146" s="374">
        <v>0.82010582010582012</v>
      </c>
      <c r="Q146" s="374">
        <v>0.80735551663747807</v>
      </c>
      <c r="R146" s="374">
        <v>0.75824175824175821</v>
      </c>
      <c r="S146" s="374">
        <v>0.89411764705882357</v>
      </c>
      <c r="T146" s="374">
        <v>0.82386363636363635</v>
      </c>
      <c r="U146" s="375">
        <v>0.77746827607551838</v>
      </c>
      <c r="V146" s="375">
        <v>0.8245167853509664</v>
      </c>
      <c r="W146" s="375">
        <v>0.79526649990379061</v>
      </c>
    </row>
    <row r="147" spans="2:23" hidden="1" outlineLevel="1" x14ac:dyDescent="0.25">
      <c r="B147" s="328">
        <v>42064</v>
      </c>
      <c r="C147" s="374" t="s">
        <v>781</v>
      </c>
      <c r="D147" s="374" t="s">
        <v>781</v>
      </c>
      <c r="E147" s="374" t="s">
        <v>781</v>
      </c>
      <c r="F147" s="374" t="s">
        <v>781</v>
      </c>
      <c r="G147" s="374" t="s">
        <v>781</v>
      </c>
      <c r="H147" s="374" t="s">
        <v>781</v>
      </c>
      <c r="I147" s="374">
        <v>0.84253393665158371</v>
      </c>
      <c r="J147" s="374">
        <v>0.86535552193645993</v>
      </c>
      <c r="K147" s="374">
        <v>0.84778822709857193</v>
      </c>
      <c r="L147" s="374">
        <v>0.54903536977491962</v>
      </c>
      <c r="M147" s="374">
        <v>0.80148423005565861</v>
      </c>
      <c r="N147" s="374">
        <v>0.62535053280987096</v>
      </c>
      <c r="O147" s="374">
        <v>0.77154452136548102</v>
      </c>
      <c r="P147" s="374">
        <v>0.81221461187214616</v>
      </c>
      <c r="Q147" s="374">
        <v>0.79006889379955803</v>
      </c>
      <c r="R147" s="374">
        <v>0.79130434782608694</v>
      </c>
      <c r="S147" s="374">
        <v>0.84745762711864403</v>
      </c>
      <c r="T147" s="374">
        <v>0.81974248927038629</v>
      </c>
      <c r="U147" s="375">
        <v>0.75638051044083532</v>
      </c>
      <c r="V147" s="375">
        <v>0.81916217337204478</v>
      </c>
      <c r="W147" s="375">
        <v>0.7804451510333863</v>
      </c>
    </row>
    <row r="148" spans="2:23" hidden="1" outlineLevel="1" x14ac:dyDescent="0.25">
      <c r="B148" s="328">
        <v>42095</v>
      </c>
      <c r="C148" s="374" t="s">
        <v>781</v>
      </c>
      <c r="D148" s="374" t="s">
        <v>781</v>
      </c>
      <c r="E148" s="374" t="s">
        <v>781</v>
      </c>
      <c r="F148" s="374" t="s">
        <v>781</v>
      </c>
      <c r="G148" s="374" t="s">
        <v>781</v>
      </c>
      <c r="H148" s="374" t="s">
        <v>781</v>
      </c>
      <c r="I148" s="374">
        <v>0.8378812199036918</v>
      </c>
      <c r="J148" s="374">
        <v>0.89455184534270649</v>
      </c>
      <c r="K148" s="374">
        <v>0.85110746513535684</v>
      </c>
      <c r="L148" s="374">
        <v>0.5476419634263715</v>
      </c>
      <c r="M148" s="374">
        <v>0.79958246346555328</v>
      </c>
      <c r="N148" s="374">
        <v>0.62714097496706189</v>
      </c>
      <c r="O148" s="374">
        <v>0.77452054794520553</v>
      </c>
      <c r="P148" s="374">
        <v>0.81568088033012376</v>
      </c>
      <c r="Q148" s="374">
        <v>0.79277218664226901</v>
      </c>
      <c r="R148" s="374">
        <v>0.75257731958762886</v>
      </c>
      <c r="S148" s="374">
        <v>0.87096774193548387</v>
      </c>
      <c r="T148" s="374">
        <v>0.81052631578947365</v>
      </c>
      <c r="U148" s="375">
        <v>0.75657400450788881</v>
      </c>
      <c r="V148" s="375">
        <v>0.82612990861941216</v>
      </c>
      <c r="W148" s="375">
        <v>0.78288490284005974</v>
      </c>
    </row>
    <row r="149" spans="2:23" hidden="1" outlineLevel="1" x14ac:dyDescent="0.25">
      <c r="B149" s="328">
        <v>42125</v>
      </c>
      <c r="C149" s="374" t="s">
        <v>781</v>
      </c>
      <c r="D149" s="374" t="s">
        <v>781</v>
      </c>
      <c r="E149" s="374" t="s">
        <v>781</v>
      </c>
      <c r="F149" s="374" t="s">
        <v>781</v>
      </c>
      <c r="G149" s="374" t="s">
        <v>781</v>
      </c>
      <c r="H149" s="374" t="s">
        <v>781</v>
      </c>
      <c r="I149" s="374">
        <v>0.86078199052132698</v>
      </c>
      <c r="J149" s="374">
        <v>0.8908507223113965</v>
      </c>
      <c r="K149" s="374">
        <v>0.86888792730419728</v>
      </c>
      <c r="L149" s="374">
        <v>0.57471264367816088</v>
      </c>
      <c r="M149" s="374">
        <v>0.79591836734693877</v>
      </c>
      <c r="N149" s="374">
        <v>0.63899184581171242</v>
      </c>
      <c r="O149" s="374">
        <v>0.81411192214111927</v>
      </c>
      <c r="P149" s="374">
        <v>0.85908393600701294</v>
      </c>
      <c r="Q149" s="374">
        <v>0.83777239709443097</v>
      </c>
      <c r="R149" s="374">
        <v>0.91129032258064513</v>
      </c>
      <c r="S149" s="374">
        <v>0.9107142857142857</v>
      </c>
      <c r="T149" s="374">
        <v>0.91101694915254239</v>
      </c>
      <c r="U149" s="375">
        <v>0.7940107573775258</v>
      </c>
      <c r="V149" s="375">
        <v>0.85922671353251323</v>
      </c>
      <c r="W149" s="375">
        <v>0.82353409181319115</v>
      </c>
    </row>
    <row r="150" spans="2:23" hidden="1" outlineLevel="1" x14ac:dyDescent="0.25">
      <c r="B150" s="328">
        <v>42156</v>
      </c>
      <c r="C150" s="374" t="s">
        <v>781</v>
      </c>
      <c r="D150" s="374" t="s">
        <v>781</v>
      </c>
      <c r="E150" s="374" t="s">
        <v>781</v>
      </c>
      <c r="F150" s="374" t="s">
        <v>781</v>
      </c>
      <c r="G150" s="374" t="s">
        <v>781</v>
      </c>
      <c r="H150" s="374" t="s">
        <v>781</v>
      </c>
      <c r="I150" s="374">
        <v>0.83479212253829327</v>
      </c>
      <c r="J150" s="374">
        <v>0.84514003294892914</v>
      </c>
      <c r="K150" s="374">
        <v>0.83737166324435319</v>
      </c>
      <c r="L150" s="374">
        <v>0.56003937007874016</v>
      </c>
      <c r="M150" s="374">
        <v>0.8</v>
      </c>
      <c r="N150" s="374">
        <v>0.63369713506139158</v>
      </c>
      <c r="O150" s="374">
        <v>0.79056190707856966</v>
      </c>
      <c r="P150" s="374">
        <v>0.83247909360669003</v>
      </c>
      <c r="Q150" s="374">
        <v>0.81043745203376827</v>
      </c>
      <c r="R150" s="374">
        <v>0.80180180180180183</v>
      </c>
      <c r="S150" s="374">
        <v>0.84297520661157022</v>
      </c>
      <c r="T150" s="374">
        <v>0.82327586206896552</v>
      </c>
      <c r="U150" s="375">
        <v>0.76903481460515144</v>
      </c>
      <c r="V150" s="375">
        <v>0.83132036847492319</v>
      </c>
      <c r="W150" s="375">
        <v>0.79449418458706389</v>
      </c>
    </row>
    <row r="151" spans="2:23" hidden="1" outlineLevel="1" x14ac:dyDescent="0.25">
      <c r="B151" s="328">
        <v>42186</v>
      </c>
      <c r="C151" s="374" t="s">
        <v>781</v>
      </c>
      <c r="D151" s="374" t="s">
        <v>781</v>
      </c>
      <c r="E151" s="374" t="s">
        <v>781</v>
      </c>
      <c r="F151" s="374" t="s">
        <v>781</v>
      </c>
      <c r="G151" s="374" t="s">
        <v>781</v>
      </c>
      <c r="H151" s="374" t="s">
        <v>781</v>
      </c>
      <c r="I151" s="374">
        <v>0.81867858917039249</v>
      </c>
      <c r="J151" s="374">
        <v>0.87303851640513552</v>
      </c>
      <c r="K151" s="374">
        <v>0.83271923360353717</v>
      </c>
      <c r="L151" s="374">
        <v>0.54223433242506813</v>
      </c>
      <c r="M151" s="374">
        <v>0.77844311377245512</v>
      </c>
      <c r="N151" s="374">
        <v>0.61610486891385763</v>
      </c>
      <c r="O151" s="374">
        <v>0.77782571182053495</v>
      </c>
      <c r="P151" s="374">
        <v>0.81148018648018649</v>
      </c>
      <c r="Q151" s="374">
        <v>0.79214179474467028</v>
      </c>
      <c r="R151" s="374">
        <v>0.72566371681415931</v>
      </c>
      <c r="S151" s="374">
        <v>0.84</v>
      </c>
      <c r="T151" s="374">
        <v>0.77934272300469487</v>
      </c>
      <c r="U151" s="375">
        <v>0.75454661070838103</v>
      </c>
      <c r="V151" s="375">
        <v>0.81770173215040132</v>
      </c>
      <c r="W151" s="375">
        <v>0.77828054298642535</v>
      </c>
    </row>
    <row r="152" spans="2:23" hidden="1" outlineLevel="1" x14ac:dyDescent="0.25">
      <c r="B152" s="328">
        <v>42217</v>
      </c>
      <c r="C152" s="374" t="s">
        <v>781</v>
      </c>
      <c r="D152" s="374" t="s">
        <v>781</v>
      </c>
      <c r="E152" s="374" t="s">
        <v>781</v>
      </c>
      <c r="F152" s="374" t="s">
        <v>781</v>
      </c>
      <c r="G152" s="374" t="s">
        <v>781</v>
      </c>
      <c r="H152" s="374" t="s">
        <v>781</v>
      </c>
      <c r="I152" s="374">
        <v>0.85017249876786594</v>
      </c>
      <c r="J152" s="374">
        <v>0.88091603053435119</v>
      </c>
      <c r="K152" s="374">
        <v>0.85767511177347244</v>
      </c>
      <c r="L152" s="374">
        <v>0.55225225225225227</v>
      </c>
      <c r="M152" s="374">
        <v>0.77066115702479343</v>
      </c>
      <c r="N152" s="374">
        <v>0.61856963613550819</v>
      </c>
      <c r="O152" s="374">
        <v>0.79331941544885176</v>
      </c>
      <c r="P152" s="374">
        <v>0.83741781231320978</v>
      </c>
      <c r="Q152" s="374">
        <v>0.81258978712289409</v>
      </c>
      <c r="R152" s="374">
        <v>0.85185185185185186</v>
      </c>
      <c r="S152" s="374">
        <v>0.87755102040816324</v>
      </c>
      <c r="T152" s="374">
        <v>0.86407766990291257</v>
      </c>
      <c r="U152" s="375">
        <v>0.77401428949457529</v>
      </c>
      <c r="V152" s="375">
        <v>0.83744272310713508</v>
      </c>
      <c r="W152" s="375">
        <v>0.7979573346511819</v>
      </c>
    </row>
    <row r="153" spans="2:23" hidden="1" outlineLevel="1" x14ac:dyDescent="0.25">
      <c r="B153" s="328">
        <v>42248</v>
      </c>
      <c r="C153" s="374" t="s">
        <v>781</v>
      </c>
      <c r="D153" s="374" t="s">
        <v>781</v>
      </c>
      <c r="E153" s="374" t="s">
        <v>781</v>
      </c>
      <c r="F153" s="374" t="s">
        <v>781</v>
      </c>
      <c r="G153" s="374" t="s">
        <v>781</v>
      </c>
      <c r="H153" s="374" t="s">
        <v>781</v>
      </c>
      <c r="I153" s="374">
        <v>0.83586626139817632</v>
      </c>
      <c r="J153" s="374">
        <v>0.87878787878787878</v>
      </c>
      <c r="K153" s="374">
        <v>0.84621299500192237</v>
      </c>
      <c r="L153" s="374">
        <v>0.57706422018348624</v>
      </c>
      <c r="M153" s="374">
        <v>0.77389705882352944</v>
      </c>
      <c r="N153" s="374">
        <v>0.64259485924112603</v>
      </c>
      <c r="O153" s="374">
        <v>0.78559543617779892</v>
      </c>
      <c r="P153" s="374">
        <v>0.82770066385033192</v>
      </c>
      <c r="Q153" s="374">
        <v>0.8041483845233347</v>
      </c>
      <c r="R153" s="374">
        <v>0.86250000000000004</v>
      </c>
      <c r="S153" s="374">
        <v>0.80952380952380953</v>
      </c>
      <c r="T153" s="374">
        <v>0.83536585365853655</v>
      </c>
      <c r="U153" s="375">
        <v>0.76901101890899193</v>
      </c>
      <c r="V153" s="375">
        <v>0.8279711096520026</v>
      </c>
      <c r="W153" s="375">
        <v>0.79161073825503359</v>
      </c>
    </row>
    <row r="154" spans="2:23" hidden="1" outlineLevel="1" x14ac:dyDescent="0.25">
      <c r="B154" s="328">
        <v>42278</v>
      </c>
      <c r="C154" s="374" t="s">
        <v>781</v>
      </c>
      <c r="D154" s="374" t="s">
        <v>781</v>
      </c>
      <c r="E154" s="374" t="s">
        <v>781</v>
      </c>
      <c r="F154" s="374" t="s">
        <v>781</v>
      </c>
      <c r="G154" s="374" t="s">
        <v>781</v>
      </c>
      <c r="H154" s="374" t="s">
        <v>781</v>
      </c>
      <c r="I154" s="374">
        <v>0.82132424537487825</v>
      </c>
      <c r="J154" s="374">
        <v>0.86906474820143886</v>
      </c>
      <c r="K154" s="374">
        <v>0.8333939614405238</v>
      </c>
      <c r="L154" s="374">
        <v>0.55774395702775292</v>
      </c>
      <c r="M154" s="374">
        <v>0.8026030368763557</v>
      </c>
      <c r="N154" s="374">
        <v>0.62927756653992395</v>
      </c>
      <c r="O154" s="374">
        <v>0.76488513830285987</v>
      </c>
      <c r="P154" s="374">
        <v>0.82447466007416559</v>
      </c>
      <c r="Q154" s="374">
        <v>0.79058917621967473</v>
      </c>
      <c r="R154" s="374">
        <v>0.84210526315789469</v>
      </c>
      <c r="S154" s="374">
        <v>0.82692307692307687</v>
      </c>
      <c r="T154" s="374">
        <v>0.83486238532110091</v>
      </c>
      <c r="U154" s="375">
        <v>0.75076148854456359</v>
      </c>
      <c r="V154" s="375">
        <v>0.8291814946619217</v>
      </c>
      <c r="W154" s="375">
        <v>0.78002822279405659</v>
      </c>
    </row>
    <row r="155" spans="2:23" hidden="1" outlineLevel="1" x14ac:dyDescent="0.25">
      <c r="B155" s="328">
        <v>42309</v>
      </c>
      <c r="C155" s="374" t="s">
        <v>781</v>
      </c>
      <c r="D155" s="374" t="s">
        <v>781</v>
      </c>
      <c r="E155" s="374" t="s">
        <v>781</v>
      </c>
      <c r="F155" s="374" t="s">
        <v>781</v>
      </c>
      <c r="G155" s="374" t="s">
        <v>781</v>
      </c>
      <c r="H155" s="374" t="s">
        <v>781</v>
      </c>
      <c r="I155" s="374">
        <v>0.85034373347435221</v>
      </c>
      <c r="J155" s="374">
        <v>0.8900144717800289</v>
      </c>
      <c r="K155" s="374">
        <v>0.86096049573973665</v>
      </c>
      <c r="L155" s="374">
        <v>0.55828220858895705</v>
      </c>
      <c r="M155" s="374">
        <v>0.77393075356415475</v>
      </c>
      <c r="N155" s="374">
        <v>0.62316176470588236</v>
      </c>
      <c r="O155" s="374">
        <v>0.79639639639639637</v>
      </c>
      <c r="P155" s="374">
        <v>0.84126984126984128</v>
      </c>
      <c r="Q155" s="374">
        <v>0.81646121280039841</v>
      </c>
      <c r="R155" s="374">
        <v>0.81308411214953269</v>
      </c>
      <c r="S155" s="374">
        <v>0.8839285714285714</v>
      </c>
      <c r="T155" s="374">
        <v>0.84931506849315064</v>
      </c>
      <c r="U155" s="375">
        <v>0.77424462330122712</v>
      </c>
      <c r="V155" s="375">
        <v>0.84237461617195497</v>
      </c>
      <c r="W155" s="375">
        <v>0.80094672657252886</v>
      </c>
    </row>
    <row r="156" spans="2:23" hidden="1" outlineLevel="1" x14ac:dyDescent="0.25">
      <c r="B156" s="328">
        <v>42339</v>
      </c>
      <c r="C156" s="374" t="s">
        <v>781</v>
      </c>
      <c r="D156" s="374" t="s">
        <v>781</v>
      </c>
      <c r="E156" s="374" t="s">
        <v>781</v>
      </c>
      <c r="F156" s="374" t="s">
        <v>781</v>
      </c>
      <c r="G156" s="374" t="s">
        <v>781</v>
      </c>
      <c r="H156" s="374" t="s">
        <v>781</v>
      </c>
      <c r="I156" s="374">
        <v>0.84638196915776986</v>
      </c>
      <c r="J156" s="374">
        <v>0.8994413407821229</v>
      </c>
      <c r="K156" s="374">
        <v>0.85919928025191183</v>
      </c>
      <c r="L156" s="374">
        <v>0.59334006054490418</v>
      </c>
      <c r="M156" s="374">
        <v>0.80472103004291851</v>
      </c>
      <c r="N156" s="374">
        <v>0.66094715168153739</v>
      </c>
      <c r="O156" s="374">
        <v>0.76065022421524664</v>
      </c>
      <c r="P156" s="374">
        <v>0.79383969198459925</v>
      </c>
      <c r="Q156" s="374">
        <v>0.77540856031128402</v>
      </c>
      <c r="R156" s="374">
        <v>0.78899082568807344</v>
      </c>
      <c r="S156" s="374">
        <v>0.875</v>
      </c>
      <c r="T156" s="374">
        <v>0.82741116751269039</v>
      </c>
      <c r="U156" s="375">
        <v>0.75779036827195467</v>
      </c>
      <c r="V156" s="375">
        <v>0.81129685916919958</v>
      </c>
      <c r="W156" s="375">
        <v>0.77829547660648413</v>
      </c>
    </row>
    <row r="157" spans="2:23" collapsed="1" x14ac:dyDescent="0.25">
      <c r="B157" s="330" t="s">
        <v>697</v>
      </c>
      <c r="C157" s="375" t="s">
        <v>781</v>
      </c>
      <c r="D157" s="375" t="s">
        <v>781</v>
      </c>
      <c r="E157" s="375" t="s">
        <v>781</v>
      </c>
      <c r="F157" s="375" t="s">
        <v>781</v>
      </c>
      <c r="G157" s="375" t="s">
        <v>781</v>
      </c>
      <c r="H157" s="375" t="s">
        <v>781</v>
      </c>
      <c r="I157" s="375">
        <v>0.84032753326509724</v>
      </c>
      <c r="J157" s="375">
        <v>0.87677725118483407</v>
      </c>
      <c r="K157" s="375">
        <v>0.84924623115577891</v>
      </c>
      <c r="L157" s="375">
        <v>0.55940130963517309</v>
      </c>
      <c r="M157" s="375">
        <v>0.79079497907949792</v>
      </c>
      <c r="N157" s="375">
        <v>0.63130659767141006</v>
      </c>
      <c r="O157" s="375">
        <v>0.78210500369731328</v>
      </c>
      <c r="P157" s="375">
        <v>0.82388059701492533</v>
      </c>
      <c r="Q157" s="375">
        <v>0.80099905494802215</v>
      </c>
      <c r="R157" s="375">
        <v>0.80373831775700932</v>
      </c>
      <c r="S157" s="375">
        <v>0.86138613861386137</v>
      </c>
      <c r="T157" s="375">
        <v>0.83173076923076927</v>
      </c>
      <c r="U157" s="375">
        <v>0.76513148740781967</v>
      </c>
      <c r="V157" s="375">
        <v>0.82858395440596233</v>
      </c>
      <c r="W157" s="375">
        <v>0.78983656792645551</v>
      </c>
    </row>
    <row r="158" spans="2:23" hidden="1" outlineLevel="1" x14ac:dyDescent="0.25">
      <c r="B158" s="328">
        <v>42370</v>
      </c>
      <c r="C158" s="374" t="s">
        <v>781</v>
      </c>
      <c r="D158" s="374" t="s">
        <v>781</v>
      </c>
      <c r="E158" s="374" t="s">
        <v>781</v>
      </c>
      <c r="F158" s="374" t="s">
        <v>781</v>
      </c>
      <c r="G158" s="374" t="s">
        <v>781</v>
      </c>
      <c r="H158" s="374" t="s">
        <v>781</v>
      </c>
      <c r="I158" s="374">
        <v>0.80989272943980928</v>
      </c>
      <c r="J158" s="374">
        <v>0.84242424242424241</v>
      </c>
      <c r="K158" s="374">
        <v>0.81730326737229642</v>
      </c>
      <c r="L158" s="374">
        <v>0.60019646365422397</v>
      </c>
      <c r="M158" s="374">
        <v>0.78838174273858919</v>
      </c>
      <c r="N158" s="374">
        <v>0.66066666666666662</v>
      </c>
      <c r="O158" s="374">
        <v>0.71641371557054523</v>
      </c>
      <c r="P158" s="374">
        <v>0.78078078078078073</v>
      </c>
      <c r="Q158" s="374">
        <v>0.74397299903567982</v>
      </c>
      <c r="R158" s="374">
        <v>0.82758620689655171</v>
      </c>
      <c r="S158" s="374">
        <v>0.81481481481481477</v>
      </c>
      <c r="T158" s="374">
        <v>0.8214285714285714</v>
      </c>
      <c r="U158" s="375">
        <v>0.72448979591836737</v>
      </c>
      <c r="V158" s="375">
        <v>0.79087756735129366</v>
      </c>
      <c r="W158" s="375">
        <v>0.74908587805119087</v>
      </c>
    </row>
    <row r="159" spans="2:23" hidden="1" outlineLevel="1" x14ac:dyDescent="0.25">
      <c r="B159" s="328">
        <v>42401</v>
      </c>
      <c r="C159" s="374" t="s">
        <v>781</v>
      </c>
      <c r="D159" s="374" t="s">
        <v>781</v>
      </c>
      <c r="E159" s="374" t="s">
        <v>781</v>
      </c>
      <c r="F159" s="374" t="s">
        <v>781</v>
      </c>
      <c r="G159" s="374" t="s">
        <v>781</v>
      </c>
      <c r="H159" s="374" t="s">
        <v>781</v>
      </c>
      <c r="I159" s="374">
        <v>0.7784921098772648</v>
      </c>
      <c r="J159" s="374">
        <v>0.85964912280701755</v>
      </c>
      <c r="K159" s="374">
        <v>0.79721223021582732</v>
      </c>
      <c r="L159" s="374">
        <v>0.57260556127703399</v>
      </c>
      <c r="M159" s="374">
        <v>0.76851851851851849</v>
      </c>
      <c r="N159" s="374">
        <v>0.63292943692088377</v>
      </c>
      <c r="O159" s="374">
        <v>0.72278481012658224</v>
      </c>
      <c r="P159" s="374">
        <v>0.76507713884992989</v>
      </c>
      <c r="Q159" s="374">
        <v>0.74051749485445462</v>
      </c>
      <c r="R159" s="374">
        <v>0.84552845528455289</v>
      </c>
      <c r="S159" s="374">
        <v>0.87096774193548387</v>
      </c>
      <c r="T159" s="374">
        <v>0.85648148148148151</v>
      </c>
      <c r="U159" s="375">
        <v>0.7175425610658771</v>
      </c>
      <c r="V159" s="375">
        <v>0.78046272493573265</v>
      </c>
      <c r="W159" s="375">
        <v>0.7405354626585251</v>
      </c>
    </row>
    <row r="160" spans="2:23" hidden="1" outlineLevel="1" x14ac:dyDescent="0.25">
      <c r="B160" s="328">
        <v>42430</v>
      </c>
      <c r="C160" s="374" t="s">
        <v>781</v>
      </c>
      <c r="D160" s="374" t="s">
        <v>781</v>
      </c>
      <c r="E160" s="374" t="s">
        <v>781</v>
      </c>
      <c r="F160" s="374" t="s">
        <v>781</v>
      </c>
      <c r="G160" s="374" t="s">
        <v>781</v>
      </c>
      <c r="H160" s="374" t="s">
        <v>781</v>
      </c>
      <c r="I160" s="374">
        <v>0.79691799669785357</v>
      </c>
      <c r="J160" s="374">
        <v>0.87992495309568475</v>
      </c>
      <c r="K160" s="374">
        <v>0.81574468085106377</v>
      </c>
      <c r="L160" s="374">
        <v>0.6149068322981367</v>
      </c>
      <c r="M160" s="374">
        <v>0.810126582278481</v>
      </c>
      <c r="N160" s="374">
        <v>0.67270455965021858</v>
      </c>
      <c r="O160" s="374">
        <v>0.76066649835900024</v>
      </c>
      <c r="P160" s="374">
        <v>0.80701754385964908</v>
      </c>
      <c r="Q160" s="374">
        <v>0.78050541516245486</v>
      </c>
      <c r="R160" s="374">
        <v>0.87387387387387383</v>
      </c>
      <c r="S160" s="374">
        <v>0.85416666666666663</v>
      </c>
      <c r="T160" s="374">
        <v>0.86473429951690817</v>
      </c>
      <c r="U160" s="375">
        <v>0.74843215507411631</v>
      </c>
      <c r="V160" s="375">
        <v>0.81804770100811408</v>
      </c>
      <c r="W160" s="375">
        <v>0.77397816475683479</v>
      </c>
    </row>
    <row r="161" spans="2:23" hidden="1" outlineLevel="1" x14ac:dyDescent="0.25">
      <c r="B161" s="328">
        <v>42461</v>
      </c>
      <c r="C161" s="374" t="s">
        <v>781</v>
      </c>
      <c r="D161" s="374" t="s">
        <v>781</v>
      </c>
      <c r="E161" s="374" t="s">
        <v>781</v>
      </c>
      <c r="F161" s="374" t="s">
        <v>781</v>
      </c>
      <c r="G161" s="374" t="s">
        <v>781</v>
      </c>
      <c r="H161" s="374" t="s">
        <v>781</v>
      </c>
      <c r="I161" s="374">
        <v>0.82519491177677473</v>
      </c>
      <c r="J161" s="374">
        <v>0.86182669789227162</v>
      </c>
      <c r="K161" s="374">
        <v>0.83470069887572163</v>
      </c>
      <c r="L161" s="374">
        <v>0.54115421002838227</v>
      </c>
      <c r="M161" s="374">
        <v>0.80379746835443033</v>
      </c>
      <c r="N161" s="374">
        <v>0.62246897452645333</v>
      </c>
      <c r="O161" s="374">
        <v>0.74994113491876624</v>
      </c>
      <c r="P161" s="374">
        <v>0.80263965623081646</v>
      </c>
      <c r="Q161" s="374">
        <v>0.77281812125249838</v>
      </c>
      <c r="R161" s="374">
        <v>0.83168316831683164</v>
      </c>
      <c r="S161" s="374">
        <v>0.83653846153846156</v>
      </c>
      <c r="T161" s="374">
        <v>0.8341463414634146</v>
      </c>
      <c r="U161" s="375">
        <v>0.74623820453965828</v>
      </c>
      <c r="V161" s="375">
        <v>0.81428571428571428</v>
      </c>
      <c r="W161" s="375">
        <v>0.77170443664219601</v>
      </c>
    </row>
    <row r="162" spans="2:23" hidden="1" outlineLevel="1" x14ac:dyDescent="0.25">
      <c r="B162" s="328">
        <v>42491</v>
      </c>
      <c r="C162" s="374" t="s">
        <v>781</v>
      </c>
      <c r="D162" s="374" t="s">
        <v>781</v>
      </c>
      <c r="E162" s="374" t="s">
        <v>781</v>
      </c>
      <c r="F162" s="374" t="s">
        <v>781</v>
      </c>
      <c r="G162" s="374" t="s">
        <v>781</v>
      </c>
      <c r="H162" s="374" t="s">
        <v>781</v>
      </c>
      <c r="I162" s="374">
        <v>0.78087457952907258</v>
      </c>
      <c r="J162" s="374">
        <v>0.84187408491947291</v>
      </c>
      <c r="K162" s="374">
        <v>0.79594790159189577</v>
      </c>
      <c r="L162" s="374">
        <v>0.57611668185961717</v>
      </c>
      <c r="M162" s="374">
        <v>0.77178423236514526</v>
      </c>
      <c r="N162" s="374">
        <v>0.63584547181760609</v>
      </c>
      <c r="O162" s="374">
        <v>0.74967907573812576</v>
      </c>
      <c r="P162" s="374">
        <v>0.79150326797385617</v>
      </c>
      <c r="Q162" s="374">
        <v>0.77040155440414504</v>
      </c>
      <c r="R162" s="374">
        <v>0.83870967741935487</v>
      </c>
      <c r="S162" s="374">
        <v>0.92</v>
      </c>
      <c r="T162" s="374">
        <v>0.875</v>
      </c>
      <c r="U162" s="375">
        <v>0.73533099297893678</v>
      </c>
      <c r="V162" s="375">
        <v>0.79795046968403072</v>
      </c>
      <c r="W162" s="375">
        <v>0.76183934639577755</v>
      </c>
    </row>
    <row r="163" spans="2:23" hidden="1" outlineLevel="1" x14ac:dyDescent="0.25">
      <c r="B163" s="328">
        <v>42522</v>
      </c>
      <c r="C163" s="374" t="s">
        <v>781</v>
      </c>
      <c r="D163" s="374" t="s">
        <v>781</v>
      </c>
      <c r="E163" s="374" t="s">
        <v>781</v>
      </c>
      <c r="F163" s="374" t="s">
        <v>781</v>
      </c>
      <c r="G163" s="374" t="s">
        <v>781</v>
      </c>
      <c r="H163" s="374" t="s">
        <v>781</v>
      </c>
      <c r="I163" s="374">
        <v>0.76632487857528331</v>
      </c>
      <c r="J163" s="374">
        <v>0.86719999999999997</v>
      </c>
      <c r="K163" s="374">
        <v>0.79176755447941893</v>
      </c>
      <c r="L163" s="374">
        <v>0.56230690010298656</v>
      </c>
      <c r="M163" s="374">
        <v>0.7932489451476793</v>
      </c>
      <c r="N163" s="374">
        <v>0.63806228373702423</v>
      </c>
      <c r="O163" s="374">
        <v>0.74532889685180448</v>
      </c>
      <c r="P163" s="374">
        <v>0.76369067374709587</v>
      </c>
      <c r="Q163" s="374">
        <v>0.75332369942196531</v>
      </c>
      <c r="R163" s="374">
        <v>0.70238095238095233</v>
      </c>
      <c r="S163" s="374">
        <v>0.84444444444444444</v>
      </c>
      <c r="T163" s="374">
        <v>0.77586206896551724</v>
      </c>
      <c r="U163" s="375">
        <v>0.72443140132061634</v>
      </c>
      <c r="V163" s="375">
        <v>0.78415040456925278</v>
      </c>
      <c r="W163" s="375">
        <v>0.74720885903603518</v>
      </c>
    </row>
    <row r="164" spans="2:23" hidden="1" outlineLevel="1" x14ac:dyDescent="0.25">
      <c r="B164" s="328">
        <v>42552</v>
      </c>
      <c r="C164" s="374" t="s">
        <v>781</v>
      </c>
      <c r="D164" s="374" t="s">
        <v>781</v>
      </c>
      <c r="E164" s="374" t="s">
        <v>781</v>
      </c>
      <c r="F164" s="374" t="s">
        <v>781</v>
      </c>
      <c r="G164" s="374" t="s">
        <v>781</v>
      </c>
      <c r="H164" s="374" t="s">
        <v>781</v>
      </c>
      <c r="I164" s="374">
        <v>0.75442043222003929</v>
      </c>
      <c r="J164" s="374">
        <v>0.84848484848484851</v>
      </c>
      <c r="K164" s="374">
        <v>0.77656778069846033</v>
      </c>
      <c r="L164" s="374">
        <v>0.60315893385982233</v>
      </c>
      <c r="M164" s="374">
        <v>0.81037924151696605</v>
      </c>
      <c r="N164" s="374">
        <v>0.67173051519154559</v>
      </c>
      <c r="O164" s="374">
        <v>0.77654196157735089</v>
      </c>
      <c r="P164" s="374">
        <v>0.79506578947368423</v>
      </c>
      <c r="Q164" s="374">
        <v>0.78459119496855345</v>
      </c>
      <c r="R164" s="374">
        <v>0.87368421052631584</v>
      </c>
      <c r="S164" s="374">
        <v>0.90291262135922334</v>
      </c>
      <c r="T164" s="374">
        <v>0.88888888888888884</v>
      </c>
      <c r="U164" s="375">
        <v>0.74676056338028174</v>
      </c>
      <c r="V164" s="375">
        <v>0.80730508077733554</v>
      </c>
      <c r="W164" s="375">
        <v>0.76950136311670037</v>
      </c>
    </row>
    <row r="165" spans="2:23" hidden="1" outlineLevel="1" x14ac:dyDescent="0.25">
      <c r="B165" s="328">
        <v>42583</v>
      </c>
      <c r="C165" s="374" t="s">
        <v>781</v>
      </c>
      <c r="D165" s="374" t="s">
        <v>781</v>
      </c>
      <c r="E165" s="374" t="s">
        <v>781</v>
      </c>
      <c r="F165" s="374" t="s">
        <v>781</v>
      </c>
      <c r="G165" s="374" t="s">
        <v>781</v>
      </c>
      <c r="H165" s="374" t="s">
        <v>781</v>
      </c>
      <c r="I165" s="374">
        <v>0.75437808711270771</v>
      </c>
      <c r="J165" s="374">
        <v>0.83379501385041555</v>
      </c>
      <c r="K165" s="374">
        <v>0.77382163445235674</v>
      </c>
      <c r="L165" s="374">
        <v>0.53937947494033411</v>
      </c>
      <c r="M165" s="374">
        <v>0.81787521079258008</v>
      </c>
      <c r="N165" s="374">
        <v>0.62864864864864867</v>
      </c>
      <c r="O165" s="374">
        <v>0.7645902927883671</v>
      </c>
      <c r="P165" s="374">
        <v>0.78043143297380591</v>
      </c>
      <c r="Q165" s="374">
        <v>0.77145719692752979</v>
      </c>
      <c r="R165" s="374">
        <v>0.82442748091603058</v>
      </c>
      <c r="S165" s="374">
        <v>0.84210526315789469</v>
      </c>
      <c r="T165" s="374">
        <v>0.83265306122448979</v>
      </c>
      <c r="U165" s="375">
        <v>0.73035386029411764</v>
      </c>
      <c r="V165" s="375">
        <v>0.79316175089235397</v>
      </c>
      <c r="W165" s="375">
        <v>0.75418835103728521</v>
      </c>
    </row>
    <row r="166" spans="2:23" hidden="1" outlineLevel="1" x14ac:dyDescent="0.25">
      <c r="B166" s="328">
        <v>42614</v>
      </c>
      <c r="C166" s="374" t="s">
        <v>781</v>
      </c>
      <c r="D166" s="374" t="s">
        <v>781</v>
      </c>
      <c r="E166" s="374" t="s">
        <v>781</v>
      </c>
      <c r="F166" s="374" t="s">
        <v>781</v>
      </c>
      <c r="G166" s="374" t="s">
        <v>781</v>
      </c>
      <c r="H166" s="374" t="s">
        <v>781</v>
      </c>
      <c r="I166" s="374">
        <v>0.81384015594541914</v>
      </c>
      <c r="J166" s="374">
        <v>0.87951807228915657</v>
      </c>
      <c r="K166" s="374">
        <v>0.82989690721649489</v>
      </c>
      <c r="L166" s="374">
        <v>0.57182067703568162</v>
      </c>
      <c r="M166" s="374">
        <v>0.81381957773512481</v>
      </c>
      <c r="N166" s="374">
        <v>0.64993804213135065</v>
      </c>
      <c r="O166" s="374">
        <v>0.78424056189640035</v>
      </c>
      <c r="P166" s="374">
        <v>0.78601694915254239</v>
      </c>
      <c r="Q166" s="374">
        <v>0.78498727735368956</v>
      </c>
      <c r="R166" s="374">
        <v>0.82727272727272727</v>
      </c>
      <c r="S166" s="374">
        <v>0.94174757281553401</v>
      </c>
      <c r="T166" s="374">
        <v>0.88262910798122063</v>
      </c>
      <c r="U166" s="375">
        <v>0.76289847650748943</v>
      </c>
      <c r="V166" s="375">
        <v>0.80618466898954699</v>
      </c>
      <c r="W166" s="375">
        <v>0.7789244537611868</v>
      </c>
    </row>
    <row r="167" spans="2:23" hidden="1" outlineLevel="1" x14ac:dyDescent="0.25">
      <c r="B167" s="328">
        <v>42644</v>
      </c>
      <c r="C167" s="374" t="s">
        <v>781</v>
      </c>
      <c r="D167" s="374" t="s">
        <v>781</v>
      </c>
      <c r="E167" s="374" t="s">
        <v>781</v>
      </c>
      <c r="F167" s="374" t="s">
        <v>781</v>
      </c>
      <c r="G167" s="374" t="s">
        <v>781</v>
      </c>
      <c r="H167" s="374" t="s">
        <v>781</v>
      </c>
      <c r="I167" s="374">
        <v>0.81818181818181823</v>
      </c>
      <c r="J167" s="374">
        <v>0.87873462214411246</v>
      </c>
      <c r="K167" s="374">
        <v>0.83333333333333337</v>
      </c>
      <c r="L167" s="374">
        <v>0.61024498886414258</v>
      </c>
      <c r="M167" s="374">
        <v>0.83371824480369516</v>
      </c>
      <c r="N167" s="374">
        <v>0.68294515401953415</v>
      </c>
      <c r="O167" s="374">
        <v>0.78268733850129202</v>
      </c>
      <c r="P167" s="374">
        <v>0.82822523164647188</v>
      </c>
      <c r="Q167" s="374">
        <v>0.80182744158178554</v>
      </c>
      <c r="R167" s="374">
        <v>0.87619047619047619</v>
      </c>
      <c r="S167" s="374">
        <v>0.91818181818181821</v>
      </c>
      <c r="T167" s="374">
        <v>0.89767441860465114</v>
      </c>
      <c r="U167" s="375">
        <v>0.76983885679537856</v>
      </c>
      <c r="V167" s="375">
        <v>0.83869321082184789</v>
      </c>
      <c r="W167" s="375">
        <v>0.79554115853658536</v>
      </c>
    </row>
    <row r="168" spans="2:23" hidden="1" outlineLevel="1" x14ac:dyDescent="0.25">
      <c r="B168" s="328">
        <v>42675</v>
      </c>
      <c r="C168" s="374" t="s">
        <v>781</v>
      </c>
      <c r="D168" s="374" t="s">
        <v>781</v>
      </c>
      <c r="E168" s="374" t="s">
        <v>781</v>
      </c>
      <c r="F168" s="374" t="s">
        <v>781</v>
      </c>
      <c r="G168" s="374" t="s">
        <v>781</v>
      </c>
      <c r="H168" s="374" t="s">
        <v>781</v>
      </c>
      <c r="I168" s="374">
        <v>0.83698556921432388</v>
      </c>
      <c r="J168" s="374">
        <v>0.88267148014440433</v>
      </c>
      <c r="K168" s="374">
        <v>0.84742268041237112</v>
      </c>
      <c r="L168" s="374">
        <v>0.60722891566265058</v>
      </c>
      <c r="M168" s="374">
        <v>0.82517482517482521</v>
      </c>
      <c r="N168" s="374">
        <v>0.68149324861000793</v>
      </c>
      <c r="O168" s="374">
        <v>0.81313905930470343</v>
      </c>
      <c r="P168" s="374">
        <v>0.81963146704464918</v>
      </c>
      <c r="Q168" s="374">
        <v>0.81585981585981582</v>
      </c>
      <c r="R168" s="374">
        <v>0.93693693693693691</v>
      </c>
      <c r="S168" s="374">
        <v>0.97938144329896903</v>
      </c>
      <c r="T168" s="374">
        <v>0.95673076923076927</v>
      </c>
      <c r="U168" s="375">
        <v>0.79640095181439619</v>
      </c>
      <c r="V168" s="375">
        <v>0.83316248077908761</v>
      </c>
      <c r="W168" s="375">
        <v>0.80990024468285338</v>
      </c>
    </row>
    <row r="169" spans="2:23" hidden="1" outlineLevel="1" x14ac:dyDescent="0.25">
      <c r="B169" s="328">
        <v>42705</v>
      </c>
      <c r="C169" s="374" t="s">
        <v>781</v>
      </c>
      <c r="D169" s="374" t="s">
        <v>781</v>
      </c>
      <c r="E169" s="374" t="s">
        <v>781</v>
      </c>
      <c r="F169" s="374" t="s">
        <v>781</v>
      </c>
      <c r="G169" s="374" t="s">
        <v>781</v>
      </c>
      <c r="H169" s="374" t="s">
        <v>781</v>
      </c>
      <c r="I169" s="374">
        <v>0.82034632034632038</v>
      </c>
      <c r="J169" s="374">
        <v>0.87244897959183676</v>
      </c>
      <c r="K169" s="374">
        <v>0.8329228243021346</v>
      </c>
      <c r="L169" s="374">
        <v>0.59959959959959963</v>
      </c>
      <c r="M169" s="374">
        <v>0.81196581196581197</v>
      </c>
      <c r="N169" s="374">
        <v>0.66734832992501703</v>
      </c>
      <c r="O169" s="374">
        <v>0.77792343995804925</v>
      </c>
      <c r="P169" s="374">
        <v>0.78371592539454804</v>
      </c>
      <c r="Q169" s="374">
        <v>0.78036958497425024</v>
      </c>
      <c r="R169" s="374">
        <v>0.82905982905982911</v>
      </c>
      <c r="S169" s="374">
        <v>0.84732824427480913</v>
      </c>
      <c r="T169" s="374">
        <v>0.83870967741935487</v>
      </c>
      <c r="U169" s="375">
        <v>0.76408970197698434</v>
      </c>
      <c r="V169" s="375">
        <v>0.8022641509433962</v>
      </c>
      <c r="W169" s="375">
        <v>0.77820143215846738</v>
      </c>
    </row>
    <row r="170" spans="2:23" collapsed="1" x14ac:dyDescent="0.25">
      <c r="B170" s="330" t="s">
        <v>698</v>
      </c>
      <c r="C170" s="375" t="s">
        <v>781</v>
      </c>
      <c r="D170" s="375" t="s">
        <v>781</v>
      </c>
      <c r="E170" s="375" t="s">
        <v>781</v>
      </c>
      <c r="F170" s="375" t="s">
        <v>781</v>
      </c>
      <c r="G170" s="375" t="s">
        <v>781</v>
      </c>
      <c r="H170" s="375" t="s">
        <v>781</v>
      </c>
      <c r="I170" s="375">
        <v>0.79619145651055068</v>
      </c>
      <c r="J170" s="375">
        <v>0.8610662358642972</v>
      </c>
      <c r="K170" s="375">
        <v>0.8118657298985168</v>
      </c>
      <c r="L170" s="375">
        <v>0.58171206225680938</v>
      </c>
      <c r="M170" s="375">
        <v>0.8041666666666667</v>
      </c>
      <c r="N170" s="375">
        <v>0.65251989389920428</v>
      </c>
      <c r="O170" s="375">
        <v>0.76218181818181818</v>
      </c>
      <c r="P170" s="375">
        <v>0.79185091598231205</v>
      </c>
      <c r="Q170" s="375">
        <v>0.77506514881360578</v>
      </c>
      <c r="R170" s="375">
        <v>0.83783783783783783</v>
      </c>
      <c r="S170" s="375">
        <v>0.88461538461538458</v>
      </c>
      <c r="T170" s="375">
        <v>0.86046511627906974</v>
      </c>
      <c r="U170" s="375">
        <v>0.74687760199833475</v>
      </c>
      <c r="V170" s="375">
        <v>0.80503432494279181</v>
      </c>
      <c r="W170" s="375">
        <v>0.7688984881209503</v>
      </c>
    </row>
    <row r="171" spans="2:23" hidden="1" outlineLevel="1" x14ac:dyDescent="0.25">
      <c r="B171" s="328">
        <v>42736</v>
      </c>
      <c r="C171" s="374" t="s">
        <v>781</v>
      </c>
      <c r="D171" s="374" t="s">
        <v>781</v>
      </c>
      <c r="E171" s="374" t="s">
        <v>781</v>
      </c>
      <c r="F171" s="374" t="s">
        <v>781</v>
      </c>
      <c r="G171" s="374" t="s">
        <v>781</v>
      </c>
      <c r="H171" s="374" t="s">
        <v>781</v>
      </c>
      <c r="I171" s="374">
        <v>0.83947479881406184</v>
      </c>
      <c r="J171" s="374">
        <v>0.87516425755584759</v>
      </c>
      <c r="K171" s="374">
        <v>0.84817424727738633</v>
      </c>
      <c r="L171" s="374">
        <v>0.58250497017892644</v>
      </c>
      <c r="M171" s="374">
        <v>0.81673306772908372</v>
      </c>
      <c r="N171" s="374">
        <v>0.66047745358090182</v>
      </c>
      <c r="O171" s="374">
        <v>0.78375992939099737</v>
      </c>
      <c r="P171" s="374">
        <v>0.80568445475638051</v>
      </c>
      <c r="Q171" s="374">
        <v>0.79323308270676696</v>
      </c>
      <c r="R171" s="374">
        <v>0.82068965517241377</v>
      </c>
      <c r="S171" s="374">
        <v>0.85483870967741937</v>
      </c>
      <c r="T171" s="374">
        <v>0.83643122676579928</v>
      </c>
      <c r="U171" s="375">
        <v>0.77560914967677774</v>
      </c>
      <c r="V171" s="375">
        <v>0.81902792140641156</v>
      </c>
      <c r="W171" s="375">
        <v>0.79190930972901619</v>
      </c>
    </row>
    <row r="172" spans="2:23" hidden="1" outlineLevel="1" x14ac:dyDescent="0.25">
      <c r="B172" s="328">
        <v>42767</v>
      </c>
      <c r="C172" s="374" t="s">
        <v>781</v>
      </c>
      <c r="D172" s="374" t="s">
        <v>781</v>
      </c>
      <c r="E172" s="374" t="s">
        <v>781</v>
      </c>
      <c r="F172" s="374" t="s">
        <v>781</v>
      </c>
      <c r="G172" s="374" t="s">
        <v>781</v>
      </c>
      <c r="H172" s="374" t="s">
        <v>781</v>
      </c>
      <c r="I172" s="374">
        <v>0.79262157629960872</v>
      </c>
      <c r="J172" s="374">
        <v>0.85544217687074831</v>
      </c>
      <c r="K172" s="374">
        <v>0.80816154816996211</v>
      </c>
      <c r="L172" s="374">
        <v>0.5787234042553191</v>
      </c>
      <c r="M172" s="374">
        <v>0.8413793103448276</v>
      </c>
      <c r="N172" s="374">
        <v>0.66181818181818186</v>
      </c>
      <c r="O172" s="374">
        <v>0.77494483942142678</v>
      </c>
      <c r="P172" s="374">
        <v>0.78801123946300344</v>
      </c>
      <c r="Q172" s="374">
        <v>0.78069211755012358</v>
      </c>
      <c r="R172" s="374">
        <v>0.88118811881188119</v>
      </c>
      <c r="S172" s="374">
        <v>0.8482142857142857</v>
      </c>
      <c r="T172" s="374">
        <v>0.863849765258216</v>
      </c>
      <c r="U172" s="375">
        <v>0.75437834708351426</v>
      </c>
      <c r="V172" s="375">
        <v>0.80405716920239745</v>
      </c>
      <c r="W172" s="375">
        <v>0.77353961056281673</v>
      </c>
    </row>
    <row r="173" spans="2:23" hidden="1" outlineLevel="1" x14ac:dyDescent="0.25">
      <c r="B173" s="328">
        <v>42795</v>
      </c>
      <c r="C173" s="374" t="s">
        <v>781</v>
      </c>
      <c r="D173" s="374" t="s">
        <v>781</v>
      </c>
      <c r="E173" s="374" t="s">
        <v>781</v>
      </c>
      <c r="F173" s="374" t="s">
        <v>781</v>
      </c>
      <c r="G173" s="374" t="s">
        <v>781</v>
      </c>
      <c r="H173" s="374" t="s">
        <v>781</v>
      </c>
      <c r="I173" s="374">
        <v>0.7546403712296984</v>
      </c>
      <c r="J173" s="374">
        <v>0.84832451499118167</v>
      </c>
      <c r="K173" s="374">
        <v>0.77782627673505023</v>
      </c>
      <c r="L173" s="374">
        <v>0.57985257985257987</v>
      </c>
      <c r="M173" s="374">
        <v>0.80591497227356745</v>
      </c>
      <c r="N173" s="374">
        <v>0.64926220204313279</v>
      </c>
      <c r="O173" s="374">
        <v>0.75674044265593565</v>
      </c>
      <c r="P173" s="374">
        <v>0.81324536919563561</v>
      </c>
      <c r="Q173" s="374">
        <v>0.78173044551677706</v>
      </c>
      <c r="R173" s="374">
        <v>0.84615384615384615</v>
      </c>
      <c r="S173" s="374">
        <v>0.89719626168224298</v>
      </c>
      <c r="T173" s="374">
        <v>0.8705357142857143</v>
      </c>
      <c r="U173" s="375">
        <v>0.73070219123505975</v>
      </c>
      <c r="V173" s="375">
        <v>0.81807602792862688</v>
      </c>
      <c r="W173" s="375">
        <v>0.7648619957537155</v>
      </c>
    </row>
    <row r="174" spans="2:23" hidden="1" outlineLevel="1" x14ac:dyDescent="0.25">
      <c r="B174" s="328">
        <v>42826</v>
      </c>
      <c r="C174" s="374" t="s">
        <v>781</v>
      </c>
      <c r="D174" s="374" t="s">
        <v>781</v>
      </c>
      <c r="E174" s="374" t="s">
        <v>781</v>
      </c>
      <c r="F174" s="374" t="s">
        <v>781</v>
      </c>
      <c r="G174" s="374" t="s">
        <v>781</v>
      </c>
      <c r="H174" s="374" t="s">
        <v>781</v>
      </c>
      <c r="I174" s="374">
        <v>0.79931389365351635</v>
      </c>
      <c r="J174" s="374">
        <v>0.84588441330998254</v>
      </c>
      <c r="K174" s="374">
        <v>0.81077586206896557</v>
      </c>
      <c r="L174" s="374">
        <v>0.58324821246169556</v>
      </c>
      <c r="M174" s="374">
        <v>0.8190045248868778</v>
      </c>
      <c r="N174" s="374">
        <v>0.65657987332864176</v>
      </c>
      <c r="O174" s="374">
        <v>0.7695852534562212</v>
      </c>
      <c r="P174" s="374">
        <v>0.80776636713735561</v>
      </c>
      <c r="Q174" s="374">
        <v>0.78652805468527487</v>
      </c>
      <c r="R174" s="374">
        <v>0.87850467289719625</v>
      </c>
      <c r="S174" s="374">
        <v>0.93333333333333335</v>
      </c>
      <c r="T174" s="374">
        <v>0.90566037735849059</v>
      </c>
      <c r="U174" s="375">
        <v>0.75196558374128464</v>
      </c>
      <c r="V174" s="375">
        <v>0.81719414265470003</v>
      </c>
      <c r="W174" s="375">
        <v>0.77712984054669709</v>
      </c>
    </row>
    <row r="175" spans="2:23" hidden="1" outlineLevel="1" x14ac:dyDescent="0.25">
      <c r="B175" s="328">
        <v>42856</v>
      </c>
      <c r="C175" s="374" t="s">
        <v>781</v>
      </c>
      <c r="D175" s="374" t="s">
        <v>781</v>
      </c>
      <c r="E175" s="374" t="s">
        <v>781</v>
      </c>
      <c r="F175" s="374" t="s">
        <v>781</v>
      </c>
      <c r="G175" s="374" t="s">
        <v>781</v>
      </c>
      <c r="H175" s="374" t="s">
        <v>781</v>
      </c>
      <c r="I175" s="374">
        <v>0.8087378640776699</v>
      </c>
      <c r="J175" s="374">
        <v>0.84834834834834838</v>
      </c>
      <c r="K175" s="374">
        <v>0.81841526045487889</v>
      </c>
      <c r="L175" s="374">
        <v>0.55200000000000005</v>
      </c>
      <c r="M175" s="374">
        <v>0.79649890590809624</v>
      </c>
      <c r="N175" s="374">
        <v>0.62262958280657399</v>
      </c>
      <c r="O175" s="374">
        <v>0.7635039449726887</v>
      </c>
      <c r="P175" s="374">
        <v>0.80676812174609536</v>
      </c>
      <c r="Q175" s="374">
        <v>0.78524705645567072</v>
      </c>
      <c r="R175" s="374">
        <v>0.82786885245901642</v>
      </c>
      <c r="S175" s="374">
        <v>0.89189189189189189</v>
      </c>
      <c r="T175" s="374">
        <v>0.86296296296296293</v>
      </c>
      <c r="U175" s="375">
        <v>0.74690909090909086</v>
      </c>
      <c r="V175" s="375">
        <v>0.81245011971268954</v>
      </c>
      <c r="W175" s="375">
        <v>0.77519807096107474</v>
      </c>
    </row>
    <row r="176" spans="2:23" hidden="1" outlineLevel="1" x14ac:dyDescent="0.25">
      <c r="B176" s="328">
        <v>42887</v>
      </c>
      <c r="C176" s="374" t="s">
        <v>781</v>
      </c>
      <c r="D176" s="374" t="s">
        <v>781</v>
      </c>
      <c r="E176" s="374" t="s">
        <v>781</v>
      </c>
      <c r="F176" s="374" t="s">
        <v>781</v>
      </c>
      <c r="G176" s="374" t="s">
        <v>781</v>
      </c>
      <c r="H176" s="374" t="s">
        <v>781</v>
      </c>
      <c r="I176" s="374">
        <v>0.79967689822294019</v>
      </c>
      <c r="J176" s="374">
        <v>0.83934426229508197</v>
      </c>
      <c r="K176" s="374">
        <v>0.80948520470206731</v>
      </c>
      <c r="L176" s="374">
        <v>0.53131313131313129</v>
      </c>
      <c r="M176" s="374">
        <v>0.80165289256198347</v>
      </c>
      <c r="N176" s="374">
        <v>0.6200814111261872</v>
      </c>
      <c r="O176" s="374">
        <v>0.75058493214787081</v>
      </c>
      <c r="P176" s="374">
        <v>0.7880508245471749</v>
      </c>
      <c r="Q176" s="374">
        <v>0.76796688824783643</v>
      </c>
      <c r="R176" s="374">
        <v>0.79047619047619044</v>
      </c>
      <c r="S176" s="374">
        <v>0.96460176991150437</v>
      </c>
      <c r="T176" s="374">
        <v>0.88073394495412849</v>
      </c>
      <c r="U176" s="375">
        <v>0.73373927484085244</v>
      </c>
      <c r="V176" s="375">
        <v>0.79983693436608239</v>
      </c>
      <c r="W176" s="375">
        <v>0.76046818331684796</v>
      </c>
    </row>
    <row r="177" spans="2:23" hidden="1" outlineLevel="1" x14ac:dyDescent="0.25">
      <c r="B177" s="328">
        <v>42917</v>
      </c>
      <c r="C177" s="374" t="s">
        <v>781</v>
      </c>
      <c r="D177" s="374" t="s">
        <v>781</v>
      </c>
      <c r="E177" s="374" t="s">
        <v>781</v>
      </c>
      <c r="F177" s="374" t="s">
        <v>781</v>
      </c>
      <c r="G177" s="374" t="s">
        <v>781</v>
      </c>
      <c r="H177" s="374" t="s">
        <v>781</v>
      </c>
      <c r="I177" s="374">
        <v>0.78929604628736738</v>
      </c>
      <c r="J177" s="374">
        <v>0.83809523809523812</v>
      </c>
      <c r="K177" s="374">
        <v>0.80206479174083301</v>
      </c>
      <c r="L177" s="374">
        <v>0.56660746003552398</v>
      </c>
      <c r="M177" s="374">
        <v>0.81599999999999995</v>
      </c>
      <c r="N177" s="374">
        <v>0.64329643296432959</v>
      </c>
      <c r="O177" s="374">
        <v>0.76689063083240017</v>
      </c>
      <c r="P177" s="374">
        <v>0.81241015812170581</v>
      </c>
      <c r="Q177" s="374">
        <v>0.78682333193453635</v>
      </c>
      <c r="R177" s="374">
        <v>0.8571428571428571</v>
      </c>
      <c r="S177" s="374">
        <v>0.90476190476190477</v>
      </c>
      <c r="T177" s="374">
        <v>0.87755102040816324</v>
      </c>
      <c r="U177" s="375">
        <v>0.74810909924363966</v>
      </c>
      <c r="V177" s="375">
        <v>0.81824751580849142</v>
      </c>
      <c r="W177" s="375">
        <v>0.77533132318911713</v>
      </c>
    </row>
    <row r="178" spans="2:23" hidden="1" outlineLevel="1" x14ac:dyDescent="0.25">
      <c r="B178" s="328">
        <v>42948</v>
      </c>
      <c r="C178" s="374" t="s">
        <v>781</v>
      </c>
      <c r="D178" s="374" t="s">
        <v>781</v>
      </c>
      <c r="E178" s="374" t="s">
        <v>781</v>
      </c>
      <c r="F178" s="374" t="s">
        <v>781</v>
      </c>
      <c r="G178" s="374" t="s">
        <v>781</v>
      </c>
      <c r="H178" s="374" t="s">
        <v>781</v>
      </c>
      <c r="I178" s="374">
        <v>0.76717724288840261</v>
      </c>
      <c r="J178" s="374">
        <v>0.84669479606188469</v>
      </c>
      <c r="K178" s="374">
        <v>0.78604806408544725</v>
      </c>
      <c r="L178" s="374">
        <v>0.59913419913419919</v>
      </c>
      <c r="M178" s="374">
        <v>0.78764478764478763</v>
      </c>
      <c r="N178" s="374">
        <v>0.65750149432157801</v>
      </c>
      <c r="O178" s="374">
        <v>0.75872616048938468</v>
      </c>
      <c r="P178" s="374">
        <v>0.78901799954431528</v>
      </c>
      <c r="Q178" s="374">
        <v>0.77209208806675378</v>
      </c>
      <c r="R178" s="374">
        <v>0.88111888111888115</v>
      </c>
      <c r="S178" s="374">
        <v>0.90740740740740744</v>
      </c>
      <c r="T178" s="374">
        <v>0.89508196721311473</v>
      </c>
      <c r="U178" s="375">
        <v>0.74258833825620829</v>
      </c>
      <c r="V178" s="375">
        <v>0.79930795847750868</v>
      </c>
      <c r="W178" s="375">
        <v>0.7645600160847128</v>
      </c>
    </row>
    <row r="179" spans="2:23" hidden="1" outlineLevel="1" x14ac:dyDescent="0.25">
      <c r="B179" s="328">
        <v>42979</v>
      </c>
      <c r="C179" s="374" t="s">
        <v>781</v>
      </c>
      <c r="D179" s="374" t="s">
        <v>781</v>
      </c>
      <c r="E179" s="374" t="s">
        <v>781</v>
      </c>
      <c r="F179" s="374" t="s">
        <v>781</v>
      </c>
      <c r="G179" s="374" t="s">
        <v>781</v>
      </c>
      <c r="H179" s="374" t="s">
        <v>781</v>
      </c>
      <c r="I179" s="374">
        <v>0.80516898608349896</v>
      </c>
      <c r="J179" s="374">
        <v>0.85223880597014923</v>
      </c>
      <c r="K179" s="374">
        <v>0.81692766592095456</v>
      </c>
      <c r="L179" s="374">
        <v>0.5906623235613464</v>
      </c>
      <c r="M179" s="374">
        <v>0.81111111111111112</v>
      </c>
      <c r="N179" s="374">
        <v>0.66301969365426694</v>
      </c>
      <c r="O179" s="374">
        <v>0.76240437158469943</v>
      </c>
      <c r="P179" s="374">
        <v>0.7998370450841934</v>
      </c>
      <c r="Q179" s="374">
        <v>0.77909652416131769</v>
      </c>
      <c r="R179" s="374">
        <v>0.875</v>
      </c>
      <c r="S179" s="374">
        <v>0.95121951219512191</v>
      </c>
      <c r="T179" s="374">
        <v>0.91119691119691115</v>
      </c>
      <c r="U179" s="375">
        <v>0.75497121925693356</v>
      </c>
      <c r="V179" s="375">
        <v>0.8117766497461929</v>
      </c>
      <c r="W179" s="375">
        <v>0.77722969209961013</v>
      </c>
    </row>
    <row r="180" spans="2:23" hidden="1" outlineLevel="1" x14ac:dyDescent="0.25">
      <c r="B180" s="328">
        <v>43009</v>
      </c>
      <c r="C180" s="374" t="s">
        <v>781</v>
      </c>
      <c r="D180" s="374" t="s">
        <v>781</v>
      </c>
      <c r="E180" s="374" t="s">
        <v>781</v>
      </c>
      <c r="F180" s="374" t="s">
        <v>781</v>
      </c>
      <c r="G180" s="374" t="s">
        <v>781</v>
      </c>
      <c r="H180" s="374" t="s">
        <v>781</v>
      </c>
      <c r="I180" s="374">
        <v>0.79326513213981242</v>
      </c>
      <c r="J180" s="374">
        <v>0.84593023255813948</v>
      </c>
      <c r="K180" s="374">
        <v>0.80520764667106126</v>
      </c>
      <c r="L180" s="374">
        <v>0.54435107376283842</v>
      </c>
      <c r="M180" s="374">
        <v>0.78015564202334631</v>
      </c>
      <c r="N180" s="374">
        <v>0.62082018927444793</v>
      </c>
      <c r="O180" s="374">
        <v>0.79213066072754268</v>
      </c>
      <c r="P180" s="374">
        <v>0.81545264137770535</v>
      </c>
      <c r="Q180" s="374">
        <v>0.80247805885389778</v>
      </c>
      <c r="R180" s="374">
        <v>0.84242424242424241</v>
      </c>
      <c r="S180" s="374">
        <v>0.91836734693877553</v>
      </c>
      <c r="T180" s="374">
        <v>0.87820512820512819</v>
      </c>
      <c r="U180" s="375">
        <v>0.76376811594202898</v>
      </c>
      <c r="V180" s="375">
        <v>0.8186326602904711</v>
      </c>
      <c r="W180" s="375">
        <v>0.78496168582375481</v>
      </c>
    </row>
    <row r="181" spans="2:23" hidden="1" outlineLevel="1" x14ac:dyDescent="0.25">
      <c r="B181" s="328">
        <v>43040</v>
      </c>
      <c r="C181" s="374" t="s">
        <v>781</v>
      </c>
      <c r="D181" s="374" t="s">
        <v>781</v>
      </c>
      <c r="E181" s="374" t="s">
        <v>781</v>
      </c>
      <c r="F181" s="374" t="s">
        <v>781</v>
      </c>
      <c r="G181" s="374" t="s">
        <v>781</v>
      </c>
      <c r="H181" s="374" t="s">
        <v>781</v>
      </c>
      <c r="I181" s="374">
        <v>0.79716312056737593</v>
      </c>
      <c r="J181" s="374">
        <v>0.86115444617784709</v>
      </c>
      <c r="K181" s="374">
        <v>0.81204644412191584</v>
      </c>
      <c r="L181" s="374">
        <v>0.59424083769633507</v>
      </c>
      <c r="M181" s="374">
        <v>0.82239382239382242</v>
      </c>
      <c r="N181" s="374">
        <v>0.66526442307692313</v>
      </c>
      <c r="O181" s="374">
        <v>0.78447095638568354</v>
      </c>
      <c r="P181" s="374">
        <v>0.83155758498224253</v>
      </c>
      <c r="Q181" s="374">
        <v>0.80496963003865263</v>
      </c>
      <c r="R181" s="374">
        <v>0.85333333333333339</v>
      </c>
      <c r="S181" s="374">
        <v>0.96385542168674698</v>
      </c>
      <c r="T181" s="374">
        <v>0.91139240506329111</v>
      </c>
      <c r="U181" s="375">
        <v>0.76325668700140781</v>
      </c>
      <c r="V181" s="375">
        <v>0.83842794759825323</v>
      </c>
      <c r="W181" s="375">
        <v>0.791965774780654</v>
      </c>
    </row>
    <row r="182" spans="2:23" hidden="1" outlineLevel="1" x14ac:dyDescent="0.25">
      <c r="B182" s="328">
        <v>43070</v>
      </c>
      <c r="C182" s="374" t="s">
        <v>781</v>
      </c>
      <c r="D182" s="374" t="s">
        <v>781</v>
      </c>
      <c r="E182" s="374" t="s">
        <v>781</v>
      </c>
      <c r="F182" s="374" t="s">
        <v>781</v>
      </c>
      <c r="G182" s="374" t="s">
        <v>781</v>
      </c>
      <c r="H182" s="374" t="s">
        <v>781</v>
      </c>
      <c r="I182" s="374">
        <v>0.89459007250418299</v>
      </c>
      <c r="J182" s="374">
        <v>0.94078947368421051</v>
      </c>
      <c r="K182" s="374">
        <v>0.90628904623073714</v>
      </c>
      <c r="L182" s="374">
        <v>0.6166666666666667</v>
      </c>
      <c r="M182" s="374">
        <v>0.82994923857868019</v>
      </c>
      <c r="N182" s="374">
        <v>0.68160741885625964</v>
      </c>
      <c r="O182" s="374">
        <v>0.875500117674747</v>
      </c>
      <c r="P182" s="374">
        <v>0.92059145673603504</v>
      </c>
      <c r="Q182" s="374">
        <v>0.89634223516010636</v>
      </c>
      <c r="R182" s="374">
        <v>0.89629629629629626</v>
      </c>
      <c r="S182" s="374">
        <v>0.93571428571428572</v>
      </c>
      <c r="T182" s="374">
        <v>0.91636363636363638</v>
      </c>
      <c r="U182" s="375">
        <v>0.84781687155574392</v>
      </c>
      <c r="V182" s="375">
        <v>0.91614518147684609</v>
      </c>
      <c r="W182" s="375">
        <v>0.875410664644933</v>
      </c>
    </row>
    <row r="183" spans="2:23" collapsed="1" x14ac:dyDescent="0.25">
      <c r="B183" s="330" t="s">
        <v>699</v>
      </c>
      <c r="C183" s="375" t="s">
        <v>781</v>
      </c>
      <c r="D183" s="375" t="s">
        <v>781</v>
      </c>
      <c r="E183" s="375" t="s">
        <v>781</v>
      </c>
      <c r="F183" s="375" t="s">
        <v>781</v>
      </c>
      <c r="G183" s="375" t="s">
        <v>781</v>
      </c>
      <c r="H183" s="375" t="s">
        <v>781</v>
      </c>
      <c r="I183" s="375">
        <v>0.8033763654419066</v>
      </c>
      <c r="J183" s="375">
        <v>0.85867895545314898</v>
      </c>
      <c r="K183" s="375">
        <v>0.81651031894934334</v>
      </c>
      <c r="L183" s="375">
        <v>0.57633587786259544</v>
      </c>
      <c r="M183" s="375">
        <v>0.80833333333333335</v>
      </c>
      <c r="N183" s="375">
        <v>0.64986910994764402</v>
      </c>
      <c r="O183" s="375">
        <v>0.7776606954689147</v>
      </c>
      <c r="P183" s="375">
        <v>0.81459515214027844</v>
      </c>
      <c r="Q183" s="375">
        <v>0.79417903525046385</v>
      </c>
      <c r="R183" s="375">
        <v>0.8571428571428571</v>
      </c>
      <c r="S183" s="375">
        <v>0.91603053435114501</v>
      </c>
      <c r="T183" s="375">
        <v>0.88636363636363635</v>
      </c>
      <c r="U183" s="375">
        <v>0.75881612090680106</v>
      </c>
      <c r="V183" s="375">
        <v>0.82217898832684821</v>
      </c>
      <c r="W183" s="375">
        <v>0.78371559633027521</v>
      </c>
    </row>
    <row r="184" spans="2:23" hidden="1" outlineLevel="1" x14ac:dyDescent="0.25">
      <c r="B184" s="328">
        <v>43101</v>
      </c>
      <c r="C184" s="374" t="s">
        <v>781</v>
      </c>
      <c r="D184" s="374" t="s">
        <v>781</v>
      </c>
      <c r="E184" s="374" t="s">
        <v>781</v>
      </c>
      <c r="F184" s="374" t="s">
        <v>781</v>
      </c>
      <c r="G184" s="374" t="s">
        <v>781</v>
      </c>
      <c r="H184" s="374" t="s">
        <v>781</v>
      </c>
      <c r="I184" s="374">
        <v>0.89357622243528279</v>
      </c>
      <c r="J184" s="374">
        <v>0.94803149606299209</v>
      </c>
      <c r="K184" s="374">
        <v>0.906284454244763</v>
      </c>
      <c r="L184" s="374">
        <v>0.5748987854251012</v>
      </c>
      <c r="M184" s="374">
        <v>0.81505376344086022</v>
      </c>
      <c r="N184" s="374">
        <v>0.65175498967653134</v>
      </c>
      <c r="O184" s="374">
        <v>0.89938881053126474</v>
      </c>
      <c r="P184" s="374">
        <v>0.93574717455002088</v>
      </c>
      <c r="Q184" s="374">
        <v>0.91495653732413296</v>
      </c>
      <c r="R184" s="374">
        <v>0.88834951456310685</v>
      </c>
      <c r="S184" s="374">
        <v>0.91794871794871791</v>
      </c>
      <c r="T184" s="374">
        <v>0.90274314214463836</v>
      </c>
      <c r="U184" s="375">
        <v>0.86471379774350476</v>
      </c>
      <c r="V184" s="375">
        <v>0.92721883747735878</v>
      </c>
      <c r="W184" s="375">
        <v>0.88883945595525615</v>
      </c>
    </row>
    <row r="185" spans="2:23" hidden="1" outlineLevel="1" x14ac:dyDescent="0.25">
      <c r="B185" s="328">
        <v>43132</v>
      </c>
      <c r="C185" s="374" t="s">
        <v>781</v>
      </c>
      <c r="D185" s="374" t="s">
        <v>781</v>
      </c>
      <c r="E185" s="374" t="s">
        <v>781</v>
      </c>
      <c r="F185" s="374" t="s">
        <v>781</v>
      </c>
      <c r="G185" s="374" t="s">
        <v>781</v>
      </c>
      <c r="H185" s="374" t="s">
        <v>781</v>
      </c>
      <c r="I185" s="374">
        <v>0.90005777007510113</v>
      </c>
      <c r="J185" s="374">
        <v>0.95614035087719296</v>
      </c>
      <c r="K185" s="374">
        <v>0.91395045632333771</v>
      </c>
      <c r="L185" s="374">
        <v>0.53779429987608429</v>
      </c>
      <c r="M185" s="374">
        <v>0.81967213114754101</v>
      </c>
      <c r="N185" s="374">
        <v>0.62574595055413473</v>
      </c>
      <c r="O185" s="374">
        <v>0.9117197062423501</v>
      </c>
      <c r="P185" s="374">
        <v>0.93045404208194904</v>
      </c>
      <c r="Q185" s="374">
        <v>0.91937381232467652</v>
      </c>
      <c r="R185" s="374">
        <v>0.95928753180661575</v>
      </c>
      <c r="S185" s="374">
        <v>0.98525073746312686</v>
      </c>
      <c r="T185" s="374">
        <v>0.97131147540983609</v>
      </c>
      <c r="U185" s="375">
        <v>0.87968733495299456</v>
      </c>
      <c r="V185" s="375">
        <v>0.92918825561312612</v>
      </c>
      <c r="W185" s="375">
        <v>0.89847283214262308</v>
      </c>
    </row>
    <row r="186" spans="2:23" hidden="1" outlineLevel="1" x14ac:dyDescent="0.25">
      <c r="B186" s="328">
        <v>43160</v>
      </c>
      <c r="C186" s="374" t="s">
        <v>781</v>
      </c>
      <c r="D186" s="374" t="s">
        <v>781</v>
      </c>
      <c r="E186" s="374" t="s">
        <v>781</v>
      </c>
      <c r="F186" s="374" t="s">
        <v>781</v>
      </c>
      <c r="G186" s="374" t="s">
        <v>781</v>
      </c>
      <c r="H186" s="374" t="s">
        <v>781</v>
      </c>
      <c r="I186" s="374">
        <v>0.86886075949367092</v>
      </c>
      <c r="J186" s="374">
        <v>0.9447004608294931</v>
      </c>
      <c r="K186" s="374">
        <v>0.88766184310738772</v>
      </c>
      <c r="L186" s="374">
        <v>0.57632093933463802</v>
      </c>
      <c r="M186" s="374">
        <v>0.79128440366972475</v>
      </c>
      <c r="N186" s="374">
        <v>0.64060356652949246</v>
      </c>
      <c r="O186" s="374">
        <v>0.90001723840717118</v>
      </c>
      <c r="P186" s="374">
        <v>0.91959032468947488</v>
      </c>
      <c r="Q186" s="374">
        <v>0.90866217516843117</v>
      </c>
      <c r="R186" s="374">
        <v>0.95474137931034486</v>
      </c>
      <c r="S186" s="374">
        <v>0.98030634573304154</v>
      </c>
      <c r="T186" s="374">
        <v>0.96742671009771986</v>
      </c>
      <c r="U186" s="375">
        <v>0.86039732239257183</v>
      </c>
      <c r="V186" s="375">
        <v>0.91765856840045656</v>
      </c>
      <c r="W186" s="375">
        <v>0.88320883403702499</v>
      </c>
    </row>
    <row r="187" spans="2:23" hidden="1" outlineLevel="1" x14ac:dyDescent="0.25">
      <c r="B187" s="328">
        <v>43191</v>
      </c>
      <c r="C187" s="374" t="s">
        <v>781</v>
      </c>
      <c r="D187" s="374" t="s">
        <v>781</v>
      </c>
      <c r="E187" s="374" t="s">
        <v>781</v>
      </c>
      <c r="F187" s="374" t="s">
        <v>781</v>
      </c>
      <c r="G187" s="374" t="s">
        <v>781</v>
      </c>
      <c r="H187" s="374" t="s">
        <v>781</v>
      </c>
      <c r="I187" s="374">
        <v>0.89347604485219168</v>
      </c>
      <c r="J187" s="374">
        <v>0.93719008264462811</v>
      </c>
      <c r="K187" s="374">
        <v>0.90377873003506037</v>
      </c>
      <c r="L187" s="374">
        <v>0.56412729026036645</v>
      </c>
      <c r="M187" s="374">
        <v>0.81434599156118148</v>
      </c>
      <c r="N187" s="374">
        <v>0.64262078093977504</v>
      </c>
      <c r="O187" s="374">
        <v>0.88266464799394395</v>
      </c>
      <c r="P187" s="374">
        <v>0.93027932960893855</v>
      </c>
      <c r="Q187" s="374">
        <v>0.90449841172251255</v>
      </c>
      <c r="R187" s="374">
        <v>0.94392523364485981</v>
      </c>
      <c r="S187" s="374">
        <v>0.96332518337408313</v>
      </c>
      <c r="T187" s="374">
        <v>0.95340501792114696</v>
      </c>
      <c r="U187" s="375">
        <v>0.85018941568132245</v>
      </c>
      <c r="V187" s="375">
        <v>0.92403152775448605</v>
      </c>
      <c r="W187" s="375">
        <v>0.88019626550361185</v>
      </c>
    </row>
    <row r="188" spans="2:23" hidden="1" outlineLevel="1" x14ac:dyDescent="0.25">
      <c r="B188" s="328">
        <v>43221</v>
      </c>
      <c r="C188" s="374" t="s">
        <v>781</v>
      </c>
      <c r="D188" s="374" t="s">
        <v>781</v>
      </c>
      <c r="E188" s="374" t="s">
        <v>781</v>
      </c>
      <c r="F188" s="374" t="s">
        <v>781</v>
      </c>
      <c r="G188" s="374" t="s">
        <v>781</v>
      </c>
      <c r="H188" s="374" t="s">
        <v>781</v>
      </c>
      <c r="I188" s="374">
        <v>0.88457899716177857</v>
      </c>
      <c r="J188" s="374">
        <v>0.90761750405186381</v>
      </c>
      <c r="K188" s="374">
        <v>0.88978396191871112</v>
      </c>
      <c r="L188" s="374">
        <v>0.60640495867768596</v>
      </c>
      <c r="M188" s="374">
        <v>0.8125</v>
      </c>
      <c r="N188" s="374">
        <v>0.66835260115606931</v>
      </c>
      <c r="O188" s="374">
        <v>0.87250437828371274</v>
      </c>
      <c r="P188" s="374">
        <v>0.9285714285714286</v>
      </c>
      <c r="Q188" s="374">
        <v>0.90033515611218906</v>
      </c>
      <c r="R188" s="374">
        <v>0.93675889328063244</v>
      </c>
      <c r="S188" s="374">
        <v>0.9375</v>
      </c>
      <c r="T188" s="374">
        <v>0.93716337522441651</v>
      </c>
      <c r="U188" s="375">
        <v>0.84864566058595914</v>
      </c>
      <c r="V188" s="375">
        <v>0.92017229002153622</v>
      </c>
      <c r="W188" s="375">
        <v>0.87976264834478446</v>
      </c>
    </row>
    <row r="189" spans="2:23" hidden="1" outlineLevel="1" x14ac:dyDescent="0.25">
      <c r="B189" s="328">
        <v>43252</v>
      </c>
      <c r="C189" s="374" t="s">
        <v>781</v>
      </c>
      <c r="D189" s="374" t="s">
        <v>781</v>
      </c>
      <c r="E189" s="374" t="s">
        <v>781</v>
      </c>
      <c r="F189" s="374" t="s">
        <v>781</v>
      </c>
      <c r="G189" s="374" t="s">
        <v>781</v>
      </c>
      <c r="H189" s="374" t="s">
        <v>781</v>
      </c>
      <c r="I189" s="374">
        <v>0.88571428571428568</v>
      </c>
      <c r="J189" s="374">
        <v>0.92624356775300176</v>
      </c>
      <c r="K189" s="374">
        <v>0.89513556618819778</v>
      </c>
      <c r="L189" s="374">
        <v>0.56619144602851323</v>
      </c>
      <c r="M189" s="374">
        <v>0.81105990783410142</v>
      </c>
      <c r="N189" s="374">
        <v>0.64124293785310738</v>
      </c>
      <c r="O189" s="374">
        <v>0.87879362670713201</v>
      </c>
      <c r="P189" s="374">
        <v>0.92957130358705164</v>
      </c>
      <c r="Q189" s="374">
        <v>0.90237708248679394</v>
      </c>
      <c r="R189" s="374">
        <v>0.90336134453781514</v>
      </c>
      <c r="S189" s="374">
        <v>0.965034965034965</v>
      </c>
      <c r="T189" s="374">
        <v>0.93702290076335881</v>
      </c>
      <c r="U189" s="375">
        <v>0.84460021385291673</v>
      </c>
      <c r="V189" s="375">
        <v>0.92221276595744683</v>
      </c>
      <c r="W189" s="375">
        <v>0.87650433809123984</v>
      </c>
    </row>
    <row r="190" spans="2:23" hidden="1" outlineLevel="1" x14ac:dyDescent="0.25">
      <c r="B190" s="328">
        <v>43282</v>
      </c>
      <c r="C190" s="374" t="s">
        <v>781</v>
      </c>
      <c r="D190" s="374" t="s">
        <v>781</v>
      </c>
      <c r="E190" s="374" t="s">
        <v>781</v>
      </c>
      <c r="F190" s="374" t="s">
        <v>781</v>
      </c>
      <c r="G190" s="374" t="s">
        <v>781</v>
      </c>
      <c r="H190" s="374" t="s">
        <v>781</v>
      </c>
      <c r="I190" s="374">
        <v>0.8834355828220859</v>
      </c>
      <c r="J190" s="374">
        <v>0.9320987654320988</v>
      </c>
      <c r="K190" s="374">
        <v>0.8948319479580773</v>
      </c>
      <c r="L190" s="374">
        <v>0.60474716202270384</v>
      </c>
      <c r="M190" s="374">
        <v>0.81147540983606559</v>
      </c>
      <c r="N190" s="374">
        <v>0.67398764584763216</v>
      </c>
      <c r="O190" s="374">
        <v>0.88213530655391126</v>
      </c>
      <c r="P190" s="374">
        <v>0.92959830866807613</v>
      </c>
      <c r="Q190" s="374">
        <v>0.90370939842398612</v>
      </c>
      <c r="R190" s="374">
        <v>0.90517241379310343</v>
      </c>
      <c r="S190" s="374">
        <v>0.94758064516129037</v>
      </c>
      <c r="T190" s="374">
        <v>0.92708333333333337</v>
      </c>
      <c r="U190" s="375">
        <v>0.85315695864828811</v>
      </c>
      <c r="V190" s="375">
        <v>0.92116454039908402</v>
      </c>
      <c r="W190" s="375">
        <v>0.88067504963600263</v>
      </c>
    </row>
    <row r="191" spans="2:23" hidden="1" outlineLevel="1" x14ac:dyDescent="0.25">
      <c r="B191" s="328">
        <v>43313</v>
      </c>
      <c r="C191" s="374" t="s">
        <v>781</v>
      </c>
      <c r="D191" s="374" t="s">
        <v>781</v>
      </c>
      <c r="E191" s="374" t="s">
        <v>781</v>
      </c>
      <c r="F191" s="374" t="s">
        <v>781</v>
      </c>
      <c r="G191" s="374" t="s">
        <v>781</v>
      </c>
      <c r="H191" s="374" t="s">
        <v>781</v>
      </c>
      <c r="I191" s="374">
        <v>0.8686006825938567</v>
      </c>
      <c r="J191" s="374">
        <v>0.92097701149425293</v>
      </c>
      <c r="K191" s="374">
        <v>0.8805921052631579</v>
      </c>
      <c r="L191" s="374">
        <v>0.54521276595744683</v>
      </c>
      <c r="M191" s="374">
        <v>0.77387914230019494</v>
      </c>
      <c r="N191" s="374">
        <v>0.61669713589274833</v>
      </c>
      <c r="O191" s="374">
        <v>0.88742476004555071</v>
      </c>
      <c r="P191" s="374">
        <v>0.92596390484003277</v>
      </c>
      <c r="Q191" s="374">
        <v>0.90447246666061876</v>
      </c>
      <c r="R191" s="374">
        <v>0.88151658767772512</v>
      </c>
      <c r="S191" s="374">
        <v>0.93518518518518523</v>
      </c>
      <c r="T191" s="374">
        <v>0.90866510538641687</v>
      </c>
      <c r="U191" s="375">
        <v>0.84354018311291967</v>
      </c>
      <c r="V191" s="375">
        <v>0.91334708776384699</v>
      </c>
      <c r="W191" s="375">
        <v>0.87080776145310268</v>
      </c>
    </row>
    <row r="192" spans="2:23" hidden="1" outlineLevel="1" x14ac:dyDescent="0.25">
      <c r="B192" s="328">
        <v>43344</v>
      </c>
      <c r="C192" s="374" t="s">
        <v>781</v>
      </c>
      <c r="D192" s="374" t="s">
        <v>781</v>
      </c>
      <c r="E192" s="374" t="s">
        <v>781</v>
      </c>
      <c r="F192" s="374" t="s">
        <v>781</v>
      </c>
      <c r="G192" s="374" t="s">
        <v>781</v>
      </c>
      <c r="H192" s="374" t="s">
        <v>781</v>
      </c>
      <c r="I192" s="374">
        <v>0.88021454112038144</v>
      </c>
      <c r="J192" s="374">
        <v>0.9419642857142857</v>
      </c>
      <c r="K192" s="374">
        <v>0.89322671683913457</v>
      </c>
      <c r="L192" s="374">
        <v>0.61458333333333337</v>
      </c>
      <c r="M192" s="374">
        <v>0.77777777777777779</v>
      </c>
      <c r="N192" s="374">
        <v>0.66506794564348526</v>
      </c>
      <c r="O192" s="374">
        <v>0.8814496314496314</v>
      </c>
      <c r="P192" s="374">
        <v>0.91811279826464209</v>
      </c>
      <c r="Q192" s="374">
        <v>0.89722351843210457</v>
      </c>
      <c r="R192" s="374">
        <v>0.89308176100628933</v>
      </c>
      <c r="S192" s="374">
        <v>0.93888888888888888</v>
      </c>
      <c r="T192" s="374">
        <v>0.91740412979351027</v>
      </c>
      <c r="U192" s="375">
        <v>0.8510217534607778</v>
      </c>
      <c r="V192" s="375">
        <v>0.90963214969168615</v>
      </c>
      <c r="W192" s="375">
        <v>0.87345377604166663</v>
      </c>
    </row>
    <row r="193" spans="2:23" hidden="1" outlineLevel="1" x14ac:dyDescent="0.25">
      <c r="B193" s="328">
        <v>43374</v>
      </c>
      <c r="C193" s="374" t="s">
        <v>781</v>
      </c>
      <c r="D193" s="374" t="s">
        <v>781</v>
      </c>
      <c r="E193" s="374" t="s">
        <v>781</v>
      </c>
      <c r="F193" s="374" t="s">
        <v>781</v>
      </c>
      <c r="G193" s="374" t="s">
        <v>781</v>
      </c>
      <c r="H193" s="374" t="s">
        <v>781</v>
      </c>
      <c r="I193" s="374">
        <v>0.8771358828315704</v>
      </c>
      <c r="J193" s="374">
        <v>0.94052558782849238</v>
      </c>
      <c r="K193" s="374">
        <v>0.89154353976736878</v>
      </c>
      <c r="L193" s="374">
        <v>0.57619047619047614</v>
      </c>
      <c r="M193" s="374">
        <v>0.75906183368869939</v>
      </c>
      <c r="N193" s="374">
        <v>0.63265306122448983</v>
      </c>
      <c r="O193" s="374">
        <v>0.88135593220338981</v>
      </c>
      <c r="P193" s="374">
        <v>0.92387679026878555</v>
      </c>
      <c r="Q193" s="374">
        <v>0.8995960276047803</v>
      </c>
      <c r="R193" s="374">
        <v>0.85128205128205126</v>
      </c>
      <c r="S193" s="374">
        <v>0.9285714285714286</v>
      </c>
      <c r="T193" s="374">
        <v>0.89260143198090691</v>
      </c>
      <c r="U193" s="375">
        <v>0.84925629290617854</v>
      </c>
      <c r="V193" s="375">
        <v>0.91401811761093199</v>
      </c>
      <c r="W193" s="375">
        <v>0.87406623139815309</v>
      </c>
    </row>
    <row r="194" spans="2:23" hidden="1" outlineLevel="1" x14ac:dyDescent="0.25">
      <c r="B194" s="328">
        <v>43405</v>
      </c>
      <c r="C194" s="374" t="s">
        <v>781</v>
      </c>
      <c r="D194" s="374" t="s">
        <v>781</v>
      </c>
      <c r="E194" s="374" t="s">
        <v>781</v>
      </c>
      <c r="F194" s="374" t="s">
        <v>781</v>
      </c>
      <c r="G194" s="374" t="s">
        <v>781</v>
      </c>
      <c r="H194" s="374" t="s">
        <v>781</v>
      </c>
      <c r="I194" s="374">
        <v>0.89975062344139656</v>
      </c>
      <c r="J194" s="374">
        <v>0.92959999999999998</v>
      </c>
      <c r="K194" s="374">
        <v>0.90684410646387836</v>
      </c>
      <c r="L194" s="374">
        <v>0.53433476394849788</v>
      </c>
      <c r="M194" s="374">
        <v>0.79704016913319242</v>
      </c>
      <c r="N194" s="374">
        <v>0.62277580071174377</v>
      </c>
      <c r="O194" s="374">
        <v>0.88507686539182606</v>
      </c>
      <c r="P194" s="374">
        <v>0.93993272465160982</v>
      </c>
      <c r="Q194" s="374">
        <v>0.90911962931760737</v>
      </c>
      <c r="R194" s="374">
        <v>0.88435374149659862</v>
      </c>
      <c r="S194" s="374">
        <v>0.90062111801242239</v>
      </c>
      <c r="T194" s="374">
        <v>0.8928571428571429</v>
      </c>
      <c r="U194" s="375">
        <v>0.84972677595628421</v>
      </c>
      <c r="V194" s="375">
        <v>0.92510606899096104</v>
      </c>
      <c r="W194" s="375">
        <v>0.87925428137871231</v>
      </c>
    </row>
    <row r="195" spans="2:23" hidden="1" outlineLevel="1" x14ac:dyDescent="0.25">
      <c r="B195" s="328">
        <v>43435</v>
      </c>
      <c r="C195" s="374" t="s">
        <v>781</v>
      </c>
      <c r="D195" s="374" t="s">
        <v>781</v>
      </c>
      <c r="E195" s="374" t="s">
        <v>781</v>
      </c>
      <c r="F195" s="374" t="s">
        <v>781</v>
      </c>
      <c r="G195" s="374" t="s">
        <v>781</v>
      </c>
      <c r="H195" s="374" t="s">
        <v>781</v>
      </c>
      <c r="I195" s="374">
        <v>0.90904139433551201</v>
      </c>
      <c r="J195" s="374">
        <v>0.95716945996275604</v>
      </c>
      <c r="K195" s="374">
        <v>0.91993257479983148</v>
      </c>
      <c r="L195" s="374">
        <v>0.62105263157894741</v>
      </c>
      <c r="M195" s="374">
        <v>0.80084745762711862</v>
      </c>
      <c r="N195" s="374">
        <v>0.68500376789751316</v>
      </c>
      <c r="O195" s="374">
        <v>0.88359560250053892</v>
      </c>
      <c r="P195" s="374">
        <v>0.93038922155688619</v>
      </c>
      <c r="Q195" s="374">
        <v>0.90528506996646241</v>
      </c>
      <c r="R195" s="374">
        <v>0.875</v>
      </c>
      <c r="S195" s="374">
        <v>0.93710691823899372</v>
      </c>
      <c r="T195" s="374">
        <v>0.90519877675840976</v>
      </c>
      <c r="U195" s="375">
        <v>0.85969591891170982</v>
      </c>
      <c r="V195" s="375">
        <v>0.92156105100463681</v>
      </c>
      <c r="W195" s="375">
        <v>0.88496133817263689</v>
      </c>
    </row>
    <row r="196" spans="2:23" collapsed="1" x14ac:dyDescent="0.25">
      <c r="B196" s="330" t="s">
        <v>700</v>
      </c>
      <c r="C196" s="375" t="s">
        <v>781</v>
      </c>
      <c r="D196" s="375" t="s">
        <v>781</v>
      </c>
      <c r="E196" s="375" t="s">
        <v>781</v>
      </c>
      <c r="F196" s="375" t="s">
        <v>781</v>
      </c>
      <c r="G196" s="375" t="s">
        <v>781</v>
      </c>
      <c r="H196" s="375" t="s">
        <v>781</v>
      </c>
      <c r="I196" s="375">
        <v>0.88657751362060422</v>
      </c>
      <c r="J196" s="375">
        <v>0.93627450980392157</v>
      </c>
      <c r="K196" s="375">
        <v>0.8981375902698594</v>
      </c>
      <c r="L196" s="375">
        <v>0.57600827300930713</v>
      </c>
      <c r="M196" s="375">
        <v>0.79955456570155903</v>
      </c>
      <c r="N196" s="375">
        <v>0.64689265536723162</v>
      </c>
      <c r="O196" s="375">
        <v>0.88779803646563815</v>
      </c>
      <c r="P196" s="375">
        <v>0.92858698018724151</v>
      </c>
      <c r="Q196" s="375">
        <v>0.90599203651548998</v>
      </c>
      <c r="R196" s="375">
        <v>0.91860465116279066</v>
      </c>
      <c r="S196" s="375">
        <v>0.95094339622641511</v>
      </c>
      <c r="T196" s="375">
        <v>0.93499043977055452</v>
      </c>
      <c r="U196" s="375">
        <v>0.8547161376843988</v>
      </c>
      <c r="V196" s="375">
        <v>0.92042574759249873</v>
      </c>
      <c r="W196" s="375">
        <v>0.8808771103786911</v>
      </c>
    </row>
    <row r="197" spans="2:23" hidden="1" outlineLevel="1" x14ac:dyDescent="0.25">
      <c r="B197" s="328">
        <v>43466</v>
      </c>
      <c r="C197" s="374" t="s">
        <v>781</v>
      </c>
      <c r="D197" s="374" t="s">
        <v>781</v>
      </c>
      <c r="E197" s="374" t="s">
        <v>781</v>
      </c>
      <c r="F197" s="374" t="s">
        <v>781</v>
      </c>
      <c r="G197" s="374" t="s">
        <v>781</v>
      </c>
      <c r="H197" s="374" t="s">
        <v>781</v>
      </c>
      <c r="I197" s="374">
        <v>0.89231499051233398</v>
      </c>
      <c r="J197" s="374">
        <v>0.94392523364485981</v>
      </c>
      <c r="K197" s="374">
        <v>0.90436363636363637</v>
      </c>
      <c r="L197" s="374">
        <v>0.58409785932721714</v>
      </c>
      <c r="M197" s="374">
        <v>0.79209979209979209</v>
      </c>
      <c r="N197" s="374">
        <v>0.65253077975376195</v>
      </c>
      <c r="O197" s="374">
        <v>0.88233209285840863</v>
      </c>
      <c r="P197" s="374">
        <v>0.94053105113012947</v>
      </c>
      <c r="Q197" s="374">
        <v>0.90833333333333333</v>
      </c>
      <c r="R197" s="374">
        <v>0.90774907749077494</v>
      </c>
      <c r="S197" s="374">
        <v>0.92517006802721091</v>
      </c>
      <c r="T197" s="374">
        <v>0.91681415929203536</v>
      </c>
      <c r="U197" s="375">
        <v>0.85293790958569371</v>
      </c>
      <c r="V197" s="375">
        <v>0.92818881821225308</v>
      </c>
      <c r="W197" s="375">
        <v>0.88295386258930364</v>
      </c>
    </row>
    <row r="198" spans="2:23" hidden="1" outlineLevel="1" x14ac:dyDescent="0.25">
      <c r="B198" s="328">
        <v>43497</v>
      </c>
      <c r="C198" s="374" t="s">
        <v>781</v>
      </c>
      <c r="D198" s="374" t="s">
        <v>781</v>
      </c>
      <c r="E198" s="374" t="s">
        <v>781</v>
      </c>
      <c r="F198" s="374" t="s">
        <v>781</v>
      </c>
      <c r="G198" s="374" t="s">
        <v>781</v>
      </c>
      <c r="H198" s="374" t="s">
        <v>781</v>
      </c>
      <c r="I198" s="374">
        <v>0.88422315536892626</v>
      </c>
      <c r="J198" s="374">
        <v>0.93666026871401153</v>
      </c>
      <c r="K198" s="374">
        <v>0.89670932358318101</v>
      </c>
      <c r="L198" s="374">
        <v>0.5822637106184364</v>
      </c>
      <c r="M198" s="374">
        <v>0.78899082568807344</v>
      </c>
      <c r="N198" s="374">
        <v>0.65197215777262185</v>
      </c>
      <c r="O198" s="374">
        <v>0.88226495726495724</v>
      </c>
      <c r="P198" s="374">
        <v>0.93531066223472259</v>
      </c>
      <c r="Q198" s="374">
        <v>0.9064136887440345</v>
      </c>
      <c r="R198" s="374">
        <v>0.92307692307692313</v>
      </c>
      <c r="S198" s="374">
        <v>0.96753246753246758</v>
      </c>
      <c r="T198" s="374">
        <v>0.94306569343065694</v>
      </c>
      <c r="U198" s="375">
        <v>0.850811238622873</v>
      </c>
      <c r="V198" s="375">
        <v>0.92503863987635238</v>
      </c>
      <c r="W198" s="375">
        <v>0.88092811789605707</v>
      </c>
    </row>
    <row r="199" spans="2:23" hidden="1" outlineLevel="1" x14ac:dyDescent="0.25">
      <c r="B199" s="328">
        <v>43525</v>
      </c>
      <c r="C199" s="374" t="s">
        <v>781</v>
      </c>
      <c r="D199" s="374" t="s">
        <v>781</v>
      </c>
      <c r="E199" s="374" t="s">
        <v>781</v>
      </c>
      <c r="F199" s="374" t="s">
        <v>781</v>
      </c>
      <c r="G199" s="374" t="s">
        <v>781</v>
      </c>
      <c r="H199" s="374" t="s">
        <v>781</v>
      </c>
      <c r="I199" s="374">
        <v>0.87229551451187337</v>
      </c>
      <c r="J199" s="374">
        <v>0.94850498338870437</v>
      </c>
      <c r="K199" s="374">
        <v>0.89066880256307568</v>
      </c>
      <c r="L199" s="374">
        <v>0.57904946653734235</v>
      </c>
      <c r="M199" s="374">
        <v>0.83409090909090911</v>
      </c>
      <c r="N199" s="374">
        <v>0.65533650577838209</v>
      </c>
      <c r="O199" s="374">
        <v>0.87078109932497594</v>
      </c>
      <c r="P199" s="374">
        <v>0.9364516891093787</v>
      </c>
      <c r="Q199" s="374">
        <v>0.90029730303673816</v>
      </c>
      <c r="R199" s="374">
        <v>0.92073170731707321</v>
      </c>
      <c r="S199" s="374">
        <v>0.95806451612903221</v>
      </c>
      <c r="T199" s="374">
        <v>0.93887147335423193</v>
      </c>
      <c r="U199" s="375">
        <v>0.83742149543784805</v>
      </c>
      <c r="V199" s="375">
        <v>0.93088630259623995</v>
      </c>
      <c r="W199" s="375">
        <v>0.87464346833998863</v>
      </c>
    </row>
    <row r="200" spans="2:23" hidden="1" outlineLevel="1" x14ac:dyDescent="0.25">
      <c r="B200" s="328">
        <v>43556</v>
      </c>
      <c r="C200" s="374" t="s">
        <v>781</v>
      </c>
      <c r="D200" s="374" t="s">
        <v>781</v>
      </c>
      <c r="E200" s="374" t="s">
        <v>781</v>
      </c>
      <c r="F200" s="374" t="s">
        <v>781</v>
      </c>
      <c r="G200" s="374" t="s">
        <v>781</v>
      </c>
      <c r="H200" s="374" t="s">
        <v>781</v>
      </c>
      <c r="I200" s="374">
        <v>0.87790055248618781</v>
      </c>
      <c r="J200" s="374">
        <v>0.94290657439446368</v>
      </c>
      <c r="K200" s="374">
        <v>0.89363484087102174</v>
      </c>
      <c r="L200" s="374">
        <v>0.58333333333333337</v>
      </c>
      <c r="M200" s="374">
        <v>0.77876106194690264</v>
      </c>
      <c r="N200" s="374">
        <v>0.64054404145077726</v>
      </c>
      <c r="O200" s="374">
        <v>0.87607780228594345</v>
      </c>
      <c r="P200" s="374">
        <v>0.93736603953322217</v>
      </c>
      <c r="Q200" s="374">
        <v>0.90409318528195082</v>
      </c>
      <c r="R200" s="374">
        <v>0.90974729241877261</v>
      </c>
      <c r="S200" s="374">
        <v>0.93485342019543971</v>
      </c>
      <c r="T200" s="374">
        <v>0.92294520547945202</v>
      </c>
      <c r="U200" s="375">
        <v>0.83847661033553755</v>
      </c>
      <c r="V200" s="375">
        <v>0.92485549132947975</v>
      </c>
      <c r="W200" s="375">
        <v>0.87337614946723108</v>
      </c>
    </row>
    <row r="201" spans="2:23" hidden="1" outlineLevel="1" x14ac:dyDescent="0.25">
      <c r="B201" s="328">
        <v>43586</v>
      </c>
      <c r="C201" s="374" t="s">
        <v>781</v>
      </c>
      <c r="D201" s="374" t="s">
        <v>781</v>
      </c>
      <c r="E201" s="374" t="s">
        <v>781</v>
      </c>
      <c r="F201" s="374" t="s">
        <v>781</v>
      </c>
      <c r="G201" s="374" t="s">
        <v>781</v>
      </c>
      <c r="H201" s="374" t="s">
        <v>781</v>
      </c>
      <c r="I201" s="374">
        <v>0.88858842617631151</v>
      </c>
      <c r="J201" s="374">
        <v>0.95509499136442144</v>
      </c>
      <c r="K201" s="374">
        <v>0.90444810543657328</v>
      </c>
      <c r="L201" s="374">
        <v>0.55555555555555558</v>
      </c>
      <c r="M201" s="374">
        <v>0.79439252336448596</v>
      </c>
      <c r="N201" s="374">
        <v>0.63000728332119449</v>
      </c>
      <c r="O201" s="374">
        <v>0.87558733401430033</v>
      </c>
      <c r="P201" s="374">
        <v>0.93117053923717663</v>
      </c>
      <c r="Q201" s="374">
        <v>0.90240033837369149</v>
      </c>
      <c r="R201" s="374">
        <v>0.92672413793103448</v>
      </c>
      <c r="S201" s="374">
        <v>0.93625498007968122</v>
      </c>
      <c r="T201" s="374">
        <v>0.93167701863354035</v>
      </c>
      <c r="U201" s="375">
        <v>0.84193914909733625</v>
      </c>
      <c r="V201" s="375">
        <v>0.92371134020618562</v>
      </c>
      <c r="W201" s="375">
        <v>0.87657375736845933</v>
      </c>
    </row>
    <row r="202" spans="2:23" hidden="1" outlineLevel="1" x14ac:dyDescent="0.25">
      <c r="B202" s="328">
        <v>43617</v>
      </c>
      <c r="C202" s="374" t="s">
        <v>781</v>
      </c>
      <c r="D202" s="374" t="s">
        <v>781</v>
      </c>
      <c r="E202" s="374" t="s">
        <v>781</v>
      </c>
      <c r="F202" s="374" t="s">
        <v>781</v>
      </c>
      <c r="G202" s="374" t="s">
        <v>781</v>
      </c>
      <c r="H202" s="374" t="s">
        <v>781</v>
      </c>
      <c r="I202" s="374">
        <v>0.87448680351906161</v>
      </c>
      <c r="J202" s="374">
        <v>0.94573643410852715</v>
      </c>
      <c r="K202" s="374">
        <v>0.89104007203962177</v>
      </c>
      <c r="L202" s="374">
        <v>0.59308807134894093</v>
      </c>
      <c r="M202" s="374">
        <v>0.83795309168443499</v>
      </c>
      <c r="N202" s="374">
        <v>0.6771595900439239</v>
      </c>
      <c r="O202" s="374">
        <v>0.87467730579676128</v>
      </c>
      <c r="P202" s="374">
        <v>0.93745051464766427</v>
      </c>
      <c r="Q202" s="374">
        <v>0.90422360248447209</v>
      </c>
      <c r="R202" s="374">
        <v>0.8910891089108911</v>
      </c>
      <c r="S202" s="374">
        <v>0.92964824120603018</v>
      </c>
      <c r="T202" s="374">
        <v>0.91022443890274318</v>
      </c>
      <c r="U202" s="375">
        <v>0.83934890304317056</v>
      </c>
      <c r="V202" s="375">
        <v>0.92861451839935649</v>
      </c>
      <c r="W202" s="375">
        <v>0.87622528659245724</v>
      </c>
    </row>
    <row r="203" spans="2:23" hidden="1" outlineLevel="1" x14ac:dyDescent="0.25">
      <c r="B203" s="328">
        <v>43647</v>
      </c>
      <c r="C203" s="374" t="s">
        <v>781</v>
      </c>
      <c r="D203" s="374" t="s">
        <v>781</v>
      </c>
      <c r="E203" s="374" t="s">
        <v>781</v>
      </c>
      <c r="F203" s="374" t="s">
        <v>781</v>
      </c>
      <c r="G203" s="374" t="s">
        <v>781</v>
      </c>
      <c r="H203" s="374" t="s">
        <v>781</v>
      </c>
      <c r="I203" s="374">
        <v>0.88789237668161436</v>
      </c>
      <c r="J203" s="374">
        <v>0.94710743801652897</v>
      </c>
      <c r="K203" s="374">
        <v>0.90160796324655434</v>
      </c>
      <c r="L203" s="374">
        <v>0.59943449575871821</v>
      </c>
      <c r="M203" s="374">
        <v>0.76608187134502925</v>
      </c>
      <c r="N203" s="374">
        <v>0.65374841168996189</v>
      </c>
      <c r="O203" s="374">
        <v>0.88694702348443477</v>
      </c>
      <c r="P203" s="374">
        <v>0.94</v>
      </c>
      <c r="Q203" s="374">
        <v>0.91140979103306186</v>
      </c>
      <c r="R203" s="374">
        <v>0.9327731092436975</v>
      </c>
      <c r="S203" s="374">
        <v>0.97413793103448276</v>
      </c>
      <c r="T203" s="374">
        <v>0.95319148936170217</v>
      </c>
      <c r="U203" s="375">
        <v>0.85373337879304467</v>
      </c>
      <c r="V203" s="375">
        <v>0.92727272727272725</v>
      </c>
      <c r="W203" s="375">
        <v>0.88369587177587716</v>
      </c>
    </row>
    <row r="204" spans="2:23" hidden="1" outlineLevel="1" x14ac:dyDescent="0.25">
      <c r="B204" s="328">
        <v>43678</v>
      </c>
      <c r="C204" s="374" t="s">
        <v>781</v>
      </c>
      <c r="D204" s="374" t="s">
        <v>781</v>
      </c>
      <c r="E204" s="374" t="s">
        <v>781</v>
      </c>
      <c r="F204" s="374" t="s">
        <v>781</v>
      </c>
      <c r="G204" s="374" t="s">
        <v>781</v>
      </c>
      <c r="H204" s="374" t="s">
        <v>781</v>
      </c>
      <c r="I204" s="374">
        <v>0.88398611799702531</v>
      </c>
      <c r="J204" s="374">
        <v>0.93298059964726632</v>
      </c>
      <c r="K204" s="374">
        <v>0.89473684210526316</v>
      </c>
      <c r="L204" s="374">
        <v>0.58414872798434447</v>
      </c>
      <c r="M204" s="374">
        <v>0.77682403433476399</v>
      </c>
      <c r="N204" s="374">
        <v>0.644489247311828</v>
      </c>
      <c r="O204" s="374">
        <v>0.87053988417709693</v>
      </c>
      <c r="P204" s="374">
        <v>0.9279651296168846</v>
      </c>
      <c r="Q204" s="374">
        <v>0.89631383855024716</v>
      </c>
      <c r="R204" s="374">
        <v>0.9</v>
      </c>
      <c r="S204" s="374">
        <v>0.92990654205607481</v>
      </c>
      <c r="T204" s="374">
        <v>0.91509433962264153</v>
      </c>
      <c r="U204" s="375">
        <v>0.84038595675424321</v>
      </c>
      <c r="V204" s="375">
        <v>0.9159828754905458</v>
      </c>
      <c r="W204" s="375">
        <v>0.870213963963964</v>
      </c>
    </row>
    <row r="205" spans="2:23" hidden="1" outlineLevel="1" x14ac:dyDescent="0.25">
      <c r="B205" s="328">
        <v>43709</v>
      </c>
      <c r="C205" s="374" t="s">
        <v>781</v>
      </c>
      <c r="D205" s="374" t="s">
        <v>781</v>
      </c>
      <c r="E205" s="374" t="s">
        <v>781</v>
      </c>
      <c r="F205" s="374" t="s">
        <v>781</v>
      </c>
      <c r="G205" s="374" t="s">
        <v>781</v>
      </c>
      <c r="H205" s="374" t="s">
        <v>781</v>
      </c>
      <c r="I205" s="374">
        <v>0.89896907216494848</v>
      </c>
      <c r="J205" s="374">
        <v>0.94517958412098302</v>
      </c>
      <c r="K205" s="374">
        <v>0.90886998784933171</v>
      </c>
      <c r="L205" s="374">
        <v>0.5627329192546584</v>
      </c>
      <c r="M205" s="374">
        <v>0.78846153846153844</v>
      </c>
      <c r="N205" s="374">
        <v>0.63963963963963966</v>
      </c>
      <c r="O205" s="374">
        <v>0.88243771875643406</v>
      </c>
      <c r="P205" s="374">
        <v>0.92864398171660745</v>
      </c>
      <c r="Q205" s="374">
        <v>0.90312677657760088</v>
      </c>
      <c r="R205" s="374">
        <v>0.90366972477064222</v>
      </c>
      <c r="S205" s="374">
        <v>0.94142259414225937</v>
      </c>
      <c r="T205" s="374">
        <v>0.92341356673960617</v>
      </c>
      <c r="U205" s="375">
        <v>0.8542199488491049</v>
      </c>
      <c r="V205" s="375">
        <v>0.9195626708317064</v>
      </c>
      <c r="W205" s="375">
        <v>0.88008035852263944</v>
      </c>
    </row>
    <row r="206" spans="2:23" hidden="1" outlineLevel="1" x14ac:dyDescent="0.25">
      <c r="B206" s="328">
        <v>43739</v>
      </c>
      <c r="C206" s="374" t="s">
        <v>781</v>
      </c>
      <c r="D206" s="374" t="s">
        <v>781</v>
      </c>
      <c r="E206" s="374" t="s">
        <v>781</v>
      </c>
      <c r="F206" s="374" t="s">
        <v>781</v>
      </c>
      <c r="G206" s="374" t="s">
        <v>781</v>
      </c>
      <c r="H206" s="374" t="s">
        <v>781</v>
      </c>
      <c r="I206" s="374">
        <v>0.8954423592493298</v>
      </c>
      <c r="J206" s="374">
        <v>0.94026974951830444</v>
      </c>
      <c r="K206" s="374">
        <v>0.90520134228187921</v>
      </c>
      <c r="L206" s="374">
        <v>0.56190476190476191</v>
      </c>
      <c r="M206" s="374">
        <v>0.76764705882352946</v>
      </c>
      <c r="N206" s="374">
        <v>0.62118644067796613</v>
      </c>
      <c r="O206" s="374">
        <v>0.88338586222422333</v>
      </c>
      <c r="P206" s="374">
        <v>0.93249192838274142</v>
      </c>
      <c r="Q206" s="374">
        <v>0.90470123582621986</v>
      </c>
      <c r="R206" s="374">
        <v>0.91847826086956519</v>
      </c>
      <c r="S206" s="374">
        <v>0.94886363636363635</v>
      </c>
      <c r="T206" s="374">
        <v>0.93333333333333335</v>
      </c>
      <c r="U206" s="375">
        <v>0.85049788569090168</v>
      </c>
      <c r="V206" s="375">
        <v>0.92143178748311572</v>
      </c>
      <c r="W206" s="375">
        <v>0.87726153062091228</v>
      </c>
    </row>
    <row r="207" spans="2:23" hidden="1" outlineLevel="1" x14ac:dyDescent="0.25">
      <c r="B207" s="328">
        <v>43770</v>
      </c>
      <c r="C207" s="374" t="s">
        <v>781</v>
      </c>
      <c r="D207" s="374" t="s">
        <v>781</v>
      </c>
      <c r="E207" s="374" t="s">
        <v>781</v>
      </c>
      <c r="F207" s="374" t="s">
        <v>781</v>
      </c>
      <c r="G207" s="374" t="s">
        <v>781</v>
      </c>
      <c r="H207" s="374" t="s">
        <v>781</v>
      </c>
      <c r="I207" s="374">
        <v>0.90973036342321223</v>
      </c>
      <c r="J207" s="374">
        <v>0.96797153024911031</v>
      </c>
      <c r="K207" s="374">
        <v>0.92416225749559078</v>
      </c>
      <c r="L207" s="374">
        <v>0.63953488372093026</v>
      </c>
      <c r="M207" s="374">
        <v>0.80063291139240511</v>
      </c>
      <c r="N207" s="374">
        <v>0.69023904382470125</v>
      </c>
      <c r="O207" s="374">
        <v>0.90424324937599276</v>
      </c>
      <c r="P207" s="374">
        <v>0.93348689893463865</v>
      </c>
      <c r="Q207" s="374">
        <v>0.91713197969543148</v>
      </c>
      <c r="R207" s="374">
        <v>0.91878172588832485</v>
      </c>
      <c r="S207" s="374">
        <v>0.94240837696335078</v>
      </c>
      <c r="T207" s="374">
        <v>0.93041237113402064</v>
      </c>
      <c r="U207" s="375">
        <v>0.87996570448699629</v>
      </c>
      <c r="V207" s="375">
        <v>0.92888595332452661</v>
      </c>
      <c r="W207" s="375">
        <v>0.89922010398613517</v>
      </c>
    </row>
    <row r="208" spans="2:23" hidden="1" outlineLevel="1" x14ac:dyDescent="0.25">
      <c r="B208" s="328">
        <v>43800</v>
      </c>
      <c r="C208" s="374" t="s">
        <v>781</v>
      </c>
      <c r="D208" s="374" t="s">
        <v>781</v>
      </c>
      <c r="E208" s="374" t="s">
        <v>781</v>
      </c>
      <c r="F208" s="374" t="s">
        <v>781</v>
      </c>
      <c r="G208" s="374" t="s">
        <v>781</v>
      </c>
      <c r="H208" s="374" t="s">
        <v>781</v>
      </c>
      <c r="I208" s="374">
        <v>0.87276688453159046</v>
      </c>
      <c r="J208" s="374">
        <v>0.93230769230769228</v>
      </c>
      <c r="K208" s="374">
        <v>0.88590831918505941</v>
      </c>
      <c r="L208" s="374">
        <v>0.57986111111111116</v>
      </c>
      <c r="M208" s="374">
        <v>0.78388998035363455</v>
      </c>
      <c r="N208" s="374">
        <v>0.64238410596026485</v>
      </c>
      <c r="O208" s="374">
        <v>0.87122985814626086</v>
      </c>
      <c r="P208" s="374">
        <v>0.92127490039840643</v>
      </c>
      <c r="Q208" s="374">
        <v>0.89442966903073284</v>
      </c>
      <c r="R208" s="374">
        <v>0.88275862068965516</v>
      </c>
      <c r="S208" s="374">
        <v>0.91212121212121211</v>
      </c>
      <c r="T208" s="374">
        <v>0.89838709677419359</v>
      </c>
      <c r="U208" s="375">
        <v>0.84133478814329876</v>
      </c>
      <c r="V208" s="375">
        <v>0.91280267903142709</v>
      </c>
      <c r="W208" s="375">
        <v>0.87090928472444307</v>
      </c>
    </row>
    <row r="209" spans="2:23" collapsed="1" x14ac:dyDescent="0.25">
      <c r="B209" s="330" t="s">
        <v>701</v>
      </c>
      <c r="C209" s="375" t="s">
        <v>781</v>
      </c>
      <c r="D209" s="375" t="s">
        <v>781</v>
      </c>
      <c r="E209" s="375" t="s">
        <v>781</v>
      </c>
      <c r="F209" s="375" t="s">
        <v>781</v>
      </c>
      <c r="G209" s="375" t="s">
        <v>781</v>
      </c>
      <c r="H209" s="375" t="s">
        <v>781</v>
      </c>
      <c r="I209" s="375">
        <v>0.88661417322834646</v>
      </c>
      <c r="J209" s="375">
        <v>0.94415357766143104</v>
      </c>
      <c r="K209" s="375">
        <v>0.89991928974979818</v>
      </c>
      <c r="L209" s="375">
        <v>0.58227848101265822</v>
      </c>
      <c r="M209" s="375">
        <v>0.79271070615034167</v>
      </c>
      <c r="N209" s="375">
        <v>0.64935064935064934</v>
      </c>
      <c r="O209" s="375">
        <v>0.87953924248340487</v>
      </c>
      <c r="P209" s="375">
        <v>0.93300653594771243</v>
      </c>
      <c r="Q209" s="375">
        <v>0.90389113331915794</v>
      </c>
      <c r="R209" s="375">
        <v>0.91269841269841268</v>
      </c>
      <c r="S209" s="375">
        <v>0.94094488188976377</v>
      </c>
      <c r="T209" s="375">
        <v>0.9268774703557312</v>
      </c>
      <c r="U209" s="375">
        <v>0.84793971070864227</v>
      </c>
      <c r="V209" s="375">
        <v>0.9235898360064877</v>
      </c>
      <c r="W209" s="375">
        <v>0.87841173054587685</v>
      </c>
    </row>
    <row r="210" spans="2:23" hidden="1" outlineLevel="1" x14ac:dyDescent="0.25">
      <c r="B210" s="328">
        <v>43831</v>
      </c>
      <c r="C210" s="374" t="s">
        <v>781</v>
      </c>
      <c r="D210" s="374" t="s">
        <v>781</v>
      </c>
      <c r="E210" s="374" t="s">
        <v>781</v>
      </c>
      <c r="F210" s="374" t="s">
        <v>781</v>
      </c>
      <c r="G210" s="374" t="s">
        <v>781</v>
      </c>
      <c r="H210" s="374" t="s">
        <v>781</v>
      </c>
      <c r="I210" s="374">
        <v>0.88235294117647056</v>
      </c>
      <c r="J210" s="374">
        <v>0.91833810888252154</v>
      </c>
      <c r="K210" s="374">
        <v>0.8906976744186047</v>
      </c>
      <c r="L210" s="374">
        <v>0.56020066889632103</v>
      </c>
      <c r="M210" s="374">
        <v>0.78815080789946135</v>
      </c>
      <c r="N210" s="374">
        <v>0.63262977752424421</v>
      </c>
      <c r="O210" s="374">
        <v>0.86811580076030803</v>
      </c>
      <c r="P210" s="374">
        <v>0.93801910299003322</v>
      </c>
      <c r="Q210" s="374">
        <v>0.90196571313659446</v>
      </c>
      <c r="R210" s="374">
        <v>0.89757412398921832</v>
      </c>
      <c r="S210" s="374">
        <v>0.89459459459459456</v>
      </c>
      <c r="T210" s="374">
        <v>0.89608636977058032</v>
      </c>
      <c r="U210" s="375">
        <v>0.84516904795586367</v>
      </c>
      <c r="V210" s="375">
        <v>0.92795593852713865</v>
      </c>
      <c r="W210" s="375">
        <v>0.88186650915534559</v>
      </c>
    </row>
    <row r="211" spans="2:23" hidden="1" outlineLevel="1" x14ac:dyDescent="0.25">
      <c r="B211" s="328">
        <v>43862</v>
      </c>
      <c r="C211" s="374" t="s">
        <v>781</v>
      </c>
      <c r="D211" s="374" t="s">
        <v>781</v>
      </c>
      <c r="E211" s="374" t="s">
        <v>781</v>
      </c>
      <c r="F211" s="374" t="s">
        <v>781</v>
      </c>
      <c r="G211" s="374" t="s">
        <v>781</v>
      </c>
      <c r="H211" s="374" t="s">
        <v>781</v>
      </c>
      <c r="I211" s="374">
        <v>0.85368366821226171</v>
      </c>
      <c r="J211" s="374">
        <v>0.93287435456110157</v>
      </c>
      <c r="K211" s="374">
        <v>0.87192704203013482</v>
      </c>
      <c r="L211" s="374">
        <v>0.58246936852026387</v>
      </c>
      <c r="M211" s="374">
        <v>0.78915662650602414</v>
      </c>
      <c r="N211" s="374">
        <v>0.64849262347658754</v>
      </c>
      <c r="O211" s="374">
        <v>0.8483063328424153</v>
      </c>
      <c r="P211" s="374">
        <v>0.92636347486232018</v>
      </c>
      <c r="Q211" s="374">
        <v>0.88468065731197487</v>
      </c>
      <c r="R211" s="374">
        <v>0.90909090909090906</v>
      </c>
      <c r="S211" s="374">
        <v>0.95768374164810688</v>
      </c>
      <c r="T211" s="374">
        <v>0.9349112426035503</v>
      </c>
      <c r="U211" s="375">
        <v>0.83311859623289775</v>
      </c>
      <c r="V211" s="375">
        <v>0.9224151415610824</v>
      </c>
      <c r="W211" s="375">
        <v>0.87237407598418426</v>
      </c>
    </row>
    <row r="212" spans="2:23" hidden="1" outlineLevel="1" x14ac:dyDescent="0.25">
      <c r="B212" s="328">
        <v>43891</v>
      </c>
      <c r="C212" s="374" t="s">
        <v>781</v>
      </c>
      <c r="D212" s="374" t="s">
        <v>781</v>
      </c>
      <c r="E212" s="374" t="s">
        <v>781</v>
      </c>
      <c r="F212" s="374" t="s">
        <v>781</v>
      </c>
      <c r="G212" s="374" t="s">
        <v>781</v>
      </c>
      <c r="H212" s="374" t="s">
        <v>781</v>
      </c>
      <c r="I212" s="374">
        <v>0.89110225763612216</v>
      </c>
      <c r="J212" s="374">
        <v>0.91902834008097167</v>
      </c>
      <c r="K212" s="374">
        <v>0.89800000000000002</v>
      </c>
      <c r="L212" s="374">
        <v>0.57975034674063797</v>
      </c>
      <c r="M212" s="374">
        <v>0.8040201005025126</v>
      </c>
      <c r="N212" s="374">
        <v>0.65951742627345844</v>
      </c>
      <c r="O212" s="374">
        <v>0.87933934852423923</v>
      </c>
      <c r="P212" s="374">
        <v>0.91586184318219022</v>
      </c>
      <c r="Q212" s="374">
        <v>0.89697975964579379</v>
      </c>
      <c r="R212" s="374">
        <v>0.90114068441064643</v>
      </c>
      <c r="S212" s="374">
        <v>0.9242424242424242</v>
      </c>
      <c r="T212" s="374">
        <v>0.91271347248576851</v>
      </c>
      <c r="U212" s="375">
        <v>0.85801306899988927</v>
      </c>
      <c r="V212" s="375">
        <v>0.91025464556090852</v>
      </c>
      <c r="W212" s="375">
        <v>0.88130600220940225</v>
      </c>
    </row>
    <row r="213" spans="2:23" hidden="1" outlineLevel="1" x14ac:dyDescent="0.25">
      <c r="B213" s="328">
        <v>43922</v>
      </c>
      <c r="C213" s="374" t="s">
        <v>781</v>
      </c>
      <c r="D213" s="374" t="s">
        <v>781</v>
      </c>
      <c r="E213" s="374" t="s">
        <v>781</v>
      </c>
      <c r="F213" s="374" t="s">
        <v>781</v>
      </c>
      <c r="G213" s="374" t="s">
        <v>781</v>
      </c>
      <c r="H213" s="374" t="s">
        <v>781</v>
      </c>
      <c r="I213" s="374">
        <v>0.93048659384309829</v>
      </c>
      <c r="J213" s="374">
        <v>0.95013850415512469</v>
      </c>
      <c r="K213" s="374">
        <v>0.93567251461988299</v>
      </c>
      <c r="L213" s="374">
        <v>0.7363344051446945</v>
      </c>
      <c r="M213" s="374">
        <v>0.93377483443708609</v>
      </c>
      <c r="N213" s="374">
        <v>0.80086580086580084</v>
      </c>
      <c r="O213" s="374">
        <v>0.91120943952802358</v>
      </c>
      <c r="P213" s="374">
        <v>0.94047271666180332</v>
      </c>
      <c r="Q213" s="374">
        <v>0.92592049288543343</v>
      </c>
      <c r="R213" s="374">
        <v>0.9606986899563319</v>
      </c>
      <c r="S213" s="374">
        <v>0.97285067873303166</v>
      </c>
      <c r="T213" s="374">
        <v>0.96666666666666667</v>
      </c>
      <c r="U213" s="375">
        <v>0.90642090338262105</v>
      </c>
      <c r="V213" s="375">
        <v>0.94278846153846152</v>
      </c>
      <c r="W213" s="375">
        <v>0.92305155545784323</v>
      </c>
    </row>
    <row r="214" spans="2:23" hidden="1" outlineLevel="1" x14ac:dyDescent="0.25">
      <c r="B214" s="328">
        <v>43952</v>
      </c>
      <c r="C214" s="374" t="s">
        <v>781</v>
      </c>
      <c r="D214" s="374" t="s">
        <v>781</v>
      </c>
      <c r="E214" s="374" t="s">
        <v>781</v>
      </c>
      <c r="F214" s="374" t="s">
        <v>781</v>
      </c>
      <c r="G214" s="374" t="s">
        <v>781</v>
      </c>
      <c r="H214" s="374" t="s">
        <v>781</v>
      </c>
      <c r="I214" s="374">
        <v>0.90644753476611883</v>
      </c>
      <c r="J214" s="374">
        <v>0.91596638655462181</v>
      </c>
      <c r="K214" s="374">
        <v>0.90864917395529643</v>
      </c>
      <c r="L214" s="374">
        <v>0.66724738675958184</v>
      </c>
      <c r="M214" s="374">
        <v>0.81040892193308545</v>
      </c>
      <c r="N214" s="374">
        <v>0.71293001186239624</v>
      </c>
      <c r="O214" s="374">
        <v>0.91576138745950064</v>
      </c>
      <c r="P214" s="374">
        <v>0.93388869195320812</v>
      </c>
      <c r="Q214" s="374">
        <v>0.92515382496096976</v>
      </c>
      <c r="R214" s="374">
        <v>0.94473684210526321</v>
      </c>
      <c r="S214" s="374">
        <v>0.97928994082840237</v>
      </c>
      <c r="T214" s="374">
        <v>0.96100278551532037</v>
      </c>
      <c r="U214" s="375">
        <v>0.89695490170885261</v>
      </c>
      <c r="V214" s="375">
        <v>0.92996282527881036</v>
      </c>
      <c r="W214" s="375">
        <v>0.91225530741659777</v>
      </c>
    </row>
    <row r="215" spans="2:23" hidden="1" outlineLevel="1" x14ac:dyDescent="0.25">
      <c r="B215" s="328">
        <v>43983</v>
      </c>
      <c r="C215" s="374" t="s">
        <v>781</v>
      </c>
      <c r="D215" s="374" t="s">
        <v>781</v>
      </c>
      <c r="E215" s="374" t="s">
        <v>781</v>
      </c>
      <c r="F215" s="374" t="s">
        <v>781</v>
      </c>
      <c r="G215" s="374" t="s">
        <v>781</v>
      </c>
      <c r="H215" s="374" t="s">
        <v>781</v>
      </c>
      <c r="I215" s="374">
        <v>0.90062111801242239</v>
      </c>
      <c r="J215" s="374">
        <v>0.92340425531914894</v>
      </c>
      <c r="K215" s="374">
        <v>0.90620114643043248</v>
      </c>
      <c r="L215" s="374">
        <v>0.65407554671968193</v>
      </c>
      <c r="M215" s="374">
        <v>0.81851851851851853</v>
      </c>
      <c r="N215" s="374">
        <v>0.71151358344113846</v>
      </c>
      <c r="O215" s="374">
        <v>0.88633540372670805</v>
      </c>
      <c r="P215" s="374">
        <v>0.92328652274156364</v>
      </c>
      <c r="Q215" s="374">
        <v>0.90469742735131753</v>
      </c>
      <c r="R215" s="374">
        <v>0.9509803921568627</v>
      </c>
      <c r="S215" s="374">
        <v>0.9546827794561934</v>
      </c>
      <c r="T215" s="374">
        <v>0.95290423861852436</v>
      </c>
      <c r="U215" s="375">
        <v>0.87556433408577883</v>
      </c>
      <c r="V215" s="375">
        <v>0.92023279698733307</v>
      </c>
      <c r="W215" s="375">
        <v>0.89574632637277651</v>
      </c>
    </row>
    <row r="216" spans="2:23" hidden="1" outlineLevel="1" x14ac:dyDescent="0.25">
      <c r="B216" s="328">
        <v>44013</v>
      </c>
      <c r="C216" s="374" t="s">
        <v>781</v>
      </c>
      <c r="D216" s="374" t="s">
        <v>781</v>
      </c>
      <c r="E216" s="374" t="s">
        <v>781</v>
      </c>
      <c r="F216" s="374" t="s">
        <v>781</v>
      </c>
      <c r="G216" s="374" t="s">
        <v>781</v>
      </c>
      <c r="H216" s="374" t="s">
        <v>781</v>
      </c>
      <c r="I216" s="374">
        <v>0.89522918615528535</v>
      </c>
      <c r="J216" s="374">
        <v>0.90412979351032452</v>
      </c>
      <c r="K216" s="374">
        <v>0.89737215909090906</v>
      </c>
      <c r="L216" s="374">
        <v>0.61264181523500816</v>
      </c>
      <c r="M216" s="374">
        <v>0.84161490683229812</v>
      </c>
      <c r="N216" s="374">
        <v>0.69116080937167201</v>
      </c>
      <c r="O216" s="374">
        <v>0.88426966292134834</v>
      </c>
      <c r="P216" s="374">
        <v>0.91859567901234573</v>
      </c>
      <c r="Q216" s="374">
        <v>0.89985982127212194</v>
      </c>
      <c r="R216" s="374">
        <v>0.91967871485943775</v>
      </c>
      <c r="S216" s="374">
        <v>0.9537366548042705</v>
      </c>
      <c r="T216" s="374">
        <v>0.93773584905660379</v>
      </c>
      <c r="U216" s="375">
        <v>0.86961230236084042</v>
      </c>
      <c r="V216" s="375">
        <v>0.91477184841453985</v>
      </c>
      <c r="W216" s="375">
        <v>0.88820944009172553</v>
      </c>
    </row>
    <row r="217" spans="2:23" hidden="1" outlineLevel="1" x14ac:dyDescent="0.25">
      <c r="B217" s="328">
        <v>44044</v>
      </c>
      <c r="C217" s="374" t="s">
        <v>781</v>
      </c>
      <c r="D217" s="374" t="s">
        <v>781</v>
      </c>
      <c r="E217" s="374" t="s">
        <v>781</v>
      </c>
      <c r="F217" s="374" t="s">
        <v>781</v>
      </c>
      <c r="G217" s="374" t="s">
        <v>781</v>
      </c>
      <c r="H217" s="374" t="s">
        <v>781</v>
      </c>
      <c r="I217" s="374">
        <v>0.8685883849088597</v>
      </c>
      <c r="J217" s="374">
        <v>0.93635077793493637</v>
      </c>
      <c r="K217" s="374">
        <v>0.88421395955642534</v>
      </c>
      <c r="L217" s="374">
        <v>0.60462130937098846</v>
      </c>
      <c r="M217" s="374">
        <v>0.79601990049751248</v>
      </c>
      <c r="N217" s="374">
        <v>0.66977138018628279</v>
      </c>
      <c r="O217" s="374">
        <v>0.86022982762927802</v>
      </c>
      <c r="P217" s="374">
        <v>0.91202000882742384</v>
      </c>
      <c r="Q217" s="374">
        <v>0.88400999797338375</v>
      </c>
      <c r="R217" s="374">
        <v>0.92333333333333334</v>
      </c>
      <c r="S217" s="374">
        <v>0.96636085626911317</v>
      </c>
      <c r="T217" s="374">
        <v>0.94577352472089316</v>
      </c>
      <c r="U217" s="375">
        <v>0.84620761971338698</v>
      </c>
      <c r="V217" s="375">
        <v>0.91060366816470306</v>
      </c>
      <c r="W217" s="375">
        <v>0.87315139502973016</v>
      </c>
    </row>
    <row r="218" spans="2:23" hidden="1" outlineLevel="1" x14ac:dyDescent="0.25">
      <c r="B218" s="328">
        <v>44075</v>
      </c>
      <c r="C218" s="374" t="s">
        <v>781</v>
      </c>
      <c r="D218" s="374" t="s">
        <v>781</v>
      </c>
      <c r="E218" s="374" t="s">
        <v>781</v>
      </c>
      <c r="F218" s="374" t="s">
        <v>781</v>
      </c>
      <c r="G218" s="374" t="s">
        <v>781</v>
      </c>
      <c r="H218" s="374" t="s">
        <v>781</v>
      </c>
      <c r="I218" s="374">
        <v>0.87288851351351349</v>
      </c>
      <c r="J218" s="374">
        <v>0.91744548286604366</v>
      </c>
      <c r="K218" s="374">
        <v>0.88239202657807314</v>
      </c>
      <c r="L218" s="374">
        <v>0.55654101995565408</v>
      </c>
      <c r="M218" s="374">
        <v>0.7961538461538461</v>
      </c>
      <c r="N218" s="374">
        <v>0.64416315049226447</v>
      </c>
      <c r="O218" s="374">
        <v>0.8748629218959425</v>
      </c>
      <c r="P218" s="374">
        <v>0.91508217853689977</v>
      </c>
      <c r="Q218" s="374">
        <v>0.89218067022826619</v>
      </c>
      <c r="R218" s="374">
        <v>0.91616766467065869</v>
      </c>
      <c r="S218" s="374">
        <v>0.914572864321608</v>
      </c>
      <c r="T218" s="374">
        <v>0.91530054644808745</v>
      </c>
      <c r="U218" s="375">
        <v>0.85132503598340525</v>
      </c>
      <c r="V218" s="375">
        <v>0.90728817924285343</v>
      </c>
      <c r="W218" s="375">
        <v>0.87352505491137555</v>
      </c>
    </row>
    <row r="219" spans="2:23" hidden="1" outlineLevel="1" x14ac:dyDescent="0.25">
      <c r="B219" s="328">
        <v>44105</v>
      </c>
      <c r="C219" s="374" t="s">
        <v>781</v>
      </c>
      <c r="D219" s="374" t="s">
        <v>781</v>
      </c>
      <c r="E219" s="374" t="s">
        <v>781</v>
      </c>
      <c r="F219" s="374" t="s">
        <v>781</v>
      </c>
      <c r="G219" s="374" t="s">
        <v>781</v>
      </c>
      <c r="H219" s="374" t="s">
        <v>781</v>
      </c>
      <c r="I219" s="374">
        <v>0.86799350121852148</v>
      </c>
      <c r="J219" s="374">
        <v>0.91849935316946962</v>
      </c>
      <c r="K219" s="374">
        <v>0.8800618238021638</v>
      </c>
      <c r="L219" s="374">
        <v>0.54634146341463419</v>
      </c>
      <c r="M219" s="374">
        <v>0.81755593803786575</v>
      </c>
      <c r="N219" s="374">
        <v>0.63335173937051348</v>
      </c>
      <c r="O219" s="374">
        <v>0.88831110106262723</v>
      </c>
      <c r="P219" s="374">
        <v>0.92964824120603018</v>
      </c>
      <c r="Q219" s="374">
        <v>0.9059235710114838</v>
      </c>
      <c r="R219" s="374">
        <v>0.8794520547945206</v>
      </c>
      <c r="S219" s="374">
        <v>0.9382978723404255</v>
      </c>
      <c r="T219" s="374">
        <v>0.91257485029940122</v>
      </c>
      <c r="U219" s="375">
        <v>0.8515849027357979</v>
      </c>
      <c r="V219" s="375">
        <v>0.92134429746156599</v>
      </c>
      <c r="W219" s="375">
        <v>0.87907391753545605</v>
      </c>
    </row>
    <row r="220" spans="2:23" hidden="1" outlineLevel="1" x14ac:dyDescent="0.25">
      <c r="B220" s="328">
        <v>44136</v>
      </c>
      <c r="C220" s="374" t="s">
        <v>781</v>
      </c>
      <c r="D220" s="374" t="s">
        <v>781</v>
      </c>
      <c r="E220" s="374" t="s">
        <v>781</v>
      </c>
      <c r="F220" s="374" t="s">
        <v>781</v>
      </c>
      <c r="G220" s="374" t="s">
        <v>781</v>
      </c>
      <c r="H220" s="374" t="s">
        <v>781</v>
      </c>
      <c r="I220" s="374">
        <v>0.86642100414555501</v>
      </c>
      <c r="J220" s="374">
        <v>0.9433139534883721</v>
      </c>
      <c r="K220" s="374">
        <v>0.8849247988807275</v>
      </c>
      <c r="L220" s="374">
        <v>0.51621872103799815</v>
      </c>
      <c r="M220" s="374">
        <v>0.78202676864244747</v>
      </c>
      <c r="N220" s="374">
        <v>0.60299625468164797</v>
      </c>
      <c r="O220" s="374">
        <v>0.87834427057041897</v>
      </c>
      <c r="P220" s="374">
        <v>0.92705066842713324</v>
      </c>
      <c r="Q220" s="374">
        <v>0.89944933133090177</v>
      </c>
      <c r="R220" s="374">
        <v>0.83623693379790942</v>
      </c>
      <c r="S220" s="374">
        <v>0.9088050314465409</v>
      </c>
      <c r="T220" s="374">
        <v>0.87438016528925622</v>
      </c>
      <c r="U220" s="375">
        <v>0.84093883605270048</v>
      </c>
      <c r="V220" s="375">
        <v>0.91776489193463362</v>
      </c>
      <c r="W220" s="375">
        <v>0.87154181321854163</v>
      </c>
    </row>
    <row r="221" spans="2:23" hidden="1" outlineLevel="1" x14ac:dyDescent="0.25">
      <c r="B221" s="328">
        <v>44166</v>
      </c>
      <c r="C221" s="374" t="s">
        <v>781</v>
      </c>
      <c r="D221" s="374" t="s">
        <v>781</v>
      </c>
      <c r="E221" s="374" t="s">
        <v>781</v>
      </c>
      <c r="F221" s="374" t="s">
        <v>781</v>
      </c>
      <c r="G221" s="374" t="s">
        <v>781</v>
      </c>
      <c r="H221" s="374" t="s">
        <v>781</v>
      </c>
      <c r="I221" s="374">
        <v>0.861900097943193</v>
      </c>
      <c r="J221" s="374">
        <v>0.91095890410958902</v>
      </c>
      <c r="K221" s="374">
        <v>0.87281035795887285</v>
      </c>
      <c r="L221" s="374">
        <v>0.51603498542274051</v>
      </c>
      <c r="M221" s="374">
        <v>0.80388349514563107</v>
      </c>
      <c r="N221" s="374">
        <v>0.61204663212435229</v>
      </c>
      <c r="O221" s="374">
        <v>0.86543990799309944</v>
      </c>
      <c r="P221" s="374">
        <v>0.91347872720772261</v>
      </c>
      <c r="Q221" s="374">
        <v>0.88685258964143421</v>
      </c>
      <c r="R221" s="374">
        <v>0.87179487179487181</v>
      </c>
      <c r="S221" s="374">
        <v>0.9066147859922179</v>
      </c>
      <c r="T221" s="374">
        <v>0.89002036659877803</v>
      </c>
      <c r="U221" s="375">
        <v>0.829841146087126</v>
      </c>
      <c r="V221" s="375">
        <v>0.90489208633093521</v>
      </c>
      <c r="W221" s="375">
        <v>0.86014758003602343</v>
      </c>
    </row>
    <row r="222" spans="2:23" collapsed="1" x14ac:dyDescent="0.25">
      <c r="B222" s="330" t="s">
        <v>702</v>
      </c>
      <c r="C222" s="375" t="s">
        <v>781</v>
      </c>
      <c r="D222" s="375" t="s">
        <v>781</v>
      </c>
      <c r="E222" s="375" t="s">
        <v>781</v>
      </c>
      <c r="F222" s="375" t="s">
        <v>781</v>
      </c>
      <c r="G222" s="375" t="s">
        <v>781</v>
      </c>
      <c r="H222" s="375" t="s">
        <v>781</v>
      </c>
      <c r="I222" s="375">
        <v>0.87917737789203088</v>
      </c>
      <c r="J222" s="375">
        <v>0.92281879194630867</v>
      </c>
      <c r="K222" s="375">
        <v>0.88980716253443526</v>
      </c>
      <c r="L222" s="375">
        <v>0.57553956834532372</v>
      </c>
      <c r="M222" s="375">
        <v>0.80575539568345322</v>
      </c>
      <c r="N222" s="375">
        <v>0.65227817745803363</v>
      </c>
      <c r="O222" s="375">
        <v>0.87521826729348551</v>
      </c>
      <c r="P222" s="375">
        <v>0.92465434208482211</v>
      </c>
      <c r="Q222" s="375">
        <v>0.89814147817317391</v>
      </c>
      <c r="R222" s="375">
        <v>0.90645161290322585</v>
      </c>
      <c r="S222" s="375">
        <v>0.94029850746268662</v>
      </c>
      <c r="T222" s="375">
        <v>0.92403100775193803</v>
      </c>
      <c r="U222" s="375">
        <v>0.85330421572350934</v>
      </c>
      <c r="V222" s="375">
        <v>0.9188286668379142</v>
      </c>
      <c r="W222" s="375">
        <v>0.88115514794191507</v>
      </c>
    </row>
    <row r="223" spans="2:23" hidden="1" outlineLevel="1" x14ac:dyDescent="0.25">
      <c r="B223" s="328">
        <v>44197</v>
      </c>
      <c r="C223" s="374" t="s">
        <v>781</v>
      </c>
      <c r="D223" s="374" t="s">
        <v>781</v>
      </c>
      <c r="E223" s="374" t="s">
        <v>781</v>
      </c>
      <c r="F223" s="374" t="s">
        <v>781</v>
      </c>
      <c r="G223" s="374" t="s">
        <v>781</v>
      </c>
      <c r="H223" s="374" t="s">
        <v>781</v>
      </c>
      <c r="I223" s="374">
        <v>0.84718100890207715</v>
      </c>
      <c r="J223" s="374">
        <v>0.93046357615894038</v>
      </c>
      <c r="K223" s="374">
        <v>0.86633663366336633</v>
      </c>
      <c r="L223" s="374">
        <v>0.57718696397941682</v>
      </c>
      <c r="M223" s="374">
        <v>0.84027777777777779</v>
      </c>
      <c r="N223" s="374">
        <v>0.67762460233297983</v>
      </c>
      <c r="O223" s="374">
        <v>0.87501701837985024</v>
      </c>
      <c r="P223" s="374">
        <v>0.92301943198804182</v>
      </c>
      <c r="Q223" s="374">
        <v>0.89525084665669052</v>
      </c>
      <c r="R223" s="374">
        <v>0.86915887850467288</v>
      </c>
      <c r="S223" s="374">
        <v>0.95357833655705992</v>
      </c>
      <c r="T223" s="374">
        <v>0.91534391534391535</v>
      </c>
      <c r="U223" s="375">
        <v>0.83797098804853576</v>
      </c>
      <c r="V223" s="375">
        <v>0.91755873766161544</v>
      </c>
      <c r="W223" s="375">
        <v>0.86950534317505779</v>
      </c>
    </row>
    <row r="224" spans="2:23" hidden="1" outlineLevel="1" x14ac:dyDescent="0.25">
      <c r="B224" s="328">
        <v>44228</v>
      </c>
      <c r="C224" s="374" t="s">
        <v>781</v>
      </c>
      <c r="D224" s="374" t="s">
        <v>781</v>
      </c>
      <c r="E224" s="374" t="s">
        <v>781</v>
      </c>
      <c r="F224" s="374" t="s">
        <v>781</v>
      </c>
      <c r="G224" s="374" t="s">
        <v>781</v>
      </c>
      <c r="H224" s="374" t="s">
        <v>781</v>
      </c>
      <c r="I224" s="374">
        <v>0.83860414394765537</v>
      </c>
      <c r="J224" s="374">
        <v>0.91714836223506746</v>
      </c>
      <c r="K224" s="374">
        <v>0.85592860178495533</v>
      </c>
      <c r="L224" s="374">
        <v>0.55856727976766696</v>
      </c>
      <c r="M224" s="374">
        <v>0.84146341463414631</v>
      </c>
      <c r="N224" s="374">
        <v>0.65961418792781579</v>
      </c>
      <c r="O224" s="374">
        <v>0.86807580174927113</v>
      </c>
      <c r="P224" s="374">
        <v>0.9184284377923293</v>
      </c>
      <c r="Q224" s="374">
        <v>0.89012699713232279</v>
      </c>
      <c r="R224" s="374">
        <v>0.87810945273631846</v>
      </c>
      <c r="S224" s="374">
        <v>0.95652173913043481</v>
      </c>
      <c r="T224" s="374">
        <v>0.91995359628770301</v>
      </c>
      <c r="U224" s="375">
        <v>0.83157271201500638</v>
      </c>
      <c r="V224" s="375">
        <v>0.91446796172803713</v>
      </c>
      <c r="W224" s="375">
        <v>0.86515534151641516</v>
      </c>
    </row>
    <row r="225" spans="2:23" hidden="1" outlineLevel="1" x14ac:dyDescent="0.25">
      <c r="B225" s="328">
        <v>44256</v>
      </c>
      <c r="C225" s="374" t="s">
        <v>781</v>
      </c>
      <c r="D225" s="374" t="s">
        <v>781</v>
      </c>
      <c r="E225" s="374" t="s">
        <v>781</v>
      </c>
      <c r="F225" s="374" t="s">
        <v>781</v>
      </c>
      <c r="G225" s="374" t="s">
        <v>781</v>
      </c>
      <c r="H225" s="374" t="s">
        <v>781</v>
      </c>
      <c r="I225" s="374">
        <v>0.85943775100401609</v>
      </c>
      <c r="J225" s="374">
        <v>0.90524781341107874</v>
      </c>
      <c r="K225" s="374">
        <v>0.87117251680358476</v>
      </c>
      <c r="L225" s="374">
        <v>0.52231793265465931</v>
      </c>
      <c r="M225" s="374">
        <v>0.78899082568807344</v>
      </c>
      <c r="N225" s="374">
        <v>0.61263593992749865</v>
      </c>
      <c r="O225" s="374">
        <v>0.86121887123013385</v>
      </c>
      <c r="P225" s="374">
        <v>0.91397849462365588</v>
      </c>
      <c r="Q225" s="374">
        <v>0.88508976291626695</v>
      </c>
      <c r="R225" s="374">
        <v>0.96680497925311204</v>
      </c>
      <c r="S225" s="374">
        <v>0.97931034482758617</v>
      </c>
      <c r="T225" s="374">
        <v>0.97392857142857148</v>
      </c>
      <c r="U225" s="375">
        <v>0.83642198154833536</v>
      </c>
      <c r="V225" s="375">
        <v>0.91570559865799961</v>
      </c>
      <c r="W225" s="375">
        <v>0.87079034677089484</v>
      </c>
    </row>
    <row r="226" spans="2:23" hidden="1" outlineLevel="1" x14ac:dyDescent="0.25">
      <c r="B226" s="328">
        <v>44287</v>
      </c>
      <c r="C226" s="374" t="s">
        <v>781</v>
      </c>
      <c r="D226" s="374" t="s">
        <v>781</v>
      </c>
      <c r="E226" s="374" t="s">
        <v>781</v>
      </c>
      <c r="F226" s="374" t="s">
        <v>781</v>
      </c>
      <c r="G226" s="374" t="s">
        <v>781</v>
      </c>
      <c r="H226" s="374" t="s">
        <v>781</v>
      </c>
      <c r="I226" s="374">
        <v>0.82912793271359009</v>
      </c>
      <c r="J226" s="374">
        <v>0.92074927953890495</v>
      </c>
      <c r="K226" s="374">
        <v>0.85066034541144597</v>
      </c>
      <c r="L226" s="374">
        <v>0.49686847599164929</v>
      </c>
      <c r="M226" s="374">
        <v>0.73913043478260865</v>
      </c>
      <c r="N226" s="374">
        <v>0.57545839210155147</v>
      </c>
      <c r="O226" s="374">
        <v>0.84463130659767138</v>
      </c>
      <c r="P226" s="374">
        <v>0.88958990536277605</v>
      </c>
      <c r="Q226" s="374">
        <v>0.86432051188831527</v>
      </c>
      <c r="R226" s="374">
        <v>0.96150999259807546</v>
      </c>
      <c r="S226" s="374">
        <v>0.97137850467289721</v>
      </c>
      <c r="T226" s="374">
        <v>0.96702579170747638</v>
      </c>
      <c r="U226" s="375">
        <v>0.81513657353056268</v>
      </c>
      <c r="V226" s="375">
        <v>0.8959315714442373</v>
      </c>
      <c r="W226" s="375">
        <v>0.84878516624040923</v>
      </c>
    </row>
    <row r="227" spans="2:23" hidden="1" outlineLevel="1" x14ac:dyDescent="0.25">
      <c r="B227" s="328">
        <v>44317</v>
      </c>
      <c r="C227" s="374" t="s">
        <v>781</v>
      </c>
      <c r="D227" s="374" t="s">
        <v>781</v>
      </c>
      <c r="E227" s="374" t="s">
        <v>781</v>
      </c>
      <c r="F227" s="374" t="s">
        <v>781</v>
      </c>
      <c r="G227" s="374" t="s">
        <v>781</v>
      </c>
      <c r="H227" s="374" t="s">
        <v>781</v>
      </c>
      <c r="I227" s="374">
        <v>0.82079999999999997</v>
      </c>
      <c r="J227" s="374">
        <v>0.92089728453364816</v>
      </c>
      <c r="K227" s="374">
        <v>0.84613086345981481</v>
      </c>
      <c r="L227" s="374">
        <v>0.5328767123287671</v>
      </c>
      <c r="M227" s="374">
        <v>0.7686658506731946</v>
      </c>
      <c r="N227" s="374">
        <v>0.61747913921826969</v>
      </c>
      <c r="O227" s="374">
        <v>0.82461971110827048</v>
      </c>
      <c r="P227" s="374">
        <v>0.88162574089754442</v>
      </c>
      <c r="Q227" s="374">
        <v>0.84914044289044288</v>
      </c>
      <c r="R227" s="374">
        <v>0.93928980526918671</v>
      </c>
      <c r="S227" s="374">
        <v>0.9534510433386838</v>
      </c>
      <c r="T227" s="374">
        <v>0.94761680037753659</v>
      </c>
      <c r="U227" s="375">
        <v>0.79811946902654862</v>
      </c>
      <c r="V227" s="375">
        <v>0.88508224617129894</v>
      </c>
      <c r="W227" s="375">
        <v>0.83382236505053331</v>
      </c>
    </row>
    <row r="228" spans="2:23" hidden="1" outlineLevel="1" x14ac:dyDescent="0.25">
      <c r="B228" s="328">
        <v>44348</v>
      </c>
      <c r="C228" s="374" t="s">
        <v>781</v>
      </c>
      <c r="D228" s="374" t="s">
        <v>781</v>
      </c>
      <c r="E228" s="374" t="s">
        <v>781</v>
      </c>
      <c r="F228" s="374" t="s">
        <v>781</v>
      </c>
      <c r="G228" s="374" t="s">
        <v>781</v>
      </c>
      <c r="H228" s="374" t="s">
        <v>781</v>
      </c>
      <c r="I228" s="374">
        <v>0.79970271274619098</v>
      </c>
      <c r="J228" s="374">
        <v>0.92511013215859028</v>
      </c>
      <c r="K228" s="374">
        <v>0.8313420394554043</v>
      </c>
      <c r="L228" s="374">
        <v>0.53304597701149425</v>
      </c>
      <c r="M228" s="374">
        <v>0.73669849931787179</v>
      </c>
      <c r="N228" s="374">
        <v>0.60329411764705887</v>
      </c>
      <c r="O228" s="374">
        <v>0.8290631469979296</v>
      </c>
      <c r="P228" s="374">
        <v>0.89495579823192928</v>
      </c>
      <c r="Q228" s="374">
        <v>0.85722753204415791</v>
      </c>
      <c r="R228" s="374">
        <v>0.87977369165487973</v>
      </c>
      <c r="S228" s="374">
        <v>0.93016488845780798</v>
      </c>
      <c r="T228" s="374">
        <v>0.90966628308400466</v>
      </c>
      <c r="U228" s="375">
        <v>0.79269851413963888</v>
      </c>
      <c r="V228" s="375">
        <v>0.88875725624925961</v>
      </c>
      <c r="W228" s="375">
        <v>0.83138508516627707</v>
      </c>
    </row>
    <row r="229" spans="2:23" hidden="1" outlineLevel="1" x14ac:dyDescent="0.25">
      <c r="B229" s="328">
        <v>44378</v>
      </c>
      <c r="C229" s="374" t="s">
        <v>781</v>
      </c>
      <c r="D229" s="374" t="s">
        <v>781</v>
      </c>
      <c r="E229" s="374" t="s">
        <v>781</v>
      </c>
      <c r="F229" s="374" t="s">
        <v>781</v>
      </c>
      <c r="G229" s="374" t="s">
        <v>781</v>
      </c>
      <c r="H229" s="374" t="s">
        <v>781</v>
      </c>
      <c r="I229" s="374">
        <v>0.8279392338177014</v>
      </c>
      <c r="J229" s="374">
        <v>0.92916283348666051</v>
      </c>
      <c r="K229" s="374">
        <v>0.854678007290401</v>
      </c>
      <c r="L229" s="374">
        <v>0.52143757881462804</v>
      </c>
      <c r="M229" s="374">
        <v>0.7399756986634265</v>
      </c>
      <c r="N229" s="374">
        <v>0.59609796596097964</v>
      </c>
      <c r="O229" s="374">
        <v>0.8479378623782956</v>
      </c>
      <c r="P229" s="374">
        <v>0.90275284260921607</v>
      </c>
      <c r="Q229" s="374">
        <v>0.87109004739336493</v>
      </c>
      <c r="R229" s="374">
        <v>0.88607594936708856</v>
      </c>
      <c r="S229" s="374">
        <v>0.93244626407369502</v>
      </c>
      <c r="T229" s="374">
        <v>0.91423244251087632</v>
      </c>
      <c r="U229" s="375">
        <v>0.80941127406686597</v>
      </c>
      <c r="V229" s="375">
        <v>0.89478633371643501</v>
      </c>
      <c r="W229" s="375">
        <v>0.84351782285666588</v>
      </c>
    </row>
    <row r="230" spans="2:23" hidden="1" outlineLevel="1" x14ac:dyDescent="0.25">
      <c r="B230" s="328">
        <v>44409</v>
      </c>
      <c r="C230" s="374" t="s">
        <v>781</v>
      </c>
      <c r="D230" s="374" t="s">
        <v>781</v>
      </c>
      <c r="E230" s="374" t="s">
        <v>781</v>
      </c>
      <c r="F230" s="374" t="s">
        <v>781</v>
      </c>
      <c r="G230" s="374" t="s">
        <v>781</v>
      </c>
      <c r="H230" s="374" t="s">
        <v>781</v>
      </c>
      <c r="I230" s="374">
        <v>0.81973556917123513</v>
      </c>
      <c r="J230" s="374">
        <v>0.93065998329156219</v>
      </c>
      <c r="K230" s="374">
        <v>0.85062819916240107</v>
      </c>
      <c r="L230" s="374">
        <v>0.52906976744186052</v>
      </c>
      <c r="M230" s="374">
        <v>0.72095548317046687</v>
      </c>
      <c r="N230" s="374">
        <v>0.59598636879969713</v>
      </c>
      <c r="O230" s="374">
        <v>0.83675063464167154</v>
      </c>
      <c r="P230" s="374">
        <v>0.90289437413857909</v>
      </c>
      <c r="Q230" s="374">
        <v>0.86571914613400647</v>
      </c>
      <c r="R230" s="374">
        <v>0.87461300309597523</v>
      </c>
      <c r="S230" s="374">
        <v>0.92833517089305406</v>
      </c>
      <c r="T230" s="374">
        <v>0.90598840952994208</v>
      </c>
      <c r="U230" s="375">
        <v>0.80126042396078678</v>
      </c>
      <c r="V230" s="375">
        <v>0.89278575322551335</v>
      </c>
      <c r="W230" s="375">
        <v>0.83896687254351487</v>
      </c>
    </row>
    <row r="231" spans="2:23" hidden="1" outlineLevel="1" x14ac:dyDescent="0.25">
      <c r="B231" s="328">
        <v>44440</v>
      </c>
      <c r="C231" s="374" t="s">
        <v>781</v>
      </c>
      <c r="D231" s="374" t="s">
        <v>781</v>
      </c>
      <c r="E231" s="374" t="s">
        <v>781</v>
      </c>
      <c r="F231" s="374" t="s">
        <v>781</v>
      </c>
      <c r="G231" s="374" t="s">
        <v>781</v>
      </c>
      <c r="H231" s="374" t="s">
        <v>781</v>
      </c>
      <c r="I231" s="374">
        <v>0.83645707376058043</v>
      </c>
      <c r="J231" s="374">
        <v>0.93278688524590159</v>
      </c>
      <c r="K231" s="374">
        <v>0.86241166077738518</v>
      </c>
      <c r="L231" s="374">
        <v>0.51957070707070707</v>
      </c>
      <c r="M231" s="374">
        <v>0.75469168900804284</v>
      </c>
      <c r="N231" s="374">
        <v>0.59484978540772537</v>
      </c>
      <c r="O231" s="374">
        <v>0.85221056407497087</v>
      </c>
      <c r="P231" s="374">
        <v>0.90954194069458871</v>
      </c>
      <c r="Q231" s="374">
        <v>0.87728327782823701</v>
      </c>
      <c r="R231" s="374">
        <v>0.82421227197346603</v>
      </c>
      <c r="S231" s="374">
        <v>0.91319857312722952</v>
      </c>
      <c r="T231" s="374">
        <v>0.87603878116343492</v>
      </c>
      <c r="U231" s="375">
        <v>0.81641235131563139</v>
      </c>
      <c r="V231" s="375">
        <v>0.9022137005403521</v>
      </c>
      <c r="W231" s="375">
        <v>0.85142247510668567</v>
      </c>
    </row>
    <row r="232" spans="2:23" hidden="1" outlineLevel="1" x14ac:dyDescent="0.25">
      <c r="B232" s="328">
        <v>44470</v>
      </c>
      <c r="C232" s="374" t="s">
        <v>781</v>
      </c>
      <c r="D232" s="374" t="s">
        <v>781</v>
      </c>
      <c r="E232" s="374" t="s">
        <v>781</v>
      </c>
      <c r="F232" s="374" t="s">
        <v>781</v>
      </c>
      <c r="G232" s="374" t="s">
        <v>781</v>
      </c>
      <c r="H232" s="374" t="s">
        <v>781</v>
      </c>
      <c r="I232" s="374">
        <v>0.80692675159235672</v>
      </c>
      <c r="J232" s="374">
        <v>0.91398963730569949</v>
      </c>
      <c r="K232" s="374">
        <v>0.83664078228357774</v>
      </c>
      <c r="L232" s="374">
        <v>0.49584816132858839</v>
      </c>
      <c r="M232" s="374">
        <v>0.71096774193548384</v>
      </c>
      <c r="N232" s="374">
        <v>0.56359203575782202</v>
      </c>
      <c r="O232" s="374">
        <v>0.85310621242484974</v>
      </c>
      <c r="P232" s="374">
        <v>0.90920865172905063</v>
      </c>
      <c r="Q232" s="374">
        <v>0.87757753799220384</v>
      </c>
      <c r="R232" s="374">
        <v>0.85943060498220636</v>
      </c>
      <c r="S232" s="374">
        <v>0.94387170675830467</v>
      </c>
      <c r="T232" s="374">
        <v>0.910801393728223</v>
      </c>
      <c r="U232" s="375">
        <v>0.80461329715061058</v>
      </c>
      <c r="V232" s="375">
        <v>0.89771627636926654</v>
      </c>
      <c r="W232" s="375">
        <v>0.84298476509531783</v>
      </c>
    </row>
    <row r="233" spans="2:23" hidden="1" outlineLevel="1" x14ac:dyDescent="0.25">
      <c r="B233" s="328">
        <v>44501</v>
      </c>
      <c r="C233" s="374" t="s">
        <v>781</v>
      </c>
      <c r="D233" s="374" t="s">
        <v>781</v>
      </c>
      <c r="E233" s="374" t="s">
        <v>781</v>
      </c>
      <c r="F233" s="374" t="s">
        <v>781</v>
      </c>
      <c r="G233" s="374" t="s">
        <v>781</v>
      </c>
      <c r="H233" s="374" t="s">
        <v>781</v>
      </c>
      <c r="I233" s="374">
        <v>0.84237995824634659</v>
      </c>
      <c r="J233" s="374">
        <v>0.94543650793650791</v>
      </c>
      <c r="K233" s="374">
        <v>0.86913961875321999</v>
      </c>
      <c r="L233" s="374">
        <v>0.49702219815917703</v>
      </c>
      <c r="M233" s="374">
        <v>0.74691358024691357</v>
      </c>
      <c r="N233" s="374">
        <v>0.57320286036883705</v>
      </c>
      <c r="O233" s="374">
        <v>0.84178847807394674</v>
      </c>
      <c r="P233" s="374">
        <v>0.90187573270808907</v>
      </c>
      <c r="Q233" s="374">
        <v>0.86721230158730156</v>
      </c>
      <c r="R233" s="374">
        <v>0.86956521739130432</v>
      </c>
      <c r="S233" s="374">
        <v>0.92741061755146259</v>
      </c>
      <c r="T233" s="374">
        <v>0.90520694259012013</v>
      </c>
      <c r="U233" s="375">
        <v>0.80521091811414391</v>
      </c>
      <c r="V233" s="375">
        <v>0.89672611125898327</v>
      </c>
      <c r="W233" s="375">
        <v>0.84179167996595383</v>
      </c>
    </row>
    <row r="234" spans="2:23" hidden="1" outlineLevel="1" x14ac:dyDescent="0.25">
      <c r="B234" s="328">
        <v>44531</v>
      </c>
      <c r="C234" s="374" t="s">
        <v>781</v>
      </c>
      <c r="D234" s="374" t="s">
        <v>781</v>
      </c>
      <c r="E234" s="374" t="s">
        <v>781</v>
      </c>
      <c r="F234" s="374" t="s">
        <v>781</v>
      </c>
      <c r="G234" s="374" t="s">
        <v>781</v>
      </c>
      <c r="H234" s="374" t="s">
        <v>781</v>
      </c>
      <c r="I234" s="374">
        <v>0.80653357531760439</v>
      </c>
      <c r="J234" s="374">
        <v>0.92704280155642027</v>
      </c>
      <c r="K234" s="374">
        <v>0.83928099392016919</v>
      </c>
      <c r="L234" s="374">
        <v>0.47725964306275187</v>
      </c>
      <c r="M234" s="374">
        <v>0.68434670116429497</v>
      </c>
      <c r="N234" s="374">
        <v>0.54103585657370523</v>
      </c>
      <c r="O234" s="374">
        <v>0.83040201005025127</v>
      </c>
      <c r="P234" s="374">
        <v>0.89573348918760953</v>
      </c>
      <c r="Q234" s="374">
        <v>0.85996931703962332</v>
      </c>
      <c r="R234" s="374">
        <v>0.88448844884488453</v>
      </c>
      <c r="S234" s="374">
        <v>0.93617021276595747</v>
      </c>
      <c r="T234" s="374">
        <v>0.91460055096418735</v>
      </c>
      <c r="U234" s="375">
        <v>0.78855367085329531</v>
      </c>
      <c r="V234" s="375">
        <v>0.8870737368327084</v>
      </c>
      <c r="W234" s="375">
        <v>0.82996847793455419</v>
      </c>
    </row>
    <row r="235" spans="2:23" collapsed="1" x14ac:dyDescent="0.25">
      <c r="B235" s="330" t="s">
        <v>703</v>
      </c>
      <c r="C235" s="375" t="s">
        <v>781</v>
      </c>
      <c r="D235" s="375" t="s">
        <v>781</v>
      </c>
      <c r="E235" s="375" t="s">
        <v>781</v>
      </c>
      <c r="F235" s="375" t="s">
        <v>781</v>
      </c>
      <c r="G235" s="375" t="s">
        <v>781</v>
      </c>
      <c r="H235" s="375" t="s">
        <v>781</v>
      </c>
      <c r="I235" s="375">
        <v>0.82666148464827049</v>
      </c>
      <c r="J235" s="375">
        <v>0.9264214046822743</v>
      </c>
      <c r="K235" s="375">
        <v>0.8524495677233429</v>
      </c>
      <c r="L235" s="375">
        <v>0.51874163319946454</v>
      </c>
      <c r="M235" s="375">
        <v>0.75298804780876494</v>
      </c>
      <c r="N235" s="375">
        <v>0.59679572763684918</v>
      </c>
      <c r="O235" s="375">
        <v>0.8462820940313438</v>
      </c>
      <c r="P235" s="375">
        <v>0.90343533487297922</v>
      </c>
      <c r="Q235" s="375">
        <v>0.87120879120879124</v>
      </c>
      <c r="R235" s="375">
        <v>0.9050279329608939</v>
      </c>
      <c r="S235" s="375">
        <v>0.9476861167002012</v>
      </c>
      <c r="T235" s="375">
        <v>0.92923976608187131</v>
      </c>
      <c r="U235" s="375">
        <v>0.81015965166908566</v>
      </c>
      <c r="V235" s="375">
        <v>0.89824488090263266</v>
      </c>
      <c r="W235" s="375">
        <v>0.84626584446728337</v>
      </c>
    </row>
    <row r="236" spans="2:23" hidden="1" outlineLevel="1" x14ac:dyDescent="0.25">
      <c r="B236" s="328">
        <v>44562</v>
      </c>
      <c r="C236" s="374" t="s">
        <v>781</v>
      </c>
      <c r="D236" s="374" t="s">
        <v>781</v>
      </c>
      <c r="E236" s="374" t="s">
        <v>781</v>
      </c>
      <c r="F236" s="374" t="s">
        <v>781</v>
      </c>
      <c r="G236" s="374" t="s">
        <v>781</v>
      </c>
      <c r="H236" s="374" t="s">
        <v>781</v>
      </c>
      <c r="I236" s="374">
        <v>0.92942515651679003</v>
      </c>
      <c r="J236" s="374">
        <v>0.94690265486725667</v>
      </c>
      <c r="K236" s="374">
        <v>0.93399201177212532</v>
      </c>
      <c r="L236" s="374">
        <v>0.46772767462422637</v>
      </c>
      <c r="M236" s="374">
        <v>0.69829424307036247</v>
      </c>
      <c r="N236" s="374">
        <v>0.53531249999999997</v>
      </c>
      <c r="O236" s="374">
        <v>0.93052256532066513</v>
      </c>
      <c r="P236" s="374">
        <v>0.94760333786143991</v>
      </c>
      <c r="Q236" s="374">
        <v>0.93849008780664434</v>
      </c>
      <c r="R236" s="374">
        <v>0.84795321637426901</v>
      </c>
      <c r="S236" s="374">
        <v>0.91581342434584756</v>
      </c>
      <c r="T236" s="374">
        <v>0.88611644273832368</v>
      </c>
      <c r="U236" s="375">
        <v>0.86984875054800526</v>
      </c>
      <c r="V236" s="375">
        <v>0.92795151877899151</v>
      </c>
      <c r="W236" s="375">
        <v>0.89441386727399252</v>
      </c>
    </row>
    <row r="237" spans="2:23" hidden="1" outlineLevel="1" x14ac:dyDescent="0.25">
      <c r="B237" s="328">
        <v>44593</v>
      </c>
      <c r="C237" s="374">
        <v>0.7871739714977144</v>
      </c>
      <c r="D237" s="374">
        <v>0.68181818181818177</v>
      </c>
      <c r="E237" s="374">
        <v>0.76131061067153583</v>
      </c>
      <c r="F237" s="374">
        <v>0.8604359370896677</v>
      </c>
      <c r="G237" s="374">
        <v>0.85805677164242333</v>
      </c>
      <c r="H237" s="374">
        <v>0.85922699351283083</v>
      </c>
      <c r="I237" s="374" t="s">
        <v>781</v>
      </c>
      <c r="J237" s="374" t="s">
        <v>781</v>
      </c>
      <c r="K237" s="374" t="s">
        <v>781</v>
      </c>
      <c r="L237" s="374">
        <v>0.51625812906453228</v>
      </c>
      <c r="M237" s="374">
        <v>0.73178137651821862</v>
      </c>
      <c r="N237" s="374">
        <v>0.58754603280883833</v>
      </c>
      <c r="O237" s="374" t="s">
        <v>781</v>
      </c>
      <c r="P237" s="374" t="s">
        <v>781</v>
      </c>
      <c r="Q237" s="374" t="s">
        <v>781</v>
      </c>
      <c r="R237" s="374">
        <v>0.77677224736048267</v>
      </c>
      <c r="S237" s="374">
        <v>0.79271294928606595</v>
      </c>
      <c r="T237" s="374">
        <v>0.78641644325290438</v>
      </c>
      <c r="U237" s="375">
        <v>0.84349032217388564</v>
      </c>
      <c r="V237" s="375">
        <v>0.84908654539731665</v>
      </c>
      <c r="W237" s="375">
        <v>0.84623346233462338</v>
      </c>
    </row>
    <row r="238" spans="2:23" hidden="1" outlineLevel="1" x14ac:dyDescent="0.25">
      <c r="B238" s="328">
        <v>44621</v>
      </c>
      <c r="C238" s="374">
        <v>0.8239625167336011</v>
      </c>
      <c r="D238" s="374">
        <v>0.80590717299578063</v>
      </c>
      <c r="E238" s="374">
        <v>0.81961382113821135</v>
      </c>
      <c r="F238" s="374">
        <v>0.89383086442902682</v>
      </c>
      <c r="G238" s="374">
        <v>0.88444976076555026</v>
      </c>
      <c r="H238" s="374">
        <v>0.8889226642825212</v>
      </c>
      <c r="I238" s="374" t="s">
        <v>781</v>
      </c>
      <c r="J238" s="374" t="s">
        <v>781</v>
      </c>
      <c r="K238" s="374" t="s">
        <v>781</v>
      </c>
      <c r="L238" s="374">
        <v>0.4798283261802575</v>
      </c>
      <c r="M238" s="374">
        <v>0.70544783010156975</v>
      </c>
      <c r="N238" s="374">
        <v>0.55142103721066515</v>
      </c>
      <c r="O238" s="374" t="s">
        <v>781</v>
      </c>
      <c r="P238" s="374" t="s">
        <v>781</v>
      </c>
      <c r="Q238" s="374" t="s">
        <v>781</v>
      </c>
      <c r="R238" s="374">
        <v>0.82727272727272727</v>
      </c>
      <c r="S238" s="374">
        <v>0.89496157130657561</v>
      </c>
      <c r="T238" s="374">
        <v>0.86810922205048946</v>
      </c>
      <c r="U238" s="375">
        <v>0.85799289804536294</v>
      </c>
      <c r="V238" s="375">
        <v>0.87761035388270603</v>
      </c>
      <c r="W238" s="375">
        <v>0.86791468370041269</v>
      </c>
    </row>
    <row r="239" spans="2:23" hidden="1" outlineLevel="1" x14ac:dyDescent="0.25">
      <c r="B239" s="328">
        <v>44652</v>
      </c>
      <c r="C239" s="374">
        <v>0.89522258414766553</v>
      </c>
      <c r="D239" s="374">
        <v>0.89258312020460362</v>
      </c>
      <c r="E239" s="374">
        <v>0.89443597560975607</v>
      </c>
      <c r="F239" s="374">
        <v>0.89161775963255929</v>
      </c>
      <c r="G239" s="374">
        <v>0.88524501006145651</v>
      </c>
      <c r="H239" s="374">
        <v>0.88817778821595283</v>
      </c>
      <c r="I239" s="374" t="s">
        <v>781</v>
      </c>
      <c r="J239" s="374" t="s">
        <v>781</v>
      </c>
      <c r="K239" s="374" t="s">
        <v>781</v>
      </c>
      <c r="L239" s="374">
        <v>0.47368421052631576</v>
      </c>
      <c r="M239" s="374">
        <v>0.69601677148846963</v>
      </c>
      <c r="N239" s="374">
        <v>0.54208319896807478</v>
      </c>
      <c r="O239" s="374" t="s">
        <v>781</v>
      </c>
      <c r="P239" s="374" t="s">
        <v>781</v>
      </c>
      <c r="Q239" s="374" t="s">
        <v>781</v>
      </c>
      <c r="R239" s="374">
        <v>0.80070546737213399</v>
      </c>
      <c r="S239" s="374">
        <v>0.89520202020202022</v>
      </c>
      <c r="T239" s="374">
        <v>0.85577630610743194</v>
      </c>
      <c r="U239" s="375">
        <v>0.84504744958481615</v>
      </c>
      <c r="V239" s="375">
        <v>0.87726512072675111</v>
      </c>
      <c r="W239" s="375">
        <v>0.86142367608817172</v>
      </c>
    </row>
    <row r="240" spans="2:23" hidden="1" outlineLevel="1" x14ac:dyDescent="0.25">
      <c r="B240" s="328">
        <v>44682</v>
      </c>
      <c r="C240" s="374">
        <v>0.90935779816513762</v>
      </c>
      <c r="D240" s="374">
        <v>0.88888888888888884</v>
      </c>
      <c r="E240" s="374">
        <v>0.90257668711656447</v>
      </c>
      <c r="F240" s="374">
        <v>0.89059583632447958</v>
      </c>
      <c r="G240" s="374">
        <v>0.88109544719204991</v>
      </c>
      <c r="H240" s="374">
        <v>0.88533196747551057</v>
      </c>
      <c r="I240" s="374" t="s">
        <v>781</v>
      </c>
      <c r="J240" s="374" t="s">
        <v>781</v>
      </c>
      <c r="K240" s="374" t="s">
        <v>781</v>
      </c>
      <c r="L240" s="374">
        <v>0.47892542843909219</v>
      </c>
      <c r="M240" s="374">
        <v>0.7002212389380531</v>
      </c>
      <c r="N240" s="374">
        <v>0.544237675481554</v>
      </c>
      <c r="O240" s="374" t="s">
        <v>781</v>
      </c>
      <c r="P240" s="374" t="s">
        <v>781</v>
      </c>
      <c r="Q240" s="374" t="s">
        <v>781</v>
      </c>
      <c r="R240" s="374">
        <v>0.7649186256781193</v>
      </c>
      <c r="S240" s="374">
        <v>0.8409893992932862</v>
      </c>
      <c r="T240" s="374">
        <v>0.81098430813124112</v>
      </c>
      <c r="U240" s="375">
        <v>0.84375484070842155</v>
      </c>
      <c r="V240" s="375">
        <v>0.87193180147959437</v>
      </c>
      <c r="W240" s="375">
        <v>0.85821308260847706</v>
      </c>
    </row>
    <row r="241" spans="2:23" hidden="1" outlineLevel="1" x14ac:dyDescent="0.25">
      <c r="B241" s="328">
        <v>44713</v>
      </c>
      <c r="C241" s="374">
        <v>0.91804511278195489</v>
      </c>
      <c r="D241" s="374">
        <v>0.87755102040816324</v>
      </c>
      <c r="E241" s="374">
        <v>0.90426587301587302</v>
      </c>
      <c r="F241" s="374">
        <v>0.8843975647741753</v>
      </c>
      <c r="G241" s="374">
        <v>0.85303855002525109</v>
      </c>
      <c r="H241" s="374">
        <v>0.86690456067862398</v>
      </c>
      <c r="I241" s="374" t="s">
        <v>781</v>
      </c>
      <c r="J241" s="374" t="s">
        <v>781</v>
      </c>
      <c r="K241" s="374" t="s">
        <v>781</v>
      </c>
      <c r="L241" s="374">
        <v>0.4587352625937835</v>
      </c>
      <c r="M241" s="374">
        <v>0.6715506715506715</v>
      </c>
      <c r="N241" s="374">
        <v>0.52364990689013036</v>
      </c>
      <c r="O241" s="374" t="s">
        <v>781</v>
      </c>
      <c r="P241" s="374" t="s">
        <v>781</v>
      </c>
      <c r="Q241" s="374" t="s">
        <v>781</v>
      </c>
      <c r="R241" s="374">
        <v>0.78195488721804507</v>
      </c>
      <c r="S241" s="374">
        <v>0.87228915662650608</v>
      </c>
      <c r="T241" s="374">
        <v>0.83700440528634357</v>
      </c>
      <c r="U241" s="375">
        <v>0.84481859883236032</v>
      </c>
      <c r="V241" s="375">
        <v>0.84828711256117451</v>
      </c>
      <c r="W241" s="375">
        <v>0.84662469394893314</v>
      </c>
    </row>
    <row r="242" spans="2:23" hidden="1" outlineLevel="1" x14ac:dyDescent="0.25">
      <c r="B242" s="328">
        <v>44743</v>
      </c>
      <c r="C242" s="374">
        <v>0.88912207065407489</v>
      </c>
      <c r="D242" s="374">
        <v>0.83892617449664431</v>
      </c>
      <c r="E242" s="374">
        <v>0.87192458036330189</v>
      </c>
      <c r="F242" s="374">
        <v>0.86986817325800381</v>
      </c>
      <c r="G242" s="374">
        <v>0.81439551308683011</v>
      </c>
      <c r="H242" s="374">
        <v>0.83951003239924971</v>
      </c>
      <c r="I242" s="374" t="s">
        <v>781</v>
      </c>
      <c r="J242" s="374" t="s">
        <v>781</v>
      </c>
      <c r="K242" s="374" t="s">
        <v>781</v>
      </c>
      <c r="L242" s="374">
        <v>0.45952161913523459</v>
      </c>
      <c r="M242" s="374">
        <v>0.66739130434782612</v>
      </c>
      <c r="N242" s="374">
        <v>0.52133160956690372</v>
      </c>
      <c r="O242" s="374" t="s">
        <v>781</v>
      </c>
      <c r="P242" s="374" t="s">
        <v>781</v>
      </c>
      <c r="Q242" s="374" t="s">
        <v>781</v>
      </c>
      <c r="R242" s="374">
        <v>0.77317880794701987</v>
      </c>
      <c r="S242" s="374">
        <v>0.88577362409138105</v>
      </c>
      <c r="T242" s="374">
        <v>0.84237396298659861</v>
      </c>
      <c r="U242" s="375">
        <v>0.82834886632354987</v>
      </c>
      <c r="V242" s="375">
        <v>0.81307172212647483</v>
      </c>
      <c r="W242" s="375">
        <v>0.82052674450176488</v>
      </c>
    </row>
    <row r="243" spans="2:23" hidden="1" outlineLevel="1" x14ac:dyDescent="0.25">
      <c r="B243" s="328">
        <v>44774</v>
      </c>
      <c r="C243" s="374">
        <v>0.87219434908898863</v>
      </c>
      <c r="D243" s="374">
        <v>0.82858769931662868</v>
      </c>
      <c r="E243" s="374">
        <v>0.85837993866137474</v>
      </c>
      <c r="F243" s="374">
        <v>0.81514717995404695</v>
      </c>
      <c r="G243" s="374">
        <v>0.79753460505474827</v>
      </c>
      <c r="H243" s="374">
        <v>0.80533113281774737</v>
      </c>
      <c r="I243" s="374" t="s">
        <v>781</v>
      </c>
      <c r="J243" s="374" t="s">
        <v>781</v>
      </c>
      <c r="K243" s="374" t="s">
        <v>781</v>
      </c>
      <c r="L243" s="374">
        <v>0.42275172943889316</v>
      </c>
      <c r="M243" s="374">
        <v>0.67527308838133071</v>
      </c>
      <c r="N243" s="374">
        <v>0.49321141590468276</v>
      </c>
      <c r="O243" s="374" t="s">
        <v>781</v>
      </c>
      <c r="P243" s="374" t="s">
        <v>781</v>
      </c>
      <c r="Q243" s="374" t="s">
        <v>781</v>
      </c>
      <c r="R243" s="374">
        <v>0.82219419924337955</v>
      </c>
      <c r="S243" s="374">
        <v>0.86513157894736847</v>
      </c>
      <c r="T243" s="374">
        <v>0.84818317570930812</v>
      </c>
      <c r="U243" s="375">
        <v>0.78872028827399254</v>
      </c>
      <c r="V243" s="375">
        <v>0.79794676115199414</v>
      </c>
      <c r="W243" s="375">
        <v>0.79353564090406192</v>
      </c>
    </row>
    <row r="244" spans="2:23" hidden="1" outlineLevel="1" x14ac:dyDescent="0.25">
      <c r="B244" s="328">
        <v>44805</v>
      </c>
      <c r="C244" s="374">
        <v>0.87521136286777135</v>
      </c>
      <c r="D244" s="374">
        <v>0.6580056179775281</v>
      </c>
      <c r="E244" s="374">
        <v>0.8046108194476147</v>
      </c>
      <c r="F244" s="374">
        <v>0.84186559955843798</v>
      </c>
      <c r="G244" s="374">
        <v>0.82646715895841427</v>
      </c>
      <c r="H244" s="374">
        <v>0.83392356006949087</v>
      </c>
      <c r="I244" s="374" t="s">
        <v>781</v>
      </c>
      <c r="J244" s="374" t="s">
        <v>781</v>
      </c>
      <c r="K244" s="374" t="s">
        <v>781</v>
      </c>
      <c r="L244" s="374">
        <v>0.45693277310924368</v>
      </c>
      <c r="M244" s="374">
        <v>0.67006369426751589</v>
      </c>
      <c r="N244" s="374">
        <v>0.51915210115284494</v>
      </c>
      <c r="O244" s="374" t="s">
        <v>781</v>
      </c>
      <c r="P244" s="374" t="s">
        <v>781</v>
      </c>
      <c r="Q244" s="374" t="s">
        <v>781</v>
      </c>
      <c r="R244" s="374">
        <v>0.78260869565217395</v>
      </c>
      <c r="S244" s="374">
        <v>0.86591478696741853</v>
      </c>
      <c r="T244" s="374">
        <v>0.83358895705521474</v>
      </c>
      <c r="U244" s="375">
        <v>0.8084185086350133</v>
      </c>
      <c r="V244" s="375">
        <v>0.80851179181349964</v>
      </c>
      <c r="W244" s="375">
        <v>0.80846342609512867</v>
      </c>
    </row>
    <row r="245" spans="2:23" hidden="1" outlineLevel="1" x14ac:dyDescent="0.25">
      <c r="B245" s="328">
        <v>44835</v>
      </c>
      <c r="C245" s="374">
        <v>0.82776349614395883</v>
      </c>
      <c r="D245" s="374">
        <v>0.55727155727155731</v>
      </c>
      <c r="E245" s="374">
        <v>0.74460929772502471</v>
      </c>
      <c r="F245" s="374">
        <v>0.84861625414149289</v>
      </c>
      <c r="G245" s="374">
        <v>0.84622683913499475</v>
      </c>
      <c r="H245" s="374">
        <v>0.8474363084815153</v>
      </c>
      <c r="I245" s="374" t="s">
        <v>781</v>
      </c>
      <c r="J245" s="374" t="s">
        <v>781</v>
      </c>
      <c r="K245" s="374" t="s">
        <v>781</v>
      </c>
      <c r="L245" s="374">
        <v>0.42951318458417848</v>
      </c>
      <c r="M245" s="374">
        <v>0.68489583333333337</v>
      </c>
      <c r="N245" s="374">
        <v>0.50109489051094891</v>
      </c>
      <c r="O245" s="374" t="s">
        <v>781</v>
      </c>
      <c r="P245" s="374" t="s">
        <v>781</v>
      </c>
      <c r="Q245" s="374" t="s">
        <v>781</v>
      </c>
      <c r="R245" s="374">
        <v>0.79600000000000004</v>
      </c>
      <c r="S245" s="374">
        <v>0.83733333333333337</v>
      </c>
      <c r="T245" s="374">
        <v>0.82079999999999997</v>
      </c>
      <c r="U245" s="375">
        <v>0.81367702004000453</v>
      </c>
      <c r="V245" s="375">
        <v>0.82113011474345099</v>
      </c>
      <c r="W245" s="375">
        <v>0.81714792708501371</v>
      </c>
    </row>
    <row r="246" spans="2:23" hidden="1" outlineLevel="1" x14ac:dyDescent="0.25">
      <c r="B246" s="328">
        <v>44866</v>
      </c>
      <c r="C246" s="374">
        <v>0.87734602167591857</v>
      </c>
      <c r="D246" s="374">
        <v>0.61187545257060105</v>
      </c>
      <c r="E246" s="374">
        <v>0.80635166537567782</v>
      </c>
      <c r="F246" s="374">
        <v>0.87644848933806019</v>
      </c>
      <c r="G246" s="374">
        <v>0.86431722581307069</v>
      </c>
      <c r="H246" s="374">
        <v>0.87028885473914519</v>
      </c>
      <c r="I246" s="374" t="s">
        <v>781</v>
      </c>
      <c r="J246" s="374" t="s">
        <v>781</v>
      </c>
      <c r="K246" s="374" t="s">
        <v>781</v>
      </c>
      <c r="L246" s="374">
        <v>0.45167118337850043</v>
      </c>
      <c r="M246" s="374">
        <v>0.67840909090909096</v>
      </c>
      <c r="N246" s="374">
        <v>0.51616031027795739</v>
      </c>
      <c r="O246" s="374" t="s">
        <v>781</v>
      </c>
      <c r="P246" s="374" t="s">
        <v>781</v>
      </c>
      <c r="Q246" s="374" t="s">
        <v>781</v>
      </c>
      <c r="R246" s="374">
        <v>0.78834951456310676</v>
      </c>
      <c r="S246" s="374">
        <v>0.86052009456264777</v>
      </c>
      <c r="T246" s="374">
        <v>0.8332108743570904</v>
      </c>
      <c r="U246" s="375">
        <v>0.83778678525048211</v>
      </c>
      <c r="V246" s="375">
        <v>0.84151143754701119</v>
      </c>
      <c r="W246" s="375">
        <v>0.83954011497125713</v>
      </c>
    </row>
    <row r="247" spans="2:23" hidden="1" outlineLevel="1" x14ac:dyDescent="0.25">
      <c r="B247" s="328">
        <v>44896</v>
      </c>
      <c r="C247" s="374">
        <v>0.93649346703129743</v>
      </c>
      <c r="D247" s="374">
        <v>0.75327771156138257</v>
      </c>
      <c r="E247" s="374">
        <v>0.89927360774818399</v>
      </c>
      <c r="F247" s="374">
        <v>0.92469940216296098</v>
      </c>
      <c r="G247" s="374">
        <v>0.9051049941498861</v>
      </c>
      <c r="H247" s="374">
        <v>0.91447664332069656</v>
      </c>
      <c r="I247" s="374" t="s">
        <v>781</v>
      </c>
      <c r="J247" s="374" t="s">
        <v>781</v>
      </c>
      <c r="K247" s="374" t="s">
        <v>781</v>
      </c>
      <c r="L247" s="374">
        <v>0.44140392623438429</v>
      </c>
      <c r="M247" s="374">
        <v>0.62284196547144755</v>
      </c>
      <c r="N247" s="374">
        <v>0.49753492193919474</v>
      </c>
      <c r="O247" s="374" t="s">
        <v>781</v>
      </c>
      <c r="P247" s="374" t="s">
        <v>781</v>
      </c>
      <c r="Q247" s="374" t="s">
        <v>781</v>
      </c>
      <c r="R247" s="374">
        <v>0.80200000000000005</v>
      </c>
      <c r="S247" s="374">
        <v>0.86339522546419101</v>
      </c>
      <c r="T247" s="374">
        <v>0.83891547049441784</v>
      </c>
      <c r="U247" s="375">
        <v>0.88368780391964241</v>
      </c>
      <c r="V247" s="375">
        <v>0.88512241054613938</v>
      </c>
      <c r="W247" s="375">
        <v>0.88437243221035333</v>
      </c>
    </row>
    <row r="248" spans="2:23" collapsed="1" x14ac:dyDescent="0.25">
      <c r="B248" s="330" t="s">
        <v>704</v>
      </c>
      <c r="C248" s="375">
        <v>0.86376021798365121</v>
      </c>
      <c r="D248" s="375">
        <v>0.74944403261675319</v>
      </c>
      <c r="E248" s="375">
        <v>0.83043197936814961</v>
      </c>
      <c r="F248" s="375">
        <v>0.86848557799473947</v>
      </c>
      <c r="G248" s="375">
        <v>0.85494461228600205</v>
      </c>
      <c r="H248" s="375">
        <v>0.86137210089724059</v>
      </c>
      <c r="I248" s="375">
        <v>0.92942515651679003</v>
      </c>
      <c r="J248" s="375">
        <v>0.94690265486725667</v>
      </c>
      <c r="K248" s="375">
        <v>0.93399201177212532</v>
      </c>
      <c r="L248" s="375">
        <v>0.46135609293504032</v>
      </c>
      <c r="M248" s="375">
        <v>0.68555555555555558</v>
      </c>
      <c r="N248" s="375">
        <v>0.52841475573280161</v>
      </c>
      <c r="O248" s="375">
        <v>0.93052256532066513</v>
      </c>
      <c r="P248" s="375">
        <v>0.94760333786143991</v>
      </c>
      <c r="Q248" s="375">
        <v>0.93849008780664434</v>
      </c>
      <c r="R248" s="375">
        <v>0.79816513761467889</v>
      </c>
      <c r="S248" s="375">
        <v>0.85959595959595958</v>
      </c>
      <c r="T248" s="375">
        <v>0.83515815085158152</v>
      </c>
      <c r="U248" s="375">
        <v>0.83806283480527</v>
      </c>
      <c r="V248" s="375">
        <v>0.84783580421664306</v>
      </c>
      <c r="W248" s="375">
        <v>0.84289752909644966</v>
      </c>
    </row>
    <row r="249" spans="2:23" hidden="1" outlineLevel="1" x14ac:dyDescent="0.25">
      <c r="B249" s="328">
        <v>44927</v>
      </c>
      <c r="C249" s="374">
        <v>0.85833914863921845</v>
      </c>
      <c r="D249" s="374">
        <v>0.61669829222011385</v>
      </c>
      <c r="E249" s="374">
        <v>0.79336734693877553</v>
      </c>
      <c r="F249" s="374">
        <v>0.87958500669344042</v>
      </c>
      <c r="G249" s="374">
        <v>0.86146518180598419</v>
      </c>
      <c r="H249" s="374">
        <v>0.87053541513100585</v>
      </c>
      <c r="I249" s="374" t="s">
        <v>781</v>
      </c>
      <c r="J249" s="374" t="s">
        <v>781</v>
      </c>
      <c r="K249" s="374" t="s">
        <v>781</v>
      </c>
      <c r="L249" s="374">
        <v>0.40422396856581533</v>
      </c>
      <c r="M249" s="374">
        <v>0.66628175519630484</v>
      </c>
      <c r="N249" s="374">
        <v>0.48242591316333561</v>
      </c>
      <c r="O249" s="374" t="s">
        <v>781</v>
      </c>
      <c r="P249" s="374" t="s">
        <v>781</v>
      </c>
      <c r="Q249" s="374" t="s">
        <v>781</v>
      </c>
      <c r="R249" s="374">
        <v>0.75946969696969702</v>
      </c>
      <c r="S249" s="374">
        <v>0.85646500593119812</v>
      </c>
      <c r="T249" s="374">
        <v>0.8191101385849745</v>
      </c>
      <c r="U249" s="375">
        <v>0.82352009293974759</v>
      </c>
      <c r="V249" s="375">
        <v>0.84383385835958469</v>
      </c>
      <c r="W249" s="375">
        <v>0.83317165109897728</v>
      </c>
    </row>
    <row r="250" spans="2:23" hidden="1" outlineLevel="1" x14ac:dyDescent="0.25">
      <c r="B250" s="328">
        <v>44958</v>
      </c>
      <c r="C250" s="374">
        <v>0.77656405163853026</v>
      </c>
      <c r="D250" s="374">
        <v>0.48760330578512395</v>
      </c>
      <c r="E250" s="374">
        <v>0.7</v>
      </c>
      <c r="F250" s="374">
        <v>0.87730061349693256</v>
      </c>
      <c r="G250" s="374">
        <v>0.8546290565036696</v>
      </c>
      <c r="H250" s="374">
        <v>0.86617487524408765</v>
      </c>
      <c r="I250" s="374" t="s">
        <v>781</v>
      </c>
      <c r="J250" s="374" t="s">
        <v>781</v>
      </c>
      <c r="K250" s="374" t="s">
        <v>781</v>
      </c>
      <c r="L250" s="374">
        <v>0.39215686274509803</v>
      </c>
      <c r="M250" s="374">
        <v>0.63945578231292521</v>
      </c>
      <c r="N250" s="374">
        <v>0.46577561765897124</v>
      </c>
      <c r="O250" s="374" t="s">
        <v>781</v>
      </c>
      <c r="P250" s="374" t="s">
        <v>781</v>
      </c>
      <c r="Q250" s="374" t="s">
        <v>781</v>
      </c>
      <c r="R250" s="374">
        <v>0.77449168207024033</v>
      </c>
      <c r="S250" s="374">
        <v>0.84075573549257765</v>
      </c>
      <c r="T250" s="374">
        <v>0.81279251170046807</v>
      </c>
      <c r="U250" s="375">
        <v>0.81082700759089088</v>
      </c>
      <c r="V250" s="375">
        <v>0.83168542744143592</v>
      </c>
      <c r="W250" s="375">
        <v>0.8205638003266349</v>
      </c>
    </row>
    <row r="251" spans="2:23" hidden="1" outlineLevel="1" x14ac:dyDescent="0.25">
      <c r="B251" s="328">
        <v>44986</v>
      </c>
      <c r="C251" s="374">
        <v>0.84737678855325915</v>
      </c>
      <c r="D251" s="374">
        <v>0.66666666666666663</v>
      </c>
      <c r="E251" s="374">
        <v>0.7965714285714286</v>
      </c>
      <c r="F251" s="374">
        <v>0.89666579611735009</v>
      </c>
      <c r="G251" s="374">
        <v>0.87202380952380953</v>
      </c>
      <c r="H251" s="374">
        <v>0.884562569213732</v>
      </c>
      <c r="I251" s="374" t="s">
        <v>781</v>
      </c>
      <c r="J251" s="374" t="s">
        <v>781</v>
      </c>
      <c r="K251" s="374" t="s">
        <v>781</v>
      </c>
      <c r="L251" s="374">
        <v>0.36442786069651739</v>
      </c>
      <c r="M251" s="374">
        <v>0.59912376779846654</v>
      </c>
      <c r="N251" s="374">
        <v>0.42887218045112779</v>
      </c>
      <c r="O251" s="374" t="s">
        <v>781</v>
      </c>
      <c r="P251" s="374" t="s">
        <v>781</v>
      </c>
      <c r="Q251" s="374" t="s">
        <v>781</v>
      </c>
      <c r="R251" s="374">
        <v>0.77583465818759934</v>
      </c>
      <c r="S251" s="374">
        <v>0.89272030651340994</v>
      </c>
      <c r="T251" s="374">
        <v>0.84065155807365444</v>
      </c>
      <c r="U251" s="375">
        <v>0.80660078550614467</v>
      </c>
      <c r="V251" s="375">
        <v>0.84686652606206692</v>
      </c>
      <c r="W251" s="375">
        <v>0.82499483862087952</v>
      </c>
    </row>
    <row r="252" spans="2:23" hidden="1" outlineLevel="1" x14ac:dyDescent="0.25">
      <c r="B252" s="328">
        <v>45017</v>
      </c>
      <c r="C252" s="374">
        <v>0.79383886255924174</v>
      </c>
      <c r="D252" s="374">
        <v>0.54046242774566478</v>
      </c>
      <c r="E252" s="374">
        <v>0.72016806722689075</v>
      </c>
      <c r="F252" s="374">
        <v>0.83185758225370487</v>
      </c>
      <c r="G252" s="374">
        <v>0.79059911385089576</v>
      </c>
      <c r="H252" s="374">
        <v>0.81156742930225945</v>
      </c>
      <c r="I252" s="374" t="s">
        <v>781</v>
      </c>
      <c r="J252" s="374" t="s">
        <v>781</v>
      </c>
      <c r="K252" s="374" t="s">
        <v>781</v>
      </c>
      <c r="L252" s="374">
        <v>0.35146666666666665</v>
      </c>
      <c r="M252" s="374">
        <v>0.53856382978723405</v>
      </c>
      <c r="N252" s="374">
        <v>0.40502474305291208</v>
      </c>
      <c r="O252" s="374" t="s">
        <v>781</v>
      </c>
      <c r="P252" s="374" t="s">
        <v>781</v>
      </c>
      <c r="Q252" s="374" t="s">
        <v>781</v>
      </c>
      <c r="R252" s="374">
        <v>0.72222222222222221</v>
      </c>
      <c r="S252" s="374">
        <v>0.87426035502958577</v>
      </c>
      <c r="T252" s="374">
        <v>0.81206293706293708</v>
      </c>
      <c r="U252" s="375">
        <v>0.76113825812014946</v>
      </c>
      <c r="V252" s="375">
        <v>0.7725403093122738</v>
      </c>
      <c r="W252" s="375">
        <v>0.76645443387542189</v>
      </c>
    </row>
    <row r="253" spans="2:23" hidden="1" outlineLevel="1" x14ac:dyDescent="0.25">
      <c r="B253" s="328">
        <v>45047</v>
      </c>
      <c r="C253" s="374">
        <v>0.82240161453077698</v>
      </c>
      <c r="D253" s="374">
        <v>0.6167800453514739</v>
      </c>
      <c r="E253" s="374">
        <v>0.75907821229050276</v>
      </c>
      <c r="F253" s="374">
        <v>0.85851043461612098</v>
      </c>
      <c r="G253" s="374">
        <v>0.8241599073001159</v>
      </c>
      <c r="H253" s="374">
        <v>0.84140947985770598</v>
      </c>
      <c r="I253" s="374" t="s">
        <v>781</v>
      </c>
      <c r="J253" s="374" t="s">
        <v>781</v>
      </c>
      <c r="K253" s="374" t="s">
        <v>781</v>
      </c>
      <c r="L253" s="374">
        <v>0.33265617064499747</v>
      </c>
      <c r="M253" s="374">
        <v>0.48156682027649772</v>
      </c>
      <c r="N253" s="374">
        <v>0.3782164258019034</v>
      </c>
      <c r="O253" s="374" t="s">
        <v>781</v>
      </c>
      <c r="P253" s="374" t="s">
        <v>781</v>
      </c>
      <c r="Q253" s="374" t="s">
        <v>781</v>
      </c>
      <c r="R253" s="374">
        <v>0.76654411764705888</v>
      </c>
      <c r="S253" s="374">
        <v>0.87734668335419275</v>
      </c>
      <c r="T253" s="374">
        <v>0.83246463142218918</v>
      </c>
      <c r="U253" s="375">
        <v>0.77813620071684586</v>
      </c>
      <c r="V253" s="375">
        <v>0.79637355584082159</v>
      </c>
      <c r="W253" s="375">
        <v>0.78674187930642836</v>
      </c>
    </row>
    <row r="254" spans="2:23" hidden="1" outlineLevel="1" x14ac:dyDescent="0.25">
      <c r="B254" s="328">
        <v>45078</v>
      </c>
      <c r="C254" s="374">
        <v>0.81538461538461537</v>
      </c>
      <c r="D254" s="374">
        <v>0.65</v>
      </c>
      <c r="E254" s="374">
        <v>0.76236933797909412</v>
      </c>
      <c r="F254" s="374">
        <v>0.89879644165358452</v>
      </c>
      <c r="G254" s="374">
        <v>0.85045334557557672</v>
      </c>
      <c r="H254" s="374">
        <v>0.87573899715349246</v>
      </c>
      <c r="I254" s="374" t="s">
        <v>781</v>
      </c>
      <c r="J254" s="374" t="s">
        <v>781</v>
      </c>
      <c r="K254" s="374" t="s">
        <v>781</v>
      </c>
      <c r="L254" s="374">
        <v>0.26776277157956546</v>
      </c>
      <c r="M254" s="374">
        <v>0.44358974358974357</v>
      </c>
      <c r="N254" s="374">
        <v>0.32299637535239628</v>
      </c>
      <c r="O254" s="374" t="s">
        <v>781</v>
      </c>
      <c r="P254" s="374" t="s">
        <v>781</v>
      </c>
      <c r="Q254" s="374" t="s">
        <v>781</v>
      </c>
      <c r="R254" s="374">
        <v>0.76626016260162599</v>
      </c>
      <c r="S254" s="374">
        <v>0.90538573508005826</v>
      </c>
      <c r="T254" s="374">
        <v>0.84732824427480913</v>
      </c>
      <c r="U254" s="375">
        <v>0.80282907662082514</v>
      </c>
      <c r="V254" s="375">
        <v>0.81550751879699246</v>
      </c>
      <c r="W254" s="375">
        <v>0.80860261074256368</v>
      </c>
    </row>
    <row r="255" spans="2:23" hidden="1" outlineLevel="1" x14ac:dyDescent="0.25">
      <c r="B255" s="328">
        <v>45108</v>
      </c>
      <c r="C255" s="374">
        <v>0.85615251299826689</v>
      </c>
      <c r="D255" s="374">
        <v>0.74054982817869419</v>
      </c>
      <c r="E255" s="374">
        <v>0.81739631336405527</v>
      </c>
      <c r="F255" s="374">
        <v>0.90551876379690954</v>
      </c>
      <c r="G255" s="374">
        <v>0.86565686565686562</v>
      </c>
      <c r="H255" s="374">
        <v>0.88672640716886031</v>
      </c>
      <c r="I255" s="374" t="s">
        <v>781</v>
      </c>
      <c r="J255" s="374" t="s">
        <v>781</v>
      </c>
      <c r="K255" s="374" t="s">
        <v>781</v>
      </c>
      <c r="L255" s="374">
        <v>0.22327044025157233</v>
      </c>
      <c r="M255" s="374">
        <v>0.3225058004640371</v>
      </c>
      <c r="N255" s="374">
        <v>0.25415162454873647</v>
      </c>
      <c r="O255" s="374" t="s">
        <v>781</v>
      </c>
      <c r="P255" s="374" t="s">
        <v>781</v>
      </c>
      <c r="Q255" s="374" t="s">
        <v>781</v>
      </c>
      <c r="R255" s="374">
        <v>0.77731092436974791</v>
      </c>
      <c r="S255" s="374">
        <v>0.87027027027027026</v>
      </c>
      <c r="T255" s="374">
        <v>0.83388157894736847</v>
      </c>
      <c r="U255" s="375">
        <v>0.80999798156495995</v>
      </c>
      <c r="V255" s="375">
        <v>0.82189662189662194</v>
      </c>
      <c r="W255" s="375">
        <v>0.81538234860763226</v>
      </c>
    </row>
    <row r="256" spans="2:23" hidden="1" outlineLevel="1" x14ac:dyDescent="0.25">
      <c r="B256" s="328">
        <v>45139</v>
      </c>
      <c r="C256" s="374">
        <v>0.82886597938144335</v>
      </c>
      <c r="D256" s="374">
        <v>0.67989417989417988</v>
      </c>
      <c r="E256" s="374">
        <v>0.7870919881305638</v>
      </c>
      <c r="F256" s="374">
        <v>0.90401251610528255</v>
      </c>
      <c r="G256" s="374">
        <v>0.85587786259541987</v>
      </c>
      <c r="H256" s="374">
        <v>0.88115605818955101</v>
      </c>
      <c r="I256" s="374" t="s">
        <v>781</v>
      </c>
      <c r="J256" s="374" t="s">
        <v>781</v>
      </c>
      <c r="K256" s="374" t="s">
        <v>781</v>
      </c>
      <c r="L256" s="374">
        <v>0.17356205852674067</v>
      </c>
      <c r="M256" s="374">
        <v>0.27590361445783135</v>
      </c>
      <c r="N256" s="374">
        <v>0.20376955903271693</v>
      </c>
      <c r="O256" s="374" t="s">
        <v>781</v>
      </c>
      <c r="P256" s="374" t="s">
        <v>781</v>
      </c>
      <c r="Q256" s="374" t="s">
        <v>781</v>
      </c>
      <c r="R256" s="374">
        <v>0.8041666666666667</v>
      </c>
      <c r="S256" s="374">
        <v>0.85768742058449809</v>
      </c>
      <c r="T256" s="374">
        <v>0.83741120757695342</v>
      </c>
      <c r="U256" s="375">
        <v>0.79430689606938032</v>
      </c>
      <c r="V256" s="375">
        <v>0.80964467005076146</v>
      </c>
      <c r="W256" s="375">
        <v>0.80124818133088294</v>
      </c>
    </row>
    <row r="257" spans="2:23" hidden="1" outlineLevel="1" x14ac:dyDescent="0.25">
      <c r="B257" s="328">
        <v>45170</v>
      </c>
      <c r="C257" s="374">
        <v>0.56407447973713032</v>
      </c>
      <c r="D257" s="374">
        <v>0.37195121951219512</v>
      </c>
      <c r="E257" s="374">
        <v>0.5132957292506044</v>
      </c>
      <c r="F257" s="374">
        <v>0.92902589837799088</v>
      </c>
      <c r="G257" s="374">
        <v>0.89194456474664352</v>
      </c>
      <c r="H257" s="374">
        <v>0.91223339053689634</v>
      </c>
      <c r="I257" s="374" t="s">
        <v>781</v>
      </c>
      <c r="J257" s="374" t="s">
        <v>781</v>
      </c>
      <c r="K257" s="374" t="s">
        <v>781</v>
      </c>
      <c r="L257" s="374">
        <v>0.13981191222570533</v>
      </c>
      <c r="M257" s="374">
        <v>0.27260273972602739</v>
      </c>
      <c r="N257" s="374">
        <v>0.18150537634408603</v>
      </c>
      <c r="O257" s="374" t="s">
        <v>781</v>
      </c>
      <c r="P257" s="374" t="s">
        <v>781</v>
      </c>
      <c r="Q257" s="374" t="s">
        <v>781</v>
      </c>
      <c r="R257" s="374">
        <v>0.80568720379146919</v>
      </c>
      <c r="S257" s="374">
        <v>0.88375558867362147</v>
      </c>
      <c r="T257" s="374">
        <v>0.8536139066788655</v>
      </c>
      <c r="U257" s="375">
        <v>0.81233586485910991</v>
      </c>
      <c r="V257" s="375">
        <v>0.83465572275421795</v>
      </c>
      <c r="W257" s="375">
        <v>0.82210425480961125</v>
      </c>
    </row>
    <row r="258" spans="2:23" hidden="1" outlineLevel="1" x14ac:dyDescent="0.25">
      <c r="B258" s="328">
        <v>45200</v>
      </c>
      <c r="C258" s="374">
        <v>0.35830618892508143</v>
      </c>
      <c r="D258" s="374">
        <v>7.6923076923076927E-2</v>
      </c>
      <c r="E258" s="374">
        <v>0.29048207663782449</v>
      </c>
      <c r="F258" s="374">
        <v>0.92269374461155285</v>
      </c>
      <c r="G258" s="374">
        <v>0.88421610169491527</v>
      </c>
      <c r="H258" s="374">
        <v>0.90442175159716287</v>
      </c>
      <c r="I258" s="374" t="s">
        <v>781</v>
      </c>
      <c r="J258" s="374" t="s">
        <v>781</v>
      </c>
      <c r="K258" s="374" t="s">
        <v>781</v>
      </c>
      <c r="L258" s="374">
        <v>0.13881177123820099</v>
      </c>
      <c r="M258" s="374">
        <v>0.21045918367346939</v>
      </c>
      <c r="N258" s="374">
        <v>0.16054158607350097</v>
      </c>
      <c r="O258" s="374" t="s">
        <v>781</v>
      </c>
      <c r="P258" s="374" t="s">
        <v>781</v>
      </c>
      <c r="Q258" s="374" t="s">
        <v>781</v>
      </c>
      <c r="R258" s="374">
        <v>0.75657894736842102</v>
      </c>
      <c r="S258" s="374">
        <v>0.86532951289398286</v>
      </c>
      <c r="T258" s="374">
        <v>0.82235701906412473</v>
      </c>
      <c r="U258" s="375">
        <v>0.78489857250187833</v>
      </c>
      <c r="V258" s="375">
        <v>0.82135468201853012</v>
      </c>
      <c r="W258" s="375">
        <v>0.80149015433741355</v>
      </c>
    </row>
    <row r="259" spans="2:23" hidden="1" outlineLevel="1" x14ac:dyDescent="0.25">
      <c r="B259" s="328">
        <v>45231</v>
      </c>
      <c r="C259" s="374">
        <v>0.58917197452229297</v>
      </c>
      <c r="D259" s="374">
        <v>0.22826086956521738</v>
      </c>
      <c r="E259" s="374">
        <v>0.5073891625615764</v>
      </c>
      <c r="F259" s="374">
        <v>0.78381007978205874</v>
      </c>
      <c r="G259" s="374">
        <v>0.74016769814334193</v>
      </c>
      <c r="H259" s="374">
        <v>0.76226842727631061</v>
      </c>
      <c r="I259" s="374" t="s">
        <v>781</v>
      </c>
      <c r="J259" s="374" t="s">
        <v>781</v>
      </c>
      <c r="K259" s="374" t="s">
        <v>781</v>
      </c>
      <c r="L259" s="374">
        <v>1.7267648552564754E-2</v>
      </c>
      <c r="M259" s="374">
        <v>3.7484885126964934E-2</v>
      </c>
      <c r="N259" s="374">
        <v>2.3247496423462088E-2</v>
      </c>
      <c r="O259" s="374" t="s">
        <v>781</v>
      </c>
      <c r="P259" s="374" t="s">
        <v>781</v>
      </c>
      <c r="Q259" s="374" t="s">
        <v>781</v>
      </c>
      <c r="R259" s="374">
        <v>0.34962406015037595</v>
      </c>
      <c r="S259" s="374">
        <v>0.42352941176470588</v>
      </c>
      <c r="T259" s="374">
        <v>0.39321511179645335</v>
      </c>
      <c r="U259" s="375">
        <v>0.64622317268769569</v>
      </c>
      <c r="V259" s="375">
        <v>0.66578362673047342</v>
      </c>
      <c r="W259" s="375">
        <v>0.65545472877596289</v>
      </c>
    </row>
    <row r="260" spans="2:23" hidden="1" outlineLevel="1" x14ac:dyDescent="0.25">
      <c r="B260" s="328">
        <v>45261</v>
      </c>
      <c r="C260" s="374">
        <v>4.170286707211121E-2</v>
      </c>
      <c r="D260" s="374">
        <v>3.4086067319982955E-3</v>
      </c>
      <c r="E260" s="374">
        <v>1.6009148084619784E-2</v>
      </c>
      <c r="F260" s="374">
        <v>0.45611796398695592</v>
      </c>
      <c r="G260" s="374">
        <v>0.35387420237010025</v>
      </c>
      <c r="H260" s="374">
        <v>0.41138937629605998</v>
      </c>
      <c r="I260" s="374" t="s">
        <v>781</v>
      </c>
      <c r="J260" s="374" t="s">
        <v>781</v>
      </c>
      <c r="K260" s="374" t="s">
        <v>781</v>
      </c>
      <c r="L260" s="374">
        <v>1.4015416958654519E-3</v>
      </c>
      <c r="M260" s="374">
        <v>1.2121212121212121E-2</v>
      </c>
      <c r="N260" s="374">
        <v>4.7915668423574509E-3</v>
      </c>
      <c r="O260" s="374" t="s">
        <v>781</v>
      </c>
      <c r="P260" s="374" t="s">
        <v>781</v>
      </c>
      <c r="Q260" s="374" t="s">
        <v>781</v>
      </c>
      <c r="R260" s="374">
        <v>0.15587529976019185</v>
      </c>
      <c r="S260" s="374">
        <v>0.14879999999999999</v>
      </c>
      <c r="T260" s="374">
        <v>0.15163147792706333</v>
      </c>
      <c r="U260" s="375">
        <v>0.33160828025477707</v>
      </c>
      <c r="V260" s="375">
        <v>0.22485466710540747</v>
      </c>
      <c r="W260" s="375">
        <v>0.28082441951474041</v>
      </c>
    </row>
    <row r="261" spans="2:23" collapsed="1" x14ac:dyDescent="0.25">
      <c r="B261" s="330" t="s">
        <v>869</v>
      </c>
      <c r="C261" s="375">
        <v>0.69865841073271417</v>
      </c>
      <c r="D261" s="375">
        <v>0.37362637362637363</v>
      </c>
      <c r="E261" s="375">
        <v>0.58085808580858089</v>
      </c>
      <c r="F261" s="375">
        <v>0.85813180727339855</v>
      </c>
      <c r="G261" s="375">
        <v>0.82257744241461472</v>
      </c>
      <c r="H261" s="375">
        <v>0.84105041614847409</v>
      </c>
      <c r="I261" s="375" t="s">
        <v>781</v>
      </c>
      <c r="J261" s="375" t="s">
        <v>781</v>
      </c>
      <c r="K261" s="375" t="s">
        <v>781</v>
      </c>
      <c r="L261" s="375">
        <v>0.24250535331905781</v>
      </c>
      <c r="M261" s="375">
        <v>0.38202247191011235</v>
      </c>
      <c r="N261" s="375">
        <v>0.28448275862068967</v>
      </c>
      <c r="O261" s="375" t="s">
        <v>781</v>
      </c>
      <c r="P261" s="375" t="s">
        <v>781</v>
      </c>
      <c r="Q261" s="375" t="s">
        <v>781</v>
      </c>
      <c r="R261" s="375">
        <v>0.68937875751503008</v>
      </c>
      <c r="S261" s="375">
        <v>0.78095238095238095</v>
      </c>
      <c r="T261" s="375">
        <v>0.74533657745336579</v>
      </c>
      <c r="U261" s="375">
        <v>0.76018067612393248</v>
      </c>
      <c r="V261" s="375">
        <v>0.77092076030609724</v>
      </c>
      <c r="W261" s="375">
        <v>0.76513942709520555</v>
      </c>
    </row>
    <row r="262" spans="2:23" ht="32.25" x14ac:dyDescent="0.25">
      <c r="B262" s="330" t="s">
        <v>967</v>
      </c>
      <c r="C262" s="375">
        <v>0.82369008152457202</v>
      </c>
      <c r="D262" s="375">
        <v>0.6338989389052494</v>
      </c>
      <c r="E262" s="375">
        <v>0.76514692735819134</v>
      </c>
      <c r="F262" s="375">
        <v>0.86492476503173166</v>
      </c>
      <c r="G262" s="375">
        <v>0.84501582740387426</v>
      </c>
      <c r="H262" s="375">
        <v>0.85474834239447772</v>
      </c>
      <c r="I262" s="375">
        <v>0.88003187964037533</v>
      </c>
      <c r="J262" s="375">
        <v>0.92334473537859107</v>
      </c>
      <c r="K262" s="375">
        <v>0.89017750550076113</v>
      </c>
      <c r="L262" s="375">
        <v>0.4957137532612747</v>
      </c>
      <c r="M262" s="375">
        <v>0.71064797343195718</v>
      </c>
      <c r="N262" s="375">
        <v>0.55701826382030573</v>
      </c>
      <c r="O262" s="375">
        <v>0.83705232783095651</v>
      </c>
      <c r="P262" s="375">
        <v>0.87713940626787867</v>
      </c>
      <c r="Q262" s="375">
        <v>0.85459770082962228</v>
      </c>
      <c r="R262" s="375">
        <v>0.79591498300212815</v>
      </c>
      <c r="S262" s="375">
        <v>0.86806759695043079</v>
      </c>
      <c r="T262" s="375">
        <v>0.83206691121714427</v>
      </c>
      <c r="U262" s="375">
        <v>0.80738441839134734</v>
      </c>
      <c r="V262" s="375">
        <v>0.85722988673773859</v>
      </c>
      <c r="W262" s="375">
        <v>0.82767347820128534</v>
      </c>
    </row>
    <row r="263" spans="2:23" ht="70.5" customHeight="1" x14ac:dyDescent="0.25">
      <c r="B263" s="428" t="s">
        <v>965</v>
      </c>
      <c r="C263" s="428"/>
      <c r="D263" s="428"/>
      <c r="E263" s="428"/>
      <c r="F263" s="428"/>
      <c r="G263" s="428"/>
      <c r="H263" s="428"/>
      <c r="I263" s="428"/>
      <c r="J263" s="428"/>
      <c r="K263" s="428"/>
      <c r="L263" s="428"/>
      <c r="M263" s="428"/>
      <c r="N263" s="428"/>
      <c r="O263" s="428"/>
      <c r="P263" s="428"/>
      <c r="Q263" s="428"/>
      <c r="R263" s="428"/>
      <c r="S263" s="428"/>
      <c r="T263" s="428"/>
      <c r="U263" s="428"/>
      <c r="V263" s="428"/>
      <c r="W263" s="428"/>
    </row>
    <row r="272" spans="2:23" ht="18" customHeight="1" x14ac:dyDescent="0.25">
      <c r="J272" s="125"/>
      <c r="K272" s="125"/>
    </row>
  </sheetData>
  <mergeCells count="26">
    <mergeCell ref="I33:K33"/>
    <mergeCell ref="L33:N33"/>
    <mergeCell ref="B263:W263"/>
    <mergeCell ref="U57:W58"/>
    <mergeCell ref="C58:E58"/>
    <mergeCell ref="F58:H58"/>
    <mergeCell ref="I58:K58"/>
    <mergeCell ref="L58:N58"/>
    <mergeCell ref="O58:Q58"/>
    <mergeCell ref="R58:T58"/>
    <mergeCell ref="B7:B9"/>
    <mergeCell ref="C7:N7"/>
    <mergeCell ref="B57:B59"/>
    <mergeCell ref="C57:T57"/>
    <mergeCell ref="B27:Q27"/>
    <mergeCell ref="O7:Q8"/>
    <mergeCell ref="C8:E8"/>
    <mergeCell ref="F8:H8"/>
    <mergeCell ref="I8:K8"/>
    <mergeCell ref="L8:N8"/>
    <mergeCell ref="B52:Q52"/>
    <mergeCell ref="B32:B34"/>
    <mergeCell ref="C32:N32"/>
    <mergeCell ref="O32:Q33"/>
    <mergeCell ref="C33:E33"/>
    <mergeCell ref="F33:H33"/>
  </mergeCells>
  <phoneticPr fontId="27" type="noConversion"/>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187A7-37AD-461A-ABAD-DC27A35DFF58}">
  <sheetPr>
    <tabColor theme="7" tint="0.79998168889431442"/>
  </sheetPr>
  <dimension ref="B1:M15"/>
  <sheetViews>
    <sheetView showGridLines="0" workbookViewId="0"/>
  </sheetViews>
  <sheetFormatPr baseColWidth="10" defaultRowHeight="15" x14ac:dyDescent="0.25"/>
  <cols>
    <col min="1" max="1" width="14.42578125" customWidth="1"/>
  </cols>
  <sheetData>
    <row r="1" spans="2:13" x14ac:dyDescent="0.25">
      <c r="B1" s="387" t="s">
        <v>706</v>
      </c>
      <c r="C1" s="388"/>
      <c r="D1" s="388"/>
      <c r="E1" s="388"/>
      <c r="F1" s="388"/>
      <c r="G1" s="388"/>
      <c r="H1" s="388"/>
      <c r="I1" s="388"/>
      <c r="J1" s="388"/>
      <c r="K1" s="388"/>
      <c r="L1" s="388"/>
      <c r="M1" s="388"/>
    </row>
    <row r="2" spans="2:13" x14ac:dyDescent="0.25">
      <c r="B2" s="388"/>
      <c r="C2" s="388"/>
      <c r="D2" s="388"/>
      <c r="E2" s="388"/>
      <c r="F2" s="388"/>
      <c r="G2" s="388"/>
      <c r="H2" s="388"/>
      <c r="I2" s="388"/>
      <c r="J2" s="388"/>
      <c r="K2" s="388"/>
      <c r="L2" s="388"/>
      <c r="M2" s="388"/>
    </row>
    <row r="3" spans="2:13" x14ac:dyDescent="0.25">
      <c r="B3" s="388"/>
      <c r="C3" s="388"/>
      <c r="D3" s="388"/>
      <c r="E3" s="388"/>
      <c r="F3" s="388"/>
      <c r="G3" s="388"/>
      <c r="H3" s="388"/>
      <c r="I3" s="388"/>
      <c r="J3" s="388"/>
      <c r="K3" s="388"/>
      <c r="L3" s="388"/>
      <c r="M3" s="388"/>
    </row>
    <row r="4" spans="2:13" x14ac:dyDescent="0.25">
      <c r="B4" s="388"/>
      <c r="C4" s="388"/>
      <c r="D4" s="388"/>
      <c r="E4" s="388"/>
      <c r="F4" s="388"/>
      <c r="G4" s="388"/>
      <c r="H4" s="388"/>
      <c r="I4" s="388"/>
      <c r="J4" s="388"/>
      <c r="K4" s="388"/>
      <c r="L4" s="388"/>
      <c r="M4" s="388"/>
    </row>
    <row r="5" spans="2:13" x14ac:dyDescent="0.25">
      <c r="B5" s="388"/>
      <c r="C5" s="388"/>
      <c r="D5" s="388"/>
      <c r="E5" s="388"/>
      <c r="F5" s="388"/>
      <c r="G5" s="388"/>
      <c r="H5" s="388"/>
      <c r="I5" s="388"/>
      <c r="J5" s="388"/>
      <c r="K5" s="388"/>
      <c r="L5" s="388"/>
      <c r="M5" s="388"/>
    </row>
    <row r="6" spans="2:13" ht="15.75" x14ac:dyDescent="0.25">
      <c r="B6" s="232"/>
      <c r="C6" s="232"/>
      <c r="D6" s="232"/>
      <c r="E6" s="232"/>
      <c r="F6" s="232"/>
      <c r="G6" s="232"/>
      <c r="H6" s="232"/>
      <c r="I6" s="232"/>
      <c r="J6" s="232"/>
      <c r="K6" s="232"/>
      <c r="L6" s="232"/>
      <c r="M6" s="232"/>
    </row>
    <row r="8" spans="2:13" ht="15.75" thickBot="1" x14ac:dyDescent="0.3"/>
    <row r="9" spans="2:13" ht="21.75" thickBot="1" x14ac:dyDescent="0.4">
      <c r="B9" s="475" t="s">
        <v>727</v>
      </c>
      <c r="C9" s="476"/>
      <c r="D9" s="476"/>
      <c r="E9" s="476"/>
      <c r="F9" s="476"/>
      <c r="G9" s="476"/>
      <c r="H9" s="476"/>
      <c r="I9" s="476"/>
      <c r="J9" s="476"/>
      <c r="K9" s="476"/>
      <c r="L9" s="476"/>
      <c r="M9" s="477"/>
    </row>
    <row r="10" spans="2:13" ht="15.75" x14ac:dyDescent="0.25">
      <c r="B10" s="393" t="s">
        <v>831</v>
      </c>
      <c r="C10" s="393"/>
      <c r="D10" s="393"/>
      <c r="E10" s="393"/>
      <c r="F10" s="393"/>
      <c r="G10" s="393"/>
      <c r="H10" s="393"/>
      <c r="I10" s="393"/>
      <c r="J10" s="393"/>
      <c r="K10" s="393"/>
      <c r="L10" s="393"/>
      <c r="M10" s="393"/>
    </row>
    <row r="11" spans="2:13" x14ac:dyDescent="0.25">
      <c r="B11" s="389"/>
      <c r="C11" s="389"/>
      <c r="D11" s="389"/>
      <c r="E11" s="389"/>
      <c r="F11" s="389"/>
      <c r="G11" s="389"/>
      <c r="H11" s="389"/>
      <c r="I11" s="389"/>
      <c r="J11" s="389"/>
      <c r="K11" s="389"/>
      <c r="L11" s="389"/>
      <c r="M11" s="389"/>
    </row>
    <row r="12" spans="2:13" x14ac:dyDescent="0.25">
      <c r="B12" s="528" t="s">
        <v>728</v>
      </c>
      <c r="C12" s="528"/>
      <c r="D12" s="528"/>
      <c r="E12" s="528"/>
      <c r="F12" s="528"/>
      <c r="G12" s="528"/>
      <c r="H12" s="528"/>
      <c r="I12" s="528"/>
      <c r="J12" s="528"/>
      <c r="K12" s="528"/>
      <c r="L12" s="528"/>
      <c r="M12" s="528"/>
    </row>
    <row r="13" spans="2:13" x14ac:dyDescent="0.25">
      <c r="B13" s="527" t="s">
        <v>806</v>
      </c>
      <c r="C13" s="527"/>
      <c r="D13" s="527"/>
      <c r="E13" s="527"/>
      <c r="F13" s="527"/>
      <c r="G13" s="527"/>
      <c r="H13" s="527"/>
      <c r="I13" s="527"/>
      <c r="J13" s="527"/>
      <c r="K13" s="527"/>
      <c r="L13" s="527"/>
      <c r="M13" s="527"/>
    </row>
    <row r="14" spans="2:13" x14ac:dyDescent="0.25">
      <c r="B14" s="527" t="s">
        <v>729</v>
      </c>
      <c r="C14" s="527"/>
      <c r="D14" s="527"/>
      <c r="E14" s="527"/>
      <c r="F14" s="527"/>
      <c r="G14" s="527"/>
      <c r="H14" s="527"/>
      <c r="I14" s="527"/>
      <c r="J14" s="527"/>
      <c r="K14" s="527"/>
      <c r="L14" s="527"/>
      <c r="M14" s="527"/>
    </row>
    <row r="15" spans="2:13" x14ac:dyDescent="0.25">
      <c r="B15" s="527" t="s">
        <v>730</v>
      </c>
      <c r="C15" s="527"/>
      <c r="D15" s="527"/>
      <c r="E15" s="527"/>
      <c r="F15" s="527"/>
      <c r="G15" s="527"/>
      <c r="H15" s="527"/>
      <c r="I15" s="527"/>
      <c r="J15" s="527"/>
      <c r="K15" s="527"/>
      <c r="L15" s="527"/>
      <c r="M15" s="527"/>
    </row>
  </sheetData>
  <mergeCells count="8">
    <mergeCell ref="B13:M13"/>
    <mergeCell ref="B14:M14"/>
    <mergeCell ref="B15:M15"/>
    <mergeCell ref="B1:M5"/>
    <mergeCell ref="B9:M9"/>
    <mergeCell ref="B10:M10"/>
    <mergeCell ref="B11:M11"/>
    <mergeCell ref="B12:M12"/>
  </mergeCells>
  <hyperlinks>
    <hyperlink ref="B12:M12" location="'3.1'!A1" display="1. Bono por Hijo" xr:uid="{DD64FFDB-C185-4B2E-A48B-66676FEB3B7D}"/>
    <hyperlink ref="B13:M13" location="'3.1'!B4" display="i. Concesiones de Bono por Hijo por región" xr:uid="{852010DB-5DA1-4738-889E-79374345C271}"/>
    <hyperlink ref="B14:M14" location="'3.1'!B45" display="ii. Serie Resumen de Estado de solicitudes de Bono por Hijo" xr:uid="{D3E6018D-80C5-4068-BC63-F1AE121EA14B}"/>
    <hyperlink ref="B15:M15" location="'3.1'!B187" display="iii. Serie resumen de concesiones de Bono por Hijo por tipo de beneficio" xr:uid="{71808061-4506-413B-86F3-9B8BFABA132A}"/>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ABDE9-11E1-41AC-8FA3-C1F60740B620}">
  <sheetPr>
    <tabColor rgb="FFFFFF00"/>
  </sheetPr>
  <dimension ref="B2:J340"/>
  <sheetViews>
    <sheetView showGridLines="0" zoomScaleNormal="100" workbookViewId="0"/>
  </sheetViews>
  <sheetFormatPr baseColWidth="10" defaultRowHeight="15" outlineLevelRow="1" x14ac:dyDescent="0.25"/>
  <cols>
    <col min="2" max="2" width="30.42578125" customWidth="1"/>
    <col min="3" max="3" width="23" customWidth="1"/>
    <col min="4" max="4" width="23.140625" customWidth="1"/>
    <col min="5" max="5" width="18.28515625" customWidth="1"/>
    <col min="6" max="6" width="22.42578125" customWidth="1"/>
    <col min="7" max="7" width="18.5703125" customWidth="1"/>
    <col min="8" max="8" width="24.28515625" customWidth="1"/>
    <col min="9" max="9" width="15.5703125" customWidth="1"/>
    <col min="10" max="10" width="22.85546875" customWidth="1"/>
  </cols>
  <sheetData>
    <row r="2" spans="2:8" ht="23.25" x14ac:dyDescent="0.25">
      <c r="B2" s="1" t="s">
        <v>716</v>
      </c>
    </row>
    <row r="4" spans="2:8" ht="18.75" x14ac:dyDescent="0.3">
      <c r="B4" s="2" t="s">
        <v>805</v>
      </c>
      <c r="C4" s="8"/>
      <c r="D4" s="8"/>
    </row>
    <row r="5" spans="2:8" x14ac:dyDescent="0.25">
      <c r="B5" s="15" t="s">
        <v>866</v>
      </c>
      <c r="C5" s="15"/>
      <c r="D5" s="15"/>
      <c r="E5" s="15"/>
      <c r="F5" s="15"/>
      <c r="G5" s="15"/>
      <c r="H5" s="15"/>
    </row>
    <row r="6" spans="2:8" x14ac:dyDescent="0.25">
      <c r="B6" s="15"/>
      <c r="C6" s="15"/>
      <c r="D6" s="15"/>
      <c r="E6" s="15"/>
      <c r="F6" s="15"/>
      <c r="G6" s="15"/>
      <c r="H6" s="15"/>
    </row>
    <row r="7" spans="2:8" x14ac:dyDescent="0.25">
      <c r="B7" s="479" t="s">
        <v>521</v>
      </c>
      <c r="C7" s="480" t="s">
        <v>808</v>
      </c>
      <c r="D7" s="407" t="s">
        <v>33</v>
      </c>
      <c r="E7" s="407"/>
      <c r="F7" s="407" t="s">
        <v>807</v>
      </c>
      <c r="G7" s="407"/>
      <c r="H7" s="478" t="s">
        <v>25</v>
      </c>
    </row>
    <row r="8" spans="2:8" ht="28.5" customHeight="1" x14ac:dyDescent="0.25">
      <c r="B8" s="479"/>
      <c r="C8" s="480"/>
      <c r="D8" s="245" t="s">
        <v>651</v>
      </c>
      <c r="E8" s="343" t="s">
        <v>485</v>
      </c>
      <c r="F8" s="343" t="s">
        <v>485</v>
      </c>
      <c r="G8" s="343" t="s">
        <v>809</v>
      </c>
      <c r="H8" s="478"/>
    </row>
    <row r="9" spans="2:8" x14ac:dyDescent="0.25">
      <c r="B9" s="480" t="s">
        <v>519</v>
      </c>
      <c r="C9" s="345" t="s">
        <v>717</v>
      </c>
      <c r="D9" s="346">
        <v>67</v>
      </c>
      <c r="E9" s="277">
        <v>2</v>
      </c>
      <c r="F9" s="277">
        <v>7</v>
      </c>
      <c r="G9" s="277">
        <v>214</v>
      </c>
      <c r="H9" s="347">
        <v>290</v>
      </c>
    </row>
    <row r="10" spans="2:8" x14ac:dyDescent="0.25">
      <c r="B10" s="480"/>
      <c r="C10" s="345" t="s">
        <v>715</v>
      </c>
      <c r="D10" s="277">
        <v>199</v>
      </c>
      <c r="E10" s="277">
        <v>6</v>
      </c>
      <c r="F10" s="277">
        <v>19</v>
      </c>
      <c r="G10" s="277">
        <v>607</v>
      </c>
      <c r="H10" s="347">
        <v>831</v>
      </c>
    </row>
    <row r="11" spans="2:8" x14ac:dyDescent="0.25">
      <c r="B11" s="480" t="s">
        <v>505</v>
      </c>
      <c r="C11" s="345" t="s">
        <v>717</v>
      </c>
      <c r="D11" s="346">
        <v>89</v>
      </c>
      <c r="E11" s="277">
        <v>4</v>
      </c>
      <c r="F11" s="277">
        <v>2</v>
      </c>
      <c r="G11" s="277">
        <v>239</v>
      </c>
      <c r="H11" s="347">
        <v>334</v>
      </c>
    </row>
    <row r="12" spans="2:8" x14ac:dyDescent="0.25">
      <c r="B12" s="480"/>
      <c r="C12" s="345" t="s">
        <v>715</v>
      </c>
      <c r="D12" s="277">
        <v>285</v>
      </c>
      <c r="E12" s="277">
        <v>13</v>
      </c>
      <c r="F12" s="277">
        <v>5</v>
      </c>
      <c r="G12" s="277">
        <v>636</v>
      </c>
      <c r="H12" s="347">
        <v>939</v>
      </c>
    </row>
    <row r="13" spans="2:8" x14ac:dyDescent="0.25">
      <c r="B13" s="480" t="s">
        <v>506</v>
      </c>
      <c r="C13" s="345" t="s">
        <v>717</v>
      </c>
      <c r="D13" s="346">
        <v>174</v>
      </c>
      <c r="E13" s="277">
        <v>5</v>
      </c>
      <c r="F13" s="277">
        <v>24</v>
      </c>
      <c r="G13" s="277">
        <v>452</v>
      </c>
      <c r="H13" s="347">
        <v>655</v>
      </c>
    </row>
    <row r="14" spans="2:8" x14ac:dyDescent="0.25">
      <c r="B14" s="480"/>
      <c r="C14" s="345" t="s">
        <v>715</v>
      </c>
      <c r="D14" s="277">
        <v>558</v>
      </c>
      <c r="E14" s="277">
        <v>12</v>
      </c>
      <c r="F14" s="277">
        <v>86</v>
      </c>
      <c r="G14" s="277">
        <v>1183</v>
      </c>
      <c r="H14" s="347">
        <v>1839</v>
      </c>
    </row>
    <row r="15" spans="2:8" x14ac:dyDescent="0.25">
      <c r="B15" s="480" t="s">
        <v>507</v>
      </c>
      <c r="C15" s="345" t="s">
        <v>717</v>
      </c>
      <c r="D15" s="346">
        <v>87</v>
      </c>
      <c r="E15" s="277">
        <v>1</v>
      </c>
      <c r="F15" s="277">
        <v>10</v>
      </c>
      <c r="G15" s="277">
        <v>309</v>
      </c>
      <c r="H15" s="347">
        <v>407</v>
      </c>
    </row>
    <row r="16" spans="2:8" x14ac:dyDescent="0.25">
      <c r="B16" s="480"/>
      <c r="C16" s="345" t="s">
        <v>715</v>
      </c>
      <c r="D16" s="277">
        <v>280</v>
      </c>
      <c r="E16" s="277">
        <v>4</v>
      </c>
      <c r="F16" s="277">
        <v>38</v>
      </c>
      <c r="G16" s="277">
        <v>853</v>
      </c>
      <c r="H16" s="347">
        <v>1175</v>
      </c>
    </row>
    <row r="17" spans="2:8" x14ac:dyDescent="0.25">
      <c r="B17" s="480" t="s">
        <v>508</v>
      </c>
      <c r="C17" s="345" t="s">
        <v>717</v>
      </c>
      <c r="D17" s="346">
        <v>289</v>
      </c>
      <c r="E17" s="277">
        <v>5</v>
      </c>
      <c r="F17" s="277">
        <v>28</v>
      </c>
      <c r="G17" s="277">
        <v>947</v>
      </c>
      <c r="H17" s="347">
        <v>1269</v>
      </c>
    </row>
    <row r="18" spans="2:8" x14ac:dyDescent="0.25">
      <c r="B18" s="480"/>
      <c r="C18" s="345" t="s">
        <v>715</v>
      </c>
      <c r="D18" s="277">
        <v>909</v>
      </c>
      <c r="E18" s="277">
        <v>9</v>
      </c>
      <c r="F18" s="277">
        <v>103</v>
      </c>
      <c r="G18" s="277">
        <v>2498</v>
      </c>
      <c r="H18" s="347">
        <v>3519</v>
      </c>
    </row>
    <row r="19" spans="2:8" x14ac:dyDescent="0.25">
      <c r="B19" s="480" t="s">
        <v>509</v>
      </c>
      <c r="C19" s="345" t="s">
        <v>717</v>
      </c>
      <c r="D19" s="346">
        <v>674</v>
      </c>
      <c r="E19" s="277">
        <v>15</v>
      </c>
      <c r="F19" s="277">
        <v>42</v>
      </c>
      <c r="G19" s="277">
        <v>2401</v>
      </c>
      <c r="H19" s="347">
        <v>3132</v>
      </c>
    </row>
    <row r="20" spans="2:8" x14ac:dyDescent="0.25">
      <c r="B20" s="480"/>
      <c r="C20" s="345" t="s">
        <v>715</v>
      </c>
      <c r="D20" s="277">
        <v>2104</v>
      </c>
      <c r="E20" s="277">
        <v>47</v>
      </c>
      <c r="F20" s="277">
        <v>138</v>
      </c>
      <c r="G20" s="277">
        <v>6252</v>
      </c>
      <c r="H20" s="347">
        <v>8541</v>
      </c>
    </row>
    <row r="21" spans="2:8" x14ac:dyDescent="0.25">
      <c r="B21" s="480" t="s">
        <v>517</v>
      </c>
      <c r="C21" s="345" t="s">
        <v>717</v>
      </c>
      <c r="D21" s="346">
        <v>1766</v>
      </c>
      <c r="E21" s="277">
        <v>32</v>
      </c>
      <c r="F21" s="277">
        <v>158</v>
      </c>
      <c r="G21" s="277">
        <v>7613</v>
      </c>
      <c r="H21" s="347">
        <v>9569</v>
      </c>
    </row>
    <row r="22" spans="2:8" x14ac:dyDescent="0.25">
      <c r="B22" s="480"/>
      <c r="C22" s="345" t="s">
        <v>715</v>
      </c>
      <c r="D22" s="277">
        <v>5363</v>
      </c>
      <c r="E22" s="277">
        <v>123</v>
      </c>
      <c r="F22" s="277">
        <v>492</v>
      </c>
      <c r="G22" s="277">
        <v>19908</v>
      </c>
      <c r="H22" s="347">
        <v>25886</v>
      </c>
    </row>
    <row r="23" spans="2:8" ht="15" customHeight="1" x14ac:dyDescent="0.25">
      <c r="B23" s="480" t="s">
        <v>510</v>
      </c>
      <c r="C23" s="245" t="s">
        <v>717</v>
      </c>
      <c r="D23" s="346">
        <v>272</v>
      </c>
      <c r="E23" s="277">
        <v>20</v>
      </c>
      <c r="F23" s="277">
        <v>29</v>
      </c>
      <c r="G23" s="277">
        <v>1195</v>
      </c>
      <c r="H23" s="347">
        <v>1516</v>
      </c>
    </row>
    <row r="24" spans="2:8" x14ac:dyDescent="0.25">
      <c r="B24" s="480"/>
      <c r="C24" s="245" t="s">
        <v>715</v>
      </c>
      <c r="D24" s="277">
        <v>781</v>
      </c>
      <c r="E24" s="277">
        <v>96</v>
      </c>
      <c r="F24" s="277">
        <v>95</v>
      </c>
      <c r="G24" s="277">
        <v>3218</v>
      </c>
      <c r="H24" s="347">
        <v>4190</v>
      </c>
    </row>
    <row r="25" spans="2:8" x14ac:dyDescent="0.25">
      <c r="B25" s="480" t="s">
        <v>511</v>
      </c>
      <c r="C25" s="345" t="s">
        <v>717</v>
      </c>
      <c r="D25" s="346">
        <v>416</v>
      </c>
      <c r="E25" s="277">
        <v>10</v>
      </c>
      <c r="F25" s="277">
        <v>28</v>
      </c>
      <c r="G25" s="277">
        <v>1347</v>
      </c>
      <c r="H25" s="347">
        <v>1801</v>
      </c>
    </row>
    <row r="26" spans="2:8" x14ac:dyDescent="0.25">
      <c r="B26" s="480"/>
      <c r="C26" s="345" t="s">
        <v>715</v>
      </c>
      <c r="D26" s="277">
        <v>1283</v>
      </c>
      <c r="E26" s="277">
        <v>36</v>
      </c>
      <c r="F26" s="277">
        <v>103</v>
      </c>
      <c r="G26" s="277">
        <v>3624</v>
      </c>
      <c r="H26" s="347">
        <v>5046</v>
      </c>
    </row>
    <row r="27" spans="2:8" x14ac:dyDescent="0.25">
      <c r="B27" s="480" t="s">
        <v>520</v>
      </c>
      <c r="C27" s="345" t="s">
        <v>717</v>
      </c>
      <c r="D27" s="346">
        <v>285</v>
      </c>
      <c r="E27" s="277">
        <v>9</v>
      </c>
      <c r="F27" s="277">
        <v>28</v>
      </c>
      <c r="G27" s="277">
        <v>589</v>
      </c>
      <c r="H27" s="347">
        <v>911</v>
      </c>
    </row>
    <row r="28" spans="2:8" x14ac:dyDescent="0.25">
      <c r="B28" s="480"/>
      <c r="C28" s="345" t="s">
        <v>715</v>
      </c>
      <c r="D28" s="277">
        <v>898</v>
      </c>
      <c r="E28" s="277">
        <v>47</v>
      </c>
      <c r="F28" s="277">
        <v>93</v>
      </c>
      <c r="G28" s="277">
        <v>1626</v>
      </c>
      <c r="H28" s="347">
        <v>2664</v>
      </c>
    </row>
    <row r="29" spans="2:8" x14ac:dyDescent="0.25">
      <c r="B29" s="480" t="s">
        <v>512</v>
      </c>
      <c r="C29" s="345" t="s">
        <v>717</v>
      </c>
      <c r="D29" s="346">
        <v>791</v>
      </c>
      <c r="E29" s="277">
        <v>36</v>
      </c>
      <c r="F29" s="277">
        <v>84</v>
      </c>
      <c r="G29" s="277">
        <v>1714</v>
      </c>
      <c r="H29" s="347">
        <v>2625</v>
      </c>
    </row>
    <row r="30" spans="2:8" x14ac:dyDescent="0.25">
      <c r="B30" s="480"/>
      <c r="C30" s="345" t="s">
        <v>715</v>
      </c>
      <c r="D30" s="277">
        <v>2516</v>
      </c>
      <c r="E30" s="277">
        <v>118</v>
      </c>
      <c r="F30" s="277">
        <v>289</v>
      </c>
      <c r="G30" s="277">
        <v>4530</v>
      </c>
      <c r="H30" s="347">
        <v>7453</v>
      </c>
    </row>
    <row r="31" spans="2:8" x14ac:dyDescent="0.25">
      <c r="B31" s="480" t="s">
        <v>513</v>
      </c>
      <c r="C31" s="345" t="s">
        <v>717</v>
      </c>
      <c r="D31" s="346">
        <v>525</v>
      </c>
      <c r="E31" s="277">
        <v>9</v>
      </c>
      <c r="F31" s="277">
        <v>36</v>
      </c>
      <c r="G31" s="277">
        <v>1104</v>
      </c>
      <c r="H31" s="347">
        <v>1674</v>
      </c>
    </row>
    <row r="32" spans="2:8" x14ac:dyDescent="0.25">
      <c r="B32" s="480"/>
      <c r="C32" s="345" t="s">
        <v>715</v>
      </c>
      <c r="D32" s="277">
        <v>1796</v>
      </c>
      <c r="E32" s="277">
        <v>36</v>
      </c>
      <c r="F32" s="277">
        <v>142</v>
      </c>
      <c r="G32" s="277">
        <v>2998</v>
      </c>
      <c r="H32" s="347">
        <v>4972</v>
      </c>
    </row>
    <row r="33" spans="2:8" x14ac:dyDescent="0.25">
      <c r="B33" s="480" t="s">
        <v>518</v>
      </c>
      <c r="C33" s="345" t="s">
        <v>717</v>
      </c>
      <c r="D33" s="346">
        <v>171</v>
      </c>
      <c r="E33" s="277">
        <v>5</v>
      </c>
      <c r="F33" s="277">
        <v>12</v>
      </c>
      <c r="G33" s="277">
        <v>471</v>
      </c>
      <c r="H33" s="347">
        <v>659</v>
      </c>
    </row>
    <row r="34" spans="2:8" x14ac:dyDescent="0.25">
      <c r="B34" s="480"/>
      <c r="C34" s="345" t="s">
        <v>715</v>
      </c>
      <c r="D34" s="277">
        <v>526</v>
      </c>
      <c r="E34" s="277">
        <v>11</v>
      </c>
      <c r="F34" s="277">
        <v>28</v>
      </c>
      <c r="G34" s="277">
        <v>1244</v>
      </c>
      <c r="H34" s="347">
        <v>1809</v>
      </c>
    </row>
    <row r="35" spans="2:8" x14ac:dyDescent="0.25">
      <c r="B35" s="480" t="s">
        <v>514</v>
      </c>
      <c r="C35" s="345" t="s">
        <v>717</v>
      </c>
      <c r="D35" s="346">
        <v>305</v>
      </c>
      <c r="E35" s="277">
        <v>6</v>
      </c>
      <c r="F35" s="277">
        <v>27</v>
      </c>
      <c r="G35" s="277">
        <v>959</v>
      </c>
      <c r="H35" s="347">
        <v>1297</v>
      </c>
    </row>
    <row r="36" spans="2:8" x14ac:dyDescent="0.25">
      <c r="B36" s="480"/>
      <c r="C36" s="345" t="s">
        <v>715</v>
      </c>
      <c r="D36" s="277">
        <v>933</v>
      </c>
      <c r="E36" s="277">
        <v>21</v>
      </c>
      <c r="F36" s="277">
        <v>84</v>
      </c>
      <c r="G36" s="277">
        <v>2594</v>
      </c>
      <c r="H36" s="347">
        <v>3632</v>
      </c>
    </row>
    <row r="37" spans="2:8" ht="15" customHeight="1" x14ac:dyDescent="0.25">
      <c r="B37" s="480" t="s">
        <v>515</v>
      </c>
      <c r="C37" s="245" t="s">
        <v>717</v>
      </c>
      <c r="D37" s="346">
        <v>17</v>
      </c>
      <c r="E37" s="277">
        <v>1</v>
      </c>
      <c r="F37" s="277">
        <v>0</v>
      </c>
      <c r="G37" s="277">
        <v>118</v>
      </c>
      <c r="H37" s="347">
        <v>136</v>
      </c>
    </row>
    <row r="38" spans="2:8" x14ac:dyDescent="0.25">
      <c r="B38" s="480"/>
      <c r="C38" s="245" t="s">
        <v>715</v>
      </c>
      <c r="D38" s="277">
        <v>47</v>
      </c>
      <c r="E38" s="277">
        <v>2</v>
      </c>
      <c r="F38" s="277">
        <v>0</v>
      </c>
      <c r="G38" s="277">
        <v>323</v>
      </c>
      <c r="H38" s="347">
        <v>372</v>
      </c>
    </row>
    <row r="39" spans="2:8" ht="15" customHeight="1" x14ac:dyDescent="0.25">
      <c r="B39" s="480" t="s">
        <v>516</v>
      </c>
      <c r="C39" s="245" t="s">
        <v>717</v>
      </c>
      <c r="D39" s="346">
        <v>32</v>
      </c>
      <c r="E39" s="277">
        <v>1</v>
      </c>
      <c r="F39" s="277">
        <v>3</v>
      </c>
      <c r="G39" s="277">
        <v>195</v>
      </c>
      <c r="H39" s="347">
        <v>231</v>
      </c>
    </row>
    <row r="40" spans="2:8" x14ac:dyDescent="0.25">
      <c r="B40" s="480"/>
      <c r="C40" s="245" t="s">
        <v>715</v>
      </c>
      <c r="D40" s="277">
        <v>88</v>
      </c>
      <c r="E40" s="277">
        <v>3</v>
      </c>
      <c r="F40" s="277">
        <v>8</v>
      </c>
      <c r="G40" s="277">
        <v>488</v>
      </c>
      <c r="H40" s="347">
        <v>587</v>
      </c>
    </row>
    <row r="41" spans="2:8" x14ac:dyDescent="0.25">
      <c r="B41" s="489" t="s">
        <v>802</v>
      </c>
      <c r="C41" s="348" t="s">
        <v>717</v>
      </c>
      <c r="D41" s="347">
        <v>5960</v>
      </c>
      <c r="E41" s="347">
        <v>161</v>
      </c>
      <c r="F41" s="347">
        <v>518</v>
      </c>
      <c r="G41" s="347">
        <v>19867</v>
      </c>
      <c r="H41" s="347">
        <v>26506</v>
      </c>
    </row>
    <row r="42" spans="2:8" x14ac:dyDescent="0.25">
      <c r="B42" s="489"/>
      <c r="C42" s="348" t="s">
        <v>715</v>
      </c>
      <c r="D42" s="347">
        <v>18566</v>
      </c>
      <c r="E42" s="347">
        <v>584</v>
      </c>
      <c r="F42" s="347">
        <v>1723</v>
      </c>
      <c r="G42" s="347">
        <v>52582</v>
      </c>
      <c r="H42" s="347">
        <v>73455</v>
      </c>
    </row>
    <row r="43" spans="2:8" x14ac:dyDescent="0.25">
      <c r="B43" s="4" t="s">
        <v>815</v>
      </c>
    </row>
    <row r="45" spans="2:8" ht="18.75" x14ac:dyDescent="0.3">
      <c r="B45" s="2" t="s">
        <v>718</v>
      </c>
      <c r="C45" s="2"/>
      <c r="D45" s="2"/>
      <c r="E45" s="2"/>
    </row>
    <row r="46" spans="2:8" x14ac:dyDescent="0.25">
      <c r="B46" s="3" t="s">
        <v>873</v>
      </c>
    </row>
    <row r="48" spans="2:8" ht="30" x14ac:dyDescent="0.25">
      <c r="B48" s="246" t="s">
        <v>472</v>
      </c>
      <c r="C48" s="247" t="s">
        <v>719</v>
      </c>
      <c r="D48" s="247" t="s">
        <v>720</v>
      </c>
      <c r="E48" s="247" t="s">
        <v>486</v>
      </c>
    </row>
    <row r="49" spans="2:5" x14ac:dyDescent="0.25">
      <c r="B49" s="381" t="s">
        <v>721</v>
      </c>
      <c r="C49" s="382">
        <v>23671</v>
      </c>
      <c r="D49" s="382"/>
      <c r="E49" s="382">
        <v>23671</v>
      </c>
    </row>
    <row r="50" spans="2:5" x14ac:dyDescent="0.25">
      <c r="B50" s="381" t="s">
        <v>29</v>
      </c>
      <c r="C50" s="382">
        <v>90591</v>
      </c>
      <c r="D50" s="382"/>
      <c r="E50" s="382">
        <v>90591</v>
      </c>
    </row>
    <row r="51" spans="2:5" x14ac:dyDescent="0.25">
      <c r="B51" s="381" t="s">
        <v>30</v>
      </c>
      <c r="C51" s="382">
        <v>105822</v>
      </c>
      <c r="D51" s="382"/>
      <c r="E51" s="382">
        <v>105822</v>
      </c>
    </row>
    <row r="52" spans="2:5" x14ac:dyDescent="0.25">
      <c r="B52" s="381" t="s">
        <v>722</v>
      </c>
      <c r="C52" s="382">
        <v>54727</v>
      </c>
      <c r="D52" s="382"/>
      <c r="E52" s="382">
        <v>54727</v>
      </c>
    </row>
    <row r="53" spans="2:5" x14ac:dyDescent="0.25">
      <c r="B53" s="381" t="s">
        <v>34</v>
      </c>
      <c r="C53" s="382">
        <v>38385</v>
      </c>
      <c r="D53" s="382"/>
      <c r="E53" s="382">
        <v>38385</v>
      </c>
    </row>
    <row r="54" spans="2:5" hidden="1" outlineLevel="1" x14ac:dyDescent="0.25">
      <c r="B54" s="332">
        <v>41640</v>
      </c>
      <c r="C54" s="333">
        <v>3012</v>
      </c>
      <c r="D54" s="333">
        <v>385</v>
      </c>
      <c r="E54" s="333">
        <v>3397</v>
      </c>
    </row>
    <row r="55" spans="2:5" hidden="1" outlineLevel="1" x14ac:dyDescent="0.25">
      <c r="B55" s="332">
        <v>41671</v>
      </c>
      <c r="C55" s="333">
        <v>3146</v>
      </c>
      <c r="D55" s="333">
        <v>307</v>
      </c>
      <c r="E55" s="333">
        <v>3453</v>
      </c>
    </row>
    <row r="56" spans="2:5" hidden="1" outlineLevel="1" x14ac:dyDescent="0.25">
      <c r="B56" s="332">
        <v>41699</v>
      </c>
      <c r="C56" s="333">
        <v>2820</v>
      </c>
      <c r="D56" s="333">
        <v>401</v>
      </c>
      <c r="E56" s="333">
        <v>3221</v>
      </c>
    </row>
    <row r="57" spans="2:5" hidden="1" outlineLevel="1" x14ac:dyDescent="0.25">
      <c r="B57" s="332">
        <v>41730</v>
      </c>
      <c r="C57" s="333">
        <v>3671</v>
      </c>
      <c r="D57" s="333">
        <v>837</v>
      </c>
      <c r="E57" s="333">
        <v>4508</v>
      </c>
    </row>
    <row r="58" spans="2:5" hidden="1" outlineLevel="1" x14ac:dyDescent="0.25">
      <c r="B58" s="332">
        <v>41760</v>
      </c>
      <c r="C58" s="333">
        <v>3405</v>
      </c>
      <c r="D58" s="333">
        <v>637</v>
      </c>
      <c r="E58" s="333">
        <v>4042</v>
      </c>
    </row>
    <row r="59" spans="2:5" hidden="1" outlineLevel="1" x14ac:dyDescent="0.25">
      <c r="B59" s="332">
        <v>41791</v>
      </c>
      <c r="C59" s="333">
        <v>3448</v>
      </c>
      <c r="D59" s="333">
        <v>551</v>
      </c>
      <c r="E59" s="333">
        <v>3999</v>
      </c>
    </row>
    <row r="60" spans="2:5" hidden="1" outlineLevel="1" x14ac:dyDescent="0.25">
      <c r="B60" s="332">
        <v>41821</v>
      </c>
      <c r="C60" s="333">
        <v>3132</v>
      </c>
      <c r="D60" s="333">
        <v>431</v>
      </c>
      <c r="E60" s="333">
        <v>3563</v>
      </c>
    </row>
    <row r="61" spans="2:5" hidden="1" outlineLevel="1" x14ac:dyDescent="0.25">
      <c r="B61" s="332">
        <v>41852</v>
      </c>
      <c r="C61" s="333">
        <v>3702</v>
      </c>
      <c r="D61" s="333">
        <v>437</v>
      </c>
      <c r="E61" s="333">
        <v>4139</v>
      </c>
    </row>
    <row r="62" spans="2:5" hidden="1" outlineLevel="1" x14ac:dyDescent="0.25">
      <c r="B62" s="332">
        <v>41883</v>
      </c>
      <c r="C62" s="333">
        <v>4118</v>
      </c>
      <c r="D62" s="333">
        <v>391</v>
      </c>
      <c r="E62" s="333">
        <v>4509</v>
      </c>
    </row>
    <row r="63" spans="2:5" hidden="1" outlineLevel="1" x14ac:dyDescent="0.25">
      <c r="B63" s="332">
        <v>41913</v>
      </c>
      <c r="C63" s="333">
        <v>4714</v>
      </c>
      <c r="D63" s="333">
        <v>491</v>
      </c>
      <c r="E63" s="333">
        <v>5205</v>
      </c>
    </row>
    <row r="64" spans="2:5" hidden="1" outlineLevel="1" x14ac:dyDescent="0.25">
      <c r="B64" s="332">
        <v>41944</v>
      </c>
      <c r="C64" s="333">
        <v>4499</v>
      </c>
      <c r="D64" s="333">
        <v>402</v>
      </c>
      <c r="E64" s="333">
        <v>4901</v>
      </c>
    </row>
    <row r="65" spans="2:5" hidden="1" outlineLevel="1" x14ac:dyDescent="0.25">
      <c r="B65" s="332">
        <v>41974</v>
      </c>
      <c r="C65" s="333">
        <v>4587</v>
      </c>
      <c r="D65" s="333">
        <v>501</v>
      </c>
      <c r="E65" s="333">
        <v>5088</v>
      </c>
    </row>
    <row r="66" spans="2:5" collapsed="1" x14ac:dyDescent="0.25">
      <c r="B66" s="381" t="s">
        <v>36</v>
      </c>
      <c r="C66" s="382">
        <v>44254</v>
      </c>
      <c r="D66" s="382">
        <v>5771</v>
      </c>
      <c r="E66" s="382">
        <v>50025</v>
      </c>
    </row>
    <row r="67" spans="2:5" hidden="1" outlineLevel="1" x14ac:dyDescent="0.25">
      <c r="B67" s="332">
        <v>42005</v>
      </c>
      <c r="C67" s="333">
        <v>3692</v>
      </c>
      <c r="D67" s="333">
        <v>452</v>
      </c>
      <c r="E67" s="333">
        <v>4144</v>
      </c>
    </row>
    <row r="68" spans="2:5" hidden="1" outlineLevel="1" x14ac:dyDescent="0.25">
      <c r="B68" s="332">
        <v>42036</v>
      </c>
      <c r="C68" s="333">
        <v>3089</v>
      </c>
      <c r="D68" s="333">
        <v>314</v>
      </c>
      <c r="E68" s="333">
        <v>3403</v>
      </c>
    </row>
    <row r="69" spans="2:5" hidden="1" outlineLevel="1" x14ac:dyDescent="0.25">
      <c r="B69" s="332">
        <v>42064</v>
      </c>
      <c r="C69" s="333">
        <v>3959</v>
      </c>
      <c r="D69" s="333">
        <v>437</v>
      </c>
      <c r="E69" s="333">
        <v>4396</v>
      </c>
    </row>
    <row r="70" spans="2:5" hidden="1" outlineLevel="1" x14ac:dyDescent="0.25">
      <c r="B70" s="332">
        <v>42095</v>
      </c>
      <c r="C70" s="333">
        <v>4199</v>
      </c>
      <c r="D70" s="333">
        <v>418</v>
      </c>
      <c r="E70" s="333">
        <v>4617</v>
      </c>
    </row>
    <row r="71" spans="2:5" hidden="1" outlineLevel="1" x14ac:dyDescent="0.25">
      <c r="B71" s="332">
        <v>42125</v>
      </c>
      <c r="C71" s="333">
        <v>3877</v>
      </c>
      <c r="D71" s="333">
        <v>527</v>
      </c>
      <c r="E71" s="333">
        <v>4404</v>
      </c>
    </row>
    <row r="72" spans="2:5" hidden="1" outlineLevel="1" x14ac:dyDescent="0.25">
      <c r="B72" s="332">
        <v>42156</v>
      </c>
      <c r="C72" s="333">
        <v>4140</v>
      </c>
      <c r="D72" s="333">
        <v>642</v>
      </c>
      <c r="E72" s="333">
        <v>4782</v>
      </c>
    </row>
    <row r="73" spans="2:5" hidden="1" outlineLevel="1" x14ac:dyDescent="0.25">
      <c r="B73" s="332">
        <v>42186</v>
      </c>
      <c r="C73" s="333">
        <v>3415</v>
      </c>
      <c r="D73" s="333">
        <v>391</v>
      </c>
      <c r="E73" s="333">
        <v>3806</v>
      </c>
    </row>
    <row r="74" spans="2:5" hidden="1" outlineLevel="1" x14ac:dyDescent="0.25">
      <c r="B74" s="332">
        <v>42217</v>
      </c>
      <c r="C74" s="333">
        <v>6058</v>
      </c>
      <c r="D74" s="333">
        <v>393</v>
      </c>
      <c r="E74" s="333">
        <v>6451</v>
      </c>
    </row>
    <row r="75" spans="2:5" hidden="1" outlineLevel="1" x14ac:dyDescent="0.25">
      <c r="B75" s="332">
        <v>42248</v>
      </c>
      <c r="C75" s="333">
        <v>5036</v>
      </c>
      <c r="D75" s="333">
        <v>579</v>
      </c>
      <c r="E75" s="333">
        <v>5615</v>
      </c>
    </row>
    <row r="76" spans="2:5" hidden="1" outlineLevel="1" x14ac:dyDescent="0.25">
      <c r="B76" s="332">
        <v>42278</v>
      </c>
      <c r="C76" s="333">
        <v>4175</v>
      </c>
      <c r="D76" s="333">
        <v>552</v>
      </c>
      <c r="E76" s="333">
        <v>4727</v>
      </c>
    </row>
    <row r="77" spans="2:5" hidden="1" outlineLevel="1" x14ac:dyDescent="0.25">
      <c r="B77" s="332">
        <v>42309</v>
      </c>
      <c r="C77" s="333">
        <v>5394</v>
      </c>
      <c r="D77" s="333">
        <v>555</v>
      </c>
      <c r="E77" s="333">
        <v>5949</v>
      </c>
    </row>
    <row r="78" spans="2:5" hidden="1" outlineLevel="1" x14ac:dyDescent="0.25">
      <c r="B78" s="332">
        <v>42339</v>
      </c>
      <c r="C78" s="333">
        <v>4616</v>
      </c>
      <c r="D78" s="333">
        <v>704</v>
      </c>
      <c r="E78" s="333">
        <v>5320</v>
      </c>
    </row>
    <row r="79" spans="2:5" collapsed="1" x14ac:dyDescent="0.25">
      <c r="B79" s="381" t="s">
        <v>38</v>
      </c>
      <c r="C79" s="382">
        <v>51650</v>
      </c>
      <c r="D79" s="382">
        <v>5964</v>
      </c>
      <c r="E79" s="382">
        <v>57614</v>
      </c>
    </row>
    <row r="80" spans="2:5" hidden="1" outlineLevel="1" x14ac:dyDescent="0.25">
      <c r="B80" s="332">
        <v>42370</v>
      </c>
      <c r="C80" s="333">
        <v>4090</v>
      </c>
      <c r="D80" s="333">
        <v>834</v>
      </c>
      <c r="E80" s="333">
        <v>4924</v>
      </c>
    </row>
    <row r="81" spans="2:5" hidden="1" outlineLevel="1" x14ac:dyDescent="0.25">
      <c r="B81" s="332">
        <v>42401</v>
      </c>
      <c r="C81" s="333">
        <v>3843</v>
      </c>
      <c r="D81" s="333">
        <v>401</v>
      </c>
      <c r="E81" s="333">
        <v>4244</v>
      </c>
    </row>
    <row r="82" spans="2:5" hidden="1" outlineLevel="1" x14ac:dyDescent="0.25">
      <c r="B82" s="332">
        <v>42430</v>
      </c>
      <c r="C82" s="333">
        <v>5145</v>
      </c>
      <c r="D82" s="333">
        <v>878</v>
      </c>
      <c r="E82" s="333">
        <v>6023</v>
      </c>
    </row>
    <row r="83" spans="2:5" hidden="1" outlineLevel="1" x14ac:dyDescent="0.25">
      <c r="B83" s="332">
        <v>42461</v>
      </c>
      <c r="C83" s="333">
        <v>4415</v>
      </c>
      <c r="D83" s="333">
        <v>636</v>
      </c>
      <c r="E83" s="333">
        <v>5051</v>
      </c>
    </row>
    <row r="84" spans="2:5" hidden="1" outlineLevel="1" x14ac:dyDescent="0.25">
      <c r="B84" s="332">
        <v>42491</v>
      </c>
      <c r="C84" s="333">
        <v>4663</v>
      </c>
      <c r="D84" s="333">
        <v>700</v>
      </c>
      <c r="E84" s="333">
        <v>5363</v>
      </c>
    </row>
    <row r="85" spans="2:5" hidden="1" outlineLevel="1" x14ac:dyDescent="0.25">
      <c r="B85" s="332">
        <v>42522</v>
      </c>
      <c r="C85" s="333">
        <v>3794</v>
      </c>
      <c r="D85" s="333">
        <v>507</v>
      </c>
      <c r="E85" s="333">
        <v>4301</v>
      </c>
    </row>
    <row r="86" spans="2:5" hidden="1" outlineLevel="1" x14ac:dyDescent="0.25">
      <c r="B86" s="332">
        <v>42552</v>
      </c>
      <c r="C86" s="333">
        <v>4438</v>
      </c>
      <c r="D86" s="333">
        <v>635</v>
      </c>
      <c r="E86" s="333">
        <v>5073</v>
      </c>
    </row>
    <row r="87" spans="2:5" hidden="1" outlineLevel="1" x14ac:dyDescent="0.25">
      <c r="B87" s="332">
        <v>42583</v>
      </c>
      <c r="C87" s="333">
        <v>4694</v>
      </c>
      <c r="D87" s="333">
        <v>856</v>
      </c>
      <c r="E87" s="333">
        <v>5550</v>
      </c>
    </row>
    <row r="88" spans="2:5" hidden="1" outlineLevel="1" x14ac:dyDescent="0.25">
      <c r="B88" s="332">
        <v>42614</v>
      </c>
      <c r="C88" s="333">
        <v>4579</v>
      </c>
      <c r="D88" s="333">
        <v>914</v>
      </c>
      <c r="E88" s="333">
        <v>5493</v>
      </c>
    </row>
    <row r="89" spans="2:5" hidden="1" outlineLevel="1" x14ac:dyDescent="0.25">
      <c r="B89" s="332">
        <v>42644</v>
      </c>
      <c r="C89" s="333">
        <v>4407</v>
      </c>
      <c r="D89" s="333">
        <v>866</v>
      </c>
      <c r="E89" s="333">
        <v>5273</v>
      </c>
    </row>
    <row r="90" spans="2:5" hidden="1" outlineLevel="1" x14ac:dyDescent="0.25">
      <c r="B90" s="332">
        <v>42675</v>
      </c>
      <c r="C90" s="333">
        <v>3689</v>
      </c>
      <c r="D90" s="333">
        <v>1064</v>
      </c>
      <c r="E90" s="333">
        <v>4753</v>
      </c>
    </row>
    <row r="91" spans="2:5" hidden="1" outlineLevel="1" x14ac:dyDescent="0.25">
      <c r="B91" s="332">
        <v>42705</v>
      </c>
      <c r="C91" s="333">
        <v>5295</v>
      </c>
      <c r="D91" s="333">
        <v>451</v>
      </c>
      <c r="E91" s="333">
        <v>5746</v>
      </c>
    </row>
    <row r="92" spans="2:5" collapsed="1" x14ac:dyDescent="0.25">
      <c r="B92" s="381" t="s">
        <v>55</v>
      </c>
      <c r="C92" s="382">
        <v>53052</v>
      </c>
      <c r="D92" s="382">
        <v>8742</v>
      </c>
      <c r="E92" s="382">
        <v>61794</v>
      </c>
    </row>
    <row r="93" spans="2:5" hidden="1" outlineLevel="1" x14ac:dyDescent="0.25">
      <c r="B93" s="332">
        <v>42736</v>
      </c>
      <c r="C93" s="333">
        <v>4977</v>
      </c>
      <c r="D93" s="333">
        <v>661</v>
      </c>
      <c r="E93" s="333">
        <v>5638</v>
      </c>
    </row>
    <row r="94" spans="2:5" hidden="1" outlineLevel="1" x14ac:dyDescent="0.25">
      <c r="B94" s="332">
        <v>42767</v>
      </c>
      <c r="C94" s="333">
        <v>4428</v>
      </c>
      <c r="D94" s="333">
        <v>663</v>
      </c>
      <c r="E94" s="333">
        <v>5091</v>
      </c>
    </row>
    <row r="95" spans="2:5" hidden="1" outlineLevel="1" x14ac:dyDescent="0.25">
      <c r="B95" s="332">
        <v>42795</v>
      </c>
      <c r="C95" s="333">
        <v>4154</v>
      </c>
      <c r="D95" s="333">
        <v>749</v>
      </c>
      <c r="E95" s="333">
        <v>4903</v>
      </c>
    </row>
    <row r="96" spans="2:5" hidden="1" outlineLevel="1" x14ac:dyDescent="0.25">
      <c r="B96" s="332">
        <v>42826</v>
      </c>
      <c r="C96" s="333">
        <v>4708</v>
      </c>
      <c r="D96" s="333">
        <v>760</v>
      </c>
      <c r="E96" s="333">
        <v>5468</v>
      </c>
    </row>
    <row r="97" spans="2:5" hidden="1" outlineLevel="1" x14ac:dyDescent="0.25">
      <c r="B97" s="332">
        <v>42856</v>
      </c>
      <c r="C97" s="333">
        <v>4913</v>
      </c>
      <c r="D97" s="333">
        <v>812</v>
      </c>
      <c r="E97" s="333">
        <v>5725</v>
      </c>
    </row>
    <row r="98" spans="2:5" hidden="1" outlineLevel="1" x14ac:dyDescent="0.25">
      <c r="B98" s="332">
        <v>42887</v>
      </c>
      <c r="C98" s="333">
        <v>4045</v>
      </c>
      <c r="D98" s="333">
        <v>1056</v>
      </c>
      <c r="E98" s="333">
        <v>5101</v>
      </c>
    </row>
    <row r="99" spans="2:5" hidden="1" outlineLevel="1" x14ac:dyDescent="0.25">
      <c r="B99" s="332">
        <v>42917</v>
      </c>
      <c r="C99" s="333">
        <v>4769</v>
      </c>
      <c r="D99" s="333">
        <v>753</v>
      </c>
      <c r="E99" s="333">
        <v>5522</v>
      </c>
    </row>
    <row r="100" spans="2:5" hidden="1" outlineLevel="1" x14ac:dyDescent="0.25">
      <c r="B100" s="332">
        <v>42948</v>
      </c>
      <c r="C100" s="333">
        <v>5278</v>
      </c>
      <c r="D100" s="333">
        <v>817</v>
      </c>
      <c r="E100" s="333">
        <v>6095</v>
      </c>
    </row>
    <row r="101" spans="2:5" hidden="1" outlineLevel="1" x14ac:dyDescent="0.25">
      <c r="B101" s="332">
        <v>42979</v>
      </c>
      <c r="C101" s="333">
        <v>3974</v>
      </c>
      <c r="D101" s="333">
        <v>593</v>
      </c>
      <c r="E101" s="333">
        <v>4567</v>
      </c>
    </row>
    <row r="102" spans="2:5" hidden="1" outlineLevel="1" x14ac:dyDescent="0.25">
      <c r="B102" s="332">
        <v>43009</v>
      </c>
      <c r="C102" s="333">
        <v>6946</v>
      </c>
      <c r="D102" s="333">
        <v>1191</v>
      </c>
      <c r="E102" s="333">
        <v>8137</v>
      </c>
    </row>
    <row r="103" spans="2:5" hidden="1" outlineLevel="1" x14ac:dyDescent="0.25">
      <c r="B103" s="332">
        <v>43040</v>
      </c>
      <c r="C103" s="333">
        <v>5299</v>
      </c>
      <c r="D103" s="333">
        <v>833</v>
      </c>
      <c r="E103" s="333">
        <v>6132</v>
      </c>
    </row>
    <row r="104" spans="2:5" hidden="1" outlineLevel="1" x14ac:dyDescent="0.25">
      <c r="B104" s="332">
        <v>43070</v>
      </c>
      <c r="C104" s="333">
        <v>4958</v>
      </c>
      <c r="D104" s="333">
        <v>795</v>
      </c>
      <c r="E104" s="333">
        <v>5753</v>
      </c>
    </row>
    <row r="105" spans="2:5" collapsed="1" x14ac:dyDescent="0.25">
      <c r="B105" s="381" t="s">
        <v>58</v>
      </c>
      <c r="C105" s="382">
        <v>84754</v>
      </c>
      <c r="D105" s="382">
        <v>9683</v>
      </c>
      <c r="E105" s="382">
        <v>94437</v>
      </c>
    </row>
    <row r="106" spans="2:5" hidden="1" outlineLevel="1" x14ac:dyDescent="0.25">
      <c r="B106" s="332">
        <v>43101</v>
      </c>
      <c r="C106" s="333">
        <v>5007</v>
      </c>
      <c r="D106" s="333">
        <v>965</v>
      </c>
      <c r="E106" s="333">
        <v>5972</v>
      </c>
    </row>
    <row r="107" spans="2:5" hidden="1" outlineLevel="1" x14ac:dyDescent="0.25">
      <c r="B107" s="332">
        <v>43132</v>
      </c>
      <c r="C107" s="333">
        <v>5360</v>
      </c>
      <c r="D107" s="333">
        <v>944</v>
      </c>
      <c r="E107" s="333">
        <v>6304</v>
      </c>
    </row>
    <row r="108" spans="2:5" hidden="1" outlineLevel="1" x14ac:dyDescent="0.25">
      <c r="B108" s="332">
        <v>43160</v>
      </c>
      <c r="C108" s="333">
        <v>6203</v>
      </c>
      <c r="D108" s="333">
        <v>1124</v>
      </c>
      <c r="E108" s="333">
        <v>7327</v>
      </c>
    </row>
    <row r="109" spans="2:5" hidden="1" outlineLevel="1" x14ac:dyDescent="0.25">
      <c r="B109" s="332">
        <v>43191</v>
      </c>
      <c r="C109" s="333">
        <v>5250</v>
      </c>
      <c r="D109" s="333">
        <v>775</v>
      </c>
      <c r="E109" s="333">
        <v>6025</v>
      </c>
    </row>
    <row r="110" spans="2:5" hidden="1" outlineLevel="1" x14ac:dyDescent="0.25">
      <c r="B110" s="332">
        <v>43221</v>
      </c>
      <c r="C110" s="333">
        <v>5419</v>
      </c>
      <c r="D110" s="333">
        <v>628</v>
      </c>
      <c r="E110" s="333">
        <v>6047</v>
      </c>
    </row>
    <row r="111" spans="2:5" hidden="1" outlineLevel="1" x14ac:dyDescent="0.25">
      <c r="B111" s="332">
        <v>43252</v>
      </c>
      <c r="C111" s="333">
        <v>5299</v>
      </c>
      <c r="D111" s="333">
        <v>848</v>
      </c>
      <c r="E111" s="333">
        <v>6147</v>
      </c>
    </row>
    <row r="112" spans="2:5" hidden="1" outlineLevel="1" x14ac:dyDescent="0.25">
      <c r="B112" s="332">
        <v>43282</v>
      </c>
      <c r="C112" s="333">
        <v>5273</v>
      </c>
      <c r="D112" s="333">
        <v>633</v>
      </c>
      <c r="E112" s="333">
        <v>5906</v>
      </c>
    </row>
    <row r="113" spans="2:5" hidden="1" outlineLevel="1" x14ac:dyDescent="0.25">
      <c r="B113" s="332">
        <v>43313</v>
      </c>
      <c r="C113" s="333">
        <v>5742</v>
      </c>
      <c r="D113" s="333">
        <v>364</v>
      </c>
      <c r="E113" s="333">
        <v>6106</v>
      </c>
    </row>
    <row r="114" spans="2:5" hidden="1" outlineLevel="1" x14ac:dyDescent="0.25">
      <c r="B114" s="332">
        <v>43344</v>
      </c>
      <c r="C114" s="333">
        <v>6055</v>
      </c>
      <c r="D114" s="333">
        <v>488</v>
      </c>
      <c r="E114" s="333">
        <v>6543</v>
      </c>
    </row>
    <row r="115" spans="2:5" hidden="1" outlineLevel="1" x14ac:dyDescent="0.25">
      <c r="B115" s="332">
        <v>43374</v>
      </c>
      <c r="C115" s="333">
        <v>5991</v>
      </c>
      <c r="D115" s="333">
        <v>513</v>
      </c>
      <c r="E115" s="333">
        <v>6504</v>
      </c>
    </row>
    <row r="116" spans="2:5" hidden="1" outlineLevel="1" x14ac:dyDescent="0.25">
      <c r="B116" s="332">
        <v>43405</v>
      </c>
      <c r="C116" s="333">
        <v>6396</v>
      </c>
      <c r="D116" s="333">
        <v>416</v>
      </c>
      <c r="E116" s="333">
        <v>6812</v>
      </c>
    </row>
    <row r="117" spans="2:5" hidden="1" outlineLevel="1" x14ac:dyDescent="0.25">
      <c r="B117" s="332">
        <v>43435</v>
      </c>
      <c r="C117" s="333">
        <v>5803</v>
      </c>
      <c r="D117" s="333">
        <v>345</v>
      </c>
      <c r="E117" s="333">
        <v>6148</v>
      </c>
    </row>
    <row r="118" spans="2:5" collapsed="1" x14ac:dyDescent="0.25">
      <c r="B118" s="381" t="s">
        <v>59</v>
      </c>
      <c r="C118" s="382">
        <v>67798</v>
      </c>
      <c r="D118" s="382">
        <v>8043</v>
      </c>
      <c r="E118" s="382">
        <v>75841</v>
      </c>
    </row>
    <row r="119" spans="2:5" hidden="1" outlineLevel="1" x14ac:dyDescent="0.25">
      <c r="B119" s="332">
        <v>43466</v>
      </c>
      <c r="C119" s="333">
        <v>5382</v>
      </c>
      <c r="D119" s="333">
        <v>271</v>
      </c>
      <c r="E119" s="333">
        <v>5653</v>
      </c>
    </row>
    <row r="120" spans="2:5" hidden="1" outlineLevel="1" x14ac:dyDescent="0.25">
      <c r="B120" s="332">
        <v>43497</v>
      </c>
      <c r="C120" s="333">
        <v>5714</v>
      </c>
      <c r="D120" s="333">
        <v>250</v>
      </c>
      <c r="E120" s="333">
        <v>5964</v>
      </c>
    </row>
    <row r="121" spans="2:5" hidden="1" outlineLevel="1" x14ac:dyDescent="0.25">
      <c r="B121" s="332">
        <v>43525</v>
      </c>
      <c r="C121" s="333">
        <v>5149</v>
      </c>
      <c r="D121" s="333">
        <v>433</v>
      </c>
      <c r="E121" s="333">
        <v>5582</v>
      </c>
    </row>
    <row r="122" spans="2:5" hidden="1" outlineLevel="1" x14ac:dyDescent="0.25">
      <c r="B122" s="332">
        <v>43556</v>
      </c>
      <c r="C122" s="333">
        <v>5771</v>
      </c>
      <c r="D122" s="333">
        <v>547</v>
      </c>
      <c r="E122" s="333">
        <v>6318</v>
      </c>
    </row>
    <row r="123" spans="2:5" hidden="1" outlineLevel="1" x14ac:dyDescent="0.25">
      <c r="B123" s="332">
        <v>43586</v>
      </c>
      <c r="C123" s="333">
        <v>5051</v>
      </c>
      <c r="D123" s="333">
        <v>312</v>
      </c>
      <c r="E123" s="333">
        <v>5363</v>
      </c>
    </row>
    <row r="124" spans="2:5" hidden="1" outlineLevel="1" x14ac:dyDescent="0.25">
      <c r="B124" s="332">
        <v>43617</v>
      </c>
      <c r="C124" s="333">
        <v>5467</v>
      </c>
      <c r="D124" s="333">
        <v>166</v>
      </c>
      <c r="E124" s="333">
        <v>5633</v>
      </c>
    </row>
    <row r="125" spans="2:5" hidden="1" outlineLevel="1" x14ac:dyDescent="0.25">
      <c r="B125" s="332">
        <v>43647</v>
      </c>
      <c r="C125" s="333">
        <v>5462</v>
      </c>
      <c r="D125" s="333">
        <v>423</v>
      </c>
      <c r="E125" s="333">
        <v>5885</v>
      </c>
    </row>
    <row r="126" spans="2:5" hidden="1" outlineLevel="1" x14ac:dyDescent="0.25">
      <c r="B126" s="332">
        <v>43678</v>
      </c>
      <c r="C126" s="333">
        <v>5228</v>
      </c>
      <c r="D126" s="333">
        <v>334</v>
      </c>
      <c r="E126" s="333">
        <v>5562</v>
      </c>
    </row>
    <row r="127" spans="2:5" hidden="1" outlineLevel="1" x14ac:dyDescent="0.25">
      <c r="B127" s="332">
        <v>43709</v>
      </c>
      <c r="C127" s="333">
        <v>5848</v>
      </c>
      <c r="D127" s="333">
        <v>349</v>
      </c>
      <c r="E127" s="333">
        <v>6197</v>
      </c>
    </row>
    <row r="128" spans="2:5" hidden="1" outlineLevel="1" x14ac:dyDescent="0.25">
      <c r="B128" s="332">
        <v>43739</v>
      </c>
      <c r="C128" s="333">
        <v>6655</v>
      </c>
      <c r="D128" s="333">
        <v>526</v>
      </c>
      <c r="E128" s="333">
        <v>7181</v>
      </c>
    </row>
    <row r="129" spans="2:5" hidden="1" outlineLevel="1" x14ac:dyDescent="0.25">
      <c r="B129" s="332">
        <v>43770</v>
      </c>
      <c r="C129" s="333">
        <v>3805</v>
      </c>
      <c r="D129" s="333">
        <v>128</v>
      </c>
      <c r="E129" s="333">
        <v>3933</v>
      </c>
    </row>
    <row r="130" spans="2:5" hidden="1" outlineLevel="1" x14ac:dyDescent="0.25">
      <c r="B130" s="332">
        <v>43800</v>
      </c>
      <c r="C130" s="333">
        <v>6358</v>
      </c>
      <c r="D130" s="333">
        <v>299</v>
      </c>
      <c r="E130" s="333">
        <v>6657</v>
      </c>
    </row>
    <row r="131" spans="2:5" collapsed="1" x14ac:dyDescent="0.25">
      <c r="B131" s="381" t="s">
        <v>60</v>
      </c>
      <c r="C131" s="382">
        <v>65890</v>
      </c>
      <c r="D131" s="382">
        <v>4038</v>
      </c>
      <c r="E131" s="382">
        <v>69928</v>
      </c>
    </row>
    <row r="132" spans="2:5" hidden="1" outlineLevel="1" x14ac:dyDescent="0.25">
      <c r="B132" s="332">
        <v>43831</v>
      </c>
      <c r="C132" s="333">
        <v>6973</v>
      </c>
      <c r="D132" s="333">
        <v>334</v>
      </c>
      <c r="E132" s="333">
        <v>7307</v>
      </c>
    </row>
    <row r="133" spans="2:5" hidden="1" outlineLevel="1" x14ac:dyDescent="0.25">
      <c r="B133" s="332">
        <v>43862</v>
      </c>
      <c r="C133" s="333">
        <v>6865</v>
      </c>
      <c r="D133" s="333">
        <v>510</v>
      </c>
      <c r="E133" s="333">
        <v>7375</v>
      </c>
    </row>
    <row r="134" spans="2:5" hidden="1" outlineLevel="1" x14ac:dyDescent="0.25">
      <c r="B134" s="332">
        <v>43891</v>
      </c>
      <c r="C134" s="333">
        <v>6450</v>
      </c>
      <c r="D134" s="333">
        <v>524</v>
      </c>
      <c r="E134" s="333">
        <v>6974</v>
      </c>
    </row>
    <row r="135" spans="2:5" hidden="1" outlineLevel="1" x14ac:dyDescent="0.25">
      <c r="B135" s="332">
        <v>43922</v>
      </c>
      <c r="C135" s="333">
        <v>3120</v>
      </c>
      <c r="D135" s="333">
        <v>427</v>
      </c>
      <c r="E135" s="333">
        <v>3547</v>
      </c>
    </row>
    <row r="136" spans="2:5" hidden="1" outlineLevel="1" x14ac:dyDescent="0.25">
      <c r="B136" s="332">
        <v>43952</v>
      </c>
      <c r="C136" s="333">
        <v>3668</v>
      </c>
      <c r="D136" s="333">
        <v>336</v>
      </c>
      <c r="E136" s="333">
        <v>4004</v>
      </c>
    </row>
    <row r="137" spans="2:5" hidden="1" outlineLevel="1" x14ac:dyDescent="0.25">
      <c r="B137" s="332">
        <v>43983</v>
      </c>
      <c r="C137" s="333">
        <v>4010</v>
      </c>
      <c r="D137" s="333">
        <v>620</v>
      </c>
      <c r="E137" s="333">
        <v>4630</v>
      </c>
    </row>
    <row r="138" spans="2:5" hidden="1" outlineLevel="1" x14ac:dyDescent="0.25">
      <c r="B138" s="332">
        <v>44013</v>
      </c>
      <c r="C138" s="333">
        <v>3699</v>
      </c>
      <c r="D138" s="333">
        <v>751</v>
      </c>
      <c r="E138" s="333">
        <v>4450</v>
      </c>
    </row>
    <row r="139" spans="2:5" hidden="1" outlineLevel="1" x14ac:dyDescent="0.25">
      <c r="B139" s="332">
        <v>44044</v>
      </c>
      <c r="C139" s="333">
        <v>5600</v>
      </c>
      <c r="D139" s="333">
        <v>304</v>
      </c>
      <c r="E139" s="333">
        <v>5904</v>
      </c>
    </row>
    <row r="140" spans="2:5" hidden="1" outlineLevel="1" x14ac:dyDescent="0.25">
      <c r="B140" s="332">
        <v>44075</v>
      </c>
      <c r="C140" s="333">
        <v>6256</v>
      </c>
      <c r="D140" s="333">
        <v>329</v>
      </c>
      <c r="E140" s="333">
        <v>6585</v>
      </c>
    </row>
    <row r="141" spans="2:5" hidden="1" outlineLevel="1" x14ac:dyDescent="0.25">
      <c r="B141" s="332">
        <v>44105</v>
      </c>
      <c r="C141" s="333">
        <v>6677</v>
      </c>
      <c r="D141" s="333">
        <v>356</v>
      </c>
      <c r="E141" s="333">
        <v>7033</v>
      </c>
    </row>
    <row r="142" spans="2:5" hidden="1" outlineLevel="1" x14ac:dyDescent="0.25">
      <c r="B142" s="332">
        <v>44136</v>
      </c>
      <c r="C142" s="333">
        <v>7271</v>
      </c>
      <c r="D142" s="333">
        <v>364</v>
      </c>
      <c r="E142" s="333">
        <v>7635</v>
      </c>
    </row>
    <row r="143" spans="2:5" hidden="1" outlineLevel="1" x14ac:dyDescent="0.25">
      <c r="B143" s="332">
        <v>44166</v>
      </c>
      <c r="C143" s="333">
        <v>7060</v>
      </c>
      <c r="D143" s="333">
        <v>369</v>
      </c>
      <c r="E143" s="333">
        <v>7429</v>
      </c>
    </row>
    <row r="144" spans="2:5" collapsed="1" x14ac:dyDescent="0.25">
      <c r="B144" s="381" t="s">
        <v>64</v>
      </c>
      <c r="C144" s="382">
        <v>67649</v>
      </c>
      <c r="D144" s="382">
        <v>5224</v>
      </c>
      <c r="E144" s="382">
        <v>72873</v>
      </c>
    </row>
    <row r="145" spans="2:5" hidden="1" outlineLevel="1" x14ac:dyDescent="0.25">
      <c r="B145" s="332">
        <v>44197</v>
      </c>
      <c r="C145" s="333">
        <v>5872</v>
      </c>
      <c r="D145" s="333">
        <v>407</v>
      </c>
      <c r="E145" s="333">
        <v>6279</v>
      </c>
    </row>
    <row r="146" spans="2:5" hidden="1" outlineLevel="1" x14ac:dyDescent="0.25">
      <c r="B146" s="332">
        <v>44228</v>
      </c>
      <c r="C146" s="333">
        <v>6398</v>
      </c>
      <c r="D146" s="333">
        <v>336</v>
      </c>
      <c r="E146" s="333">
        <v>6734</v>
      </c>
    </row>
    <row r="147" spans="2:5" hidden="1" outlineLevel="1" x14ac:dyDescent="0.25">
      <c r="B147" s="332">
        <v>44256</v>
      </c>
      <c r="C147" s="333">
        <v>6284</v>
      </c>
      <c r="D147" s="333">
        <v>400</v>
      </c>
      <c r="E147" s="333">
        <v>6684</v>
      </c>
    </row>
    <row r="148" spans="2:5" hidden="1" outlineLevel="1" x14ac:dyDescent="0.25">
      <c r="B148" s="332">
        <v>44287</v>
      </c>
      <c r="C148" s="333">
        <v>5645</v>
      </c>
      <c r="D148" s="333">
        <v>429</v>
      </c>
      <c r="E148" s="333">
        <v>6074</v>
      </c>
    </row>
    <row r="149" spans="2:5" hidden="1" outlineLevel="1" x14ac:dyDescent="0.25">
      <c r="B149" s="332">
        <v>44317</v>
      </c>
      <c r="C149" s="333">
        <v>6254</v>
      </c>
      <c r="D149" s="333">
        <v>475</v>
      </c>
      <c r="E149" s="333">
        <v>6729</v>
      </c>
    </row>
    <row r="150" spans="2:5" hidden="1" outlineLevel="1" x14ac:dyDescent="0.25">
      <c r="B150" s="332">
        <v>44348</v>
      </c>
      <c r="C150" s="333">
        <v>6456</v>
      </c>
      <c r="D150" s="333">
        <v>551</v>
      </c>
      <c r="E150" s="333">
        <v>7007</v>
      </c>
    </row>
    <row r="151" spans="2:5" hidden="1" outlineLevel="1" x14ac:dyDescent="0.25">
      <c r="B151" s="332">
        <v>44378</v>
      </c>
      <c r="C151" s="333">
        <v>6122</v>
      </c>
      <c r="D151" s="333">
        <v>574</v>
      </c>
      <c r="E151" s="333">
        <v>6696</v>
      </c>
    </row>
    <row r="152" spans="2:5" hidden="1" outlineLevel="1" x14ac:dyDescent="0.25">
      <c r="B152" s="332">
        <v>44409</v>
      </c>
      <c r="C152" s="333">
        <v>7688</v>
      </c>
      <c r="D152" s="333">
        <v>653</v>
      </c>
      <c r="E152" s="333">
        <v>8341</v>
      </c>
    </row>
    <row r="153" spans="2:5" hidden="1" outlineLevel="1" x14ac:dyDescent="0.25">
      <c r="B153" s="332">
        <v>44440</v>
      </c>
      <c r="C153" s="333">
        <v>7542</v>
      </c>
      <c r="D153" s="333">
        <v>649</v>
      </c>
      <c r="E153" s="333">
        <v>8191</v>
      </c>
    </row>
    <row r="154" spans="2:5" hidden="1" outlineLevel="1" x14ac:dyDescent="0.25">
      <c r="B154" s="332">
        <v>44470</v>
      </c>
      <c r="C154" s="333">
        <v>7921</v>
      </c>
      <c r="D154" s="333">
        <v>672</v>
      </c>
      <c r="E154" s="333">
        <v>8593</v>
      </c>
    </row>
    <row r="155" spans="2:5" hidden="1" outlineLevel="1" x14ac:dyDescent="0.25">
      <c r="B155" s="332">
        <v>44501</v>
      </c>
      <c r="C155" s="333">
        <v>7649</v>
      </c>
      <c r="D155" s="333">
        <v>641</v>
      </c>
      <c r="E155" s="333">
        <v>8290</v>
      </c>
    </row>
    <row r="156" spans="2:5" hidden="1" outlineLevel="1" x14ac:dyDescent="0.25">
      <c r="B156" s="332">
        <v>44531</v>
      </c>
      <c r="C156" s="333">
        <v>7848</v>
      </c>
      <c r="D156" s="333">
        <v>528</v>
      </c>
      <c r="E156" s="333">
        <v>8376</v>
      </c>
    </row>
    <row r="157" spans="2:5" collapsed="1" x14ac:dyDescent="0.25">
      <c r="B157" s="381" t="s">
        <v>65</v>
      </c>
      <c r="C157" s="382">
        <v>81679</v>
      </c>
      <c r="D157" s="382">
        <v>6315</v>
      </c>
      <c r="E157" s="382">
        <v>87994</v>
      </c>
    </row>
    <row r="158" spans="2:5" hidden="1" outlineLevel="1" x14ac:dyDescent="0.25">
      <c r="B158" s="332">
        <v>44562</v>
      </c>
      <c r="C158" s="333">
        <v>7668</v>
      </c>
      <c r="D158" s="333">
        <v>503</v>
      </c>
      <c r="E158" s="333">
        <v>8171</v>
      </c>
    </row>
    <row r="159" spans="2:5" hidden="1" outlineLevel="1" x14ac:dyDescent="0.25">
      <c r="B159" s="332">
        <v>44593</v>
      </c>
      <c r="C159" s="333">
        <v>10374</v>
      </c>
      <c r="D159" s="333">
        <v>972</v>
      </c>
      <c r="E159" s="333">
        <v>11346</v>
      </c>
    </row>
    <row r="160" spans="2:5" hidden="1" outlineLevel="1" x14ac:dyDescent="0.25">
      <c r="B160" s="332">
        <v>44621</v>
      </c>
      <c r="C160" s="333">
        <v>9515</v>
      </c>
      <c r="D160" s="333">
        <v>881</v>
      </c>
      <c r="E160" s="333">
        <v>10396</v>
      </c>
    </row>
    <row r="161" spans="2:5" hidden="1" outlineLevel="1" x14ac:dyDescent="0.25">
      <c r="B161" s="332">
        <v>44652</v>
      </c>
      <c r="C161" s="333">
        <v>11485</v>
      </c>
      <c r="D161" s="333">
        <v>221</v>
      </c>
      <c r="E161" s="333">
        <v>11706</v>
      </c>
    </row>
    <row r="162" spans="2:5" hidden="1" outlineLevel="1" x14ac:dyDescent="0.25">
      <c r="B162" s="332">
        <v>44682</v>
      </c>
      <c r="C162" s="333">
        <v>8749</v>
      </c>
      <c r="D162" s="333">
        <v>469</v>
      </c>
      <c r="E162" s="333">
        <v>9218</v>
      </c>
    </row>
    <row r="163" spans="2:5" hidden="1" outlineLevel="1" x14ac:dyDescent="0.25">
      <c r="B163" s="332">
        <v>44713</v>
      </c>
      <c r="C163" s="333">
        <v>8701</v>
      </c>
      <c r="D163" s="333">
        <v>364</v>
      </c>
      <c r="E163" s="333">
        <v>9065</v>
      </c>
    </row>
    <row r="164" spans="2:5" hidden="1" outlineLevel="1" x14ac:dyDescent="0.25">
      <c r="B164" s="332">
        <v>44743</v>
      </c>
      <c r="C164" s="333">
        <v>7724</v>
      </c>
      <c r="D164" s="333">
        <v>364</v>
      </c>
      <c r="E164" s="333">
        <v>8088</v>
      </c>
    </row>
    <row r="165" spans="2:5" hidden="1" outlineLevel="1" x14ac:dyDescent="0.25">
      <c r="B165" s="332">
        <v>44774</v>
      </c>
      <c r="C165" s="333">
        <v>12287</v>
      </c>
      <c r="D165" s="333">
        <v>1895</v>
      </c>
      <c r="E165" s="333">
        <v>14182</v>
      </c>
    </row>
    <row r="166" spans="2:5" hidden="1" outlineLevel="1" x14ac:dyDescent="0.25">
      <c r="B166" s="332">
        <v>44805</v>
      </c>
      <c r="C166" s="333">
        <v>6504</v>
      </c>
      <c r="D166" s="333">
        <v>681</v>
      </c>
      <c r="E166" s="333">
        <v>7185</v>
      </c>
    </row>
    <row r="167" spans="2:5" hidden="1" outlineLevel="1" x14ac:dyDescent="0.25">
      <c r="B167" s="332">
        <v>44835</v>
      </c>
      <c r="C167" s="333">
        <v>10957</v>
      </c>
      <c r="D167" s="333">
        <v>584</v>
      </c>
      <c r="E167" s="333">
        <v>11541</v>
      </c>
    </row>
    <row r="168" spans="2:5" hidden="1" outlineLevel="1" x14ac:dyDescent="0.25">
      <c r="B168" s="332">
        <v>44866</v>
      </c>
      <c r="C168" s="333">
        <v>11167</v>
      </c>
      <c r="D168" s="333">
        <v>843</v>
      </c>
      <c r="E168" s="333">
        <v>12010</v>
      </c>
    </row>
    <row r="169" spans="2:5" hidden="1" outlineLevel="1" x14ac:dyDescent="0.25">
      <c r="B169" s="332">
        <v>44896</v>
      </c>
      <c r="C169" s="333">
        <v>10298</v>
      </c>
      <c r="D169" s="333">
        <v>642</v>
      </c>
      <c r="E169" s="333">
        <v>10940</v>
      </c>
    </row>
    <row r="170" spans="2:5" collapsed="1" x14ac:dyDescent="0.25">
      <c r="B170" s="381" t="s">
        <v>66</v>
      </c>
      <c r="C170" s="382">
        <v>115429</v>
      </c>
      <c r="D170" s="382">
        <v>8419</v>
      </c>
      <c r="E170" s="382">
        <v>123848</v>
      </c>
    </row>
    <row r="171" spans="2:5" hidden="1" outlineLevel="1" x14ac:dyDescent="0.25">
      <c r="B171" s="332">
        <v>44927</v>
      </c>
      <c r="C171" s="333">
        <v>7455</v>
      </c>
      <c r="D171" s="333">
        <v>326</v>
      </c>
      <c r="E171" s="333">
        <v>7781</v>
      </c>
    </row>
    <row r="172" spans="2:5" hidden="1" outlineLevel="1" x14ac:dyDescent="0.25">
      <c r="B172" s="332">
        <v>44958</v>
      </c>
      <c r="C172" s="333">
        <v>9107</v>
      </c>
      <c r="D172" s="333">
        <v>532</v>
      </c>
      <c r="E172" s="333">
        <v>9639</v>
      </c>
    </row>
    <row r="173" spans="2:5" hidden="1" outlineLevel="1" x14ac:dyDescent="0.25">
      <c r="B173" s="332">
        <v>44986</v>
      </c>
      <c r="C173" s="333">
        <v>7118</v>
      </c>
      <c r="D173" s="333">
        <v>288</v>
      </c>
      <c r="E173" s="333">
        <v>7406</v>
      </c>
    </row>
    <row r="174" spans="2:5" hidden="1" outlineLevel="1" x14ac:dyDescent="0.25">
      <c r="B174" s="332">
        <v>45017</v>
      </c>
      <c r="C174" s="333">
        <v>10283</v>
      </c>
      <c r="D174" s="333">
        <v>783</v>
      </c>
      <c r="E174" s="333">
        <v>11066</v>
      </c>
    </row>
    <row r="175" spans="2:5" hidden="1" outlineLevel="1" x14ac:dyDescent="0.25">
      <c r="B175" s="332">
        <v>45047</v>
      </c>
      <c r="C175" s="333">
        <v>7023</v>
      </c>
      <c r="D175" s="333">
        <v>470</v>
      </c>
      <c r="E175" s="333">
        <v>7493</v>
      </c>
    </row>
    <row r="176" spans="2:5" hidden="1" outlineLevel="1" x14ac:dyDescent="0.25">
      <c r="B176" s="332">
        <v>45078</v>
      </c>
      <c r="C176" s="333">
        <v>7053</v>
      </c>
      <c r="D176" s="333">
        <v>490</v>
      </c>
      <c r="E176" s="333">
        <v>7543</v>
      </c>
    </row>
    <row r="177" spans="2:10" hidden="1" outlineLevel="1" x14ac:dyDescent="0.25">
      <c r="B177" s="332">
        <v>45108</v>
      </c>
      <c r="C177" s="333">
        <v>6808</v>
      </c>
      <c r="D177" s="333">
        <v>277</v>
      </c>
      <c r="E177" s="333">
        <v>7085</v>
      </c>
    </row>
    <row r="178" spans="2:10" hidden="1" outlineLevel="1" x14ac:dyDescent="0.25">
      <c r="B178" s="332">
        <v>45139</v>
      </c>
      <c r="C178" s="333">
        <v>8294</v>
      </c>
      <c r="D178" s="333">
        <v>463</v>
      </c>
      <c r="E178" s="333">
        <v>8757</v>
      </c>
    </row>
    <row r="179" spans="2:10" hidden="1" outlineLevel="1" x14ac:dyDescent="0.25">
      <c r="B179" s="332">
        <v>45170</v>
      </c>
      <c r="C179" s="333">
        <v>8074</v>
      </c>
      <c r="D179" s="333">
        <v>279</v>
      </c>
      <c r="E179" s="333">
        <v>8353</v>
      </c>
    </row>
    <row r="180" spans="2:10" hidden="1" outlineLevel="1" x14ac:dyDescent="0.25">
      <c r="B180" s="332">
        <v>45200</v>
      </c>
      <c r="C180" s="333">
        <v>8975</v>
      </c>
      <c r="D180" s="333">
        <v>477</v>
      </c>
      <c r="E180" s="333">
        <v>9452</v>
      </c>
    </row>
    <row r="181" spans="2:10" hidden="1" outlineLevel="1" x14ac:dyDescent="0.25">
      <c r="B181" s="332">
        <v>45231</v>
      </c>
      <c r="C181" s="333">
        <v>8438</v>
      </c>
      <c r="D181" s="333">
        <v>231</v>
      </c>
      <c r="E181" s="333">
        <v>8669</v>
      </c>
    </row>
    <row r="182" spans="2:10" hidden="1" outlineLevel="1" x14ac:dyDescent="0.25">
      <c r="B182" s="332">
        <v>45261</v>
      </c>
      <c r="C182" s="333">
        <v>9093</v>
      </c>
      <c r="D182" s="333">
        <v>237</v>
      </c>
      <c r="E182" s="333">
        <v>9330</v>
      </c>
    </row>
    <row r="183" spans="2:10" collapsed="1" x14ac:dyDescent="0.25">
      <c r="B183" s="381" t="s">
        <v>874</v>
      </c>
      <c r="C183" s="382">
        <v>97721</v>
      </c>
      <c r="D183" s="382">
        <v>4853</v>
      </c>
      <c r="E183" s="382">
        <v>102574</v>
      </c>
    </row>
    <row r="184" spans="2:10" x14ac:dyDescent="0.25">
      <c r="B184" s="381" t="s">
        <v>486</v>
      </c>
      <c r="C184" s="382">
        <v>1016767</v>
      </c>
      <c r="D184" s="382">
        <v>67052</v>
      </c>
      <c r="E184" s="382">
        <v>1083819</v>
      </c>
    </row>
    <row r="185" spans="2:10" x14ac:dyDescent="0.25">
      <c r="B185" s="4" t="s">
        <v>815</v>
      </c>
    </row>
    <row r="187" spans="2:10" ht="18.75" x14ac:dyDescent="0.3">
      <c r="B187" s="2" t="s">
        <v>724</v>
      </c>
      <c r="C187" s="2"/>
      <c r="D187" s="2"/>
      <c r="E187" s="2"/>
    </row>
    <row r="188" spans="2:10" x14ac:dyDescent="0.25">
      <c r="B188" s="3" t="s">
        <v>873</v>
      </c>
    </row>
    <row r="190" spans="2:10" ht="31.5" customHeight="1" x14ac:dyDescent="0.25">
      <c r="B190" s="486" t="s">
        <v>472</v>
      </c>
      <c r="C190" s="488" t="s">
        <v>725</v>
      </c>
      <c r="D190" s="482"/>
      <c r="E190" s="488" t="s">
        <v>726</v>
      </c>
      <c r="F190" s="482"/>
      <c r="G190" s="481" t="s">
        <v>723</v>
      </c>
      <c r="H190" s="482"/>
      <c r="I190" s="481" t="s">
        <v>25</v>
      </c>
      <c r="J190" s="482"/>
    </row>
    <row r="191" spans="2:10" x14ac:dyDescent="0.25">
      <c r="B191" s="487"/>
      <c r="C191" s="245" t="s">
        <v>717</v>
      </c>
      <c r="D191" s="245" t="s">
        <v>715</v>
      </c>
      <c r="E191" s="245" t="s">
        <v>717</v>
      </c>
      <c r="F191" s="245" t="s">
        <v>715</v>
      </c>
      <c r="G191" s="245" t="s">
        <v>717</v>
      </c>
      <c r="H191" s="245" t="s">
        <v>715</v>
      </c>
      <c r="I191" s="245" t="s">
        <v>717</v>
      </c>
      <c r="J191" s="245" t="s">
        <v>715</v>
      </c>
    </row>
    <row r="192" spans="2:10" x14ac:dyDescent="0.25">
      <c r="B192" s="383" t="s">
        <v>721</v>
      </c>
      <c r="C192" s="384"/>
      <c r="D192" s="384"/>
      <c r="E192" s="384"/>
      <c r="F192" s="384"/>
      <c r="G192" s="384"/>
      <c r="H192" s="384"/>
      <c r="I192" s="385">
        <v>23671</v>
      </c>
      <c r="J192" s="385">
        <v>102602</v>
      </c>
    </row>
    <row r="193" spans="2:10" x14ac:dyDescent="0.25">
      <c r="B193" s="383" t="s">
        <v>29</v>
      </c>
      <c r="C193" s="384"/>
      <c r="D193" s="384"/>
      <c r="E193" s="384"/>
      <c r="F193" s="384"/>
      <c r="G193" s="384"/>
      <c r="H193" s="384"/>
      <c r="I193" s="385">
        <v>90591</v>
      </c>
      <c r="J193" s="385">
        <v>283345</v>
      </c>
    </row>
    <row r="194" spans="2:10" x14ac:dyDescent="0.25">
      <c r="B194" s="383" t="s">
        <v>30</v>
      </c>
      <c r="C194" s="384"/>
      <c r="D194" s="384"/>
      <c r="E194" s="384"/>
      <c r="F194" s="384"/>
      <c r="G194" s="384"/>
      <c r="H194" s="384"/>
      <c r="I194" s="385">
        <v>105822</v>
      </c>
      <c r="J194" s="385">
        <v>430659</v>
      </c>
    </row>
    <row r="195" spans="2:10" x14ac:dyDescent="0.25">
      <c r="B195" s="383" t="s">
        <v>722</v>
      </c>
      <c r="C195" s="384"/>
      <c r="D195" s="384"/>
      <c r="E195" s="384"/>
      <c r="F195" s="384"/>
      <c r="G195" s="384"/>
      <c r="H195" s="384"/>
      <c r="I195" s="385">
        <v>54727</v>
      </c>
      <c r="J195" s="385">
        <v>214792</v>
      </c>
    </row>
    <row r="196" spans="2:10" hidden="1" outlineLevel="1" x14ac:dyDescent="0.25">
      <c r="B196" s="332">
        <v>41275</v>
      </c>
      <c r="C196" s="334">
        <v>1344</v>
      </c>
      <c r="D196" s="334">
        <v>5074</v>
      </c>
      <c r="E196" s="334">
        <v>84</v>
      </c>
      <c r="F196" s="334">
        <v>433</v>
      </c>
      <c r="G196" s="334">
        <v>1525</v>
      </c>
      <c r="H196" s="334">
        <v>5846</v>
      </c>
      <c r="I196" s="334">
        <v>2953</v>
      </c>
      <c r="J196" s="334">
        <v>11353</v>
      </c>
    </row>
    <row r="197" spans="2:10" hidden="1" outlineLevel="1" x14ac:dyDescent="0.25">
      <c r="B197" s="332">
        <v>41306</v>
      </c>
      <c r="C197" s="334">
        <v>1353</v>
      </c>
      <c r="D197" s="334">
        <v>5003</v>
      </c>
      <c r="E197" s="334">
        <v>87</v>
      </c>
      <c r="F197" s="334">
        <v>397</v>
      </c>
      <c r="G197" s="334">
        <v>1589</v>
      </c>
      <c r="H197" s="334">
        <v>5817</v>
      </c>
      <c r="I197" s="334">
        <v>3029</v>
      </c>
      <c r="J197" s="334">
        <v>11217</v>
      </c>
    </row>
    <row r="198" spans="2:10" hidden="1" outlineLevel="1" x14ac:dyDescent="0.25">
      <c r="B198" s="332">
        <v>41334</v>
      </c>
      <c r="C198" s="334">
        <v>1556</v>
      </c>
      <c r="D198" s="334">
        <v>5790</v>
      </c>
      <c r="E198" s="334">
        <v>83</v>
      </c>
      <c r="F198" s="334">
        <v>353</v>
      </c>
      <c r="G198" s="334">
        <v>1708</v>
      </c>
      <c r="H198" s="334">
        <v>5791</v>
      </c>
      <c r="I198" s="334">
        <v>3347</v>
      </c>
      <c r="J198" s="334">
        <v>11934</v>
      </c>
    </row>
    <row r="199" spans="2:10" hidden="1" outlineLevel="1" x14ac:dyDescent="0.25">
      <c r="B199" s="332">
        <v>41365</v>
      </c>
      <c r="C199" s="334">
        <v>1076</v>
      </c>
      <c r="D199" s="334">
        <v>4086</v>
      </c>
      <c r="E199" s="334">
        <v>69</v>
      </c>
      <c r="F199" s="334">
        <v>271</v>
      </c>
      <c r="G199" s="334">
        <v>1727</v>
      </c>
      <c r="H199" s="334">
        <v>5901</v>
      </c>
      <c r="I199" s="334">
        <v>2872</v>
      </c>
      <c r="J199" s="334">
        <v>10258</v>
      </c>
    </row>
    <row r="200" spans="2:10" hidden="1" outlineLevel="1" x14ac:dyDescent="0.25">
      <c r="B200" s="332">
        <v>41395</v>
      </c>
      <c r="C200" s="334">
        <v>920</v>
      </c>
      <c r="D200" s="334">
        <v>3380</v>
      </c>
      <c r="E200" s="334">
        <v>38</v>
      </c>
      <c r="F200" s="334">
        <v>168</v>
      </c>
      <c r="G200" s="334">
        <v>1182</v>
      </c>
      <c r="H200" s="334">
        <v>4056</v>
      </c>
      <c r="I200" s="334">
        <v>2140</v>
      </c>
      <c r="J200" s="334">
        <v>7604</v>
      </c>
    </row>
    <row r="201" spans="2:10" hidden="1" outlineLevel="1" x14ac:dyDescent="0.25">
      <c r="B201" s="332">
        <v>41426</v>
      </c>
      <c r="C201" s="334">
        <v>911</v>
      </c>
      <c r="D201" s="334">
        <v>3309</v>
      </c>
      <c r="E201" s="334">
        <v>125</v>
      </c>
      <c r="F201" s="334">
        <v>648</v>
      </c>
      <c r="G201" s="334">
        <v>1778</v>
      </c>
      <c r="H201" s="334">
        <v>6154</v>
      </c>
      <c r="I201" s="334">
        <v>2814</v>
      </c>
      <c r="J201" s="334">
        <v>10111</v>
      </c>
    </row>
    <row r="202" spans="2:10" hidden="1" outlineLevel="1" x14ac:dyDescent="0.25">
      <c r="B202" s="332">
        <v>41456</v>
      </c>
      <c r="C202" s="334">
        <v>1073</v>
      </c>
      <c r="D202" s="334">
        <v>3717</v>
      </c>
      <c r="E202" s="334">
        <v>75</v>
      </c>
      <c r="F202" s="334">
        <v>297</v>
      </c>
      <c r="G202" s="334">
        <v>1520</v>
      </c>
      <c r="H202" s="334">
        <v>5115</v>
      </c>
      <c r="I202" s="334">
        <v>2668</v>
      </c>
      <c r="J202" s="334">
        <v>9129</v>
      </c>
    </row>
    <row r="203" spans="2:10" hidden="1" outlineLevel="1" x14ac:dyDescent="0.25">
      <c r="B203" s="332">
        <v>41487</v>
      </c>
      <c r="C203" s="334">
        <v>1037</v>
      </c>
      <c r="D203" s="334">
        <v>3504</v>
      </c>
      <c r="E203" s="334">
        <v>284</v>
      </c>
      <c r="F203" s="334">
        <v>1590</v>
      </c>
      <c r="G203" s="334">
        <v>2172</v>
      </c>
      <c r="H203" s="334">
        <v>6454</v>
      </c>
      <c r="I203" s="334">
        <v>3493</v>
      </c>
      <c r="J203" s="334">
        <v>11548</v>
      </c>
    </row>
    <row r="204" spans="2:10" hidden="1" outlineLevel="1" x14ac:dyDescent="0.25">
      <c r="B204" s="332">
        <v>41518</v>
      </c>
      <c r="C204" s="334">
        <v>2257</v>
      </c>
      <c r="D204" s="334">
        <v>8307</v>
      </c>
      <c r="E204" s="334">
        <v>45</v>
      </c>
      <c r="F204" s="334">
        <v>183</v>
      </c>
      <c r="G204" s="334">
        <v>1509</v>
      </c>
      <c r="H204" s="334">
        <v>5003</v>
      </c>
      <c r="I204" s="334">
        <v>3811</v>
      </c>
      <c r="J204" s="334">
        <v>13493</v>
      </c>
    </row>
    <row r="205" spans="2:10" hidden="1" outlineLevel="1" x14ac:dyDescent="0.25">
      <c r="B205" s="332">
        <v>41548</v>
      </c>
      <c r="C205" s="334">
        <v>2716</v>
      </c>
      <c r="D205" s="334">
        <v>10131</v>
      </c>
      <c r="E205" s="334">
        <v>147</v>
      </c>
      <c r="F205" s="334">
        <v>685</v>
      </c>
      <c r="G205" s="334">
        <v>1865</v>
      </c>
      <c r="H205" s="334">
        <v>6227</v>
      </c>
      <c r="I205" s="334">
        <v>4728</v>
      </c>
      <c r="J205" s="334">
        <v>17043</v>
      </c>
    </row>
    <row r="206" spans="2:10" hidden="1" outlineLevel="1" x14ac:dyDescent="0.25">
      <c r="B206" s="332">
        <v>41579</v>
      </c>
      <c r="C206" s="334">
        <v>1624</v>
      </c>
      <c r="D206" s="334">
        <v>5781</v>
      </c>
      <c r="E206" s="334">
        <v>79</v>
      </c>
      <c r="F206" s="334">
        <v>348</v>
      </c>
      <c r="G206" s="334">
        <v>1639</v>
      </c>
      <c r="H206" s="334">
        <v>5415</v>
      </c>
      <c r="I206" s="334">
        <v>3342</v>
      </c>
      <c r="J206" s="334">
        <v>11544</v>
      </c>
    </row>
    <row r="207" spans="2:10" hidden="1" outlineLevel="1" x14ac:dyDescent="0.25">
      <c r="B207" s="332">
        <v>41609</v>
      </c>
      <c r="C207" s="334">
        <v>1527</v>
      </c>
      <c r="D207" s="334">
        <v>5675</v>
      </c>
      <c r="E207" s="334">
        <v>77</v>
      </c>
      <c r="F207" s="334">
        <v>312</v>
      </c>
      <c r="G207" s="334">
        <v>1584</v>
      </c>
      <c r="H207" s="334">
        <v>4895</v>
      </c>
      <c r="I207" s="334">
        <v>3188</v>
      </c>
      <c r="J207" s="334">
        <v>10882</v>
      </c>
    </row>
    <row r="208" spans="2:10" collapsed="1" x14ac:dyDescent="0.25">
      <c r="B208" s="386" t="s">
        <v>34</v>
      </c>
      <c r="C208" s="380">
        <v>17394</v>
      </c>
      <c r="D208" s="380">
        <v>63757</v>
      </c>
      <c r="E208" s="380">
        <v>1193</v>
      </c>
      <c r="F208" s="380">
        <v>5685</v>
      </c>
      <c r="G208" s="380">
        <v>19798</v>
      </c>
      <c r="H208" s="380">
        <v>66674</v>
      </c>
      <c r="I208" s="380">
        <v>38385</v>
      </c>
      <c r="J208" s="380">
        <v>136116</v>
      </c>
    </row>
    <row r="209" spans="2:10" hidden="1" outlineLevel="1" x14ac:dyDescent="0.25">
      <c r="B209" s="332">
        <v>41640</v>
      </c>
      <c r="C209" s="334">
        <v>1680</v>
      </c>
      <c r="D209" s="334">
        <v>6027</v>
      </c>
      <c r="E209" s="334">
        <v>52</v>
      </c>
      <c r="F209" s="334">
        <v>220</v>
      </c>
      <c r="G209" s="334">
        <v>1280</v>
      </c>
      <c r="H209" s="334">
        <v>4011</v>
      </c>
      <c r="I209" s="334">
        <v>3012</v>
      </c>
      <c r="J209" s="334">
        <v>10258</v>
      </c>
    </row>
    <row r="210" spans="2:10" hidden="1" outlineLevel="1" x14ac:dyDescent="0.25">
      <c r="B210" s="332">
        <v>41671</v>
      </c>
      <c r="C210" s="334">
        <v>1550</v>
      </c>
      <c r="D210" s="334">
        <v>5590</v>
      </c>
      <c r="E210" s="334">
        <v>76</v>
      </c>
      <c r="F210" s="334">
        <v>318</v>
      </c>
      <c r="G210" s="334">
        <v>1520</v>
      </c>
      <c r="H210" s="334">
        <v>4945</v>
      </c>
      <c r="I210" s="334">
        <v>3146</v>
      </c>
      <c r="J210" s="334">
        <v>10853</v>
      </c>
    </row>
    <row r="211" spans="2:10" hidden="1" outlineLevel="1" x14ac:dyDescent="0.25">
      <c r="B211" s="332">
        <v>41699</v>
      </c>
      <c r="C211" s="334">
        <v>1367</v>
      </c>
      <c r="D211" s="334">
        <v>4922</v>
      </c>
      <c r="E211" s="334">
        <v>99</v>
      </c>
      <c r="F211" s="334">
        <v>470</v>
      </c>
      <c r="G211" s="334">
        <v>1354</v>
      </c>
      <c r="H211" s="334">
        <v>4290</v>
      </c>
      <c r="I211" s="334">
        <v>2820</v>
      </c>
      <c r="J211" s="334">
        <v>9682</v>
      </c>
    </row>
    <row r="212" spans="2:10" hidden="1" outlineLevel="1" x14ac:dyDescent="0.25">
      <c r="B212" s="332">
        <v>41730</v>
      </c>
      <c r="C212" s="334">
        <v>1713</v>
      </c>
      <c r="D212" s="334">
        <v>6039</v>
      </c>
      <c r="E212" s="334">
        <v>117</v>
      </c>
      <c r="F212" s="334">
        <v>534</v>
      </c>
      <c r="G212" s="334">
        <v>1841</v>
      </c>
      <c r="H212" s="334">
        <v>6029</v>
      </c>
      <c r="I212" s="334">
        <v>3671</v>
      </c>
      <c r="J212" s="334">
        <v>12602</v>
      </c>
    </row>
    <row r="213" spans="2:10" hidden="1" outlineLevel="1" x14ac:dyDescent="0.25">
      <c r="B213" s="332">
        <v>41760</v>
      </c>
      <c r="C213" s="334">
        <v>1767</v>
      </c>
      <c r="D213" s="334">
        <v>6174</v>
      </c>
      <c r="E213" s="334">
        <v>124</v>
      </c>
      <c r="F213" s="334">
        <v>523</v>
      </c>
      <c r="G213" s="334">
        <v>1514</v>
      </c>
      <c r="H213" s="334">
        <v>4663</v>
      </c>
      <c r="I213" s="334">
        <v>3405</v>
      </c>
      <c r="J213" s="334">
        <v>11360</v>
      </c>
    </row>
    <row r="214" spans="2:10" hidden="1" outlineLevel="1" x14ac:dyDescent="0.25">
      <c r="B214" s="332">
        <v>41791</v>
      </c>
      <c r="C214" s="334">
        <v>1613</v>
      </c>
      <c r="D214" s="334">
        <v>5821</v>
      </c>
      <c r="E214" s="334">
        <v>120</v>
      </c>
      <c r="F214" s="334">
        <v>517</v>
      </c>
      <c r="G214" s="334">
        <v>1715</v>
      </c>
      <c r="H214" s="334">
        <v>5301</v>
      </c>
      <c r="I214" s="334">
        <v>3448</v>
      </c>
      <c r="J214" s="334">
        <v>11639</v>
      </c>
    </row>
    <row r="215" spans="2:10" hidden="1" outlineLevel="1" x14ac:dyDescent="0.25">
      <c r="B215" s="332">
        <v>41821</v>
      </c>
      <c r="C215" s="334">
        <v>1419</v>
      </c>
      <c r="D215" s="334">
        <v>4978</v>
      </c>
      <c r="E215" s="334">
        <v>88</v>
      </c>
      <c r="F215" s="334">
        <v>412</v>
      </c>
      <c r="G215" s="334">
        <v>1625</v>
      </c>
      <c r="H215" s="334">
        <v>5129</v>
      </c>
      <c r="I215" s="334">
        <v>3132</v>
      </c>
      <c r="J215" s="334">
        <v>10519</v>
      </c>
    </row>
    <row r="216" spans="2:10" hidden="1" outlineLevel="1" x14ac:dyDescent="0.25">
      <c r="B216" s="332">
        <v>41852</v>
      </c>
      <c r="C216" s="334">
        <v>1494</v>
      </c>
      <c r="D216" s="334">
        <v>5380</v>
      </c>
      <c r="E216" s="334">
        <v>98</v>
      </c>
      <c r="F216" s="334">
        <v>469</v>
      </c>
      <c r="G216" s="334">
        <v>2110</v>
      </c>
      <c r="H216" s="334">
        <v>6696</v>
      </c>
      <c r="I216" s="334">
        <v>3702</v>
      </c>
      <c r="J216" s="334">
        <v>12545</v>
      </c>
    </row>
    <row r="217" spans="2:10" hidden="1" outlineLevel="1" x14ac:dyDescent="0.25">
      <c r="B217" s="332">
        <v>41883</v>
      </c>
      <c r="C217" s="334">
        <v>2074</v>
      </c>
      <c r="D217" s="334">
        <v>6815</v>
      </c>
      <c r="E217" s="334">
        <v>153</v>
      </c>
      <c r="F217" s="334">
        <v>619</v>
      </c>
      <c r="G217" s="334">
        <v>1891</v>
      </c>
      <c r="H217" s="334">
        <v>5544</v>
      </c>
      <c r="I217" s="334">
        <v>4118</v>
      </c>
      <c r="J217" s="334">
        <v>12978</v>
      </c>
    </row>
    <row r="218" spans="2:10" hidden="1" outlineLevel="1" x14ac:dyDescent="0.25">
      <c r="B218" s="332">
        <v>41913</v>
      </c>
      <c r="C218" s="334">
        <v>1793</v>
      </c>
      <c r="D218" s="334">
        <v>6196</v>
      </c>
      <c r="E218" s="334">
        <v>99</v>
      </c>
      <c r="F218" s="334">
        <v>453</v>
      </c>
      <c r="G218" s="334">
        <v>2822</v>
      </c>
      <c r="H218" s="334">
        <v>9121</v>
      </c>
      <c r="I218" s="334">
        <v>4714</v>
      </c>
      <c r="J218" s="334">
        <v>15770</v>
      </c>
    </row>
    <row r="219" spans="2:10" hidden="1" outlineLevel="1" x14ac:dyDescent="0.25">
      <c r="B219" s="332">
        <v>41944</v>
      </c>
      <c r="C219" s="334">
        <v>1417</v>
      </c>
      <c r="D219" s="334">
        <v>5025</v>
      </c>
      <c r="E219" s="334">
        <v>119</v>
      </c>
      <c r="F219" s="334">
        <v>521</v>
      </c>
      <c r="G219" s="334">
        <v>2963</v>
      </c>
      <c r="H219" s="334">
        <v>9093</v>
      </c>
      <c r="I219" s="334">
        <v>4499</v>
      </c>
      <c r="J219" s="334">
        <v>14639</v>
      </c>
    </row>
    <row r="220" spans="2:10" hidden="1" outlineLevel="1" x14ac:dyDescent="0.25">
      <c r="B220" s="332">
        <v>41974</v>
      </c>
      <c r="C220" s="334">
        <v>2023</v>
      </c>
      <c r="D220" s="334">
        <v>7131</v>
      </c>
      <c r="E220" s="334">
        <v>157</v>
      </c>
      <c r="F220" s="334">
        <v>606</v>
      </c>
      <c r="G220" s="334">
        <v>2407</v>
      </c>
      <c r="H220" s="334">
        <v>7565</v>
      </c>
      <c r="I220" s="334">
        <v>4587</v>
      </c>
      <c r="J220" s="334">
        <v>15302</v>
      </c>
    </row>
    <row r="221" spans="2:10" collapsed="1" x14ac:dyDescent="0.25">
      <c r="B221" s="386" t="s">
        <v>36</v>
      </c>
      <c r="C221" s="380">
        <v>19910</v>
      </c>
      <c r="D221" s="380">
        <v>70098</v>
      </c>
      <c r="E221" s="380">
        <v>1302</v>
      </c>
      <c r="F221" s="380">
        <v>5662</v>
      </c>
      <c r="G221" s="380">
        <v>23042</v>
      </c>
      <c r="H221" s="380">
        <v>72387</v>
      </c>
      <c r="I221" s="380">
        <v>44254</v>
      </c>
      <c r="J221" s="380">
        <v>148147</v>
      </c>
    </row>
    <row r="222" spans="2:10" hidden="1" outlineLevel="1" x14ac:dyDescent="0.25">
      <c r="B222" s="332">
        <v>42005</v>
      </c>
      <c r="C222" s="334">
        <v>1303</v>
      </c>
      <c r="D222" s="334">
        <v>4627</v>
      </c>
      <c r="E222" s="334">
        <v>90</v>
      </c>
      <c r="F222" s="334">
        <v>407</v>
      </c>
      <c r="G222" s="334">
        <v>2299</v>
      </c>
      <c r="H222" s="334">
        <v>7138</v>
      </c>
      <c r="I222" s="334">
        <v>3692</v>
      </c>
      <c r="J222" s="334">
        <v>12172</v>
      </c>
    </row>
    <row r="223" spans="2:10" hidden="1" outlineLevel="1" x14ac:dyDescent="0.25">
      <c r="B223" s="332">
        <v>42036</v>
      </c>
      <c r="C223" s="334">
        <v>1126</v>
      </c>
      <c r="D223" s="334">
        <v>4105</v>
      </c>
      <c r="E223" s="334">
        <v>68</v>
      </c>
      <c r="F223" s="334">
        <v>319</v>
      </c>
      <c r="G223" s="334">
        <v>1895</v>
      </c>
      <c r="H223" s="334">
        <v>5828</v>
      </c>
      <c r="I223" s="334">
        <v>3089</v>
      </c>
      <c r="J223" s="334">
        <v>10252</v>
      </c>
    </row>
    <row r="224" spans="2:10" hidden="1" outlineLevel="1" x14ac:dyDescent="0.25">
      <c r="B224" s="332">
        <v>42064</v>
      </c>
      <c r="C224" s="334">
        <v>1509</v>
      </c>
      <c r="D224" s="334">
        <v>5148</v>
      </c>
      <c r="E224" s="334">
        <v>142</v>
      </c>
      <c r="F224" s="334">
        <v>601</v>
      </c>
      <c r="G224" s="334">
        <v>2308</v>
      </c>
      <c r="H224" s="334">
        <v>7031</v>
      </c>
      <c r="I224" s="334">
        <v>3959</v>
      </c>
      <c r="J224" s="334">
        <v>12780</v>
      </c>
    </row>
    <row r="225" spans="2:10" hidden="1" outlineLevel="1" x14ac:dyDescent="0.25">
      <c r="B225" s="332">
        <v>42095</v>
      </c>
      <c r="C225" s="334">
        <v>1305</v>
      </c>
      <c r="D225" s="334">
        <v>4297</v>
      </c>
      <c r="E225" s="334">
        <v>154</v>
      </c>
      <c r="F225" s="334">
        <v>670</v>
      </c>
      <c r="G225" s="334">
        <v>2740</v>
      </c>
      <c r="H225" s="334">
        <v>8147</v>
      </c>
      <c r="I225" s="334">
        <v>4199</v>
      </c>
      <c r="J225" s="334">
        <v>13114</v>
      </c>
    </row>
    <row r="226" spans="2:10" hidden="1" outlineLevel="1" x14ac:dyDescent="0.25">
      <c r="B226" s="332">
        <v>42125</v>
      </c>
      <c r="C226" s="334">
        <v>1328</v>
      </c>
      <c r="D226" s="334">
        <v>4634</v>
      </c>
      <c r="E226" s="334">
        <v>162</v>
      </c>
      <c r="F226" s="334">
        <v>698</v>
      </c>
      <c r="G226" s="334">
        <v>2387</v>
      </c>
      <c r="H226" s="334">
        <v>7056</v>
      </c>
      <c r="I226" s="334">
        <v>3877</v>
      </c>
      <c r="J226" s="334">
        <v>12388</v>
      </c>
    </row>
    <row r="227" spans="2:10" hidden="1" outlineLevel="1" x14ac:dyDescent="0.25">
      <c r="B227" s="332">
        <v>42156</v>
      </c>
      <c r="C227" s="334">
        <v>1079</v>
      </c>
      <c r="D227" s="334">
        <v>3931</v>
      </c>
      <c r="E227" s="334">
        <v>121</v>
      </c>
      <c r="F227" s="334">
        <v>595</v>
      </c>
      <c r="G227" s="334">
        <v>2940</v>
      </c>
      <c r="H227" s="334">
        <v>8577</v>
      </c>
      <c r="I227" s="334">
        <v>4140</v>
      </c>
      <c r="J227" s="334">
        <v>13103</v>
      </c>
    </row>
    <row r="228" spans="2:10" hidden="1" outlineLevel="1" x14ac:dyDescent="0.25">
      <c r="B228" s="332">
        <v>42186</v>
      </c>
      <c r="C228" s="334">
        <v>1562</v>
      </c>
      <c r="D228" s="334">
        <v>5243</v>
      </c>
      <c r="E228" s="334">
        <v>193</v>
      </c>
      <c r="F228" s="334">
        <v>896</v>
      </c>
      <c r="G228" s="334">
        <v>1660</v>
      </c>
      <c r="H228" s="334">
        <v>4806</v>
      </c>
      <c r="I228" s="334">
        <v>3415</v>
      </c>
      <c r="J228" s="334">
        <v>10945</v>
      </c>
    </row>
    <row r="229" spans="2:10" hidden="1" outlineLevel="1" x14ac:dyDescent="0.25">
      <c r="B229" s="332">
        <v>42217</v>
      </c>
      <c r="C229" s="334">
        <v>1389</v>
      </c>
      <c r="D229" s="334">
        <v>4383</v>
      </c>
      <c r="E229" s="334">
        <v>321</v>
      </c>
      <c r="F229" s="334">
        <v>1453</v>
      </c>
      <c r="G229" s="334">
        <v>4348</v>
      </c>
      <c r="H229" s="334">
        <v>12994</v>
      </c>
      <c r="I229" s="334">
        <v>6058</v>
      </c>
      <c r="J229" s="334">
        <v>18830</v>
      </c>
    </row>
    <row r="230" spans="2:10" hidden="1" outlineLevel="1" x14ac:dyDescent="0.25">
      <c r="B230" s="332">
        <v>42248</v>
      </c>
      <c r="C230" s="334">
        <v>2017</v>
      </c>
      <c r="D230" s="334">
        <v>7335</v>
      </c>
      <c r="E230" s="334">
        <v>176</v>
      </c>
      <c r="F230" s="334">
        <v>801</v>
      </c>
      <c r="G230" s="334">
        <v>2843</v>
      </c>
      <c r="H230" s="334">
        <v>8849</v>
      </c>
      <c r="I230" s="334">
        <v>5036</v>
      </c>
      <c r="J230" s="334">
        <v>16985</v>
      </c>
    </row>
    <row r="231" spans="2:10" hidden="1" outlineLevel="1" x14ac:dyDescent="0.25">
      <c r="B231" s="332">
        <v>42278</v>
      </c>
      <c r="C231" s="334">
        <v>1395</v>
      </c>
      <c r="D231" s="334">
        <v>4572</v>
      </c>
      <c r="E231" s="334">
        <v>175</v>
      </c>
      <c r="F231" s="334">
        <v>799</v>
      </c>
      <c r="G231" s="334">
        <v>2605</v>
      </c>
      <c r="H231" s="334">
        <v>7454</v>
      </c>
      <c r="I231" s="334">
        <v>4175</v>
      </c>
      <c r="J231" s="334">
        <v>12825</v>
      </c>
    </row>
    <row r="232" spans="2:10" hidden="1" outlineLevel="1" x14ac:dyDescent="0.25">
      <c r="B232" s="332">
        <v>42309</v>
      </c>
      <c r="C232" s="334">
        <v>1495</v>
      </c>
      <c r="D232" s="334">
        <v>5282</v>
      </c>
      <c r="E232" s="334">
        <v>166</v>
      </c>
      <c r="F232" s="334">
        <v>712</v>
      </c>
      <c r="G232" s="334">
        <v>3733</v>
      </c>
      <c r="H232" s="334">
        <v>10856</v>
      </c>
      <c r="I232" s="334">
        <v>5394</v>
      </c>
      <c r="J232" s="334">
        <v>16850</v>
      </c>
    </row>
    <row r="233" spans="2:10" hidden="1" outlineLevel="1" x14ac:dyDescent="0.25">
      <c r="B233" s="332">
        <v>42339</v>
      </c>
      <c r="C233" s="334">
        <v>1645</v>
      </c>
      <c r="D233" s="334">
        <v>5189</v>
      </c>
      <c r="E233" s="334">
        <v>200</v>
      </c>
      <c r="F233" s="334">
        <v>809</v>
      </c>
      <c r="G233" s="334">
        <v>2771</v>
      </c>
      <c r="H233" s="334">
        <v>8572</v>
      </c>
      <c r="I233" s="334">
        <v>4616</v>
      </c>
      <c r="J233" s="334">
        <v>14570</v>
      </c>
    </row>
    <row r="234" spans="2:10" collapsed="1" x14ac:dyDescent="0.25">
      <c r="B234" s="386" t="s">
        <v>38</v>
      </c>
      <c r="C234" s="380">
        <v>17153</v>
      </c>
      <c r="D234" s="380">
        <v>58746</v>
      </c>
      <c r="E234" s="380">
        <v>1968</v>
      </c>
      <c r="F234" s="380">
        <v>8760</v>
      </c>
      <c r="G234" s="380">
        <v>32529</v>
      </c>
      <c r="H234" s="380">
        <v>97308</v>
      </c>
      <c r="I234" s="380">
        <v>51650</v>
      </c>
      <c r="J234" s="380">
        <v>164814</v>
      </c>
    </row>
    <row r="235" spans="2:10" hidden="1" outlineLevel="1" x14ac:dyDescent="0.25">
      <c r="B235" s="332">
        <v>42370</v>
      </c>
      <c r="C235" s="334">
        <v>1402</v>
      </c>
      <c r="D235" s="334">
        <v>4801</v>
      </c>
      <c r="E235" s="334">
        <v>157</v>
      </c>
      <c r="F235" s="334">
        <v>645</v>
      </c>
      <c r="G235" s="334">
        <v>2531</v>
      </c>
      <c r="H235" s="334">
        <v>7419</v>
      </c>
      <c r="I235" s="334">
        <v>4090</v>
      </c>
      <c r="J235" s="334">
        <v>12865</v>
      </c>
    </row>
    <row r="236" spans="2:10" hidden="1" outlineLevel="1" x14ac:dyDescent="0.25">
      <c r="B236" s="332">
        <v>42401</v>
      </c>
      <c r="C236" s="334">
        <v>964</v>
      </c>
      <c r="D236" s="334">
        <v>3139</v>
      </c>
      <c r="E236" s="334">
        <v>156</v>
      </c>
      <c r="F236" s="334">
        <v>644</v>
      </c>
      <c r="G236" s="334">
        <v>2723</v>
      </c>
      <c r="H236" s="334">
        <v>8130</v>
      </c>
      <c r="I236" s="334">
        <v>3843</v>
      </c>
      <c r="J236" s="334">
        <v>11913</v>
      </c>
    </row>
    <row r="237" spans="2:10" hidden="1" outlineLevel="1" x14ac:dyDescent="0.25">
      <c r="B237" s="332">
        <v>42430</v>
      </c>
      <c r="C237" s="334">
        <v>1710</v>
      </c>
      <c r="D237" s="334">
        <v>5724</v>
      </c>
      <c r="E237" s="334">
        <v>238</v>
      </c>
      <c r="F237" s="334">
        <v>993</v>
      </c>
      <c r="G237" s="334">
        <v>3197</v>
      </c>
      <c r="H237" s="334">
        <v>9196</v>
      </c>
      <c r="I237" s="334">
        <v>5145</v>
      </c>
      <c r="J237" s="334">
        <v>15913</v>
      </c>
    </row>
    <row r="238" spans="2:10" hidden="1" outlineLevel="1" x14ac:dyDescent="0.25">
      <c r="B238" s="332">
        <v>42461</v>
      </c>
      <c r="C238" s="334">
        <v>1579</v>
      </c>
      <c r="D238" s="334">
        <v>5412</v>
      </c>
      <c r="E238" s="334">
        <v>196</v>
      </c>
      <c r="F238" s="334">
        <v>787</v>
      </c>
      <c r="G238" s="334">
        <v>2640</v>
      </c>
      <c r="H238" s="334">
        <v>7635</v>
      </c>
      <c r="I238" s="334">
        <v>4415</v>
      </c>
      <c r="J238" s="334">
        <v>13834</v>
      </c>
    </row>
    <row r="239" spans="2:10" hidden="1" outlineLevel="1" x14ac:dyDescent="0.25">
      <c r="B239" s="332">
        <v>42491</v>
      </c>
      <c r="C239" s="334">
        <v>1550</v>
      </c>
      <c r="D239" s="334">
        <v>5486</v>
      </c>
      <c r="E239" s="334">
        <v>180</v>
      </c>
      <c r="F239" s="334">
        <v>760</v>
      </c>
      <c r="G239" s="334">
        <v>2933</v>
      </c>
      <c r="H239" s="334">
        <v>8633</v>
      </c>
      <c r="I239" s="334">
        <v>4663</v>
      </c>
      <c r="J239" s="334">
        <v>14879</v>
      </c>
    </row>
    <row r="240" spans="2:10" hidden="1" outlineLevel="1" x14ac:dyDescent="0.25">
      <c r="B240" s="332">
        <v>42522</v>
      </c>
      <c r="C240" s="334">
        <v>1015</v>
      </c>
      <c r="D240" s="334">
        <v>3452</v>
      </c>
      <c r="E240" s="334">
        <v>121</v>
      </c>
      <c r="F240" s="334">
        <v>555</v>
      </c>
      <c r="G240" s="334">
        <v>2658</v>
      </c>
      <c r="H240" s="334">
        <v>7478</v>
      </c>
      <c r="I240" s="334">
        <v>3794</v>
      </c>
      <c r="J240" s="334">
        <v>11485</v>
      </c>
    </row>
    <row r="241" spans="2:10" hidden="1" outlineLevel="1" x14ac:dyDescent="0.25">
      <c r="B241" s="332">
        <v>42552</v>
      </c>
      <c r="C241" s="334">
        <v>1746</v>
      </c>
      <c r="D241" s="334">
        <v>6028</v>
      </c>
      <c r="E241" s="334">
        <v>157</v>
      </c>
      <c r="F241" s="334">
        <v>657</v>
      </c>
      <c r="G241" s="334">
        <v>2535</v>
      </c>
      <c r="H241" s="334">
        <v>7430</v>
      </c>
      <c r="I241" s="334">
        <v>4438</v>
      </c>
      <c r="J241" s="334">
        <v>14115</v>
      </c>
    </row>
    <row r="242" spans="2:10" hidden="1" outlineLevel="1" x14ac:dyDescent="0.25">
      <c r="B242" s="332">
        <v>42583</v>
      </c>
      <c r="C242" s="334">
        <v>1390</v>
      </c>
      <c r="D242" s="334">
        <v>4511</v>
      </c>
      <c r="E242" s="334">
        <v>153</v>
      </c>
      <c r="F242" s="334">
        <v>578</v>
      </c>
      <c r="G242" s="334">
        <v>3151</v>
      </c>
      <c r="H242" s="334">
        <v>9173</v>
      </c>
      <c r="I242" s="334">
        <v>4694</v>
      </c>
      <c r="J242" s="334">
        <v>14262</v>
      </c>
    </row>
    <row r="243" spans="2:10" hidden="1" outlineLevel="1" x14ac:dyDescent="0.25">
      <c r="B243" s="332">
        <v>42614</v>
      </c>
      <c r="C243" s="334">
        <v>1402</v>
      </c>
      <c r="D243" s="334">
        <v>4329</v>
      </c>
      <c r="E243" s="334">
        <v>196</v>
      </c>
      <c r="F243" s="334">
        <v>823</v>
      </c>
      <c r="G243" s="334">
        <v>2981</v>
      </c>
      <c r="H243" s="334">
        <v>8807</v>
      </c>
      <c r="I243" s="334">
        <v>4579</v>
      </c>
      <c r="J243" s="334">
        <v>13959</v>
      </c>
    </row>
    <row r="244" spans="2:10" hidden="1" outlineLevel="1" x14ac:dyDescent="0.25">
      <c r="B244" s="332">
        <v>42644</v>
      </c>
      <c r="C244" s="334">
        <v>1480</v>
      </c>
      <c r="D244" s="334">
        <v>5044</v>
      </c>
      <c r="E244" s="334">
        <v>136</v>
      </c>
      <c r="F244" s="334">
        <v>536</v>
      </c>
      <c r="G244" s="334">
        <v>2791</v>
      </c>
      <c r="H244" s="334">
        <v>8111</v>
      </c>
      <c r="I244" s="334">
        <v>4407</v>
      </c>
      <c r="J244" s="334">
        <v>13691</v>
      </c>
    </row>
    <row r="245" spans="2:10" hidden="1" outlineLevel="1" x14ac:dyDescent="0.25">
      <c r="B245" s="332">
        <v>42675</v>
      </c>
      <c r="C245" s="334">
        <v>1497</v>
      </c>
      <c r="D245" s="334">
        <v>5099</v>
      </c>
      <c r="E245" s="334">
        <v>128</v>
      </c>
      <c r="F245" s="334">
        <v>483</v>
      </c>
      <c r="G245" s="334">
        <v>2064</v>
      </c>
      <c r="H245" s="334">
        <v>6110</v>
      </c>
      <c r="I245" s="334">
        <v>3689</v>
      </c>
      <c r="J245" s="334">
        <v>11692</v>
      </c>
    </row>
    <row r="246" spans="2:10" hidden="1" outlineLevel="1" x14ac:dyDescent="0.25">
      <c r="B246" s="332">
        <v>42705</v>
      </c>
      <c r="C246" s="334">
        <v>1565</v>
      </c>
      <c r="D246" s="334">
        <v>5550</v>
      </c>
      <c r="E246" s="334">
        <v>94</v>
      </c>
      <c r="F246" s="334">
        <v>399</v>
      </c>
      <c r="G246" s="334">
        <v>3636</v>
      </c>
      <c r="H246" s="334">
        <v>11125</v>
      </c>
      <c r="I246" s="334">
        <v>5295</v>
      </c>
      <c r="J246" s="334">
        <v>17074</v>
      </c>
    </row>
    <row r="247" spans="2:10" collapsed="1" x14ac:dyDescent="0.25">
      <c r="B247" s="386" t="s">
        <v>55</v>
      </c>
      <c r="C247" s="380">
        <v>17300</v>
      </c>
      <c r="D247" s="380">
        <v>58575</v>
      </c>
      <c r="E247" s="380">
        <v>1912</v>
      </c>
      <c r="F247" s="380">
        <v>7860</v>
      </c>
      <c r="G247" s="380">
        <v>33840</v>
      </c>
      <c r="H247" s="380">
        <v>99247</v>
      </c>
      <c r="I247" s="380">
        <v>53052</v>
      </c>
      <c r="J247" s="380">
        <v>165682</v>
      </c>
    </row>
    <row r="248" spans="2:10" hidden="1" outlineLevel="1" x14ac:dyDescent="0.25">
      <c r="B248" s="332">
        <v>42736</v>
      </c>
      <c r="C248" s="334">
        <v>1578</v>
      </c>
      <c r="D248" s="334">
        <v>5100</v>
      </c>
      <c r="E248" s="334">
        <v>122</v>
      </c>
      <c r="F248" s="334">
        <v>478</v>
      </c>
      <c r="G248" s="334">
        <v>3277</v>
      </c>
      <c r="H248" s="334">
        <v>9466</v>
      </c>
      <c r="I248" s="334">
        <v>4977</v>
      </c>
      <c r="J248" s="334">
        <v>15044</v>
      </c>
    </row>
    <row r="249" spans="2:10" hidden="1" outlineLevel="1" x14ac:dyDescent="0.25">
      <c r="B249" s="332">
        <v>42767</v>
      </c>
      <c r="C249" s="334">
        <v>1309</v>
      </c>
      <c r="D249" s="334">
        <v>4472</v>
      </c>
      <c r="E249" s="334">
        <v>118</v>
      </c>
      <c r="F249" s="334">
        <v>502</v>
      </c>
      <c r="G249" s="334">
        <v>3001</v>
      </c>
      <c r="H249" s="334">
        <v>8506</v>
      </c>
      <c r="I249" s="334">
        <v>4428</v>
      </c>
      <c r="J249" s="334">
        <v>13480</v>
      </c>
    </row>
    <row r="250" spans="2:10" hidden="1" outlineLevel="1" x14ac:dyDescent="0.25">
      <c r="B250" s="332">
        <v>42795</v>
      </c>
      <c r="C250" s="334">
        <v>1433</v>
      </c>
      <c r="D250" s="334">
        <v>4492</v>
      </c>
      <c r="E250" s="334">
        <v>123</v>
      </c>
      <c r="F250" s="334">
        <v>484</v>
      </c>
      <c r="G250" s="334">
        <v>2598</v>
      </c>
      <c r="H250" s="334">
        <v>7750</v>
      </c>
      <c r="I250" s="334">
        <v>4154</v>
      </c>
      <c r="J250" s="334">
        <v>12726</v>
      </c>
    </row>
    <row r="251" spans="2:10" hidden="1" outlineLevel="1" x14ac:dyDescent="0.25">
      <c r="B251" s="332">
        <v>42826</v>
      </c>
      <c r="C251" s="334">
        <v>1610</v>
      </c>
      <c r="D251" s="334">
        <v>5252</v>
      </c>
      <c r="E251" s="334">
        <v>163</v>
      </c>
      <c r="F251" s="334">
        <v>704</v>
      </c>
      <c r="G251" s="334">
        <v>2935</v>
      </c>
      <c r="H251" s="334">
        <v>8131</v>
      </c>
      <c r="I251" s="334">
        <v>4708</v>
      </c>
      <c r="J251" s="334">
        <v>14087</v>
      </c>
    </row>
    <row r="252" spans="2:10" hidden="1" outlineLevel="1" x14ac:dyDescent="0.25">
      <c r="B252" s="332">
        <v>42856</v>
      </c>
      <c r="C252" s="334">
        <v>1418</v>
      </c>
      <c r="D252" s="334">
        <v>4341</v>
      </c>
      <c r="E252" s="334">
        <v>177</v>
      </c>
      <c r="F252" s="334">
        <v>637</v>
      </c>
      <c r="G252" s="334">
        <v>3318</v>
      </c>
      <c r="H252" s="334">
        <v>8846</v>
      </c>
      <c r="I252" s="334">
        <v>4913</v>
      </c>
      <c r="J252" s="334">
        <v>13824</v>
      </c>
    </row>
    <row r="253" spans="2:10" hidden="1" outlineLevel="1" x14ac:dyDescent="0.25">
      <c r="B253" s="332">
        <v>42887</v>
      </c>
      <c r="C253" s="334">
        <v>1230</v>
      </c>
      <c r="D253" s="334">
        <v>4069</v>
      </c>
      <c r="E253" s="334">
        <v>108</v>
      </c>
      <c r="F253" s="334">
        <v>460</v>
      </c>
      <c r="G253" s="334">
        <v>2707</v>
      </c>
      <c r="H253" s="334">
        <v>8139</v>
      </c>
      <c r="I253" s="334">
        <v>4045</v>
      </c>
      <c r="J253" s="334">
        <v>12668</v>
      </c>
    </row>
    <row r="254" spans="2:10" hidden="1" outlineLevel="1" x14ac:dyDescent="0.25">
      <c r="B254" s="332">
        <v>42917</v>
      </c>
      <c r="C254" s="334">
        <v>1191</v>
      </c>
      <c r="D254" s="334">
        <v>4093</v>
      </c>
      <c r="E254" s="334">
        <v>118</v>
      </c>
      <c r="F254" s="334">
        <v>524</v>
      </c>
      <c r="G254" s="334">
        <v>3460</v>
      </c>
      <c r="H254" s="334">
        <v>9428</v>
      </c>
      <c r="I254" s="334">
        <v>4769</v>
      </c>
      <c r="J254" s="334">
        <v>14045</v>
      </c>
    </row>
    <row r="255" spans="2:10" hidden="1" outlineLevel="1" x14ac:dyDescent="0.25">
      <c r="B255" s="332">
        <v>42948</v>
      </c>
      <c r="C255" s="334">
        <v>1646</v>
      </c>
      <c r="D255" s="334">
        <v>5129</v>
      </c>
      <c r="E255" s="334">
        <v>226</v>
      </c>
      <c r="F255" s="334">
        <v>888</v>
      </c>
      <c r="G255" s="334">
        <v>3406</v>
      </c>
      <c r="H255" s="334">
        <v>9871</v>
      </c>
      <c r="I255" s="334">
        <v>5278</v>
      </c>
      <c r="J255" s="334">
        <v>15888</v>
      </c>
    </row>
    <row r="256" spans="2:10" hidden="1" outlineLevel="1" x14ac:dyDescent="0.25">
      <c r="B256" s="332">
        <v>42979</v>
      </c>
      <c r="C256" s="334">
        <v>1788</v>
      </c>
      <c r="D256" s="334">
        <v>5884</v>
      </c>
      <c r="E256" s="334">
        <v>227</v>
      </c>
      <c r="F256" s="334">
        <v>1042</v>
      </c>
      <c r="G256" s="334">
        <v>1959</v>
      </c>
      <c r="H256" s="334">
        <v>5773</v>
      </c>
      <c r="I256" s="334">
        <v>3974</v>
      </c>
      <c r="J256" s="334">
        <v>12699</v>
      </c>
    </row>
    <row r="257" spans="2:10" hidden="1" outlineLevel="1" x14ac:dyDescent="0.25">
      <c r="B257" s="332">
        <v>43009</v>
      </c>
      <c r="C257" s="334">
        <v>1600</v>
      </c>
      <c r="D257" s="334">
        <v>5166</v>
      </c>
      <c r="E257" s="334">
        <v>160</v>
      </c>
      <c r="F257" s="334">
        <v>678</v>
      </c>
      <c r="G257" s="334">
        <v>5186</v>
      </c>
      <c r="H257" s="334">
        <v>14719</v>
      </c>
      <c r="I257" s="334">
        <v>6946</v>
      </c>
      <c r="J257" s="334">
        <v>20563</v>
      </c>
    </row>
    <row r="258" spans="2:10" hidden="1" outlineLevel="1" x14ac:dyDescent="0.25">
      <c r="B258" s="332">
        <v>43040</v>
      </c>
      <c r="C258" s="334">
        <v>1751</v>
      </c>
      <c r="D258" s="334">
        <v>5849</v>
      </c>
      <c r="E258" s="334">
        <v>177</v>
      </c>
      <c r="F258" s="334">
        <v>742</v>
      </c>
      <c r="G258" s="334">
        <v>3371</v>
      </c>
      <c r="H258" s="334">
        <v>9775</v>
      </c>
      <c r="I258" s="334">
        <v>5299</v>
      </c>
      <c r="J258" s="334">
        <v>16366</v>
      </c>
    </row>
    <row r="259" spans="2:10" hidden="1" outlineLevel="1" x14ac:dyDescent="0.25">
      <c r="B259" s="332">
        <v>43070</v>
      </c>
      <c r="C259" s="334">
        <v>1618</v>
      </c>
      <c r="D259" s="334">
        <v>5288</v>
      </c>
      <c r="E259" s="334">
        <v>188</v>
      </c>
      <c r="F259" s="334">
        <v>708</v>
      </c>
      <c r="G259" s="334">
        <v>3152</v>
      </c>
      <c r="H259" s="334">
        <v>9366</v>
      </c>
      <c r="I259" s="334">
        <v>4958</v>
      </c>
      <c r="J259" s="334">
        <v>15362</v>
      </c>
    </row>
    <row r="260" spans="2:10" collapsed="1" x14ac:dyDescent="0.25">
      <c r="B260" s="386" t="s">
        <v>58</v>
      </c>
      <c r="C260" s="380">
        <v>18172</v>
      </c>
      <c r="D260" s="380">
        <v>59135</v>
      </c>
      <c r="E260" s="380">
        <v>1907</v>
      </c>
      <c r="F260" s="380">
        <v>7847</v>
      </c>
      <c r="G260" s="380">
        <v>38370</v>
      </c>
      <c r="H260" s="380">
        <v>109770</v>
      </c>
      <c r="I260" s="380">
        <v>58449</v>
      </c>
      <c r="J260" s="380">
        <v>176752</v>
      </c>
    </row>
    <row r="261" spans="2:10" hidden="1" outlineLevel="1" x14ac:dyDescent="0.25">
      <c r="B261" s="332">
        <v>43101</v>
      </c>
      <c r="C261" s="334">
        <v>1487</v>
      </c>
      <c r="D261" s="334">
        <v>4777</v>
      </c>
      <c r="E261" s="334">
        <v>142</v>
      </c>
      <c r="F261" s="334">
        <v>567</v>
      </c>
      <c r="G261" s="334">
        <v>3378</v>
      </c>
      <c r="H261" s="334">
        <v>9267</v>
      </c>
      <c r="I261" s="334">
        <v>5007</v>
      </c>
      <c r="J261" s="334">
        <v>14611</v>
      </c>
    </row>
    <row r="262" spans="2:10" hidden="1" outlineLevel="1" x14ac:dyDescent="0.25">
      <c r="B262" s="332">
        <v>43132</v>
      </c>
      <c r="C262" s="334">
        <v>1165</v>
      </c>
      <c r="D262" s="334">
        <v>3878</v>
      </c>
      <c r="E262" s="334">
        <v>171</v>
      </c>
      <c r="F262" s="334">
        <v>740</v>
      </c>
      <c r="G262" s="334">
        <v>4024</v>
      </c>
      <c r="H262" s="334">
        <v>10885</v>
      </c>
      <c r="I262" s="334">
        <v>5360</v>
      </c>
      <c r="J262" s="334">
        <v>15503</v>
      </c>
    </row>
    <row r="263" spans="2:10" hidden="1" outlineLevel="1" x14ac:dyDescent="0.25">
      <c r="B263" s="332">
        <v>43160</v>
      </c>
      <c r="C263" s="334">
        <v>2460</v>
      </c>
      <c r="D263" s="334">
        <v>7692</v>
      </c>
      <c r="E263" s="334">
        <v>296</v>
      </c>
      <c r="F263" s="334">
        <v>1104</v>
      </c>
      <c r="G263" s="334">
        <v>3447</v>
      </c>
      <c r="H263" s="334">
        <v>9794</v>
      </c>
      <c r="I263" s="334">
        <v>6203</v>
      </c>
      <c r="J263" s="334">
        <v>18590</v>
      </c>
    </row>
    <row r="264" spans="2:10" hidden="1" outlineLevel="1" x14ac:dyDescent="0.25">
      <c r="B264" s="332">
        <v>43191</v>
      </c>
      <c r="C264" s="334">
        <v>1488</v>
      </c>
      <c r="D264" s="334">
        <v>4979</v>
      </c>
      <c r="E264" s="334">
        <v>166</v>
      </c>
      <c r="F264" s="334">
        <v>699</v>
      </c>
      <c r="G264" s="334">
        <v>3596</v>
      </c>
      <c r="H264" s="334">
        <v>10022</v>
      </c>
      <c r="I264" s="334">
        <v>5250</v>
      </c>
      <c r="J264" s="334">
        <v>15700</v>
      </c>
    </row>
    <row r="265" spans="2:10" hidden="1" outlineLevel="1" x14ac:dyDescent="0.25">
      <c r="B265" s="332">
        <v>43221</v>
      </c>
      <c r="C265" s="334">
        <v>1705</v>
      </c>
      <c r="D265" s="334">
        <v>5530</v>
      </c>
      <c r="E265" s="334">
        <v>178</v>
      </c>
      <c r="F265" s="334">
        <v>714</v>
      </c>
      <c r="G265" s="334">
        <v>3536</v>
      </c>
      <c r="H265" s="334">
        <v>9898</v>
      </c>
      <c r="I265" s="334">
        <v>5419</v>
      </c>
      <c r="J265" s="334">
        <v>16142</v>
      </c>
    </row>
    <row r="266" spans="2:10" hidden="1" outlineLevel="1" x14ac:dyDescent="0.25">
      <c r="B266" s="332">
        <v>43252</v>
      </c>
      <c r="C266" s="334">
        <v>1717</v>
      </c>
      <c r="D266" s="334">
        <v>5500</v>
      </c>
      <c r="E266" s="334">
        <v>211</v>
      </c>
      <c r="F266" s="334">
        <v>885</v>
      </c>
      <c r="G266" s="334">
        <v>3371</v>
      </c>
      <c r="H266" s="334">
        <v>9458</v>
      </c>
      <c r="I266" s="334">
        <v>5299</v>
      </c>
      <c r="J266" s="334">
        <v>15843</v>
      </c>
    </row>
    <row r="267" spans="2:10" hidden="1" outlineLevel="1" x14ac:dyDescent="0.25">
      <c r="B267" s="332">
        <v>43282</v>
      </c>
      <c r="C267" s="334">
        <v>1574</v>
      </c>
      <c r="D267" s="334">
        <v>4981</v>
      </c>
      <c r="E267" s="334">
        <v>176</v>
      </c>
      <c r="F267" s="334">
        <v>714</v>
      </c>
      <c r="G267" s="334">
        <v>3523</v>
      </c>
      <c r="H267" s="334">
        <v>9997</v>
      </c>
      <c r="I267" s="334">
        <v>5273</v>
      </c>
      <c r="J267" s="334">
        <v>15692</v>
      </c>
    </row>
    <row r="268" spans="2:10" hidden="1" outlineLevel="1" x14ac:dyDescent="0.25">
      <c r="B268" s="332">
        <v>43313</v>
      </c>
      <c r="C268" s="334">
        <v>1786</v>
      </c>
      <c r="D268" s="334">
        <v>5797</v>
      </c>
      <c r="E268" s="334">
        <v>215</v>
      </c>
      <c r="F268" s="334">
        <v>865</v>
      </c>
      <c r="G268" s="334">
        <v>3741</v>
      </c>
      <c r="H268" s="334">
        <v>10742</v>
      </c>
      <c r="I268" s="334">
        <v>5742</v>
      </c>
      <c r="J268" s="334">
        <v>17404</v>
      </c>
    </row>
    <row r="269" spans="2:10" hidden="1" outlineLevel="1" x14ac:dyDescent="0.25">
      <c r="B269" s="332">
        <v>43344</v>
      </c>
      <c r="C269" s="334">
        <v>1829</v>
      </c>
      <c r="D269" s="334">
        <v>5996</v>
      </c>
      <c r="E269" s="334">
        <v>210</v>
      </c>
      <c r="F269" s="334">
        <v>796</v>
      </c>
      <c r="G269" s="334">
        <v>4016</v>
      </c>
      <c r="H269" s="334">
        <v>11063</v>
      </c>
      <c r="I269" s="334">
        <v>6055</v>
      </c>
      <c r="J269" s="334">
        <v>17855</v>
      </c>
    </row>
    <row r="270" spans="2:10" hidden="1" outlineLevel="1" x14ac:dyDescent="0.25">
      <c r="B270" s="332">
        <v>43374</v>
      </c>
      <c r="C270" s="334">
        <v>1908</v>
      </c>
      <c r="D270" s="334">
        <v>5933</v>
      </c>
      <c r="E270" s="334">
        <v>221</v>
      </c>
      <c r="F270" s="334">
        <v>853</v>
      </c>
      <c r="G270" s="334">
        <v>3862</v>
      </c>
      <c r="H270" s="334">
        <v>11406</v>
      </c>
      <c r="I270" s="334">
        <v>5991</v>
      </c>
      <c r="J270" s="334">
        <v>18192</v>
      </c>
    </row>
    <row r="271" spans="2:10" hidden="1" outlineLevel="1" x14ac:dyDescent="0.25">
      <c r="B271" s="332">
        <v>43405</v>
      </c>
      <c r="C271" s="334">
        <v>1951</v>
      </c>
      <c r="D271" s="334">
        <v>6310</v>
      </c>
      <c r="E271" s="334">
        <v>210</v>
      </c>
      <c r="F271" s="334">
        <v>846</v>
      </c>
      <c r="G271" s="334">
        <v>4235</v>
      </c>
      <c r="H271" s="334">
        <v>12050</v>
      </c>
      <c r="I271" s="334">
        <v>6396</v>
      </c>
      <c r="J271" s="334">
        <v>19206</v>
      </c>
    </row>
    <row r="272" spans="2:10" hidden="1" outlineLevel="1" x14ac:dyDescent="0.25">
      <c r="B272" s="332">
        <v>43435</v>
      </c>
      <c r="C272" s="334">
        <v>1864</v>
      </c>
      <c r="D272" s="334">
        <v>6097</v>
      </c>
      <c r="E272" s="334">
        <v>206</v>
      </c>
      <c r="F272" s="334">
        <v>773</v>
      </c>
      <c r="G272" s="334">
        <v>3733</v>
      </c>
      <c r="H272" s="334">
        <v>11050</v>
      </c>
      <c r="I272" s="334">
        <v>5803</v>
      </c>
      <c r="J272" s="334">
        <v>17920</v>
      </c>
    </row>
    <row r="273" spans="2:10" collapsed="1" x14ac:dyDescent="0.25">
      <c r="B273" s="386" t="s">
        <v>59</v>
      </c>
      <c r="C273" s="380">
        <v>20934</v>
      </c>
      <c r="D273" s="380">
        <v>67470</v>
      </c>
      <c r="E273" s="380">
        <v>2402</v>
      </c>
      <c r="F273" s="380">
        <v>9556</v>
      </c>
      <c r="G273" s="380">
        <v>44462</v>
      </c>
      <c r="H273" s="380">
        <v>125632</v>
      </c>
      <c r="I273" s="380">
        <v>67798</v>
      </c>
      <c r="J273" s="380">
        <v>202658</v>
      </c>
    </row>
    <row r="274" spans="2:10" hidden="1" outlineLevel="1" x14ac:dyDescent="0.25">
      <c r="B274" s="332">
        <v>43466</v>
      </c>
      <c r="C274" s="334">
        <v>1644</v>
      </c>
      <c r="D274" s="334">
        <v>5240</v>
      </c>
      <c r="E274" s="334">
        <v>136</v>
      </c>
      <c r="F274" s="334">
        <v>473</v>
      </c>
      <c r="G274" s="334">
        <v>3602</v>
      </c>
      <c r="H274" s="334">
        <v>10442</v>
      </c>
      <c r="I274" s="334">
        <v>5382</v>
      </c>
      <c r="J274" s="334">
        <v>16155</v>
      </c>
    </row>
    <row r="275" spans="2:10" hidden="1" outlineLevel="1" x14ac:dyDescent="0.25">
      <c r="B275" s="332">
        <v>43497</v>
      </c>
      <c r="C275" s="334">
        <v>1660</v>
      </c>
      <c r="D275" s="334">
        <v>5440</v>
      </c>
      <c r="E275" s="334">
        <v>195</v>
      </c>
      <c r="F275" s="334">
        <v>810</v>
      </c>
      <c r="G275" s="334">
        <v>3859</v>
      </c>
      <c r="H275" s="334">
        <v>11121</v>
      </c>
      <c r="I275" s="334">
        <v>5714</v>
      </c>
      <c r="J275" s="334">
        <v>17371</v>
      </c>
    </row>
    <row r="276" spans="2:10" hidden="1" outlineLevel="1" x14ac:dyDescent="0.25">
      <c r="B276" s="332">
        <v>43525</v>
      </c>
      <c r="C276" s="334">
        <v>1447</v>
      </c>
      <c r="D276" s="334">
        <v>4690</v>
      </c>
      <c r="E276" s="334">
        <v>166</v>
      </c>
      <c r="F276" s="334">
        <v>800</v>
      </c>
      <c r="G276" s="334">
        <v>3536</v>
      </c>
      <c r="H276" s="334">
        <v>10073</v>
      </c>
      <c r="I276" s="334">
        <v>5149</v>
      </c>
      <c r="J276" s="334">
        <v>15563</v>
      </c>
    </row>
    <row r="277" spans="2:10" hidden="1" outlineLevel="1" x14ac:dyDescent="0.25">
      <c r="B277" s="332">
        <v>43556</v>
      </c>
      <c r="C277" s="334">
        <v>1532</v>
      </c>
      <c r="D277" s="334">
        <v>5027</v>
      </c>
      <c r="E277" s="334">
        <v>191</v>
      </c>
      <c r="F277" s="334">
        <v>822</v>
      </c>
      <c r="G277" s="334">
        <v>4048</v>
      </c>
      <c r="H277" s="334">
        <v>11053</v>
      </c>
      <c r="I277" s="334">
        <v>5771</v>
      </c>
      <c r="J277" s="334">
        <v>16902</v>
      </c>
    </row>
    <row r="278" spans="2:10" hidden="1" outlineLevel="1" x14ac:dyDescent="0.25">
      <c r="B278" s="332">
        <v>43586</v>
      </c>
      <c r="C278" s="334">
        <v>1595</v>
      </c>
      <c r="D278" s="334">
        <v>4923</v>
      </c>
      <c r="E278" s="334">
        <v>179</v>
      </c>
      <c r="F278" s="334">
        <v>655</v>
      </c>
      <c r="G278" s="334">
        <v>3277</v>
      </c>
      <c r="H278" s="334">
        <v>9461</v>
      </c>
      <c r="I278" s="334">
        <v>5051</v>
      </c>
      <c r="J278" s="334">
        <v>15039</v>
      </c>
    </row>
    <row r="279" spans="2:10" hidden="1" outlineLevel="1" x14ac:dyDescent="0.25">
      <c r="B279" s="332">
        <v>43617</v>
      </c>
      <c r="C279" s="334">
        <v>1566</v>
      </c>
      <c r="D279" s="334">
        <v>4922</v>
      </c>
      <c r="E279" s="334">
        <v>128</v>
      </c>
      <c r="F279" s="334">
        <v>485</v>
      </c>
      <c r="G279" s="334">
        <v>3773</v>
      </c>
      <c r="H279" s="334">
        <v>10296</v>
      </c>
      <c r="I279" s="334">
        <v>5467</v>
      </c>
      <c r="J279" s="334">
        <v>15703</v>
      </c>
    </row>
    <row r="280" spans="2:10" hidden="1" outlineLevel="1" x14ac:dyDescent="0.25">
      <c r="B280" s="332">
        <v>43647</v>
      </c>
      <c r="C280" s="334">
        <v>1268</v>
      </c>
      <c r="D280" s="334">
        <v>4145</v>
      </c>
      <c r="E280" s="334">
        <v>119</v>
      </c>
      <c r="F280" s="334">
        <v>491</v>
      </c>
      <c r="G280" s="334">
        <v>4075</v>
      </c>
      <c r="H280" s="334">
        <v>11015</v>
      </c>
      <c r="I280" s="334">
        <v>5462</v>
      </c>
      <c r="J280" s="334">
        <v>15651</v>
      </c>
    </row>
    <row r="281" spans="2:10" hidden="1" outlineLevel="1" x14ac:dyDescent="0.25">
      <c r="B281" s="332">
        <v>43678</v>
      </c>
      <c r="C281" s="334">
        <v>1754</v>
      </c>
      <c r="D281" s="334">
        <v>5263</v>
      </c>
      <c r="E281" s="334">
        <v>194</v>
      </c>
      <c r="F281" s="334">
        <v>769</v>
      </c>
      <c r="G281" s="334">
        <v>3280</v>
      </c>
      <c r="H281" s="334">
        <v>9481</v>
      </c>
      <c r="I281" s="334">
        <v>5228</v>
      </c>
      <c r="J281" s="334">
        <v>15513</v>
      </c>
    </row>
    <row r="282" spans="2:10" hidden="1" outlineLevel="1" x14ac:dyDescent="0.25">
      <c r="B282" s="332">
        <v>43709</v>
      </c>
      <c r="C282" s="334">
        <v>1699</v>
      </c>
      <c r="D282" s="334">
        <v>5345</v>
      </c>
      <c r="E282" s="334">
        <v>173</v>
      </c>
      <c r="F282" s="334">
        <v>649</v>
      </c>
      <c r="G282" s="334">
        <v>3976</v>
      </c>
      <c r="H282" s="334">
        <v>10889</v>
      </c>
      <c r="I282" s="334">
        <v>5848</v>
      </c>
      <c r="J282" s="334">
        <v>16883</v>
      </c>
    </row>
    <row r="283" spans="2:10" hidden="1" outlineLevel="1" x14ac:dyDescent="0.25">
      <c r="B283" s="332">
        <v>43739</v>
      </c>
      <c r="C283" s="334">
        <v>1702</v>
      </c>
      <c r="D283" s="334">
        <v>5319</v>
      </c>
      <c r="E283" s="334">
        <v>176</v>
      </c>
      <c r="F283" s="334">
        <v>664</v>
      </c>
      <c r="G283" s="334">
        <v>4777</v>
      </c>
      <c r="H283" s="334">
        <v>13052</v>
      </c>
      <c r="I283" s="334">
        <v>6655</v>
      </c>
      <c r="J283" s="334">
        <v>19035</v>
      </c>
    </row>
    <row r="284" spans="2:10" hidden="1" outlineLevel="1" x14ac:dyDescent="0.25">
      <c r="B284" s="332">
        <v>43770</v>
      </c>
      <c r="C284" s="334">
        <v>1481</v>
      </c>
      <c r="D284" s="334">
        <v>4688</v>
      </c>
      <c r="E284" s="334">
        <v>133</v>
      </c>
      <c r="F284" s="334">
        <v>524</v>
      </c>
      <c r="G284" s="334">
        <v>2191</v>
      </c>
      <c r="H284" s="334">
        <v>6559</v>
      </c>
      <c r="I284" s="334">
        <v>3805</v>
      </c>
      <c r="J284" s="334">
        <v>11771</v>
      </c>
    </row>
    <row r="285" spans="2:10" hidden="1" outlineLevel="1" x14ac:dyDescent="0.25">
      <c r="B285" s="332">
        <v>43800</v>
      </c>
      <c r="C285" s="334">
        <v>1336</v>
      </c>
      <c r="D285" s="334">
        <v>4183</v>
      </c>
      <c r="E285" s="334">
        <v>108</v>
      </c>
      <c r="F285" s="334">
        <v>440</v>
      </c>
      <c r="G285" s="334">
        <v>4914</v>
      </c>
      <c r="H285" s="334">
        <v>13478</v>
      </c>
      <c r="I285" s="334">
        <v>6358</v>
      </c>
      <c r="J285" s="334">
        <v>18101</v>
      </c>
    </row>
    <row r="286" spans="2:10" collapsed="1" x14ac:dyDescent="0.25">
      <c r="B286" s="386" t="s">
        <v>60</v>
      </c>
      <c r="C286" s="380">
        <v>18684</v>
      </c>
      <c r="D286" s="380">
        <v>59185</v>
      </c>
      <c r="E286" s="380">
        <v>1898</v>
      </c>
      <c r="F286" s="380">
        <v>7582</v>
      </c>
      <c r="G286" s="380">
        <v>45308</v>
      </c>
      <c r="H286" s="380">
        <v>126920</v>
      </c>
      <c r="I286" s="380">
        <v>65890</v>
      </c>
      <c r="J286" s="380">
        <v>193687</v>
      </c>
    </row>
    <row r="287" spans="2:10" hidden="1" outlineLevel="1" x14ac:dyDescent="0.25">
      <c r="B287" s="332">
        <v>43831</v>
      </c>
      <c r="C287" s="334">
        <v>2201</v>
      </c>
      <c r="D287" s="334">
        <v>6965</v>
      </c>
      <c r="E287" s="334">
        <v>189</v>
      </c>
      <c r="F287" s="334">
        <v>759</v>
      </c>
      <c r="G287" s="334">
        <v>4583</v>
      </c>
      <c r="H287" s="334">
        <v>12850</v>
      </c>
      <c r="I287" s="334">
        <v>6973</v>
      </c>
      <c r="J287" s="334">
        <v>20574</v>
      </c>
    </row>
    <row r="288" spans="2:10" hidden="1" outlineLevel="1" x14ac:dyDescent="0.25">
      <c r="B288" s="332">
        <v>43862</v>
      </c>
      <c r="C288" s="334">
        <v>1863</v>
      </c>
      <c r="D288" s="334">
        <v>5801</v>
      </c>
      <c r="E288" s="334">
        <v>280</v>
      </c>
      <c r="F288" s="334">
        <v>1068</v>
      </c>
      <c r="G288" s="334">
        <v>4722</v>
      </c>
      <c r="H288" s="334">
        <v>13234</v>
      </c>
      <c r="I288" s="334">
        <v>6865</v>
      </c>
      <c r="J288" s="334">
        <v>20103</v>
      </c>
    </row>
    <row r="289" spans="2:10" hidden="1" outlineLevel="1" x14ac:dyDescent="0.25">
      <c r="B289" s="332">
        <v>43891</v>
      </c>
      <c r="C289" s="334">
        <v>1546</v>
      </c>
      <c r="D289" s="334">
        <v>4795</v>
      </c>
      <c r="E289" s="334">
        <v>263</v>
      </c>
      <c r="F289" s="334">
        <v>982</v>
      </c>
      <c r="G289" s="334">
        <v>4641</v>
      </c>
      <c r="H289" s="334">
        <v>11822</v>
      </c>
      <c r="I289" s="334">
        <v>6450</v>
      </c>
      <c r="J289" s="334">
        <v>17599</v>
      </c>
    </row>
    <row r="290" spans="2:10" hidden="1" outlineLevel="1" x14ac:dyDescent="0.25">
      <c r="B290" s="332">
        <v>43922</v>
      </c>
      <c r="C290" s="334">
        <v>1051</v>
      </c>
      <c r="D290" s="334">
        <v>3202</v>
      </c>
      <c r="E290" s="334">
        <v>187</v>
      </c>
      <c r="F290" s="334">
        <v>651</v>
      </c>
      <c r="G290" s="334">
        <v>1882</v>
      </c>
      <c r="H290" s="334">
        <v>5219</v>
      </c>
      <c r="I290" s="334">
        <v>3120</v>
      </c>
      <c r="J290" s="334">
        <v>9072</v>
      </c>
    </row>
    <row r="291" spans="2:10" hidden="1" outlineLevel="1" x14ac:dyDescent="0.25">
      <c r="B291" s="332">
        <v>43952</v>
      </c>
      <c r="C291" s="334">
        <v>909</v>
      </c>
      <c r="D291" s="334">
        <v>2848</v>
      </c>
      <c r="E291" s="334">
        <v>78</v>
      </c>
      <c r="F291" s="334">
        <v>231</v>
      </c>
      <c r="G291" s="334">
        <v>2681</v>
      </c>
      <c r="H291" s="334">
        <v>7557</v>
      </c>
      <c r="I291" s="334">
        <v>3668</v>
      </c>
      <c r="J291" s="334">
        <v>10636</v>
      </c>
    </row>
    <row r="292" spans="2:10" hidden="1" outlineLevel="1" x14ac:dyDescent="0.25">
      <c r="B292" s="332">
        <v>43983</v>
      </c>
      <c r="C292" s="334">
        <v>993</v>
      </c>
      <c r="D292" s="334">
        <v>3330</v>
      </c>
      <c r="E292" s="334">
        <v>84</v>
      </c>
      <c r="F292" s="334">
        <v>288</v>
      </c>
      <c r="G292" s="334">
        <v>2933</v>
      </c>
      <c r="H292" s="334">
        <v>8252</v>
      </c>
      <c r="I292" s="334">
        <v>4010</v>
      </c>
      <c r="J292" s="334">
        <v>11870</v>
      </c>
    </row>
    <row r="293" spans="2:10" hidden="1" outlineLevel="1" x14ac:dyDescent="0.25">
      <c r="B293" s="332">
        <v>44013</v>
      </c>
      <c r="C293" s="334">
        <v>986</v>
      </c>
      <c r="D293" s="334">
        <v>3235</v>
      </c>
      <c r="E293" s="334">
        <v>89</v>
      </c>
      <c r="F293" s="334">
        <v>315</v>
      </c>
      <c r="G293" s="334">
        <v>2624</v>
      </c>
      <c r="H293" s="334">
        <v>7519</v>
      </c>
      <c r="I293" s="334">
        <v>3699</v>
      </c>
      <c r="J293" s="334">
        <v>11069</v>
      </c>
    </row>
    <row r="294" spans="2:10" hidden="1" outlineLevel="1" x14ac:dyDescent="0.25">
      <c r="B294" s="332">
        <v>44044</v>
      </c>
      <c r="C294" s="334">
        <v>1480</v>
      </c>
      <c r="D294" s="334">
        <v>4797</v>
      </c>
      <c r="E294" s="334">
        <v>118</v>
      </c>
      <c r="F294" s="334">
        <v>473</v>
      </c>
      <c r="G294" s="334">
        <v>4002</v>
      </c>
      <c r="H294" s="334">
        <v>11251</v>
      </c>
      <c r="I294" s="334">
        <v>5600</v>
      </c>
      <c r="J294" s="334">
        <v>16521</v>
      </c>
    </row>
    <row r="295" spans="2:10" hidden="1" outlineLevel="1" x14ac:dyDescent="0.25">
      <c r="B295" s="332">
        <v>44075</v>
      </c>
      <c r="C295" s="334">
        <v>1186</v>
      </c>
      <c r="D295" s="334">
        <v>3543</v>
      </c>
      <c r="E295" s="334">
        <v>159</v>
      </c>
      <c r="F295" s="334">
        <v>638</v>
      </c>
      <c r="G295" s="334">
        <v>4911</v>
      </c>
      <c r="H295" s="334">
        <v>13887</v>
      </c>
      <c r="I295" s="334">
        <v>6256</v>
      </c>
      <c r="J295" s="334">
        <v>18068</v>
      </c>
    </row>
    <row r="296" spans="2:10" hidden="1" outlineLevel="1" x14ac:dyDescent="0.25">
      <c r="B296" s="332">
        <v>44105</v>
      </c>
      <c r="C296" s="334">
        <v>1467</v>
      </c>
      <c r="D296" s="334">
        <v>4681</v>
      </c>
      <c r="E296" s="334">
        <v>192</v>
      </c>
      <c r="F296" s="334">
        <v>699</v>
      </c>
      <c r="G296" s="334">
        <v>5018</v>
      </c>
      <c r="H296" s="334">
        <v>14011</v>
      </c>
      <c r="I296" s="334">
        <v>6677</v>
      </c>
      <c r="J296" s="334">
        <v>19391</v>
      </c>
    </row>
    <row r="297" spans="2:10" hidden="1" outlineLevel="1" x14ac:dyDescent="0.25">
      <c r="B297" s="332">
        <v>44136</v>
      </c>
      <c r="C297" s="334">
        <v>1677</v>
      </c>
      <c r="D297" s="334">
        <v>5559</v>
      </c>
      <c r="E297" s="334">
        <v>165</v>
      </c>
      <c r="F297" s="334">
        <v>618</v>
      </c>
      <c r="G297" s="334">
        <v>5429</v>
      </c>
      <c r="H297" s="334">
        <v>14876</v>
      </c>
      <c r="I297" s="334">
        <v>7271</v>
      </c>
      <c r="J297" s="334">
        <v>21053</v>
      </c>
    </row>
    <row r="298" spans="2:10" hidden="1" outlineLevel="1" x14ac:dyDescent="0.25">
      <c r="B298" s="332">
        <v>44166</v>
      </c>
      <c r="C298" s="334">
        <v>1800</v>
      </c>
      <c r="D298" s="334">
        <v>5642</v>
      </c>
      <c r="E298" s="334">
        <v>202</v>
      </c>
      <c r="F298" s="334">
        <v>734</v>
      </c>
      <c r="G298" s="334">
        <v>5058</v>
      </c>
      <c r="H298" s="334">
        <v>13896</v>
      </c>
      <c r="I298" s="334">
        <v>7060</v>
      </c>
      <c r="J298" s="334">
        <v>20272</v>
      </c>
    </row>
    <row r="299" spans="2:10" collapsed="1" x14ac:dyDescent="0.25">
      <c r="B299" s="386" t="s">
        <v>64</v>
      </c>
      <c r="C299" s="380">
        <v>17159</v>
      </c>
      <c r="D299" s="380">
        <v>54398</v>
      </c>
      <c r="E299" s="380">
        <v>2006</v>
      </c>
      <c r="F299" s="380">
        <v>7456</v>
      </c>
      <c r="G299" s="380">
        <v>48484</v>
      </c>
      <c r="H299" s="380">
        <v>134374</v>
      </c>
      <c r="I299" s="380">
        <v>67649</v>
      </c>
      <c r="J299" s="380">
        <v>196228</v>
      </c>
    </row>
    <row r="300" spans="2:10" hidden="1" outlineLevel="1" x14ac:dyDescent="0.25">
      <c r="B300" s="332">
        <v>44197</v>
      </c>
      <c r="C300" s="334">
        <v>1411</v>
      </c>
      <c r="D300" s="334">
        <v>4622</v>
      </c>
      <c r="E300" s="334">
        <v>155</v>
      </c>
      <c r="F300" s="334">
        <v>625</v>
      </c>
      <c r="G300" s="334">
        <v>4306</v>
      </c>
      <c r="H300" s="334">
        <v>11827</v>
      </c>
      <c r="I300" s="334">
        <v>5872</v>
      </c>
      <c r="J300" s="334">
        <v>17074</v>
      </c>
    </row>
    <row r="301" spans="2:10" hidden="1" outlineLevel="1" x14ac:dyDescent="0.25">
      <c r="B301" s="332">
        <v>44228</v>
      </c>
      <c r="C301" s="334">
        <v>1495</v>
      </c>
      <c r="D301" s="334">
        <v>4904</v>
      </c>
      <c r="E301" s="334">
        <v>139</v>
      </c>
      <c r="F301" s="334">
        <v>531</v>
      </c>
      <c r="G301" s="334">
        <v>4764</v>
      </c>
      <c r="H301" s="334">
        <v>12927</v>
      </c>
      <c r="I301" s="334">
        <v>6398</v>
      </c>
      <c r="J301" s="334">
        <v>18362</v>
      </c>
    </row>
    <row r="302" spans="2:10" hidden="1" outlineLevel="1" x14ac:dyDescent="0.25">
      <c r="B302" s="332">
        <v>44256</v>
      </c>
      <c r="C302" s="334">
        <v>1529</v>
      </c>
      <c r="D302" s="334">
        <v>4851</v>
      </c>
      <c r="E302" s="334">
        <v>159</v>
      </c>
      <c r="F302" s="334">
        <v>584</v>
      </c>
      <c r="G302" s="334">
        <v>4596</v>
      </c>
      <c r="H302" s="334">
        <v>12534</v>
      </c>
      <c r="I302" s="334">
        <v>6284</v>
      </c>
      <c r="J302" s="334">
        <v>17969</v>
      </c>
    </row>
    <row r="303" spans="2:10" hidden="1" outlineLevel="1" x14ac:dyDescent="0.25">
      <c r="B303" s="332">
        <v>44287</v>
      </c>
      <c r="C303" s="334">
        <v>1554</v>
      </c>
      <c r="D303" s="334">
        <v>4890</v>
      </c>
      <c r="E303" s="334">
        <v>204</v>
      </c>
      <c r="F303" s="334">
        <v>672</v>
      </c>
      <c r="G303" s="334">
        <v>3887</v>
      </c>
      <c r="H303" s="334">
        <v>10535</v>
      </c>
      <c r="I303" s="334">
        <v>5645</v>
      </c>
      <c r="J303" s="334">
        <v>16097</v>
      </c>
    </row>
    <row r="304" spans="2:10" hidden="1" outlineLevel="1" x14ac:dyDescent="0.25">
      <c r="B304" s="332">
        <v>44317</v>
      </c>
      <c r="C304" s="334">
        <v>1339</v>
      </c>
      <c r="D304" s="334">
        <v>4387</v>
      </c>
      <c r="E304" s="334">
        <v>188</v>
      </c>
      <c r="F304" s="334">
        <v>681</v>
      </c>
      <c r="G304" s="334">
        <v>4727</v>
      </c>
      <c r="H304" s="334">
        <v>12674</v>
      </c>
      <c r="I304" s="334">
        <v>6254</v>
      </c>
      <c r="J304" s="334">
        <v>17742</v>
      </c>
    </row>
    <row r="305" spans="2:10" hidden="1" outlineLevel="1" x14ac:dyDescent="0.25">
      <c r="B305" s="332">
        <v>44348</v>
      </c>
      <c r="C305" s="334">
        <v>1705</v>
      </c>
      <c r="D305" s="334">
        <v>5296</v>
      </c>
      <c r="E305" s="334">
        <v>180</v>
      </c>
      <c r="F305" s="334">
        <v>647</v>
      </c>
      <c r="G305" s="334">
        <v>4571</v>
      </c>
      <c r="H305" s="334">
        <v>12236</v>
      </c>
      <c r="I305" s="334">
        <v>6456</v>
      </c>
      <c r="J305" s="334">
        <v>18179</v>
      </c>
    </row>
    <row r="306" spans="2:10" hidden="1" outlineLevel="1" x14ac:dyDescent="0.25">
      <c r="B306" s="332">
        <v>44378</v>
      </c>
      <c r="C306" s="334">
        <v>1501</v>
      </c>
      <c r="D306" s="334">
        <v>4957</v>
      </c>
      <c r="E306" s="334">
        <v>165</v>
      </c>
      <c r="F306" s="334">
        <v>584</v>
      </c>
      <c r="G306" s="334">
        <v>4456</v>
      </c>
      <c r="H306" s="334">
        <v>12115</v>
      </c>
      <c r="I306" s="334">
        <v>6122</v>
      </c>
      <c r="J306" s="334">
        <v>17656</v>
      </c>
    </row>
    <row r="307" spans="2:10" hidden="1" outlineLevel="1" x14ac:dyDescent="0.25">
      <c r="B307" s="332">
        <v>44409</v>
      </c>
      <c r="C307" s="334">
        <v>1958</v>
      </c>
      <c r="D307" s="334">
        <v>6075</v>
      </c>
      <c r="E307" s="334">
        <v>199</v>
      </c>
      <c r="F307" s="334">
        <v>683</v>
      </c>
      <c r="G307" s="334">
        <v>5531</v>
      </c>
      <c r="H307" s="334">
        <v>15024</v>
      </c>
      <c r="I307" s="334">
        <v>7688</v>
      </c>
      <c r="J307" s="334">
        <v>21782</v>
      </c>
    </row>
    <row r="308" spans="2:10" hidden="1" outlineLevel="1" x14ac:dyDescent="0.25">
      <c r="B308" s="332">
        <v>44440</v>
      </c>
      <c r="C308" s="334">
        <v>2110</v>
      </c>
      <c r="D308" s="334">
        <v>6529</v>
      </c>
      <c r="E308" s="334">
        <v>220</v>
      </c>
      <c r="F308" s="334">
        <v>837</v>
      </c>
      <c r="G308" s="334">
        <v>5212</v>
      </c>
      <c r="H308" s="334">
        <v>13910</v>
      </c>
      <c r="I308" s="334">
        <v>7542</v>
      </c>
      <c r="J308" s="334">
        <v>21276</v>
      </c>
    </row>
    <row r="309" spans="2:10" hidden="1" outlineLevel="1" x14ac:dyDescent="0.25">
      <c r="B309" s="332">
        <v>44470</v>
      </c>
      <c r="C309" s="334">
        <v>1995</v>
      </c>
      <c r="D309" s="334">
        <v>6274</v>
      </c>
      <c r="E309" s="334">
        <v>253</v>
      </c>
      <c r="F309" s="334">
        <v>909</v>
      </c>
      <c r="G309" s="334">
        <v>5673</v>
      </c>
      <c r="H309" s="334">
        <v>15241</v>
      </c>
      <c r="I309" s="334">
        <v>7921</v>
      </c>
      <c r="J309" s="334">
        <v>22424</v>
      </c>
    </row>
    <row r="310" spans="2:10" hidden="1" outlineLevel="1" x14ac:dyDescent="0.25">
      <c r="B310" s="332">
        <v>44501</v>
      </c>
      <c r="C310" s="334">
        <v>2001</v>
      </c>
      <c r="D310" s="334">
        <v>6341</v>
      </c>
      <c r="E310" s="334">
        <v>307</v>
      </c>
      <c r="F310" s="334">
        <v>1121</v>
      </c>
      <c r="G310" s="334">
        <v>5341</v>
      </c>
      <c r="H310" s="334">
        <v>14390</v>
      </c>
      <c r="I310" s="334">
        <v>7649</v>
      </c>
      <c r="J310" s="334">
        <v>21852</v>
      </c>
    </row>
    <row r="311" spans="2:10" hidden="1" outlineLevel="1" x14ac:dyDescent="0.25">
      <c r="B311" s="332">
        <v>44531</v>
      </c>
      <c r="C311" s="334">
        <v>2034</v>
      </c>
      <c r="D311" s="334">
        <v>6415</v>
      </c>
      <c r="E311" s="334">
        <v>294</v>
      </c>
      <c r="F311" s="334">
        <v>1037</v>
      </c>
      <c r="G311" s="334">
        <v>5520</v>
      </c>
      <c r="H311" s="334">
        <v>14702</v>
      </c>
      <c r="I311" s="334">
        <v>7848</v>
      </c>
      <c r="J311" s="334">
        <v>22154</v>
      </c>
    </row>
    <row r="312" spans="2:10" collapsed="1" x14ac:dyDescent="0.25">
      <c r="B312" s="386" t="s">
        <v>65</v>
      </c>
      <c r="C312" s="380">
        <v>20632</v>
      </c>
      <c r="D312" s="380">
        <v>65541</v>
      </c>
      <c r="E312" s="380">
        <v>2463</v>
      </c>
      <c r="F312" s="380">
        <v>8911</v>
      </c>
      <c r="G312" s="380">
        <v>58584</v>
      </c>
      <c r="H312" s="380">
        <v>158115</v>
      </c>
      <c r="I312" s="380">
        <v>81679</v>
      </c>
      <c r="J312" s="380">
        <v>232567</v>
      </c>
    </row>
    <row r="313" spans="2:10" hidden="1" outlineLevel="1" x14ac:dyDescent="0.25">
      <c r="B313" s="332">
        <v>44562</v>
      </c>
      <c r="C313" s="334">
        <v>2127</v>
      </c>
      <c r="D313" s="334">
        <v>6604</v>
      </c>
      <c r="E313" s="334">
        <v>322</v>
      </c>
      <c r="F313" s="334">
        <v>1143</v>
      </c>
      <c r="G313" s="334">
        <v>5219</v>
      </c>
      <c r="H313" s="334">
        <v>14359</v>
      </c>
      <c r="I313" s="334">
        <v>7668</v>
      </c>
      <c r="J313" s="334">
        <v>22106</v>
      </c>
    </row>
    <row r="314" spans="2:10" hidden="1" outlineLevel="1" x14ac:dyDescent="0.25">
      <c r="B314" s="332">
        <v>44593</v>
      </c>
      <c r="C314" s="334">
        <v>823</v>
      </c>
      <c r="D314" s="334">
        <v>2334</v>
      </c>
      <c r="E314" s="334">
        <v>205</v>
      </c>
      <c r="F314" s="334">
        <v>664</v>
      </c>
      <c r="G314" s="334">
        <v>9346</v>
      </c>
      <c r="H314" s="334">
        <v>23879</v>
      </c>
      <c r="I314" s="334">
        <v>10374</v>
      </c>
      <c r="J314" s="334">
        <v>26877</v>
      </c>
    </row>
    <row r="315" spans="2:10" hidden="1" outlineLevel="1" x14ac:dyDescent="0.25">
      <c r="B315" s="332">
        <v>44621</v>
      </c>
      <c r="C315" s="334">
        <v>2362</v>
      </c>
      <c r="D315" s="334">
        <v>7292</v>
      </c>
      <c r="E315" s="334">
        <v>180</v>
      </c>
      <c r="F315" s="334">
        <v>602</v>
      </c>
      <c r="G315" s="334">
        <v>6973</v>
      </c>
      <c r="H315" s="334">
        <v>17491</v>
      </c>
      <c r="I315" s="334">
        <v>9515</v>
      </c>
      <c r="J315" s="334">
        <v>25385</v>
      </c>
    </row>
    <row r="316" spans="2:10" hidden="1" outlineLevel="1" x14ac:dyDescent="0.25">
      <c r="B316" s="332">
        <v>44652</v>
      </c>
      <c r="C316" s="334">
        <v>4289</v>
      </c>
      <c r="D316" s="334">
        <v>13350</v>
      </c>
      <c r="E316" s="334">
        <v>873</v>
      </c>
      <c r="F316" s="334">
        <v>3126</v>
      </c>
      <c r="G316" s="334">
        <v>6323</v>
      </c>
      <c r="H316" s="334">
        <v>16898</v>
      </c>
      <c r="I316" s="334">
        <v>11485</v>
      </c>
      <c r="J316" s="334">
        <v>33374</v>
      </c>
    </row>
    <row r="317" spans="2:10" hidden="1" outlineLevel="1" x14ac:dyDescent="0.25">
      <c r="B317" s="332">
        <v>44682</v>
      </c>
      <c r="C317" s="334">
        <v>1956</v>
      </c>
      <c r="D317" s="334">
        <v>5953</v>
      </c>
      <c r="E317" s="334">
        <v>514</v>
      </c>
      <c r="F317" s="334">
        <v>1992</v>
      </c>
      <c r="G317" s="334">
        <v>6279</v>
      </c>
      <c r="H317" s="334">
        <v>15696</v>
      </c>
      <c r="I317" s="334">
        <v>8749</v>
      </c>
      <c r="J317" s="334">
        <v>23641</v>
      </c>
    </row>
    <row r="318" spans="2:10" hidden="1" outlineLevel="1" x14ac:dyDescent="0.25">
      <c r="B318" s="332">
        <v>44713</v>
      </c>
      <c r="C318" s="334">
        <v>1649</v>
      </c>
      <c r="D318" s="334">
        <v>5071</v>
      </c>
      <c r="E318" s="334">
        <v>372</v>
      </c>
      <c r="F318" s="334">
        <v>1451</v>
      </c>
      <c r="G318" s="334">
        <v>6680</v>
      </c>
      <c r="H318" s="334">
        <v>17868</v>
      </c>
      <c r="I318" s="334">
        <v>8701</v>
      </c>
      <c r="J318" s="334">
        <v>24390</v>
      </c>
    </row>
    <row r="319" spans="2:10" hidden="1" outlineLevel="1" x14ac:dyDescent="0.25">
      <c r="B319" s="332">
        <v>44743</v>
      </c>
      <c r="C319" s="334">
        <v>1526</v>
      </c>
      <c r="D319" s="334">
        <v>4781</v>
      </c>
      <c r="E319" s="334">
        <v>327</v>
      </c>
      <c r="F319" s="334">
        <v>1197</v>
      </c>
      <c r="G319" s="334">
        <v>5871</v>
      </c>
      <c r="H319" s="334">
        <v>16169</v>
      </c>
      <c r="I319" s="334">
        <v>7724</v>
      </c>
      <c r="J319" s="334">
        <v>22147</v>
      </c>
    </row>
    <row r="320" spans="2:10" hidden="1" outlineLevel="1" x14ac:dyDescent="0.25">
      <c r="B320" s="332">
        <v>44774</v>
      </c>
      <c r="C320" s="334">
        <v>3815</v>
      </c>
      <c r="D320" s="334">
        <v>11553</v>
      </c>
      <c r="E320" s="334">
        <v>768</v>
      </c>
      <c r="F320" s="334">
        <v>2546</v>
      </c>
      <c r="G320" s="334">
        <v>7704</v>
      </c>
      <c r="H320" s="334">
        <v>20253</v>
      </c>
      <c r="I320" s="334">
        <v>12287</v>
      </c>
      <c r="J320" s="334">
        <v>34352</v>
      </c>
    </row>
    <row r="321" spans="2:10" hidden="1" outlineLevel="1" x14ac:dyDescent="0.25">
      <c r="B321" s="332">
        <v>44805</v>
      </c>
      <c r="C321" s="334">
        <v>1554</v>
      </c>
      <c r="D321" s="334">
        <v>4797</v>
      </c>
      <c r="E321" s="334">
        <v>246</v>
      </c>
      <c r="F321" s="334">
        <v>925</v>
      </c>
      <c r="G321" s="334">
        <v>4704</v>
      </c>
      <c r="H321" s="334">
        <v>12244</v>
      </c>
      <c r="I321" s="334">
        <v>6504</v>
      </c>
      <c r="J321" s="334">
        <v>17966</v>
      </c>
    </row>
    <row r="322" spans="2:10" hidden="1" outlineLevel="1" x14ac:dyDescent="0.25">
      <c r="B322" s="332">
        <v>44835</v>
      </c>
      <c r="C322" s="334">
        <v>2371</v>
      </c>
      <c r="D322" s="334">
        <v>7347</v>
      </c>
      <c r="E322" s="334">
        <v>242</v>
      </c>
      <c r="F322" s="334">
        <v>826</v>
      </c>
      <c r="G322" s="334">
        <v>8344</v>
      </c>
      <c r="H322" s="334">
        <v>23067</v>
      </c>
      <c r="I322" s="334">
        <v>10957</v>
      </c>
      <c r="J322" s="334">
        <v>31240</v>
      </c>
    </row>
    <row r="323" spans="2:10" hidden="1" outlineLevel="1" x14ac:dyDescent="0.25">
      <c r="B323" s="332">
        <v>44866</v>
      </c>
      <c r="C323" s="334">
        <v>2730</v>
      </c>
      <c r="D323" s="334">
        <v>8235</v>
      </c>
      <c r="E323" s="334">
        <v>790</v>
      </c>
      <c r="F323" s="334">
        <v>2651</v>
      </c>
      <c r="G323" s="334">
        <v>7647</v>
      </c>
      <c r="H323" s="334">
        <v>20867</v>
      </c>
      <c r="I323" s="334">
        <v>11167</v>
      </c>
      <c r="J323" s="334">
        <v>31753</v>
      </c>
    </row>
    <row r="324" spans="2:10" hidden="1" outlineLevel="1" x14ac:dyDescent="0.25">
      <c r="B324" s="332">
        <v>44896</v>
      </c>
      <c r="C324" s="334">
        <v>2790</v>
      </c>
      <c r="D324" s="334">
        <v>8331</v>
      </c>
      <c r="E324" s="334">
        <v>439</v>
      </c>
      <c r="F324" s="334">
        <v>1454</v>
      </c>
      <c r="G324" s="334">
        <v>7069</v>
      </c>
      <c r="H324" s="334">
        <v>18563</v>
      </c>
      <c r="I324" s="334">
        <v>10298</v>
      </c>
      <c r="J324" s="334">
        <v>28348</v>
      </c>
    </row>
    <row r="325" spans="2:10" collapsed="1" x14ac:dyDescent="0.25">
      <c r="B325" s="386" t="s">
        <v>66</v>
      </c>
      <c r="C325" s="380">
        <v>27992</v>
      </c>
      <c r="D325" s="380">
        <v>85648</v>
      </c>
      <c r="E325" s="380">
        <v>5278</v>
      </c>
      <c r="F325" s="380">
        <v>18577</v>
      </c>
      <c r="G325" s="380">
        <v>82159</v>
      </c>
      <c r="H325" s="380">
        <v>217354</v>
      </c>
      <c r="I325" s="380">
        <v>115429</v>
      </c>
      <c r="J325" s="380">
        <v>321579</v>
      </c>
    </row>
    <row r="326" spans="2:10" hidden="1" outlineLevel="1" x14ac:dyDescent="0.25">
      <c r="B326" s="332">
        <v>44927</v>
      </c>
      <c r="C326" s="334">
        <v>1422</v>
      </c>
      <c r="D326" s="334">
        <v>4423</v>
      </c>
      <c r="E326" s="334">
        <v>121</v>
      </c>
      <c r="F326" s="334">
        <v>395</v>
      </c>
      <c r="G326" s="334">
        <v>5912</v>
      </c>
      <c r="H326" s="334">
        <v>15527</v>
      </c>
      <c r="I326" s="334">
        <v>7455</v>
      </c>
      <c r="J326" s="334">
        <v>20345</v>
      </c>
    </row>
    <row r="327" spans="2:10" hidden="1" outlineLevel="1" x14ac:dyDescent="0.25">
      <c r="B327" s="332">
        <v>44958</v>
      </c>
      <c r="C327" s="334">
        <v>1914</v>
      </c>
      <c r="D327" s="334">
        <v>5826</v>
      </c>
      <c r="E327" s="334">
        <v>244</v>
      </c>
      <c r="F327" s="334">
        <v>881</v>
      </c>
      <c r="G327" s="334">
        <v>6949</v>
      </c>
      <c r="H327" s="334">
        <v>18204</v>
      </c>
      <c r="I327" s="334">
        <v>9107</v>
      </c>
      <c r="J327" s="334">
        <v>24911</v>
      </c>
    </row>
    <row r="328" spans="2:10" hidden="1" outlineLevel="1" x14ac:dyDescent="0.25">
      <c r="B328" s="332">
        <v>44986</v>
      </c>
      <c r="C328" s="334">
        <v>2021</v>
      </c>
      <c r="D328" s="334">
        <v>6149</v>
      </c>
      <c r="E328" s="334">
        <v>269</v>
      </c>
      <c r="F328" s="334">
        <v>932</v>
      </c>
      <c r="G328" s="334">
        <v>4828</v>
      </c>
      <c r="H328" s="334">
        <v>13079</v>
      </c>
      <c r="I328" s="334">
        <v>7118</v>
      </c>
      <c r="J328" s="334">
        <v>20160</v>
      </c>
    </row>
    <row r="329" spans="2:10" hidden="1" outlineLevel="1" x14ac:dyDescent="0.25">
      <c r="B329" s="332">
        <v>45017</v>
      </c>
      <c r="C329" s="334">
        <v>2508</v>
      </c>
      <c r="D329" s="334">
        <v>7519</v>
      </c>
      <c r="E329" s="334">
        <v>710</v>
      </c>
      <c r="F329" s="334">
        <v>2683</v>
      </c>
      <c r="G329" s="334">
        <v>7065</v>
      </c>
      <c r="H329" s="334">
        <v>18024</v>
      </c>
      <c r="I329" s="334">
        <v>10283</v>
      </c>
      <c r="J329" s="334">
        <v>28226</v>
      </c>
    </row>
    <row r="330" spans="2:10" hidden="1" outlineLevel="1" x14ac:dyDescent="0.25">
      <c r="B330" s="332">
        <v>45047</v>
      </c>
      <c r="C330" s="334">
        <v>1650</v>
      </c>
      <c r="D330" s="334">
        <v>4894</v>
      </c>
      <c r="E330" s="334">
        <v>373</v>
      </c>
      <c r="F330" s="334">
        <v>1285</v>
      </c>
      <c r="G330" s="334">
        <v>5000</v>
      </c>
      <c r="H330" s="334">
        <v>13553</v>
      </c>
      <c r="I330" s="334">
        <v>7023</v>
      </c>
      <c r="J330" s="334">
        <v>19732</v>
      </c>
    </row>
    <row r="331" spans="2:10" hidden="1" outlineLevel="1" x14ac:dyDescent="0.25">
      <c r="B331" s="332">
        <v>45078</v>
      </c>
      <c r="C331" s="334">
        <v>1313</v>
      </c>
      <c r="D331" s="334">
        <v>3644</v>
      </c>
      <c r="E331" s="334">
        <v>295</v>
      </c>
      <c r="F331" s="334">
        <v>970</v>
      </c>
      <c r="G331" s="334">
        <v>5445</v>
      </c>
      <c r="H331" s="334">
        <v>14253</v>
      </c>
      <c r="I331" s="334">
        <v>7053</v>
      </c>
      <c r="J331" s="334">
        <v>18867</v>
      </c>
    </row>
    <row r="332" spans="2:10" hidden="1" outlineLevel="1" x14ac:dyDescent="0.25">
      <c r="B332" s="332">
        <v>45108</v>
      </c>
      <c r="C332" s="334">
        <v>1327</v>
      </c>
      <c r="D332" s="334">
        <v>4057</v>
      </c>
      <c r="E332" s="334">
        <v>210</v>
      </c>
      <c r="F332" s="334">
        <v>767</v>
      </c>
      <c r="G332" s="334">
        <v>5271</v>
      </c>
      <c r="H332" s="334">
        <v>14438</v>
      </c>
      <c r="I332" s="334">
        <v>6808</v>
      </c>
      <c r="J332" s="334">
        <v>19262</v>
      </c>
    </row>
    <row r="333" spans="2:10" hidden="1" outlineLevel="1" x14ac:dyDescent="0.25">
      <c r="B333" s="332">
        <v>45139</v>
      </c>
      <c r="C333" s="334">
        <v>1654</v>
      </c>
      <c r="D333" s="334">
        <v>4942</v>
      </c>
      <c r="E333" s="334">
        <v>258</v>
      </c>
      <c r="F333" s="334">
        <v>943</v>
      </c>
      <c r="G333" s="334">
        <v>6382</v>
      </c>
      <c r="H333" s="334">
        <v>16886</v>
      </c>
      <c r="I333" s="334">
        <v>8294</v>
      </c>
      <c r="J333" s="334">
        <v>22771</v>
      </c>
    </row>
    <row r="334" spans="2:10" hidden="1" outlineLevel="1" x14ac:dyDescent="0.25">
      <c r="B334" s="332">
        <v>45170</v>
      </c>
      <c r="C334" s="334">
        <v>1488</v>
      </c>
      <c r="D334" s="334">
        <v>4521</v>
      </c>
      <c r="E334" s="334">
        <v>287</v>
      </c>
      <c r="F334" s="334">
        <v>1043</v>
      </c>
      <c r="G334" s="334">
        <v>6299</v>
      </c>
      <c r="H334" s="334">
        <v>16947</v>
      </c>
      <c r="I334" s="334">
        <v>8074</v>
      </c>
      <c r="J334" s="334">
        <v>22511</v>
      </c>
    </row>
    <row r="335" spans="2:10" hidden="1" outlineLevel="1" x14ac:dyDescent="0.25">
      <c r="B335" s="332">
        <v>45200</v>
      </c>
      <c r="C335" s="334">
        <v>1573</v>
      </c>
      <c r="D335" s="334">
        <v>4965</v>
      </c>
      <c r="E335" s="334">
        <v>193</v>
      </c>
      <c r="F335" s="334">
        <v>685</v>
      </c>
      <c r="G335" s="334">
        <v>7209</v>
      </c>
      <c r="H335" s="334">
        <v>18920</v>
      </c>
      <c r="I335" s="334">
        <v>8975</v>
      </c>
      <c r="J335" s="334">
        <v>24570</v>
      </c>
    </row>
    <row r="336" spans="2:10" hidden="1" outlineLevel="1" x14ac:dyDescent="0.25">
      <c r="B336" s="332">
        <v>45231</v>
      </c>
      <c r="C336" s="334">
        <v>1834</v>
      </c>
      <c r="D336" s="334">
        <v>5577</v>
      </c>
      <c r="E336" s="334">
        <v>266</v>
      </c>
      <c r="F336" s="334">
        <v>891</v>
      </c>
      <c r="G336" s="334">
        <v>6338</v>
      </c>
      <c r="H336" s="334">
        <v>16770</v>
      </c>
      <c r="I336" s="334">
        <v>8438</v>
      </c>
      <c r="J336" s="334">
        <v>23238</v>
      </c>
    </row>
    <row r="337" spans="2:10" hidden="1" outlineLevel="1" x14ac:dyDescent="0.25">
      <c r="B337" s="332">
        <v>45261</v>
      </c>
      <c r="C337" s="334">
        <v>2552</v>
      </c>
      <c r="D337" s="334">
        <v>8023</v>
      </c>
      <c r="E337" s="334">
        <v>221</v>
      </c>
      <c r="F337" s="334">
        <v>732</v>
      </c>
      <c r="G337" s="334">
        <v>6320</v>
      </c>
      <c r="H337" s="334">
        <v>16892</v>
      </c>
      <c r="I337" s="334">
        <v>9093</v>
      </c>
      <c r="J337" s="334">
        <v>25647</v>
      </c>
    </row>
    <row r="338" spans="2:10" collapsed="1" x14ac:dyDescent="0.25">
      <c r="B338" s="376" t="s">
        <v>874</v>
      </c>
      <c r="C338" s="380">
        <v>21256</v>
      </c>
      <c r="D338" s="380">
        <v>64540</v>
      </c>
      <c r="E338" s="380">
        <v>3447</v>
      </c>
      <c r="F338" s="380">
        <v>12207</v>
      </c>
      <c r="G338" s="380">
        <v>73018</v>
      </c>
      <c r="H338" s="380">
        <v>193493</v>
      </c>
      <c r="I338" s="380">
        <v>97721</v>
      </c>
      <c r="J338" s="380">
        <v>270240</v>
      </c>
    </row>
    <row r="339" spans="2:10" x14ac:dyDescent="0.25">
      <c r="B339" s="483" t="s">
        <v>801</v>
      </c>
      <c r="C339" s="484"/>
      <c r="D339" s="484"/>
      <c r="E339" s="484"/>
      <c r="F339" s="484"/>
      <c r="G339" s="484"/>
      <c r="H339" s="485"/>
      <c r="I339" s="380">
        <v>1016767</v>
      </c>
      <c r="J339" s="380">
        <v>3239868</v>
      </c>
    </row>
    <row r="340" spans="2:10" x14ac:dyDescent="0.25">
      <c r="B340" s="4" t="s">
        <v>815</v>
      </c>
    </row>
  </sheetData>
  <mergeCells count="28">
    <mergeCell ref="B25:B26"/>
    <mergeCell ref="B29:B30"/>
    <mergeCell ref="B27:B28"/>
    <mergeCell ref="I190:J190"/>
    <mergeCell ref="B339:H339"/>
    <mergeCell ref="B190:B191"/>
    <mergeCell ref="C190:D190"/>
    <mergeCell ref="E190:F190"/>
    <mergeCell ref="G190:H190"/>
    <mergeCell ref="B41:B42"/>
    <mergeCell ref="B31:B32"/>
    <mergeCell ref="B33:B34"/>
    <mergeCell ref="B35:B36"/>
    <mergeCell ref="B37:B38"/>
    <mergeCell ref="B39:B40"/>
    <mergeCell ref="B13:B14"/>
    <mergeCell ref="B15:B16"/>
    <mergeCell ref="B17:B18"/>
    <mergeCell ref="B19:B20"/>
    <mergeCell ref="B23:B24"/>
    <mergeCell ref="B21:B22"/>
    <mergeCell ref="H7:H8"/>
    <mergeCell ref="B7:B8"/>
    <mergeCell ref="C7:C8"/>
    <mergeCell ref="B9:B10"/>
    <mergeCell ref="B11:B12"/>
    <mergeCell ref="D7:E7"/>
    <mergeCell ref="F7:G7"/>
  </mergeCell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A23B0-CEAB-4978-888F-9F840182767E}">
  <sheetPr>
    <tabColor theme="5" tint="0.59999389629810485"/>
  </sheetPr>
  <dimension ref="B1:M21"/>
  <sheetViews>
    <sheetView showGridLines="0" workbookViewId="0"/>
  </sheetViews>
  <sheetFormatPr baseColWidth="10" defaultRowHeight="15" x14ac:dyDescent="0.25"/>
  <cols>
    <col min="1" max="1" width="14.42578125" customWidth="1"/>
  </cols>
  <sheetData>
    <row r="1" spans="2:13" x14ac:dyDescent="0.25">
      <c r="B1" s="387" t="s">
        <v>706</v>
      </c>
      <c r="C1" s="388"/>
      <c r="D1" s="388"/>
      <c r="E1" s="388"/>
      <c r="F1" s="388"/>
      <c r="G1" s="388"/>
      <c r="H1" s="388"/>
      <c r="I1" s="388"/>
      <c r="J1" s="388"/>
      <c r="K1" s="388"/>
      <c r="L1" s="388"/>
      <c r="M1" s="388"/>
    </row>
    <row r="2" spans="2:13" x14ac:dyDescent="0.25">
      <c r="B2" s="388"/>
      <c r="C2" s="388"/>
      <c r="D2" s="388"/>
      <c r="E2" s="388"/>
      <c r="F2" s="388"/>
      <c r="G2" s="388"/>
      <c r="H2" s="388"/>
      <c r="I2" s="388"/>
      <c r="J2" s="388"/>
      <c r="K2" s="388"/>
      <c r="L2" s="388"/>
      <c r="M2" s="388"/>
    </row>
    <row r="3" spans="2:13" x14ac:dyDescent="0.25">
      <c r="B3" s="388"/>
      <c r="C3" s="388"/>
      <c r="D3" s="388"/>
      <c r="E3" s="388"/>
      <c r="F3" s="388"/>
      <c r="G3" s="388"/>
      <c r="H3" s="388"/>
      <c r="I3" s="388"/>
      <c r="J3" s="388"/>
      <c r="K3" s="388"/>
      <c r="L3" s="388"/>
      <c r="M3" s="388"/>
    </row>
    <row r="4" spans="2:13" x14ac:dyDescent="0.25">
      <c r="B4" s="388"/>
      <c r="C4" s="388"/>
      <c r="D4" s="388"/>
      <c r="E4" s="388"/>
      <c r="F4" s="388"/>
      <c r="G4" s="388"/>
      <c r="H4" s="388"/>
      <c r="I4" s="388"/>
      <c r="J4" s="388"/>
      <c r="K4" s="388"/>
      <c r="L4" s="388"/>
      <c r="M4" s="388"/>
    </row>
    <row r="5" spans="2:13" x14ac:dyDescent="0.25">
      <c r="B5" s="388"/>
      <c r="C5" s="388"/>
      <c r="D5" s="388"/>
      <c r="E5" s="388"/>
      <c r="F5" s="388"/>
      <c r="G5" s="388"/>
      <c r="H5" s="388"/>
      <c r="I5" s="388"/>
      <c r="J5" s="388"/>
      <c r="K5" s="388"/>
      <c r="L5" s="388"/>
      <c r="M5" s="388"/>
    </row>
    <row r="6" spans="2:13" ht="15.75" x14ac:dyDescent="0.25">
      <c r="B6" s="232"/>
      <c r="C6" s="232"/>
      <c r="D6" s="232"/>
      <c r="E6" s="232"/>
      <c r="F6" s="232"/>
      <c r="G6" s="232"/>
      <c r="H6" s="232"/>
      <c r="I6" s="232"/>
      <c r="J6" s="232"/>
      <c r="K6" s="232"/>
      <c r="L6" s="232"/>
      <c r="M6" s="232"/>
    </row>
    <row r="8" spans="2:13" ht="15.75" thickBot="1" x14ac:dyDescent="0.3"/>
    <row r="9" spans="2:13" ht="21.75" thickBot="1" x14ac:dyDescent="0.4">
      <c r="B9" s="490" t="s">
        <v>749</v>
      </c>
      <c r="C9" s="491"/>
      <c r="D9" s="491"/>
      <c r="E9" s="491"/>
      <c r="F9" s="491"/>
      <c r="G9" s="491"/>
      <c r="H9" s="491"/>
      <c r="I9" s="491"/>
      <c r="J9" s="491"/>
      <c r="K9" s="491"/>
      <c r="L9" s="491"/>
      <c r="M9" s="492"/>
    </row>
    <row r="10" spans="2:13" ht="15.75" x14ac:dyDescent="0.25">
      <c r="B10" s="393" t="s">
        <v>831</v>
      </c>
      <c r="C10" s="393"/>
      <c r="D10" s="393"/>
      <c r="E10" s="393"/>
      <c r="F10" s="393"/>
      <c r="G10" s="393"/>
      <c r="H10" s="393"/>
      <c r="I10" s="393"/>
      <c r="J10" s="393"/>
      <c r="K10" s="393"/>
      <c r="L10" s="393"/>
      <c r="M10" s="393"/>
    </row>
    <row r="11" spans="2:13" x14ac:dyDescent="0.25">
      <c r="B11" s="389"/>
      <c r="C11" s="389"/>
      <c r="D11" s="389"/>
      <c r="E11" s="389"/>
      <c r="F11" s="389"/>
      <c r="G11" s="389"/>
      <c r="H11" s="389"/>
      <c r="I11" s="389"/>
      <c r="J11" s="389"/>
      <c r="K11" s="389"/>
      <c r="L11" s="389"/>
      <c r="M11" s="389"/>
    </row>
    <row r="12" spans="2:13" x14ac:dyDescent="0.25">
      <c r="B12" s="528" t="s">
        <v>750</v>
      </c>
      <c r="C12" s="528"/>
      <c r="D12" s="528"/>
      <c r="E12" s="528"/>
      <c r="F12" s="528"/>
      <c r="G12" s="528"/>
      <c r="H12" s="528"/>
      <c r="I12" s="528"/>
      <c r="J12" s="528"/>
      <c r="K12" s="528"/>
      <c r="L12" s="528"/>
      <c r="M12" s="528"/>
    </row>
    <row r="13" spans="2:13" x14ac:dyDescent="0.25">
      <c r="B13" s="527" t="s">
        <v>751</v>
      </c>
      <c r="C13" s="527"/>
      <c r="D13" s="527"/>
      <c r="E13" s="527"/>
      <c r="F13" s="527"/>
      <c r="G13" s="527"/>
      <c r="H13" s="527"/>
      <c r="I13" s="527"/>
      <c r="J13" s="527"/>
      <c r="K13" s="527"/>
      <c r="L13" s="527"/>
      <c r="M13" s="527"/>
    </row>
    <row r="14" spans="2:13" x14ac:dyDescent="0.25">
      <c r="B14" s="529"/>
      <c r="C14" s="529"/>
      <c r="D14" s="529"/>
      <c r="E14" s="529"/>
      <c r="F14" s="529"/>
      <c r="G14" s="529"/>
      <c r="H14" s="529"/>
      <c r="I14" s="529"/>
      <c r="J14" s="529"/>
      <c r="K14" s="529"/>
      <c r="L14" s="529"/>
      <c r="M14" s="529"/>
    </row>
    <row r="15" spans="2:13" x14ac:dyDescent="0.25">
      <c r="B15" s="528" t="s">
        <v>752</v>
      </c>
      <c r="C15" s="528"/>
      <c r="D15" s="528"/>
      <c r="E15" s="528"/>
      <c r="F15" s="528"/>
      <c r="G15" s="528"/>
      <c r="H15" s="528"/>
      <c r="I15" s="528"/>
      <c r="J15" s="528"/>
      <c r="K15" s="528"/>
      <c r="L15" s="528"/>
      <c r="M15" s="528"/>
    </row>
    <row r="16" spans="2:13" x14ac:dyDescent="0.25">
      <c r="B16" s="527" t="s">
        <v>753</v>
      </c>
      <c r="C16" s="527"/>
      <c r="D16" s="527"/>
      <c r="E16" s="527"/>
      <c r="F16" s="527"/>
      <c r="G16" s="527"/>
      <c r="H16" s="527"/>
      <c r="I16" s="527"/>
      <c r="J16" s="527"/>
      <c r="K16" s="527"/>
      <c r="L16" s="527"/>
      <c r="M16" s="527"/>
    </row>
    <row r="17" spans="2:13" x14ac:dyDescent="0.25">
      <c r="B17" s="527" t="s">
        <v>754</v>
      </c>
      <c r="C17" s="527"/>
      <c r="D17" s="527"/>
      <c r="E17" s="527"/>
      <c r="F17" s="527"/>
      <c r="G17" s="527"/>
      <c r="H17" s="527"/>
      <c r="I17" s="527"/>
      <c r="J17" s="527"/>
      <c r="K17" s="527"/>
      <c r="L17" s="527"/>
      <c r="M17" s="527"/>
    </row>
    <row r="19" spans="2:13" x14ac:dyDescent="0.25">
      <c r="B19" s="528" t="s">
        <v>755</v>
      </c>
      <c r="C19" s="528"/>
      <c r="D19" s="528"/>
      <c r="E19" s="528"/>
      <c r="F19" s="528"/>
      <c r="G19" s="528"/>
      <c r="H19" s="528"/>
      <c r="I19" s="528"/>
      <c r="J19" s="528"/>
      <c r="K19" s="528"/>
      <c r="L19" s="528"/>
      <c r="M19" s="528"/>
    </row>
    <row r="20" spans="2:13" x14ac:dyDescent="0.25">
      <c r="B20" s="527" t="s">
        <v>756</v>
      </c>
      <c r="C20" s="527"/>
      <c r="D20" s="527"/>
      <c r="E20" s="527"/>
      <c r="F20" s="527"/>
      <c r="G20" s="527"/>
      <c r="H20" s="527"/>
      <c r="I20" s="527"/>
      <c r="J20" s="527"/>
      <c r="K20" s="527"/>
      <c r="L20" s="527"/>
      <c r="M20" s="527"/>
    </row>
    <row r="21" spans="2:13" x14ac:dyDescent="0.25">
      <c r="B21" s="527" t="s">
        <v>757</v>
      </c>
      <c r="C21" s="527"/>
      <c r="D21" s="527"/>
      <c r="E21" s="527"/>
      <c r="F21" s="527"/>
      <c r="G21" s="527"/>
      <c r="H21" s="527"/>
      <c r="I21" s="527"/>
      <c r="J21" s="527"/>
      <c r="K21" s="527"/>
      <c r="L21" s="527"/>
      <c r="M21" s="527"/>
    </row>
  </sheetData>
  <mergeCells count="12">
    <mergeCell ref="B21:M21"/>
    <mergeCell ref="B1:M5"/>
    <mergeCell ref="B9:M9"/>
    <mergeCell ref="B10:M10"/>
    <mergeCell ref="B11:M11"/>
    <mergeCell ref="B12:M12"/>
    <mergeCell ref="B15:M15"/>
    <mergeCell ref="B19:M19"/>
    <mergeCell ref="B13:M13"/>
    <mergeCell ref="B16:M16"/>
    <mergeCell ref="B17:M17"/>
    <mergeCell ref="B20:M20"/>
  </mergeCells>
  <hyperlinks>
    <hyperlink ref="B12:M12" location="'4.1'!A1" display="1. Pagos del Subsidio al Trabajador Joven (STJ)" xr:uid="{67266D01-0317-4275-975C-172453467E8C}"/>
    <hyperlink ref="B15:M15" location="'4.2'!A1" display="2. Subsidio a la Contratación de Trabajadores Jóvenes" xr:uid="{0F65416E-F4B0-4AF0-83E6-466B932D06BE}"/>
    <hyperlink ref="B19:M19" location="'4.3'!A1" display="3. Subsidio a la Cotización de Trabajadores Jóvenes" xr:uid="{DE7FC922-A5D2-425D-B8C3-09E191830618}"/>
    <hyperlink ref="B13:M13" location="'4.1'!B4" display="i. Serie resumen de pagos del subsidio a la contratación y a la cotización de trabajadores jóvenes" xr:uid="{61C4305A-0F79-4090-91EF-EB85DD50912A}"/>
    <hyperlink ref="B16:M16" location="'4.2'!B4" display="i. Serie resumen del total de solicitudes y trabajadores del Subsidio a la Contratación de Trabajadores Jóvenes" xr:uid="{62D70B4D-EB50-4092-A315-183E0F4955D4}"/>
    <hyperlink ref="B17:M17" location="'4.2'!B148" display="ii. Serie resumen del estado de las solicitudes del Subsidio a la Contratación de Trabajadores Jóvenes" xr:uid="{A1D9F803-13D2-44CD-A29D-D4E4A9AB9FFF}"/>
    <hyperlink ref="B20:M20" location="'4.3'!B4" display="i. Serie resumen del total de solicitudes y trabajadores del Subsidio a la Cotización de Trabajadores Jóvenes" xr:uid="{4DB802E4-F34F-45DF-B91B-99561689061B}"/>
    <hyperlink ref="B21:M21" location="'4.3'!B156" display="ii. Serie resumen del estado de las solicitudes del Subsidio a la Cotización de Trabajadores Jóvenes" xr:uid="{783E34EA-D3C9-474E-B390-968DD35E5AB4}"/>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BF15F-8843-45E0-AC9B-B8FF3753F618}">
  <sheetPr>
    <tabColor theme="5"/>
  </sheetPr>
  <dimension ref="B2:I203"/>
  <sheetViews>
    <sheetView showGridLines="0" workbookViewId="0">
      <pane xSplit="2" ySplit="9" topLeftCell="C20" activePane="bottomRight" state="frozen"/>
      <selection pane="topRight" activeCell="C1" sqref="C1"/>
      <selection pane="bottomLeft" activeCell="A10" sqref="A10"/>
      <selection pane="bottomRight"/>
    </sheetView>
  </sheetViews>
  <sheetFormatPr baseColWidth="10" defaultRowHeight="15" outlineLevelRow="1" x14ac:dyDescent="0.25"/>
  <cols>
    <col min="2" max="2" width="20.85546875" customWidth="1"/>
    <col min="3" max="3" width="16.85546875" customWidth="1"/>
    <col min="4" max="4" width="18.7109375" customWidth="1"/>
    <col min="5" max="5" width="13.7109375" customWidth="1"/>
    <col min="6" max="6" width="12.42578125" customWidth="1"/>
    <col min="7" max="7" width="12.5703125" customWidth="1"/>
    <col min="8" max="8" width="13.5703125" customWidth="1"/>
  </cols>
  <sheetData>
    <row r="2" spans="2:9" ht="23.25" x14ac:dyDescent="0.25">
      <c r="B2" s="1" t="s">
        <v>736</v>
      </c>
    </row>
    <row r="4" spans="2:9" ht="18.75" x14ac:dyDescent="0.3">
      <c r="B4" s="2" t="s">
        <v>737</v>
      </c>
      <c r="C4" s="2"/>
      <c r="D4" s="2"/>
      <c r="E4" s="2"/>
      <c r="F4" s="2"/>
      <c r="G4" s="2"/>
      <c r="H4" s="2"/>
      <c r="I4" s="2"/>
    </row>
    <row r="5" spans="2:9" x14ac:dyDescent="0.25">
      <c r="B5" s="15" t="s">
        <v>875</v>
      </c>
    </row>
    <row r="7" spans="2:9" ht="26.25" customHeight="1" x14ac:dyDescent="0.25">
      <c r="B7" s="493" t="s">
        <v>472</v>
      </c>
      <c r="C7" s="494" t="s">
        <v>731</v>
      </c>
      <c r="D7" s="494"/>
      <c r="E7" s="494" t="s">
        <v>732</v>
      </c>
      <c r="F7" s="494"/>
      <c r="G7" s="494"/>
      <c r="H7" s="494"/>
    </row>
    <row r="8" spans="2:9" ht="36.75" customHeight="1" x14ac:dyDescent="0.25">
      <c r="B8" s="493"/>
      <c r="C8" s="493" t="s">
        <v>810</v>
      </c>
      <c r="D8" s="493" t="s">
        <v>811</v>
      </c>
      <c r="E8" s="495" t="s">
        <v>810</v>
      </c>
      <c r="F8" s="493" t="s">
        <v>812</v>
      </c>
      <c r="G8" s="493"/>
      <c r="H8" s="493"/>
    </row>
    <row r="9" spans="2:9" ht="30" x14ac:dyDescent="0.25">
      <c r="B9" s="493"/>
      <c r="C9" s="493"/>
      <c r="D9" s="493"/>
      <c r="E9" s="496"/>
      <c r="F9" s="247" t="s">
        <v>733</v>
      </c>
      <c r="G9" s="247" t="s">
        <v>734</v>
      </c>
      <c r="H9" s="247" t="s">
        <v>735</v>
      </c>
    </row>
    <row r="10" spans="2:9" hidden="1" outlineLevel="1" x14ac:dyDescent="0.25">
      <c r="B10" s="337">
        <v>39873</v>
      </c>
      <c r="C10" s="335">
        <v>10625</v>
      </c>
      <c r="D10" s="335">
        <v>174</v>
      </c>
      <c r="E10" s="336"/>
      <c r="F10" s="335"/>
      <c r="G10" s="335"/>
      <c r="H10" s="335"/>
    </row>
    <row r="11" spans="2:9" hidden="1" outlineLevel="1" x14ac:dyDescent="0.25">
      <c r="B11" s="337">
        <v>39904</v>
      </c>
      <c r="C11" s="335">
        <v>6095</v>
      </c>
      <c r="D11" s="335">
        <v>194</v>
      </c>
      <c r="E11" s="336"/>
      <c r="F11" s="335"/>
      <c r="G11" s="335"/>
      <c r="H11" s="335"/>
    </row>
    <row r="12" spans="2:9" hidden="1" outlineLevel="1" x14ac:dyDescent="0.25">
      <c r="B12" s="337">
        <v>39934</v>
      </c>
      <c r="C12" s="335">
        <v>7497</v>
      </c>
      <c r="D12" s="335">
        <v>290</v>
      </c>
      <c r="E12" s="336"/>
      <c r="F12" s="335"/>
      <c r="G12" s="335"/>
      <c r="H12" s="335"/>
    </row>
    <row r="13" spans="2:9" hidden="1" outlineLevel="1" x14ac:dyDescent="0.25">
      <c r="B13" s="337">
        <v>39965</v>
      </c>
      <c r="C13" s="335">
        <v>8878</v>
      </c>
      <c r="D13" s="335">
        <v>241</v>
      </c>
      <c r="E13" s="336"/>
      <c r="F13" s="335"/>
      <c r="G13" s="335"/>
      <c r="H13" s="335"/>
    </row>
    <row r="14" spans="2:9" hidden="1" outlineLevel="1" x14ac:dyDescent="0.25">
      <c r="B14" s="337">
        <v>39995</v>
      </c>
      <c r="C14" s="335">
        <v>13580</v>
      </c>
      <c r="D14" s="335">
        <v>349</v>
      </c>
      <c r="E14" s="336"/>
      <c r="F14" s="335"/>
      <c r="G14" s="335"/>
      <c r="H14" s="335"/>
    </row>
    <row r="15" spans="2:9" hidden="1" outlineLevel="1" x14ac:dyDescent="0.25">
      <c r="B15" s="337">
        <v>40026</v>
      </c>
      <c r="C15" s="335">
        <v>9451</v>
      </c>
      <c r="D15" s="335">
        <v>290</v>
      </c>
      <c r="E15" s="336"/>
      <c r="F15" s="335"/>
      <c r="G15" s="335"/>
      <c r="H15" s="335"/>
    </row>
    <row r="16" spans="2:9" hidden="1" outlineLevel="1" x14ac:dyDescent="0.25">
      <c r="B16" s="337">
        <v>40057</v>
      </c>
      <c r="C16" s="335">
        <v>16175</v>
      </c>
      <c r="D16" s="335">
        <v>423</v>
      </c>
      <c r="E16" s="336"/>
      <c r="F16" s="335"/>
      <c r="G16" s="335"/>
      <c r="H16" s="335"/>
    </row>
    <row r="17" spans="2:8" hidden="1" outlineLevel="1" x14ac:dyDescent="0.25">
      <c r="B17" s="337">
        <v>40087</v>
      </c>
      <c r="C17" s="335">
        <v>21738</v>
      </c>
      <c r="D17" s="335">
        <v>442</v>
      </c>
      <c r="E17" s="336"/>
      <c r="F17" s="335"/>
      <c r="G17" s="335"/>
      <c r="H17" s="335"/>
    </row>
    <row r="18" spans="2:8" hidden="1" outlineLevel="1" x14ac:dyDescent="0.25">
      <c r="B18" s="337">
        <v>40118</v>
      </c>
      <c r="C18" s="335">
        <v>20687</v>
      </c>
      <c r="D18" s="335">
        <v>464</v>
      </c>
      <c r="E18" s="336"/>
      <c r="F18" s="335"/>
      <c r="G18" s="335"/>
      <c r="H18" s="335"/>
    </row>
    <row r="19" spans="2:8" hidden="1" outlineLevel="1" x14ac:dyDescent="0.25">
      <c r="B19" s="337">
        <v>40148</v>
      </c>
      <c r="C19" s="335">
        <v>19925</v>
      </c>
      <c r="D19" s="335">
        <v>464</v>
      </c>
      <c r="E19" s="336"/>
      <c r="F19" s="335"/>
      <c r="G19" s="335"/>
      <c r="H19" s="335"/>
    </row>
    <row r="20" spans="2:8" ht="30" collapsed="1" x14ac:dyDescent="0.25">
      <c r="B20" s="321" t="s">
        <v>759</v>
      </c>
      <c r="C20" s="362">
        <v>13465.1</v>
      </c>
      <c r="D20" s="362">
        <v>333.1</v>
      </c>
      <c r="E20" s="362"/>
      <c r="F20" s="362"/>
      <c r="G20" s="362"/>
      <c r="H20" s="362"/>
    </row>
    <row r="21" spans="2:8" hidden="1" outlineLevel="1" x14ac:dyDescent="0.25">
      <c r="B21" s="318">
        <v>40179</v>
      </c>
      <c r="C21" s="338">
        <v>14517</v>
      </c>
      <c r="D21" s="338">
        <v>460</v>
      </c>
      <c r="E21" s="338"/>
      <c r="F21" s="338"/>
      <c r="G21" s="338"/>
      <c r="H21" s="338"/>
    </row>
    <row r="22" spans="2:8" hidden="1" outlineLevel="1" x14ac:dyDescent="0.25">
      <c r="B22" s="318">
        <v>40210</v>
      </c>
      <c r="C22" s="338">
        <v>21073</v>
      </c>
      <c r="D22" s="338">
        <v>461</v>
      </c>
      <c r="E22" s="338"/>
      <c r="F22" s="338"/>
      <c r="G22" s="338"/>
      <c r="H22" s="338"/>
    </row>
    <row r="23" spans="2:8" hidden="1" outlineLevel="1" x14ac:dyDescent="0.25">
      <c r="B23" s="318">
        <v>40238</v>
      </c>
      <c r="C23" s="338">
        <v>1853</v>
      </c>
      <c r="D23" s="338">
        <v>230</v>
      </c>
      <c r="E23" s="338"/>
      <c r="F23" s="338"/>
      <c r="G23" s="338"/>
      <c r="H23" s="338"/>
    </row>
    <row r="24" spans="2:8" hidden="1" outlineLevel="1" x14ac:dyDescent="0.25">
      <c r="B24" s="318">
        <v>40269</v>
      </c>
      <c r="C24" s="338">
        <v>34023</v>
      </c>
      <c r="D24" s="338">
        <v>448</v>
      </c>
      <c r="E24" s="338"/>
      <c r="F24" s="338"/>
      <c r="G24" s="338"/>
      <c r="H24" s="338"/>
    </row>
    <row r="25" spans="2:8" hidden="1" outlineLevel="1" x14ac:dyDescent="0.25">
      <c r="B25" s="318">
        <v>40299</v>
      </c>
      <c r="C25" s="338">
        <v>12204</v>
      </c>
      <c r="D25" s="338">
        <v>424</v>
      </c>
      <c r="E25" s="338"/>
      <c r="F25" s="338"/>
      <c r="G25" s="338"/>
      <c r="H25" s="338"/>
    </row>
    <row r="26" spans="2:8" hidden="1" outlineLevel="1" x14ac:dyDescent="0.25">
      <c r="B26" s="318">
        <v>40330</v>
      </c>
      <c r="C26" s="338">
        <v>1575</v>
      </c>
      <c r="D26" s="338">
        <v>167</v>
      </c>
      <c r="E26" s="338"/>
      <c r="F26" s="338"/>
      <c r="G26" s="338"/>
      <c r="H26" s="338"/>
    </row>
    <row r="27" spans="2:8" hidden="1" outlineLevel="1" x14ac:dyDescent="0.25">
      <c r="B27" s="318">
        <v>40360</v>
      </c>
      <c r="C27" s="338">
        <v>1875</v>
      </c>
      <c r="D27" s="338">
        <v>166</v>
      </c>
      <c r="E27" s="338"/>
      <c r="F27" s="338"/>
      <c r="G27" s="338"/>
      <c r="H27" s="338"/>
    </row>
    <row r="28" spans="2:8" hidden="1" outlineLevel="1" x14ac:dyDescent="0.25">
      <c r="B28" s="318">
        <v>40391</v>
      </c>
      <c r="C28" s="338">
        <v>7627</v>
      </c>
      <c r="D28" s="338">
        <v>189</v>
      </c>
      <c r="E28" s="338"/>
      <c r="F28" s="338"/>
      <c r="G28" s="338"/>
      <c r="H28" s="338"/>
    </row>
    <row r="29" spans="2:8" hidden="1" outlineLevel="1" x14ac:dyDescent="0.25">
      <c r="B29" s="318">
        <v>40422</v>
      </c>
      <c r="C29" s="338">
        <v>1802</v>
      </c>
      <c r="D29" s="338">
        <v>151</v>
      </c>
      <c r="E29" s="338"/>
      <c r="F29" s="338"/>
      <c r="G29" s="338"/>
      <c r="H29" s="338"/>
    </row>
    <row r="30" spans="2:8" hidden="1" outlineLevel="1" x14ac:dyDescent="0.25">
      <c r="B30" s="318">
        <v>40452</v>
      </c>
      <c r="C30" s="338">
        <v>3251</v>
      </c>
      <c r="D30" s="338">
        <v>152</v>
      </c>
      <c r="E30" s="338"/>
      <c r="F30" s="338"/>
      <c r="G30" s="338"/>
      <c r="H30" s="338"/>
    </row>
    <row r="31" spans="2:8" hidden="1" outlineLevel="1" x14ac:dyDescent="0.25">
      <c r="B31" s="318">
        <v>40483</v>
      </c>
      <c r="C31" s="338">
        <v>986</v>
      </c>
      <c r="D31" s="338">
        <v>122</v>
      </c>
      <c r="E31" s="338"/>
      <c r="F31" s="338"/>
      <c r="G31" s="338"/>
      <c r="H31" s="338"/>
    </row>
    <row r="32" spans="2:8" hidden="1" outlineLevel="1" x14ac:dyDescent="0.25">
      <c r="B32" s="318">
        <v>40513</v>
      </c>
      <c r="C32" s="338">
        <v>1370</v>
      </c>
      <c r="D32" s="338">
        <v>102</v>
      </c>
      <c r="E32" s="338"/>
      <c r="F32" s="338"/>
      <c r="G32" s="338"/>
      <c r="H32" s="338"/>
    </row>
    <row r="33" spans="2:8" collapsed="1" x14ac:dyDescent="0.25">
      <c r="B33" s="325" t="s">
        <v>692</v>
      </c>
      <c r="C33" s="362">
        <v>8513</v>
      </c>
      <c r="D33" s="362">
        <v>256</v>
      </c>
      <c r="E33" s="362"/>
      <c r="F33" s="362"/>
      <c r="G33" s="362"/>
      <c r="H33" s="362"/>
    </row>
    <row r="34" spans="2:8" hidden="1" outlineLevel="1" x14ac:dyDescent="0.25">
      <c r="B34" s="318">
        <v>40544</v>
      </c>
      <c r="C34" s="338">
        <v>547</v>
      </c>
      <c r="D34" s="338">
        <v>96</v>
      </c>
      <c r="E34" s="338"/>
      <c r="F34" s="338"/>
      <c r="G34" s="338"/>
      <c r="H34" s="338"/>
    </row>
    <row r="35" spans="2:8" hidden="1" outlineLevel="1" x14ac:dyDescent="0.25">
      <c r="B35" s="318">
        <v>40575</v>
      </c>
      <c r="C35" s="338">
        <v>986</v>
      </c>
      <c r="D35" s="338">
        <v>105</v>
      </c>
      <c r="E35" s="338"/>
      <c r="F35" s="338"/>
      <c r="G35" s="338"/>
      <c r="H35" s="338"/>
    </row>
    <row r="36" spans="2:8" hidden="1" outlineLevel="1" x14ac:dyDescent="0.25">
      <c r="B36" s="318">
        <v>40603</v>
      </c>
      <c r="C36" s="338">
        <v>531</v>
      </c>
      <c r="D36" s="338">
        <v>76</v>
      </c>
      <c r="E36" s="338"/>
      <c r="F36" s="338"/>
      <c r="G36" s="338"/>
      <c r="H36" s="338"/>
    </row>
    <row r="37" spans="2:8" hidden="1" outlineLevel="1" x14ac:dyDescent="0.25">
      <c r="B37" s="318">
        <v>40634</v>
      </c>
      <c r="C37" s="338">
        <v>1064</v>
      </c>
      <c r="D37" s="338">
        <v>129</v>
      </c>
      <c r="E37" s="338"/>
      <c r="F37" s="338"/>
      <c r="G37" s="338"/>
      <c r="H37" s="338"/>
    </row>
    <row r="38" spans="2:8" hidden="1" outlineLevel="1" x14ac:dyDescent="0.25">
      <c r="B38" s="318">
        <v>40664</v>
      </c>
      <c r="C38" s="338">
        <v>1100</v>
      </c>
      <c r="D38" s="338">
        <v>91</v>
      </c>
      <c r="E38" s="338"/>
      <c r="F38" s="338"/>
      <c r="G38" s="338"/>
      <c r="H38" s="338"/>
    </row>
    <row r="39" spans="2:8" hidden="1" outlineLevel="1" x14ac:dyDescent="0.25">
      <c r="B39" s="318">
        <v>40695</v>
      </c>
      <c r="C39" s="338">
        <v>1238</v>
      </c>
      <c r="D39" s="338">
        <v>106</v>
      </c>
      <c r="E39" s="338"/>
      <c r="F39" s="338"/>
      <c r="G39" s="338"/>
      <c r="H39" s="338"/>
    </row>
    <row r="40" spans="2:8" hidden="1" outlineLevel="1" x14ac:dyDescent="0.25">
      <c r="B40" s="318">
        <v>40725</v>
      </c>
      <c r="C40" s="338">
        <v>173</v>
      </c>
      <c r="D40" s="338">
        <v>25</v>
      </c>
      <c r="E40" s="338"/>
      <c r="F40" s="338"/>
      <c r="G40" s="338"/>
      <c r="H40" s="338"/>
    </row>
    <row r="41" spans="2:8" hidden="1" outlineLevel="1" x14ac:dyDescent="0.25">
      <c r="B41" s="318">
        <v>40756</v>
      </c>
      <c r="C41" s="338">
        <v>810</v>
      </c>
      <c r="D41" s="338">
        <v>59</v>
      </c>
      <c r="E41" s="338"/>
      <c r="F41" s="338"/>
      <c r="G41" s="338"/>
      <c r="H41" s="338"/>
    </row>
    <row r="42" spans="2:8" hidden="1" outlineLevel="1" x14ac:dyDescent="0.25">
      <c r="B42" s="318">
        <v>40787</v>
      </c>
      <c r="C42" s="338">
        <v>476</v>
      </c>
      <c r="D42" s="338">
        <v>65</v>
      </c>
      <c r="E42" s="338">
        <v>1634</v>
      </c>
      <c r="F42" s="338"/>
      <c r="G42" s="338"/>
      <c r="H42" s="338">
        <v>1620</v>
      </c>
    </row>
    <row r="43" spans="2:8" hidden="1" outlineLevel="1" x14ac:dyDescent="0.25">
      <c r="B43" s="318">
        <v>40817</v>
      </c>
      <c r="C43" s="338">
        <v>1568</v>
      </c>
      <c r="D43" s="338">
        <v>75</v>
      </c>
      <c r="E43" s="338">
        <v>5036</v>
      </c>
      <c r="F43" s="338"/>
      <c r="G43" s="338"/>
      <c r="H43" s="338">
        <v>4518</v>
      </c>
    </row>
    <row r="44" spans="2:8" hidden="1" outlineLevel="1" x14ac:dyDescent="0.25">
      <c r="B44" s="318">
        <v>40848</v>
      </c>
      <c r="C44" s="338">
        <v>906</v>
      </c>
      <c r="D44" s="338">
        <v>39</v>
      </c>
      <c r="E44" s="338">
        <v>12015</v>
      </c>
      <c r="F44" s="338"/>
      <c r="G44" s="338"/>
      <c r="H44" s="338">
        <v>10939</v>
      </c>
    </row>
    <row r="45" spans="2:8" hidden="1" outlineLevel="1" x14ac:dyDescent="0.25">
      <c r="B45" s="318">
        <v>40878</v>
      </c>
      <c r="C45" s="338">
        <v>1270</v>
      </c>
      <c r="D45" s="338">
        <v>71</v>
      </c>
      <c r="E45" s="338">
        <v>22261</v>
      </c>
      <c r="F45" s="338"/>
      <c r="G45" s="338"/>
      <c r="H45" s="338">
        <v>21512</v>
      </c>
    </row>
    <row r="46" spans="2:8" collapsed="1" x14ac:dyDescent="0.25">
      <c r="B46" s="325" t="s">
        <v>693</v>
      </c>
      <c r="C46" s="362">
        <v>889.08333333333337</v>
      </c>
      <c r="D46" s="362">
        <v>78.083333333333329</v>
      </c>
      <c r="E46" s="362">
        <v>10236.5</v>
      </c>
      <c r="F46" s="362"/>
      <c r="G46" s="362"/>
      <c r="H46" s="362">
        <v>9647.25</v>
      </c>
    </row>
    <row r="47" spans="2:8" hidden="1" outlineLevel="1" x14ac:dyDescent="0.25">
      <c r="B47" s="318">
        <v>40909</v>
      </c>
      <c r="C47" s="338">
        <v>1221</v>
      </c>
      <c r="D47" s="338">
        <v>65</v>
      </c>
      <c r="E47" s="338">
        <v>24129</v>
      </c>
      <c r="F47" s="338"/>
      <c r="G47" s="338"/>
      <c r="H47" s="338">
        <v>20099</v>
      </c>
    </row>
    <row r="48" spans="2:8" hidden="1" outlineLevel="1" x14ac:dyDescent="0.25">
      <c r="B48" s="318">
        <v>40940</v>
      </c>
      <c r="C48" s="338">
        <v>902</v>
      </c>
      <c r="D48" s="338">
        <v>58</v>
      </c>
      <c r="E48" s="338">
        <v>22063</v>
      </c>
      <c r="F48" s="338"/>
      <c r="G48" s="338"/>
      <c r="H48" s="338">
        <v>19781</v>
      </c>
    </row>
    <row r="49" spans="2:8" hidden="1" outlineLevel="1" x14ac:dyDescent="0.25">
      <c r="B49" s="318">
        <v>40969</v>
      </c>
      <c r="C49" s="338">
        <v>2605</v>
      </c>
      <c r="D49" s="338">
        <v>58</v>
      </c>
      <c r="E49" s="338">
        <v>36966</v>
      </c>
      <c r="F49" s="338"/>
      <c r="G49" s="338"/>
      <c r="H49" s="338">
        <v>28773</v>
      </c>
    </row>
    <row r="50" spans="2:8" hidden="1" outlineLevel="1" x14ac:dyDescent="0.25">
      <c r="B50" s="318">
        <v>41000</v>
      </c>
      <c r="C50" s="338">
        <v>982</v>
      </c>
      <c r="D50" s="338">
        <v>44</v>
      </c>
      <c r="E50" s="338">
        <v>16479</v>
      </c>
      <c r="F50" s="338"/>
      <c r="G50" s="338"/>
      <c r="H50" s="338">
        <v>16232</v>
      </c>
    </row>
    <row r="51" spans="2:8" hidden="1" outlineLevel="1" x14ac:dyDescent="0.25">
      <c r="B51" s="318">
        <v>41030</v>
      </c>
      <c r="C51" s="338">
        <v>3220</v>
      </c>
      <c r="D51" s="338">
        <v>72</v>
      </c>
      <c r="E51" s="338">
        <v>28814</v>
      </c>
      <c r="F51" s="338"/>
      <c r="G51" s="338"/>
      <c r="H51" s="338">
        <v>23849</v>
      </c>
    </row>
    <row r="52" spans="2:8" hidden="1" outlineLevel="1" x14ac:dyDescent="0.25">
      <c r="B52" s="318">
        <v>41061</v>
      </c>
      <c r="C52" s="338">
        <v>1267</v>
      </c>
      <c r="D52" s="338">
        <v>49</v>
      </c>
      <c r="E52" s="338">
        <v>25375</v>
      </c>
      <c r="F52" s="338"/>
      <c r="G52" s="338"/>
      <c r="H52" s="338">
        <v>22057</v>
      </c>
    </row>
    <row r="53" spans="2:8" hidden="1" outlineLevel="1" x14ac:dyDescent="0.25">
      <c r="B53" s="318">
        <v>41091</v>
      </c>
      <c r="C53" s="338">
        <v>1000</v>
      </c>
      <c r="D53" s="338">
        <v>53</v>
      </c>
      <c r="E53" s="338">
        <v>23209</v>
      </c>
      <c r="F53" s="338"/>
      <c r="G53" s="338"/>
      <c r="H53" s="338">
        <v>21672</v>
      </c>
    </row>
    <row r="54" spans="2:8" hidden="1" outlineLevel="1" x14ac:dyDescent="0.25">
      <c r="B54" s="318">
        <v>41122</v>
      </c>
      <c r="C54" s="338">
        <v>1130</v>
      </c>
      <c r="D54" s="338">
        <v>58</v>
      </c>
      <c r="E54" s="338">
        <v>21429</v>
      </c>
      <c r="F54" s="338"/>
      <c r="G54" s="338"/>
      <c r="H54" s="338">
        <v>20285</v>
      </c>
    </row>
    <row r="55" spans="2:8" hidden="1" outlineLevel="1" x14ac:dyDescent="0.25">
      <c r="B55" s="318">
        <v>41153</v>
      </c>
      <c r="C55" s="338">
        <v>1082</v>
      </c>
      <c r="D55" s="338">
        <v>56</v>
      </c>
      <c r="E55" s="338">
        <v>26360</v>
      </c>
      <c r="F55" s="338"/>
      <c r="G55" s="338"/>
      <c r="H55" s="338">
        <v>23448</v>
      </c>
    </row>
    <row r="56" spans="2:8" hidden="1" outlineLevel="1" x14ac:dyDescent="0.25">
      <c r="B56" s="318">
        <v>41183</v>
      </c>
      <c r="C56" s="338">
        <v>1205</v>
      </c>
      <c r="D56" s="338">
        <v>63</v>
      </c>
      <c r="E56" s="338">
        <v>24056</v>
      </c>
      <c r="F56" s="338"/>
      <c r="G56" s="338"/>
      <c r="H56" s="338">
        <v>22693</v>
      </c>
    </row>
    <row r="57" spans="2:8" hidden="1" outlineLevel="1" x14ac:dyDescent="0.25">
      <c r="B57" s="318">
        <v>41214</v>
      </c>
      <c r="C57" s="338">
        <v>637</v>
      </c>
      <c r="D57" s="338">
        <v>47</v>
      </c>
      <c r="E57" s="338">
        <v>19225</v>
      </c>
      <c r="F57" s="338"/>
      <c r="G57" s="338"/>
      <c r="H57" s="338">
        <v>18399</v>
      </c>
    </row>
    <row r="58" spans="2:8" hidden="1" outlineLevel="1" x14ac:dyDescent="0.25">
      <c r="B58" s="318">
        <v>41244</v>
      </c>
      <c r="C58" s="338">
        <v>840</v>
      </c>
      <c r="D58" s="338">
        <v>32</v>
      </c>
      <c r="E58" s="338">
        <v>11256</v>
      </c>
      <c r="F58" s="338"/>
      <c r="G58" s="338"/>
      <c r="H58" s="338">
        <v>10911</v>
      </c>
    </row>
    <row r="59" spans="2:8" collapsed="1" x14ac:dyDescent="0.25">
      <c r="B59" s="325" t="s">
        <v>694</v>
      </c>
      <c r="C59" s="362">
        <v>1340.9166666666667</v>
      </c>
      <c r="D59" s="362">
        <v>54.583333333333336</v>
      </c>
      <c r="E59" s="362">
        <v>23280.083333333332</v>
      </c>
      <c r="F59" s="362"/>
      <c r="G59" s="362"/>
      <c r="H59" s="362">
        <v>20683.25</v>
      </c>
    </row>
    <row r="60" spans="2:8" hidden="1" outlineLevel="1" x14ac:dyDescent="0.25">
      <c r="B60" s="318">
        <v>41275</v>
      </c>
      <c r="C60" s="338">
        <v>931</v>
      </c>
      <c r="D60" s="338">
        <v>56</v>
      </c>
      <c r="E60" s="338">
        <v>40005</v>
      </c>
      <c r="F60" s="338"/>
      <c r="G60" s="338"/>
      <c r="H60" s="338">
        <v>27853</v>
      </c>
    </row>
    <row r="61" spans="2:8" hidden="1" outlineLevel="1" x14ac:dyDescent="0.25">
      <c r="B61" s="318">
        <v>41306</v>
      </c>
      <c r="C61" s="338">
        <v>1270</v>
      </c>
      <c r="D61" s="338">
        <v>64</v>
      </c>
      <c r="E61" s="338">
        <v>24170</v>
      </c>
      <c r="F61" s="338"/>
      <c r="G61" s="338"/>
      <c r="H61" s="338">
        <v>22694</v>
      </c>
    </row>
    <row r="62" spans="2:8" hidden="1" outlineLevel="1" x14ac:dyDescent="0.25">
      <c r="B62" s="318">
        <v>41334</v>
      </c>
      <c r="C62" s="338">
        <v>826</v>
      </c>
      <c r="D62" s="338">
        <v>41</v>
      </c>
      <c r="E62" s="338">
        <v>23845</v>
      </c>
      <c r="F62" s="338"/>
      <c r="G62" s="338"/>
      <c r="H62" s="338">
        <v>22309</v>
      </c>
    </row>
    <row r="63" spans="2:8" hidden="1" outlineLevel="1" x14ac:dyDescent="0.25">
      <c r="B63" s="318">
        <v>41365</v>
      </c>
      <c r="C63" s="338">
        <v>1037</v>
      </c>
      <c r="D63" s="338">
        <v>51</v>
      </c>
      <c r="E63" s="338">
        <v>26008</v>
      </c>
      <c r="F63" s="338"/>
      <c r="G63" s="338"/>
      <c r="H63" s="338">
        <v>23693</v>
      </c>
    </row>
    <row r="64" spans="2:8" hidden="1" outlineLevel="1" x14ac:dyDescent="0.25">
      <c r="B64" s="318">
        <v>41395</v>
      </c>
      <c r="C64" s="338">
        <v>436</v>
      </c>
      <c r="D64" s="338">
        <v>34</v>
      </c>
      <c r="E64" s="338">
        <v>21038</v>
      </c>
      <c r="F64" s="338"/>
      <c r="G64" s="338"/>
      <c r="H64" s="338">
        <v>19845</v>
      </c>
    </row>
    <row r="65" spans="2:8" hidden="1" outlineLevel="1" x14ac:dyDescent="0.25">
      <c r="B65" s="318">
        <v>41426</v>
      </c>
      <c r="C65" s="338">
        <v>848</v>
      </c>
      <c r="D65" s="338">
        <v>44</v>
      </c>
      <c r="E65" s="338">
        <v>22037</v>
      </c>
      <c r="F65" s="338"/>
      <c r="G65" s="338"/>
      <c r="H65" s="338">
        <v>20065</v>
      </c>
    </row>
    <row r="66" spans="2:8" hidden="1" outlineLevel="1" x14ac:dyDescent="0.25">
      <c r="B66" s="318">
        <v>41456</v>
      </c>
      <c r="C66" s="338">
        <v>747</v>
      </c>
      <c r="D66" s="338">
        <v>36</v>
      </c>
      <c r="E66" s="338">
        <v>22506</v>
      </c>
      <c r="F66" s="338"/>
      <c r="G66" s="338"/>
      <c r="H66" s="338">
        <v>20780</v>
      </c>
    </row>
    <row r="67" spans="2:8" hidden="1" outlineLevel="1" x14ac:dyDescent="0.25">
      <c r="B67" s="318">
        <v>41487</v>
      </c>
      <c r="C67" s="338">
        <v>719</v>
      </c>
      <c r="D67" s="338">
        <v>35</v>
      </c>
      <c r="E67" s="338">
        <v>23869</v>
      </c>
      <c r="F67" s="338"/>
      <c r="G67" s="338"/>
      <c r="H67" s="338">
        <v>21924</v>
      </c>
    </row>
    <row r="68" spans="2:8" hidden="1" outlineLevel="1" x14ac:dyDescent="0.25">
      <c r="B68" s="318">
        <v>41518</v>
      </c>
      <c r="C68" s="338">
        <v>908</v>
      </c>
      <c r="D68" s="338">
        <v>30</v>
      </c>
      <c r="E68" s="338">
        <v>22797</v>
      </c>
      <c r="F68" s="338"/>
      <c r="G68" s="338"/>
      <c r="H68" s="338">
        <v>21715</v>
      </c>
    </row>
    <row r="69" spans="2:8" hidden="1" outlineLevel="1" x14ac:dyDescent="0.25">
      <c r="B69" s="318">
        <v>41548</v>
      </c>
      <c r="C69" s="338">
        <v>907</v>
      </c>
      <c r="D69" s="338">
        <v>34</v>
      </c>
      <c r="E69" s="338">
        <v>23258</v>
      </c>
      <c r="F69" s="338"/>
      <c r="G69" s="338"/>
      <c r="H69" s="338">
        <v>22266</v>
      </c>
    </row>
    <row r="70" spans="2:8" hidden="1" outlineLevel="1" x14ac:dyDescent="0.25">
      <c r="B70" s="318">
        <v>41579</v>
      </c>
      <c r="C70" s="338">
        <v>684</v>
      </c>
      <c r="D70" s="338">
        <v>32</v>
      </c>
      <c r="E70" s="338">
        <v>21758</v>
      </c>
      <c r="F70" s="338"/>
      <c r="G70" s="338"/>
      <c r="H70" s="338">
        <v>20561</v>
      </c>
    </row>
    <row r="71" spans="2:8" hidden="1" outlineLevel="1" x14ac:dyDescent="0.25">
      <c r="B71" s="318">
        <v>41609</v>
      </c>
      <c r="C71" s="338">
        <v>731</v>
      </c>
      <c r="D71" s="338">
        <v>40</v>
      </c>
      <c r="E71" s="338">
        <v>21567</v>
      </c>
      <c r="F71" s="338"/>
      <c r="G71" s="338"/>
      <c r="H71" s="338">
        <v>20466</v>
      </c>
    </row>
    <row r="72" spans="2:8" collapsed="1" x14ac:dyDescent="0.25">
      <c r="B72" s="325" t="s">
        <v>695</v>
      </c>
      <c r="C72" s="362">
        <v>837</v>
      </c>
      <c r="D72" s="362">
        <v>41.416666666666664</v>
      </c>
      <c r="E72" s="362">
        <v>24404.833333333332</v>
      </c>
      <c r="F72" s="362"/>
      <c r="G72" s="362"/>
      <c r="H72" s="362">
        <v>22014.25</v>
      </c>
    </row>
    <row r="73" spans="2:8" hidden="1" outlineLevel="1" x14ac:dyDescent="0.25">
      <c r="B73" s="318">
        <v>41640</v>
      </c>
      <c r="C73" s="338">
        <v>642</v>
      </c>
      <c r="D73" s="338">
        <v>27</v>
      </c>
      <c r="E73" s="338">
        <v>16702</v>
      </c>
      <c r="F73" s="338"/>
      <c r="G73" s="338"/>
      <c r="H73" s="338">
        <v>15794</v>
      </c>
    </row>
    <row r="74" spans="2:8" hidden="1" outlineLevel="1" x14ac:dyDescent="0.25">
      <c r="B74" s="318">
        <v>41671</v>
      </c>
      <c r="C74" s="338">
        <v>687</v>
      </c>
      <c r="D74" s="338">
        <v>25</v>
      </c>
      <c r="E74" s="338">
        <v>23938</v>
      </c>
      <c r="F74" s="338"/>
      <c r="G74" s="338"/>
      <c r="H74" s="338">
        <v>20912</v>
      </c>
    </row>
    <row r="75" spans="2:8" hidden="1" outlineLevel="1" x14ac:dyDescent="0.25">
      <c r="B75" s="318">
        <v>41699</v>
      </c>
      <c r="C75" s="338">
        <v>1022</v>
      </c>
      <c r="D75" s="338">
        <v>47</v>
      </c>
      <c r="E75" s="338">
        <v>28622</v>
      </c>
      <c r="F75" s="338"/>
      <c r="G75" s="338"/>
      <c r="H75" s="338">
        <v>24920</v>
      </c>
    </row>
    <row r="76" spans="2:8" hidden="1" outlineLevel="1" x14ac:dyDescent="0.25">
      <c r="B76" s="318">
        <v>41730</v>
      </c>
      <c r="C76" s="338">
        <v>645</v>
      </c>
      <c r="D76" s="338">
        <v>29</v>
      </c>
      <c r="E76" s="338">
        <v>22470</v>
      </c>
      <c r="F76" s="338"/>
      <c r="G76" s="338"/>
      <c r="H76" s="338">
        <v>20858</v>
      </c>
    </row>
    <row r="77" spans="2:8" hidden="1" outlineLevel="1" x14ac:dyDescent="0.25">
      <c r="B77" s="318">
        <v>41760</v>
      </c>
      <c r="C77" s="338">
        <v>697</v>
      </c>
      <c r="D77" s="338">
        <v>31</v>
      </c>
      <c r="E77" s="338">
        <v>14929</v>
      </c>
      <c r="F77" s="338"/>
      <c r="G77" s="338"/>
      <c r="H77" s="338">
        <v>13783</v>
      </c>
    </row>
    <row r="78" spans="2:8" hidden="1" outlineLevel="1" x14ac:dyDescent="0.25">
      <c r="B78" s="318">
        <v>41791</v>
      </c>
      <c r="C78" s="338">
        <v>708</v>
      </c>
      <c r="D78" s="338">
        <v>29</v>
      </c>
      <c r="E78" s="338">
        <v>28107</v>
      </c>
      <c r="F78" s="338"/>
      <c r="G78" s="338"/>
      <c r="H78" s="338">
        <v>22029</v>
      </c>
    </row>
    <row r="79" spans="2:8" hidden="1" outlineLevel="1" x14ac:dyDescent="0.25">
      <c r="B79" s="318">
        <v>41821</v>
      </c>
      <c r="C79" s="338">
        <v>848</v>
      </c>
      <c r="D79" s="338">
        <v>30</v>
      </c>
      <c r="E79" s="338">
        <v>20305</v>
      </c>
      <c r="F79" s="338"/>
      <c r="G79" s="338"/>
      <c r="H79" s="338">
        <v>18703</v>
      </c>
    </row>
    <row r="80" spans="2:8" hidden="1" outlineLevel="1" x14ac:dyDescent="0.25">
      <c r="B80" s="318">
        <v>41852</v>
      </c>
      <c r="C80" s="338">
        <v>418</v>
      </c>
      <c r="D80" s="338">
        <v>21</v>
      </c>
      <c r="E80" s="338">
        <v>20026</v>
      </c>
      <c r="F80" s="338"/>
      <c r="G80" s="338"/>
      <c r="H80" s="338">
        <v>17896</v>
      </c>
    </row>
    <row r="81" spans="2:8" hidden="1" outlineLevel="1" x14ac:dyDescent="0.25">
      <c r="B81" s="318">
        <v>41883</v>
      </c>
      <c r="C81" s="338">
        <v>449</v>
      </c>
      <c r="D81" s="338">
        <v>20</v>
      </c>
      <c r="E81" s="338">
        <v>17518</v>
      </c>
      <c r="F81" s="338"/>
      <c r="G81" s="338"/>
      <c r="H81" s="338">
        <v>15614</v>
      </c>
    </row>
    <row r="82" spans="2:8" hidden="1" outlineLevel="1" x14ac:dyDescent="0.25">
      <c r="B82" s="318">
        <v>41913</v>
      </c>
      <c r="C82" s="338">
        <v>386</v>
      </c>
      <c r="D82" s="338">
        <v>21</v>
      </c>
      <c r="E82" s="338">
        <v>25867</v>
      </c>
      <c r="F82" s="338"/>
      <c r="G82" s="338"/>
      <c r="H82" s="338">
        <v>21002</v>
      </c>
    </row>
    <row r="83" spans="2:8" hidden="1" outlineLevel="1" x14ac:dyDescent="0.25">
      <c r="B83" s="318">
        <v>41944</v>
      </c>
      <c r="C83" s="338">
        <v>614</v>
      </c>
      <c r="D83" s="338">
        <v>17</v>
      </c>
      <c r="E83" s="338">
        <v>16769</v>
      </c>
      <c r="F83" s="338"/>
      <c r="G83" s="338"/>
      <c r="H83" s="338">
        <v>15842</v>
      </c>
    </row>
    <row r="84" spans="2:8" hidden="1" outlineLevel="1" x14ac:dyDescent="0.25">
      <c r="B84" s="318">
        <v>41974</v>
      </c>
      <c r="C84" s="338">
        <v>534</v>
      </c>
      <c r="D84" s="338">
        <v>22</v>
      </c>
      <c r="E84" s="338">
        <v>23318</v>
      </c>
      <c r="F84" s="338"/>
      <c r="G84" s="338"/>
      <c r="H84" s="338">
        <v>20226</v>
      </c>
    </row>
    <row r="85" spans="2:8" collapsed="1" x14ac:dyDescent="0.25">
      <c r="B85" s="325" t="s">
        <v>696</v>
      </c>
      <c r="C85" s="362">
        <v>637.5</v>
      </c>
      <c r="D85" s="362">
        <v>26.583333333333332</v>
      </c>
      <c r="E85" s="362">
        <v>21547.583333333332</v>
      </c>
      <c r="F85" s="362"/>
      <c r="G85" s="362"/>
      <c r="H85" s="362">
        <v>18964.916666666668</v>
      </c>
    </row>
    <row r="86" spans="2:8" hidden="1" outlineLevel="1" x14ac:dyDescent="0.25">
      <c r="B86" s="318">
        <v>42005</v>
      </c>
      <c r="C86" s="338">
        <v>478</v>
      </c>
      <c r="D86" s="338">
        <v>21</v>
      </c>
      <c r="E86" s="338">
        <v>23056</v>
      </c>
      <c r="F86" s="338"/>
      <c r="G86" s="338"/>
      <c r="H86" s="338">
        <v>21061</v>
      </c>
    </row>
    <row r="87" spans="2:8" hidden="1" outlineLevel="1" x14ac:dyDescent="0.25">
      <c r="B87" s="318">
        <v>42036</v>
      </c>
      <c r="C87" s="338">
        <v>361</v>
      </c>
      <c r="D87" s="338">
        <v>24</v>
      </c>
      <c r="E87" s="338">
        <v>18524</v>
      </c>
      <c r="F87" s="338"/>
      <c r="G87" s="338"/>
      <c r="H87" s="338">
        <v>17192</v>
      </c>
    </row>
    <row r="88" spans="2:8" hidden="1" outlineLevel="1" x14ac:dyDescent="0.25">
      <c r="B88" s="318">
        <v>42064</v>
      </c>
      <c r="C88" s="338">
        <v>712</v>
      </c>
      <c r="D88" s="338">
        <v>28</v>
      </c>
      <c r="E88" s="338">
        <v>26002</v>
      </c>
      <c r="F88" s="338"/>
      <c r="G88" s="338"/>
      <c r="H88" s="338">
        <v>22027</v>
      </c>
    </row>
    <row r="89" spans="2:8" hidden="1" outlineLevel="1" x14ac:dyDescent="0.25">
      <c r="B89" s="318">
        <v>42095</v>
      </c>
      <c r="C89" s="338">
        <v>255</v>
      </c>
      <c r="D89" s="338">
        <v>22</v>
      </c>
      <c r="E89" s="338">
        <v>23093</v>
      </c>
      <c r="F89" s="338"/>
      <c r="G89" s="338"/>
      <c r="H89" s="338">
        <v>21546</v>
      </c>
    </row>
    <row r="90" spans="2:8" hidden="1" outlineLevel="1" x14ac:dyDescent="0.25">
      <c r="B90" s="318">
        <v>42125</v>
      </c>
      <c r="C90" s="338">
        <v>891</v>
      </c>
      <c r="D90" s="338">
        <v>21</v>
      </c>
      <c r="E90" s="338">
        <v>22362</v>
      </c>
      <c r="F90" s="338"/>
      <c r="G90" s="338"/>
      <c r="H90" s="338">
        <v>20850</v>
      </c>
    </row>
    <row r="91" spans="2:8" hidden="1" outlineLevel="1" x14ac:dyDescent="0.25">
      <c r="B91" s="318">
        <v>42156</v>
      </c>
      <c r="C91" s="338">
        <v>117</v>
      </c>
      <c r="D91" s="338">
        <v>14</v>
      </c>
      <c r="E91" s="338">
        <v>12627</v>
      </c>
      <c r="F91" s="338"/>
      <c r="G91" s="338"/>
      <c r="H91" s="338">
        <v>11681</v>
      </c>
    </row>
    <row r="92" spans="2:8" hidden="1" outlineLevel="1" x14ac:dyDescent="0.25">
      <c r="B92" s="318">
        <v>42186</v>
      </c>
      <c r="C92" s="338">
        <v>181</v>
      </c>
      <c r="D92" s="338">
        <v>18</v>
      </c>
      <c r="E92" s="338">
        <v>19638</v>
      </c>
      <c r="F92" s="338"/>
      <c r="G92" s="338"/>
      <c r="H92" s="338">
        <v>18282</v>
      </c>
    </row>
    <row r="93" spans="2:8" hidden="1" outlineLevel="1" x14ac:dyDescent="0.25">
      <c r="B93" s="318">
        <v>42217</v>
      </c>
      <c r="C93" s="338">
        <v>128</v>
      </c>
      <c r="D93" s="338">
        <v>14</v>
      </c>
      <c r="E93" s="338">
        <v>21146</v>
      </c>
      <c r="F93" s="338"/>
      <c r="G93" s="338"/>
      <c r="H93" s="338">
        <v>19598</v>
      </c>
    </row>
    <row r="94" spans="2:8" hidden="1" outlineLevel="1" x14ac:dyDescent="0.25">
      <c r="B94" s="318">
        <v>42248</v>
      </c>
      <c r="C94" s="338">
        <v>161</v>
      </c>
      <c r="D94" s="338">
        <v>18</v>
      </c>
      <c r="E94" s="338">
        <v>27499</v>
      </c>
      <c r="F94" s="338"/>
      <c r="G94" s="338"/>
      <c r="H94" s="338">
        <v>21738</v>
      </c>
    </row>
    <row r="95" spans="2:8" hidden="1" outlineLevel="1" x14ac:dyDescent="0.25">
      <c r="B95" s="318">
        <v>42278</v>
      </c>
      <c r="C95" s="338">
        <v>195</v>
      </c>
      <c r="D95" s="338">
        <v>21</v>
      </c>
      <c r="E95" s="338">
        <v>25195</v>
      </c>
      <c r="F95" s="338"/>
      <c r="G95" s="338"/>
      <c r="H95" s="338">
        <v>20911</v>
      </c>
    </row>
    <row r="96" spans="2:8" hidden="1" outlineLevel="1" x14ac:dyDescent="0.25">
      <c r="B96" s="318">
        <v>42309</v>
      </c>
      <c r="C96" s="338">
        <v>225</v>
      </c>
      <c r="D96" s="338">
        <v>20</v>
      </c>
      <c r="E96" s="338">
        <v>22695</v>
      </c>
      <c r="F96" s="338"/>
      <c r="G96" s="338"/>
      <c r="H96" s="338">
        <v>19610</v>
      </c>
    </row>
    <row r="97" spans="2:8" hidden="1" outlineLevel="1" x14ac:dyDescent="0.25">
      <c r="B97" s="318">
        <v>42339</v>
      </c>
      <c r="C97" s="338">
        <v>212</v>
      </c>
      <c r="D97" s="338">
        <v>27</v>
      </c>
      <c r="E97" s="338">
        <v>22984</v>
      </c>
      <c r="F97" s="338"/>
      <c r="G97" s="338"/>
      <c r="H97" s="338">
        <v>20973</v>
      </c>
    </row>
    <row r="98" spans="2:8" collapsed="1" x14ac:dyDescent="0.25">
      <c r="B98" s="325" t="s">
        <v>697</v>
      </c>
      <c r="C98" s="362">
        <v>326.33333333333331</v>
      </c>
      <c r="D98" s="362">
        <v>20.666666666666668</v>
      </c>
      <c r="E98" s="362">
        <v>22068.416666666668</v>
      </c>
      <c r="F98" s="362"/>
      <c r="G98" s="362"/>
      <c r="H98" s="362">
        <v>19622.416666666668</v>
      </c>
    </row>
    <row r="99" spans="2:8" hidden="1" outlineLevel="1" x14ac:dyDescent="0.25">
      <c r="B99" s="318">
        <v>42370</v>
      </c>
      <c r="C99" s="338">
        <v>352</v>
      </c>
      <c r="D99" s="338">
        <v>37</v>
      </c>
      <c r="E99" s="338">
        <v>22006</v>
      </c>
      <c r="F99" s="338"/>
      <c r="G99" s="338"/>
      <c r="H99" s="338">
        <v>20462</v>
      </c>
    </row>
    <row r="100" spans="2:8" hidden="1" outlineLevel="1" x14ac:dyDescent="0.25">
      <c r="B100" s="318">
        <v>42401</v>
      </c>
      <c r="C100" s="338">
        <v>370</v>
      </c>
      <c r="D100" s="338">
        <v>34</v>
      </c>
      <c r="E100" s="338">
        <v>21509</v>
      </c>
      <c r="F100" s="338"/>
      <c r="G100" s="338"/>
      <c r="H100" s="338">
        <v>20333</v>
      </c>
    </row>
    <row r="101" spans="2:8" hidden="1" outlineLevel="1" x14ac:dyDescent="0.25">
      <c r="B101" s="318">
        <v>42430</v>
      </c>
      <c r="C101" s="338">
        <v>389</v>
      </c>
      <c r="D101" s="338">
        <v>23</v>
      </c>
      <c r="E101" s="338">
        <v>21336</v>
      </c>
      <c r="F101" s="338"/>
      <c r="G101" s="338"/>
      <c r="H101" s="338">
        <v>19910</v>
      </c>
    </row>
    <row r="102" spans="2:8" hidden="1" outlineLevel="1" x14ac:dyDescent="0.25">
      <c r="B102" s="318">
        <v>42461</v>
      </c>
      <c r="C102" s="338">
        <v>285</v>
      </c>
      <c r="D102" s="338">
        <v>18</v>
      </c>
      <c r="E102" s="338">
        <v>5659</v>
      </c>
      <c r="F102" s="338"/>
      <c r="G102" s="338"/>
      <c r="H102" s="338">
        <v>5480</v>
      </c>
    </row>
    <row r="103" spans="2:8" hidden="1" outlineLevel="1" x14ac:dyDescent="0.25">
      <c r="B103" s="318">
        <v>42491</v>
      </c>
      <c r="C103" s="338">
        <v>288</v>
      </c>
      <c r="D103" s="338">
        <v>16</v>
      </c>
      <c r="E103" s="338">
        <v>6651</v>
      </c>
      <c r="F103" s="338">
        <v>3426</v>
      </c>
      <c r="G103" s="338">
        <v>2372</v>
      </c>
      <c r="H103" s="338">
        <v>5798</v>
      </c>
    </row>
    <row r="104" spans="2:8" hidden="1" outlineLevel="1" x14ac:dyDescent="0.25">
      <c r="B104" s="318">
        <v>42522</v>
      </c>
      <c r="C104" s="338">
        <v>21</v>
      </c>
      <c r="D104" s="338">
        <v>15</v>
      </c>
      <c r="E104" s="338">
        <v>5426</v>
      </c>
      <c r="F104" s="338">
        <v>2014</v>
      </c>
      <c r="G104" s="338">
        <v>2742</v>
      </c>
      <c r="H104" s="338">
        <v>4756</v>
      </c>
    </row>
    <row r="105" spans="2:8" hidden="1" outlineLevel="1" x14ac:dyDescent="0.25">
      <c r="B105" s="318">
        <v>42552</v>
      </c>
      <c r="C105" s="338">
        <v>9</v>
      </c>
      <c r="D105" s="338">
        <v>9</v>
      </c>
      <c r="E105" s="338">
        <v>3253</v>
      </c>
      <c r="F105" s="338">
        <v>1416</v>
      </c>
      <c r="G105" s="338">
        <v>1620</v>
      </c>
      <c r="H105" s="338">
        <v>3036</v>
      </c>
    </row>
    <row r="106" spans="2:8" hidden="1" outlineLevel="1" x14ac:dyDescent="0.25">
      <c r="B106" s="318">
        <v>42583</v>
      </c>
      <c r="C106" s="338">
        <v>13</v>
      </c>
      <c r="D106" s="338">
        <v>10</v>
      </c>
      <c r="E106" s="338">
        <v>3343</v>
      </c>
      <c r="F106" s="338">
        <v>1336</v>
      </c>
      <c r="G106" s="338">
        <v>1688</v>
      </c>
      <c r="H106" s="338">
        <v>3024</v>
      </c>
    </row>
    <row r="107" spans="2:8" hidden="1" outlineLevel="1" x14ac:dyDescent="0.25">
      <c r="B107" s="318">
        <v>42614</v>
      </c>
      <c r="C107" s="338">
        <v>16</v>
      </c>
      <c r="D107" s="338">
        <v>11</v>
      </c>
      <c r="E107" s="338">
        <v>3298</v>
      </c>
      <c r="F107" s="338">
        <v>1358</v>
      </c>
      <c r="G107" s="338">
        <v>1715</v>
      </c>
      <c r="H107" s="338">
        <v>3073</v>
      </c>
    </row>
    <row r="108" spans="2:8" hidden="1" outlineLevel="1" x14ac:dyDescent="0.25">
      <c r="B108" s="318">
        <v>42644</v>
      </c>
      <c r="C108" s="338">
        <v>28</v>
      </c>
      <c r="D108" s="338">
        <v>12</v>
      </c>
      <c r="E108" s="338">
        <v>3465</v>
      </c>
      <c r="F108" s="338">
        <v>1455</v>
      </c>
      <c r="G108" s="338">
        <v>1819</v>
      </c>
      <c r="H108" s="338">
        <v>3274</v>
      </c>
    </row>
    <row r="109" spans="2:8" hidden="1" outlineLevel="1" x14ac:dyDescent="0.25">
      <c r="B109" s="318">
        <v>42675</v>
      </c>
      <c r="C109" s="338">
        <v>38</v>
      </c>
      <c r="D109" s="338">
        <v>13</v>
      </c>
      <c r="E109" s="338">
        <v>3225</v>
      </c>
      <c r="F109" s="338">
        <v>1369</v>
      </c>
      <c r="G109" s="338">
        <v>1699</v>
      </c>
      <c r="H109" s="338">
        <v>3068</v>
      </c>
    </row>
    <row r="110" spans="2:8" hidden="1" outlineLevel="1" x14ac:dyDescent="0.25">
      <c r="B110" s="318">
        <v>42705</v>
      </c>
      <c r="C110" s="338">
        <v>48</v>
      </c>
      <c r="D110" s="338">
        <v>20</v>
      </c>
      <c r="E110" s="338">
        <v>2951</v>
      </c>
      <c r="F110" s="338">
        <v>1273</v>
      </c>
      <c r="G110" s="338">
        <v>1530</v>
      </c>
      <c r="H110" s="338">
        <v>2803</v>
      </c>
    </row>
    <row r="111" spans="2:8" collapsed="1" x14ac:dyDescent="0.25">
      <c r="B111" s="325" t="s">
        <v>698</v>
      </c>
      <c r="C111" s="362">
        <v>154.75</v>
      </c>
      <c r="D111" s="362">
        <v>18.166666666666668</v>
      </c>
      <c r="E111" s="362">
        <v>8510.1666666666661</v>
      </c>
      <c r="F111" s="362">
        <v>1705.875</v>
      </c>
      <c r="G111" s="362">
        <v>1898.125</v>
      </c>
      <c r="H111" s="362">
        <v>7918.083333333333</v>
      </c>
    </row>
    <row r="112" spans="2:8" hidden="1" outlineLevel="1" x14ac:dyDescent="0.25">
      <c r="B112" s="318">
        <v>42736</v>
      </c>
      <c r="C112" s="338">
        <v>28</v>
      </c>
      <c r="D112" s="338">
        <v>16</v>
      </c>
      <c r="E112" s="338">
        <v>4231</v>
      </c>
      <c r="F112" s="338">
        <v>1377</v>
      </c>
      <c r="G112" s="338">
        <v>2288</v>
      </c>
      <c r="H112" s="338">
        <v>3665</v>
      </c>
    </row>
    <row r="113" spans="2:8" hidden="1" outlineLevel="1" x14ac:dyDescent="0.25">
      <c r="B113" s="318">
        <v>42767</v>
      </c>
      <c r="C113" s="338">
        <v>40</v>
      </c>
      <c r="D113" s="338">
        <v>21</v>
      </c>
      <c r="E113" s="338">
        <v>2725</v>
      </c>
      <c r="F113" s="338">
        <v>1152</v>
      </c>
      <c r="G113" s="338">
        <v>1411</v>
      </c>
      <c r="H113" s="338">
        <v>2563</v>
      </c>
    </row>
    <row r="114" spans="2:8" hidden="1" outlineLevel="1" x14ac:dyDescent="0.25">
      <c r="B114" s="318">
        <v>42795</v>
      </c>
      <c r="C114" s="338">
        <v>51</v>
      </c>
      <c r="D114" s="338">
        <v>19</v>
      </c>
      <c r="E114" s="338">
        <v>2482</v>
      </c>
      <c r="F114" s="338">
        <v>1042</v>
      </c>
      <c r="G114" s="338">
        <v>1321</v>
      </c>
      <c r="H114" s="338">
        <v>2363</v>
      </c>
    </row>
    <row r="115" spans="2:8" hidden="1" outlineLevel="1" x14ac:dyDescent="0.25">
      <c r="B115" s="318">
        <v>42826</v>
      </c>
      <c r="C115" s="338">
        <v>52</v>
      </c>
      <c r="D115" s="338">
        <v>16</v>
      </c>
      <c r="E115" s="338">
        <v>2908</v>
      </c>
      <c r="F115" s="338">
        <v>1301</v>
      </c>
      <c r="G115" s="338">
        <v>1304</v>
      </c>
      <c r="H115" s="338">
        <v>2605</v>
      </c>
    </row>
    <row r="116" spans="2:8" hidden="1" outlineLevel="1" x14ac:dyDescent="0.25">
      <c r="B116" s="318">
        <v>42856</v>
      </c>
      <c r="C116" s="338">
        <v>33</v>
      </c>
      <c r="D116" s="338">
        <v>11</v>
      </c>
      <c r="E116" s="338">
        <v>2762</v>
      </c>
      <c r="F116" s="338">
        <v>1203</v>
      </c>
      <c r="G116" s="338">
        <v>1396</v>
      </c>
      <c r="H116" s="338">
        <v>2599</v>
      </c>
    </row>
    <row r="117" spans="2:8" hidden="1" outlineLevel="1" x14ac:dyDescent="0.25">
      <c r="B117" s="318">
        <v>42887</v>
      </c>
      <c r="C117" s="338">
        <v>4096</v>
      </c>
      <c r="D117" s="338">
        <v>40</v>
      </c>
      <c r="E117" s="338">
        <v>176735</v>
      </c>
      <c r="F117" s="338">
        <v>21206</v>
      </c>
      <c r="G117" s="338">
        <v>29918</v>
      </c>
      <c r="H117" s="338">
        <v>51124</v>
      </c>
    </row>
    <row r="118" spans="2:8" hidden="1" outlineLevel="1" x14ac:dyDescent="0.25">
      <c r="B118" s="318">
        <v>42917</v>
      </c>
      <c r="C118" s="338">
        <v>6517</v>
      </c>
      <c r="D118" s="338">
        <v>46</v>
      </c>
      <c r="E118" s="338">
        <v>93102</v>
      </c>
      <c r="F118" s="338">
        <v>16060</v>
      </c>
      <c r="G118" s="338">
        <v>22383</v>
      </c>
      <c r="H118" s="338">
        <v>38443</v>
      </c>
    </row>
    <row r="119" spans="2:8" hidden="1" outlineLevel="1" x14ac:dyDescent="0.25">
      <c r="B119" s="318">
        <v>42948</v>
      </c>
      <c r="C119" s="338">
        <v>7909</v>
      </c>
      <c r="D119" s="338">
        <v>49</v>
      </c>
      <c r="E119" s="338">
        <v>2314</v>
      </c>
      <c r="F119" s="338">
        <v>1181</v>
      </c>
      <c r="G119" s="338">
        <v>999</v>
      </c>
      <c r="H119" s="338">
        <v>2180</v>
      </c>
    </row>
    <row r="120" spans="2:8" hidden="1" outlineLevel="1" x14ac:dyDescent="0.25">
      <c r="B120" s="318">
        <v>42979</v>
      </c>
      <c r="C120" s="338">
        <v>2045</v>
      </c>
      <c r="D120" s="338">
        <v>33</v>
      </c>
      <c r="E120" s="338">
        <v>37486</v>
      </c>
      <c r="F120" s="338">
        <v>9638</v>
      </c>
      <c r="G120" s="338">
        <v>14569</v>
      </c>
      <c r="H120" s="338">
        <v>24207</v>
      </c>
    </row>
    <row r="121" spans="2:8" hidden="1" outlineLevel="1" x14ac:dyDescent="0.25">
      <c r="B121" s="318">
        <v>43009</v>
      </c>
      <c r="C121" s="338">
        <v>1138</v>
      </c>
      <c r="D121" s="338">
        <v>31</v>
      </c>
      <c r="E121" s="338">
        <v>33256</v>
      </c>
      <c r="F121" s="338">
        <v>9130</v>
      </c>
      <c r="G121" s="338">
        <v>15883</v>
      </c>
      <c r="H121" s="338">
        <v>25013</v>
      </c>
    </row>
    <row r="122" spans="2:8" hidden="1" outlineLevel="1" x14ac:dyDescent="0.25">
      <c r="B122" s="318">
        <v>43040</v>
      </c>
      <c r="C122" s="338">
        <v>989</v>
      </c>
      <c r="D122" s="338">
        <v>32</v>
      </c>
      <c r="E122" s="338">
        <v>26590</v>
      </c>
      <c r="F122" s="338">
        <v>8080</v>
      </c>
      <c r="G122" s="338">
        <v>12842</v>
      </c>
      <c r="H122" s="338">
        <v>20922</v>
      </c>
    </row>
    <row r="123" spans="2:8" hidden="1" outlineLevel="1" x14ac:dyDescent="0.25">
      <c r="B123" s="318">
        <v>43070</v>
      </c>
      <c r="C123" s="338">
        <v>1027</v>
      </c>
      <c r="D123" s="338">
        <v>26</v>
      </c>
      <c r="E123" s="338">
        <v>18586</v>
      </c>
      <c r="F123" s="338">
        <v>7147</v>
      </c>
      <c r="G123" s="338">
        <v>10315</v>
      </c>
      <c r="H123" s="338">
        <v>17462</v>
      </c>
    </row>
    <row r="124" spans="2:8" collapsed="1" x14ac:dyDescent="0.25">
      <c r="B124" s="325" t="s">
        <v>699</v>
      </c>
      <c r="C124" s="362">
        <v>1993.75</v>
      </c>
      <c r="D124" s="362">
        <v>28.333333333333332</v>
      </c>
      <c r="E124" s="362">
        <v>33598.083333333336</v>
      </c>
      <c r="F124" s="362">
        <v>6543.083333333333</v>
      </c>
      <c r="G124" s="362">
        <v>9552.4166666666661</v>
      </c>
      <c r="H124" s="362">
        <v>16095.5</v>
      </c>
    </row>
    <row r="125" spans="2:8" hidden="1" outlineLevel="1" x14ac:dyDescent="0.25">
      <c r="B125" s="318">
        <v>43101</v>
      </c>
      <c r="C125" s="338">
        <v>1354</v>
      </c>
      <c r="D125" s="338">
        <v>30</v>
      </c>
      <c r="E125" s="338">
        <v>18570</v>
      </c>
      <c r="F125" s="338">
        <v>7039</v>
      </c>
      <c r="G125" s="338">
        <v>10476</v>
      </c>
      <c r="H125" s="338">
        <v>17515</v>
      </c>
    </row>
    <row r="126" spans="2:8" hidden="1" outlineLevel="1" x14ac:dyDescent="0.25">
      <c r="B126" s="318">
        <v>43132</v>
      </c>
      <c r="C126" s="338">
        <v>1044</v>
      </c>
      <c r="D126" s="338">
        <v>26</v>
      </c>
      <c r="E126" s="338">
        <v>12624</v>
      </c>
      <c r="F126" s="338">
        <v>7245</v>
      </c>
      <c r="G126" s="338">
        <v>4546</v>
      </c>
      <c r="H126" s="338">
        <v>11791</v>
      </c>
    </row>
    <row r="127" spans="2:8" hidden="1" outlineLevel="1" x14ac:dyDescent="0.25">
      <c r="B127" s="318">
        <v>43160</v>
      </c>
      <c r="C127" s="338">
        <v>923</v>
      </c>
      <c r="D127" s="338">
        <v>42</v>
      </c>
      <c r="E127" s="338">
        <v>19233</v>
      </c>
      <c r="F127" s="338">
        <v>7306</v>
      </c>
      <c r="G127" s="338">
        <v>10727</v>
      </c>
      <c r="H127" s="338">
        <v>18033</v>
      </c>
    </row>
    <row r="128" spans="2:8" hidden="1" outlineLevel="1" x14ac:dyDescent="0.25">
      <c r="B128" s="318">
        <v>43191</v>
      </c>
      <c r="C128" s="338">
        <v>1496</v>
      </c>
      <c r="D128" s="338">
        <v>53</v>
      </c>
      <c r="E128" s="338">
        <v>27469</v>
      </c>
      <c r="F128" s="338">
        <v>12706</v>
      </c>
      <c r="G128" s="338">
        <v>9262</v>
      </c>
      <c r="H128" s="338">
        <v>21968</v>
      </c>
    </row>
    <row r="129" spans="2:8" hidden="1" outlineLevel="1" x14ac:dyDescent="0.25">
      <c r="B129" s="318">
        <v>43221</v>
      </c>
      <c r="C129" s="338">
        <v>1099</v>
      </c>
      <c r="D129" s="338">
        <v>44</v>
      </c>
      <c r="E129" s="338">
        <v>19923</v>
      </c>
      <c r="F129" s="338">
        <v>7814</v>
      </c>
      <c r="G129" s="338">
        <v>11003</v>
      </c>
      <c r="H129" s="338">
        <v>18817</v>
      </c>
    </row>
    <row r="130" spans="2:8" hidden="1" outlineLevel="1" x14ac:dyDescent="0.25">
      <c r="B130" s="318">
        <v>43252</v>
      </c>
      <c r="C130" s="338">
        <v>2919</v>
      </c>
      <c r="D130" s="338">
        <v>53</v>
      </c>
      <c r="E130" s="338">
        <v>33135</v>
      </c>
      <c r="F130" s="338">
        <v>8927</v>
      </c>
      <c r="G130" s="338">
        <v>12977</v>
      </c>
      <c r="H130" s="338">
        <v>21904</v>
      </c>
    </row>
    <row r="131" spans="2:8" hidden="1" outlineLevel="1" x14ac:dyDescent="0.25">
      <c r="B131" s="318">
        <v>43282</v>
      </c>
      <c r="C131" s="338">
        <v>643</v>
      </c>
      <c r="D131" s="338">
        <v>53</v>
      </c>
      <c r="E131" s="338">
        <v>16559</v>
      </c>
      <c r="F131" s="338">
        <v>6259</v>
      </c>
      <c r="G131" s="338">
        <v>9397</v>
      </c>
      <c r="H131" s="338">
        <v>15656</v>
      </c>
    </row>
    <row r="132" spans="2:8" hidden="1" outlineLevel="1" x14ac:dyDescent="0.25">
      <c r="B132" s="318">
        <v>43313</v>
      </c>
      <c r="C132" s="338">
        <v>542</v>
      </c>
      <c r="D132" s="338">
        <v>55</v>
      </c>
      <c r="E132" s="338">
        <v>16468</v>
      </c>
      <c r="F132" s="338">
        <v>9380</v>
      </c>
      <c r="G132" s="338">
        <v>6293</v>
      </c>
      <c r="H132" s="338">
        <v>15673</v>
      </c>
    </row>
    <row r="133" spans="2:8" hidden="1" outlineLevel="1" x14ac:dyDescent="0.25">
      <c r="B133" s="318">
        <v>43344</v>
      </c>
      <c r="C133" s="338">
        <v>542</v>
      </c>
      <c r="D133" s="338">
        <v>47</v>
      </c>
      <c r="E133" s="338">
        <v>20636</v>
      </c>
      <c r="F133" s="338">
        <v>10966</v>
      </c>
      <c r="G133" s="338">
        <v>7467</v>
      </c>
      <c r="H133" s="338">
        <v>18433</v>
      </c>
    </row>
    <row r="134" spans="2:8" hidden="1" outlineLevel="1" x14ac:dyDescent="0.25">
      <c r="B134" s="318">
        <v>43374</v>
      </c>
      <c r="C134" s="338">
        <v>1166</v>
      </c>
      <c r="D134" s="338">
        <v>64</v>
      </c>
      <c r="E134" s="338">
        <v>18153</v>
      </c>
      <c r="F134" s="338">
        <v>6728</v>
      </c>
      <c r="G134" s="338">
        <v>9884</v>
      </c>
      <c r="H134" s="338">
        <v>16612</v>
      </c>
    </row>
    <row r="135" spans="2:8" hidden="1" outlineLevel="1" x14ac:dyDescent="0.25">
      <c r="B135" s="318">
        <v>43405</v>
      </c>
      <c r="C135" s="338">
        <v>684</v>
      </c>
      <c r="D135" s="338">
        <v>59</v>
      </c>
      <c r="E135" s="338">
        <v>22023</v>
      </c>
      <c r="F135" s="338">
        <v>10985</v>
      </c>
      <c r="G135" s="338">
        <v>7542</v>
      </c>
      <c r="H135" s="338">
        <v>18527</v>
      </c>
    </row>
    <row r="136" spans="2:8" hidden="1" outlineLevel="1" x14ac:dyDescent="0.25">
      <c r="B136" s="318">
        <v>43435</v>
      </c>
      <c r="C136" s="338">
        <v>1306</v>
      </c>
      <c r="D136" s="338">
        <v>51</v>
      </c>
      <c r="E136" s="338">
        <v>25922</v>
      </c>
      <c r="F136" s="338">
        <v>12754</v>
      </c>
      <c r="G136" s="338">
        <v>8814</v>
      </c>
      <c r="H136" s="338">
        <v>21568</v>
      </c>
    </row>
    <row r="137" spans="2:8" collapsed="1" x14ac:dyDescent="0.25">
      <c r="B137" s="325" t="s">
        <v>700</v>
      </c>
      <c r="C137" s="362">
        <v>1143.1666666666667</v>
      </c>
      <c r="D137" s="362">
        <v>48.083333333333336</v>
      </c>
      <c r="E137" s="362">
        <v>20892.916666666668</v>
      </c>
      <c r="F137" s="362">
        <v>9009.0833333333339</v>
      </c>
      <c r="G137" s="362">
        <v>9032.3333333333339</v>
      </c>
      <c r="H137" s="362">
        <v>18041.416666666668</v>
      </c>
    </row>
    <row r="138" spans="2:8" hidden="1" outlineLevel="1" x14ac:dyDescent="0.25">
      <c r="B138" s="318">
        <v>43466</v>
      </c>
      <c r="C138" s="338">
        <v>800</v>
      </c>
      <c r="D138" s="338">
        <v>51</v>
      </c>
      <c r="E138" s="338">
        <v>28255</v>
      </c>
      <c r="F138" s="338">
        <v>13972</v>
      </c>
      <c r="G138" s="338">
        <v>9596</v>
      </c>
      <c r="H138" s="338">
        <v>23568</v>
      </c>
    </row>
    <row r="139" spans="2:8" hidden="1" outlineLevel="1" x14ac:dyDescent="0.25">
      <c r="B139" s="318">
        <v>43497</v>
      </c>
      <c r="C139" s="338">
        <v>819</v>
      </c>
      <c r="D139" s="338">
        <v>47</v>
      </c>
      <c r="E139" s="338">
        <v>24473</v>
      </c>
      <c r="F139" s="338">
        <v>12346</v>
      </c>
      <c r="G139" s="338">
        <v>8362</v>
      </c>
      <c r="H139" s="338">
        <v>20708</v>
      </c>
    </row>
    <row r="140" spans="2:8" hidden="1" outlineLevel="1" x14ac:dyDescent="0.25">
      <c r="B140" s="318">
        <v>43525</v>
      </c>
      <c r="C140" s="338">
        <v>1105</v>
      </c>
      <c r="D140" s="338">
        <v>42</v>
      </c>
      <c r="E140" s="338">
        <v>20396</v>
      </c>
      <c r="F140" s="338">
        <v>11217</v>
      </c>
      <c r="G140" s="338">
        <v>7436</v>
      </c>
      <c r="H140" s="338">
        <v>18653</v>
      </c>
    </row>
    <row r="141" spans="2:8" hidden="1" outlineLevel="1" x14ac:dyDescent="0.25">
      <c r="B141" s="318">
        <v>43556</v>
      </c>
      <c r="C141" s="338">
        <v>1016</v>
      </c>
      <c r="D141" s="338">
        <v>35</v>
      </c>
      <c r="E141" s="338">
        <v>17319</v>
      </c>
      <c r="F141" s="338">
        <v>9829</v>
      </c>
      <c r="G141" s="338">
        <v>6577</v>
      </c>
      <c r="H141" s="338">
        <v>16406</v>
      </c>
    </row>
    <row r="142" spans="2:8" hidden="1" outlineLevel="1" x14ac:dyDescent="0.25">
      <c r="B142" s="318">
        <v>43586</v>
      </c>
      <c r="C142" s="338">
        <v>1094</v>
      </c>
      <c r="D142" s="338">
        <v>44</v>
      </c>
      <c r="E142" s="338">
        <v>26936</v>
      </c>
      <c r="F142" s="338">
        <v>8619</v>
      </c>
      <c r="G142" s="338">
        <v>12910</v>
      </c>
      <c r="H142" s="338">
        <v>21529</v>
      </c>
    </row>
    <row r="143" spans="2:8" hidden="1" outlineLevel="1" x14ac:dyDescent="0.25">
      <c r="B143" s="318">
        <v>43617</v>
      </c>
      <c r="C143" s="338">
        <v>962</v>
      </c>
      <c r="D143" s="338">
        <v>41</v>
      </c>
      <c r="E143" s="338">
        <v>17186</v>
      </c>
      <c r="F143" s="338">
        <v>6205</v>
      </c>
      <c r="G143" s="338">
        <v>9829</v>
      </c>
      <c r="H143" s="338">
        <v>16034</v>
      </c>
    </row>
    <row r="144" spans="2:8" hidden="1" outlineLevel="1" x14ac:dyDescent="0.25">
      <c r="B144" s="318">
        <v>43647</v>
      </c>
      <c r="C144" s="338">
        <v>1148</v>
      </c>
      <c r="D144" s="338">
        <v>41</v>
      </c>
      <c r="E144" s="338">
        <v>17113</v>
      </c>
      <c r="F144" s="338">
        <v>9788</v>
      </c>
      <c r="G144" s="338">
        <v>6179</v>
      </c>
      <c r="H144" s="338">
        <v>15967</v>
      </c>
    </row>
    <row r="145" spans="2:8" hidden="1" outlineLevel="1" x14ac:dyDescent="0.25">
      <c r="B145" s="318">
        <v>43678</v>
      </c>
      <c r="C145" s="338">
        <v>896</v>
      </c>
      <c r="D145" s="338">
        <v>34</v>
      </c>
      <c r="E145" s="338">
        <v>17644</v>
      </c>
      <c r="F145" s="338">
        <v>10151</v>
      </c>
      <c r="G145" s="338">
        <v>6422</v>
      </c>
      <c r="H145" s="338">
        <v>16573</v>
      </c>
    </row>
    <row r="146" spans="2:8" hidden="1" outlineLevel="1" x14ac:dyDescent="0.25">
      <c r="B146" s="318">
        <v>43709</v>
      </c>
      <c r="C146" s="338">
        <v>926</v>
      </c>
      <c r="D146" s="338">
        <v>31</v>
      </c>
      <c r="E146" s="338">
        <v>17905</v>
      </c>
      <c r="F146" s="338">
        <v>10281</v>
      </c>
      <c r="G146" s="338">
        <v>6541</v>
      </c>
      <c r="H146" s="338">
        <v>16573</v>
      </c>
    </row>
    <row r="147" spans="2:8" hidden="1" outlineLevel="1" x14ac:dyDescent="0.25">
      <c r="B147" s="318">
        <v>43739</v>
      </c>
      <c r="C147" s="338">
        <v>1371</v>
      </c>
      <c r="D147" s="338">
        <v>30</v>
      </c>
      <c r="E147" s="338">
        <v>18586</v>
      </c>
      <c r="F147" s="338">
        <v>6769</v>
      </c>
      <c r="G147" s="338">
        <v>10563</v>
      </c>
      <c r="H147" s="338">
        <v>17332</v>
      </c>
    </row>
    <row r="148" spans="2:8" hidden="1" outlineLevel="1" x14ac:dyDescent="0.25">
      <c r="B148" s="318">
        <v>43770</v>
      </c>
      <c r="C148" s="338">
        <v>1269</v>
      </c>
      <c r="D148" s="338">
        <v>37</v>
      </c>
      <c r="E148" s="338">
        <v>18254</v>
      </c>
      <c r="F148" s="338">
        <v>10266</v>
      </c>
      <c r="G148" s="338">
        <v>6534</v>
      </c>
      <c r="H148" s="338">
        <v>16800</v>
      </c>
    </row>
    <row r="149" spans="2:8" hidden="1" outlineLevel="1" x14ac:dyDescent="0.25">
      <c r="B149" s="318">
        <v>43800</v>
      </c>
      <c r="C149" s="338">
        <v>819</v>
      </c>
      <c r="D149" s="338">
        <v>36</v>
      </c>
      <c r="E149" s="338">
        <v>18254</v>
      </c>
      <c r="F149" s="338">
        <v>10460</v>
      </c>
      <c r="G149" s="338">
        <v>6540</v>
      </c>
      <c r="H149" s="338">
        <v>17000</v>
      </c>
    </row>
    <row r="150" spans="2:8" collapsed="1" x14ac:dyDescent="0.25">
      <c r="B150" s="325" t="s">
        <v>701</v>
      </c>
      <c r="C150" s="362">
        <v>1018.75</v>
      </c>
      <c r="D150" s="362">
        <v>39.083333333333336</v>
      </c>
      <c r="E150" s="362">
        <v>20193.416666666668</v>
      </c>
      <c r="F150" s="362">
        <v>9991.9166666666661</v>
      </c>
      <c r="G150" s="362">
        <v>8124.083333333333</v>
      </c>
      <c r="H150" s="362">
        <v>18095.25</v>
      </c>
    </row>
    <row r="151" spans="2:8" hidden="1" outlineLevel="1" x14ac:dyDescent="0.25">
      <c r="B151" s="318">
        <v>43831</v>
      </c>
      <c r="C151" s="338">
        <v>834</v>
      </c>
      <c r="D151" s="338">
        <v>42</v>
      </c>
      <c r="E151" s="338">
        <v>18617</v>
      </c>
      <c r="F151" s="338">
        <v>6664</v>
      </c>
      <c r="G151" s="338">
        <v>10715</v>
      </c>
      <c r="H151" s="338">
        <v>17379</v>
      </c>
    </row>
    <row r="152" spans="2:8" hidden="1" outlineLevel="1" x14ac:dyDescent="0.25">
      <c r="B152" s="318">
        <v>43862</v>
      </c>
      <c r="C152" s="338">
        <v>698</v>
      </c>
      <c r="D152" s="338">
        <v>37</v>
      </c>
      <c r="E152" s="338">
        <v>18087</v>
      </c>
      <c r="F152" s="338">
        <v>6398</v>
      </c>
      <c r="G152" s="338">
        <v>10470</v>
      </c>
      <c r="H152" s="338">
        <v>16868</v>
      </c>
    </row>
    <row r="153" spans="2:8" hidden="1" outlineLevel="1" x14ac:dyDescent="0.25">
      <c r="B153" s="318">
        <v>43891</v>
      </c>
      <c r="C153" s="338">
        <v>335</v>
      </c>
      <c r="D153" s="338">
        <v>11</v>
      </c>
      <c r="E153" s="338">
        <v>2479</v>
      </c>
      <c r="F153" s="338">
        <v>833</v>
      </c>
      <c r="G153" s="338">
        <v>1333</v>
      </c>
      <c r="H153" s="338">
        <v>2166</v>
      </c>
    </row>
    <row r="154" spans="2:8" hidden="1" outlineLevel="1" x14ac:dyDescent="0.25">
      <c r="B154" s="318">
        <v>43922</v>
      </c>
      <c r="C154" s="338">
        <v>1807</v>
      </c>
      <c r="D154" s="338">
        <v>46</v>
      </c>
      <c r="E154" s="338">
        <v>35380</v>
      </c>
      <c r="F154" s="338">
        <v>8953</v>
      </c>
      <c r="G154" s="338">
        <v>13726</v>
      </c>
      <c r="H154" s="338">
        <v>22679</v>
      </c>
    </row>
    <row r="155" spans="2:8" hidden="1" outlineLevel="1" x14ac:dyDescent="0.25">
      <c r="B155" s="318">
        <v>43952</v>
      </c>
      <c r="C155" s="338">
        <v>812</v>
      </c>
      <c r="D155" s="338">
        <v>43</v>
      </c>
      <c r="E155" s="338">
        <v>19198</v>
      </c>
      <c r="F155" s="338">
        <v>7081</v>
      </c>
      <c r="G155" s="338">
        <v>10993</v>
      </c>
      <c r="H155" s="338">
        <v>18074</v>
      </c>
    </row>
    <row r="156" spans="2:8" hidden="1" outlineLevel="1" x14ac:dyDescent="0.25">
      <c r="B156" s="318">
        <v>43983</v>
      </c>
      <c r="C156" s="338">
        <v>717</v>
      </c>
      <c r="D156" s="338">
        <v>40</v>
      </c>
      <c r="E156" s="338">
        <v>21037</v>
      </c>
      <c r="F156" s="338">
        <v>6751</v>
      </c>
      <c r="G156" s="338">
        <v>10650</v>
      </c>
      <c r="H156" s="338">
        <v>17401</v>
      </c>
    </row>
    <row r="157" spans="2:8" hidden="1" outlineLevel="1" x14ac:dyDescent="0.25">
      <c r="B157" s="318" t="s">
        <v>803</v>
      </c>
      <c r="C157" s="338">
        <v>403</v>
      </c>
      <c r="D157" s="338">
        <v>40</v>
      </c>
      <c r="E157" s="338">
        <v>15217</v>
      </c>
      <c r="F157" s="338">
        <v>5506</v>
      </c>
      <c r="G157" s="338">
        <v>8781</v>
      </c>
      <c r="H157" s="338">
        <v>14287</v>
      </c>
    </row>
    <row r="158" spans="2:8" hidden="1" outlineLevel="1" x14ac:dyDescent="0.25">
      <c r="B158" s="318">
        <v>44044</v>
      </c>
      <c r="C158" s="338">
        <v>226</v>
      </c>
      <c r="D158" s="338">
        <v>29</v>
      </c>
      <c r="E158" s="338">
        <v>16560</v>
      </c>
      <c r="F158" s="338">
        <v>9684</v>
      </c>
      <c r="G158" s="338">
        <v>6022</v>
      </c>
      <c r="H158" s="338">
        <v>15706</v>
      </c>
    </row>
    <row r="159" spans="2:8" hidden="1" outlineLevel="1" x14ac:dyDescent="0.25">
      <c r="B159" s="318">
        <v>44075</v>
      </c>
      <c r="C159" s="338">
        <v>130</v>
      </c>
      <c r="D159" s="338">
        <v>26</v>
      </c>
      <c r="E159" s="338">
        <v>17807</v>
      </c>
      <c r="F159" s="338">
        <v>6374</v>
      </c>
      <c r="G159" s="338">
        <v>10337</v>
      </c>
      <c r="H159" s="338">
        <v>16711</v>
      </c>
    </row>
    <row r="160" spans="2:8" hidden="1" outlineLevel="1" x14ac:dyDescent="0.25">
      <c r="B160" s="318">
        <v>44105</v>
      </c>
      <c r="C160" s="338">
        <v>85</v>
      </c>
      <c r="D160" s="338">
        <v>26</v>
      </c>
      <c r="E160" s="338">
        <v>19642</v>
      </c>
      <c r="F160" s="338">
        <v>7053</v>
      </c>
      <c r="G160" s="338">
        <v>11284</v>
      </c>
      <c r="H160" s="338">
        <v>18337</v>
      </c>
    </row>
    <row r="161" spans="2:8" hidden="1" outlineLevel="1" x14ac:dyDescent="0.25">
      <c r="B161" s="318">
        <v>44136</v>
      </c>
      <c r="C161" s="338">
        <v>64</v>
      </c>
      <c r="D161" s="338">
        <v>27</v>
      </c>
      <c r="E161" s="338">
        <v>20331</v>
      </c>
      <c r="F161" s="338">
        <v>7299</v>
      </c>
      <c r="G161" s="338">
        <v>11518</v>
      </c>
      <c r="H161" s="338">
        <v>18817</v>
      </c>
    </row>
    <row r="162" spans="2:8" hidden="1" outlineLevel="1" x14ac:dyDescent="0.25">
      <c r="B162" s="318">
        <v>44166</v>
      </c>
      <c r="C162" s="338">
        <v>61</v>
      </c>
      <c r="D162" s="338">
        <v>28</v>
      </c>
      <c r="E162" s="338">
        <v>22733</v>
      </c>
      <c r="F162" s="338">
        <v>8214</v>
      </c>
      <c r="G162" s="338">
        <v>12811</v>
      </c>
      <c r="H162" s="338">
        <v>21025</v>
      </c>
    </row>
    <row r="163" spans="2:8" collapsed="1" x14ac:dyDescent="0.25">
      <c r="B163" s="325" t="s">
        <v>702</v>
      </c>
      <c r="C163" s="362">
        <v>514.33333333333337</v>
      </c>
      <c r="D163" s="362">
        <v>32.916666666666664</v>
      </c>
      <c r="E163" s="362">
        <v>18924</v>
      </c>
      <c r="F163" s="362">
        <v>6734.166666666667</v>
      </c>
      <c r="G163" s="362">
        <v>9886.6666666666661</v>
      </c>
      <c r="H163" s="362">
        <v>16620.833333333332</v>
      </c>
    </row>
    <row r="164" spans="2:8" hidden="1" outlineLevel="1" x14ac:dyDescent="0.25">
      <c r="B164" s="318">
        <v>44197</v>
      </c>
      <c r="C164" s="338">
        <v>61</v>
      </c>
      <c r="D164" s="338">
        <v>23</v>
      </c>
      <c r="E164" s="338">
        <v>24914</v>
      </c>
      <c r="F164" s="338">
        <v>8732</v>
      </c>
      <c r="G164" s="338">
        <v>14109</v>
      </c>
      <c r="H164" s="338">
        <v>22841</v>
      </c>
    </row>
    <row r="165" spans="2:8" hidden="1" outlineLevel="1" x14ac:dyDescent="0.25">
      <c r="B165" s="318">
        <v>44228</v>
      </c>
      <c r="C165" s="338">
        <v>52</v>
      </c>
      <c r="D165" s="338">
        <v>18</v>
      </c>
      <c r="E165" s="338">
        <v>25495</v>
      </c>
      <c r="F165" s="338">
        <v>8692</v>
      </c>
      <c r="G165" s="338">
        <v>14503</v>
      </c>
      <c r="H165" s="338">
        <v>23195</v>
      </c>
    </row>
    <row r="166" spans="2:8" hidden="1" outlineLevel="1" x14ac:dyDescent="0.25">
      <c r="B166" s="318">
        <v>44256</v>
      </c>
      <c r="C166" s="338">
        <v>89</v>
      </c>
      <c r="D166" s="338">
        <v>22</v>
      </c>
      <c r="E166" s="338">
        <v>26451</v>
      </c>
      <c r="F166" s="338">
        <v>9196</v>
      </c>
      <c r="G166" s="338">
        <v>14960</v>
      </c>
      <c r="H166" s="338">
        <v>24156</v>
      </c>
    </row>
    <row r="167" spans="2:8" hidden="1" outlineLevel="1" x14ac:dyDescent="0.25">
      <c r="B167" s="318">
        <v>44287</v>
      </c>
      <c r="C167" s="338">
        <v>35</v>
      </c>
      <c r="D167" s="338">
        <v>19</v>
      </c>
      <c r="E167" s="338">
        <v>27062</v>
      </c>
      <c r="F167" s="338">
        <v>9299</v>
      </c>
      <c r="G167" s="338">
        <v>15603</v>
      </c>
      <c r="H167" s="338">
        <v>24902</v>
      </c>
    </row>
    <row r="168" spans="2:8" hidden="1" outlineLevel="1" x14ac:dyDescent="0.25">
      <c r="B168" s="318">
        <v>44317</v>
      </c>
      <c r="C168" s="338">
        <v>43</v>
      </c>
      <c r="D168" s="338">
        <v>18</v>
      </c>
      <c r="E168" s="338">
        <v>30323</v>
      </c>
      <c r="F168" s="338">
        <v>9912</v>
      </c>
      <c r="G168" s="338">
        <v>16497</v>
      </c>
      <c r="H168" s="338">
        <v>26409</v>
      </c>
    </row>
    <row r="169" spans="2:8" hidden="1" outlineLevel="1" x14ac:dyDescent="0.25">
      <c r="B169" s="318">
        <v>44348</v>
      </c>
      <c r="C169" s="338">
        <v>49</v>
      </c>
      <c r="D169" s="338">
        <v>20</v>
      </c>
      <c r="E169" s="338">
        <v>25728</v>
      </c>
      <c r="F169" s="338">
        <v>8894</v>
      </c>
      <c r="G169" s="338">
        <v>14936</v>
      </c>
      <c r="H169" s="338">
        <v>23830</v>
      </c>
    </row>
    <row r="170" spans="2:8" hidden="1" outlineLevel="1" x14ac:dyDescent="0.25">
      <c r="B170" s="318">
        <v>44378</v>
      </c>
      <c r="C170" s="338">
        <v>54</v>
      </c>
      <c r="D170" s="338">
        <v>25</v>
      </c>
      <c r="E170" s="338">
        <v>27581</v>
      </c>
      <c r="F170" s="338">
        <v>9481</v>
      </c>
      <c r="G170" s="338">
        <v>16038</v>
      </c>
      <c r="H170" s="338">
        <v>25519</v>
      </c>
    </row>
    <row r="171" spans="2:8" hidden="1" outlineLevel="1" x14ac:dyDescent="0.25">
      <c r="B171" s="318">
        <v>44409</v>
      </c>
      <c r="C171" s="338">
        <v>36</v>
      </c>
      <c r="D171" s="338">
        <v>24</v>
      </c>
      <c r="E171" s="338">
        <v>28456</v>
      </c>
      <c r="F171" s="338">
        <v>9849</v>
      </c>
      <c r="G171" s="338">
        <v>16277</v>
      </c>
      <c r="H171" s="338">
        <v>26126</v>
      </c>
    </row>
    <row r="172" spans="2:8" hidden="1" outlineLevel="1" x14ac:dyDescent="0.25">
      <c r="B172" s="318">
        <v>44440</v>
      </c>
      <c r="C172" s="338">
        <v>35</v>
      </c>
      <c r="D172" s="338">
        <v>24</v>
      </c>
      <c r="E172" s="338">
        <v>29198</v>
      </c>
      <c r="F172" s="338">
        <v>9726</v>
      </c>
      <c r="G172" s="338">
        <v>16702</v>
      </c>
      <c r="H172" s="338">
        <v>26428</v>
      </c>
    </row>
    <row r="173" spans="2:8" hidden="1" outlineLevel="1" x14ac:dyDescent="0.25">
      <c r="B173" s="318">
        <v>44470</v>
      </c>
      <c r="C173" s="338">
        <v>55</v>
      </c>
      <c r="D173" s="338">
        <v>24</v>
      </c>
      <c r="E173" s="338">
        <v>31131</v>
      </c>
      <c r="F173" s="338">
        <v>10352</v>
      </c>
      <c r="G173" s="338">
        <v>18028</v>
      </c>
      <c r="H173" s="338">
        <v>28380</v>
      </c>
    </row>
    <row r="174" spans="2:8" hidden="1" outlineLevel="1" x14ac:dyDescent="0.25">
      <c r="B174" s="318">
        <v>44501</v>
      </c>
      <c r="C174" s="338">
        <v>45</v>
      </c>
      <c r="D174" s="338">
        <v>18</v>
      </c>
      <c r="E174" s="338">
        <v>30171</v>
      </c>
      <c r="F174" s="338">
        <v>9798</v>
      </c>
      <c r="G174" s="338">
        <v>17755</v>
      </c>
      <c r="H174" s="338">
        <v>27553</v>
      </c>
    </row>
    <row r="175" spans="2:8" hidden="1" outlineLevel="1" x14ac:dyDescent="0.25">
      <c r="B175" s="318">
        <v>44531</v>
      </c>
      <c r="C175" s="338">
        <v>26</v>
      </c>
      <c r="D175" s="338">
        <v>17</v>
      </c>
      <c r="E175" s="338">
        <v>30869</v>
      </c>
      <c r="F175" s="338">
        <v>10052</v>
      </c>
      <c r="G175" s="338">
        <v>18529</v>
      </c>
      <c r="H175" s="338">
        <v>28581</v>
      </c>
    </row>
    <row r="176" spans="2:8" collapsed="1" x14ac:dyDescent="0.25">
      <c r="B176" s="325" t="s">
        <v>703</v>
      </c>
      <c r="C176" s="362">
        <v>48.333333333333336</v>
      </c>
      <c r="D176" s="362">
        <v>21</v>
      </c>
      <c r="E176" s="362">
        <v>28114.916666666668</v>
      </c>
      <c r="F176" s="362">
        <v>9498.5833333333339</v>
      </c>
      <c r="G176" s="362">
        <v>16161.416666666666</v>
      </c>
      <c r="H176" s="362">
        <v>25660</v>
      </c>
    </row>
    <row r="177" spans="2:8" hidden="1" outlineLevel="1" x14ac:dyDescent="0.25">
      <c r="B177" s="318">
        <v>44562</v>
      </c>
      <c r="C177" s="338">
        <v>46</v>
      </c>
      <c r="D177" s="338">
        <v>20</v>
      </c>
      <c r="E177" s="338">
        <v>32712</v>
      </c>
      <c r="F177" s="338">
        <v>10458</v>
      </c>
      <c r="G177" s="338">
        <v>19591</v>
      </c>
      <c r="H177" s="338">
        <v>30049</v>
      </c>
    </row>
    <row r="178" spans="2:8" hidden="1" outlineLevel="1" x14ac:dyDescent="0.25">
      <c r="B178" s="318">
        <v>44593</v>
      </c>
      <c r="C178" s="338">
        <v>63</v>
      </c>
      <c r="D178" s="338">
        <v>28</v>
      </c>
      <c r="E178" s="338">
        <v>31230</v>
      </c>
      <c r="F178" s="338">
        <v>9626</v>
      </c>
      <c r="G178" s="338">
        <v>18893</v>
      </c>
      <c r="H178" s="338">
        <v>28519</v>
      </c>
    </row>
    <row r="179" spans="2:8" hidden="1" outlineLevel="1" x14ac:dyDescent="0.25">
      <c r="B179" s="318">
        <v>44621</v>
      </c>
      <c r="C179" s="338">
        <v>118</v>
      </c>
      <c r="D179" s="338">
        <v>46</v>
      </c>
      <c r="E179" s="338">
        <v>31857</v>
      </c>
      <c r="F179" s="338">
        <v>10028</v>
      </c>
      <c r="G179" s="338">
        <v>19428</v>
      </c>
      <c r="H179" s="338">
        <v>29456</v>
      </c>
    </row>
    <row r="180" spans="2:8" hidden="1" outlineLevel="1" x14ac:dyDescent="0.25">
      <c r="B180" s="318">
        <v>44652</v>
      </c>
      <c r="C180" s="338">
        <v>20</v>
      </c>
      <c r="D180" s="338">
        <v>12</v>
      </c>
      <c r="E180" s="338">
        <v>4626</v>
      </c>
      <c r="F180" s="338">
        <v>1247</v>
      </c>
      <c r="G180" s="338">
        <v>2850</v>
      </c>
      <c r="H180" s="338">
        <v>4097</v>
      </c>
    </row>
    <row r="181" spans="2:8" hidden="1" outlineLevel="1" x14ac:dyDescent="0.25">
      <c r="B181" s="318">
        <v>44682</v>
      </c>
      <c r="C181" s="338">
        <v>1528</v>
      </c>
      <c r="D181" s="338">
        <v>104</v>
      </c>
      <c r="E181" s="338">
        <v>52617</v>
      </c>
      <c r="F181" s="338">
        <v>12016</v>
      </c>
      <c r="G181" s="338">
        <v>23615</v>
      </c>
      <c r="H181" s="338">
        <v>35631</v>
      </c>
    </row>
    <row r="182" spans="2:8" hidden="1" outlineLevel="1" x14ac:dyDescent="0.25">
      <c r="B182" s="318">
        <v>44713</v>
      </c>
      <c r="C182" s="338">
        <v>720</v>
      </c>
      <c r="D182" s="338">
        <v>113</v>
      </c>
      <c r="E182" s="338">
        <v>34898</v>
      </c>
      <c r="F182" s="338">
        <v>9940</v>
      </c>
      <c r="G182" s="338">
        <v>19746</v>
      </c>
      <c r="H182" s="338">
        <v>29686</v>
      </c>
    </row>
    <row r="183" spans="2:8" hidden="1" outlineLevel="1" x14ac:dyDescent="0.25">
      <c r="B183" s="318">
        <v>44743</v>
      </c>
      <c r="C183" s="338">
        <v>609</v>
      </c>
      <c r="D183" s="338">
        <v>137</v>
      </c>
      <c r="E183" s="338">
        <v>33331</v>
      </c>
      <c r="F183" s="338">
        <v>10125</v>
      </c>
      <c r="G183" s="338">
        <v>20535</v>
      </c>
      <c r="H183" s="338">
        <v>30660</v>
      </c>
    </row>
    <row r="184" spans="2:8" hidden="1" outlineLevel="1" x14ac:dyDescent="0.25">
      <c r="B184" s="318">
        <v>44774</v>
      </c>
      <c r="C184" s="338">
        <v>323</v>
      </c>
      <c r="D184" s="338">
        <v>128</v>
      </c>
      <c r="E184" s="338">
        <v>32908</v>
      </c>
      <c r="F184" s="338">
        <v>10040</v>
      </c>
      <c r="G184" s="338">
        <v>20415</v>
      </c>
      <c r="H184" s="338">
        <v>30455</v>
      </c>
    </row>
    <row r="185" spans="2:8" hidden="1" outlineLevel="1" x14ac:dyDescent="0.25">
      <c r="B185" s="318">
        <v>44805</v>
      </c>
      <c r="C185" s="338">
        <v>282</v>
      </c>
      <c r="D185" s="338">
        <v>117</v>
      </c>
      <c r="E185" s="338">
        <v>34010</v>
      </c>
      <c r="F185" s="338">
        <v>10341</v>
      </c>
      <c r="G185" s="338">
        <v>20999</v>
      </c>
      <c r="H185" s="338">
        <v>31340</v>
      </c>
    </row>
    <row r="186" spans="2:8" hidden="1" outlineLevel="1" x14ac:dyDescent="0.25">
      <c r="B186" s="318">
        <v>44835</v>
      </c>
      <c r="C186" s="338">
        <v>260</v>
      </c>
      <c r="D186" s="338">
        <v>116</v>
      </c>
      <c r="E186" s="338">
        <v>35879</v>
      </c>
      <c r="F186" s="338">
        <v>10893</v>
      </c>
      <c r="G186" s="338">
        <v>22543</v>
      </c>
      <c r="H186" s="338">
        <v>33436</v>
      </c>
    </row>
    <row r="187" spans="2:8" hidden="1" outlineLevel="1" x14ac:dyDescent="0.25">
      <c r="B187" s="318">
        <v>44866</v>
      </c>
      <c r="C187" s="338">
        <v>215</v>
      </c>
      <c r="D187" s="338">
        <v>99</v>
      </c>
      <c r="E187" s="338">
        <v>35422</v>
      </c>
      <c r="F187" s="338">
        <v>10570</v>
      </c>
      <c r="G187" s="338">
        <v>21747</v>
      </c>
      <c r="H187" s="338">
        <v>32317</v>
      </c>
    </row>
    <row r="188" spans="2:8" hidden="1" outlineLevel="1" x14ac:dyDescent="0.25">
      <c r="B188" s="318">
        <v>44896</v>
      </c>
      <c r="C188" s="338">
        <v>198</v>
      </c>
      <c r="D188" s="338">
        <v>103</v>
      </c>
      <c r="E188" s="338">
        <v>36687</v>
      </c>
      <c r="F188" s="338">
        <v>10925</v>
      </c>
      <c r="G188" s="338">
        <v>23077</v>
      </c>
      <c r="H188" s="338">
        <v>34002</v>
      </c>
    </row>
    <row r="189" spans="2:8" collapsed="1" x14ac:dyDescent="0.25">
      <c r="B189" s="325" t="s">
        <v>704</v>
      </c>
      <c r="C189" s="362">
        <v>365.16666666666669</v>
      </c>
      <c r="D189" s="362">
        <v>85.25</v>
      </c>
      <c r="E189" s="362">
        <v>33014.75</v>
      </c>
      <c r="F189" s="362">
        <v>9684.0833333333339</v>
      </c>
      <c r="G189" s="362">
        <v>19453.25</v>
      </c>
      <c r="H189" s="362">
        <v>29137.333333333332</v>
      </c>
    </row>
    <row r="190" spans="2:8" hidden="1" outlineLevel="1" x14ac:dyDescent="0.25">
      <c r="B190" s="318">
        <v>44927</v>
      </c>
      <c r="C190" s="338">
        <v>189</v>
      </c>
      <c r="D190" s="338">
        <v>102</v>
      </c>
      <c r="E190" s="338">
        <v>36869</v>
      </c>
      <c r="F190" s="338">
        <v>10688</v>
      </c>
      <c r="G190" s="338">
        <v>23174</v>
      </c>
      <c r="H190" s="338">
        <v>33862</v>
      </c>
    </row>
    <row r="191" spans="2:8" hidden="1" outlineLevel="1" x14ac:dyDescent="0.25">
      <c r="B191" s="318">
        <v>44958</v>
      </c>
      <c r="C191" s="338">
        <v>174</v>
      </c>
      <c r="D191" s="338">
        <v>81</v>
      </c>
      <c r="E191" s="338">
        <v>32585</v>
      </c>
      <c r="F191" s="338">
        <v>8981</v>
      </c>
      <c r="G191" s="338">
        <v>20134</v>
      </c>
      <c r="H191" s="338">
        <v>29115</v>
      </c>
    </row>
    <row r="192" spans="2:8" hidden="1" outlineLevel="1" x14ac:dyDescent="0.25">
      <c r="B192" s="318">
        <v>44986</v>
      </c>
      <c r="C192" s="338">
        <v>19</v>
      </c>
      <c r="D192" s="338">
        <v>5</v>
      </c>
      <c r="E192" s="338">
        <v>10516</v>
      </c>
      <c r="F192" s="338">
        <v>6615</v>
      </c>
      <c r="G192" s="338">
        <v>2718</v>
      </c>
      <c r="H192" s="338">
        <v>9333</v>
      </c>
    </row>
    <row r="193" spans="2:8" hidden="1" outlineLevel="1" x14ac:dyDescent="0.25">
      <c r="B193" s="318">
        <v>45017</v>
      </c>
      <c r="C193" s="338">
        <v>564</v>
      </c>
      <c r="D193" s="338">
        <v>89</v>
      </c>
      <c r="E193" s="338">
        <v>58536</v>
      </c>
      <c r="F193" s="338">
        <v>12865</v>
      </c>
      <c r="G193" s="338">
        <v>27365</v>
      </c>
      <c r="H193" s="338">
        <v>40230</v>
      </c>
    </row>
    <row r="194" spans="2:8" hidden="1" outlineLevel="1" x14ac:dyDescent="0.25">
      <c r="B194" s="318">
        <v>45047</v>
      </c>
      <c r="C194" s="338">
        <v>312</v>
      </c>
      <c r="D194" s="338">
        <v>92</v>
      </c>
      <c r="E194" s="338">
        <v>58591</v>
      </c>
      <c r="F194" s="338">
        <v>13865</v>
      </c>
      <c r="G194" s="338">
        <v>29696</v>
      </c>
      <c r="H194" s="338">
        <v>43561</v>
      </c>
    </row>
    <row r="195" spans="2:8" hidden="1" outlineLevel="1" x14ac:dyDescent="0.25">
      <c r="B195" s="318">
        <v>45078</v>
      </c>
      <c r="C195" s="338">
        <v>326</v>
      </c>
      <c r="D195" s="338">
        <v>71</v>
      </c>
      <c r="E195" s="338">
        <v>35028</v>
      </c>
      <c r="F195" s="338">
        <v>9883</v>
      </c>
      <c r="G195" s="338">
        <v>22235</v>
      </c>
      <c r="H195" s="338">
        <v>32118</v>
      </c>
    </row>
    <row r="196" spans="2:8" hidden="1" outlineLevel="1" x14ac:dyDescent="0.25">
      <c r="B196" s="318">
        <v>45108</v>
      </c>
      <c r="C196" s="338">
        <v>385</v>
      </c>
      <c r="D196" s="338">
        <v>76</v>
      </c>
      <c r="E196" s="338">
        <v>37977</v>
      </c>
      <c r="F196" s="338">
        <v>10938</v>
      </c>
      <c r="G196" s="338">
        <v>24101</v>
      </c>
      <c r="H196" s="338">
        <v>35039</v>
      </c>
    </row>
    <row r="197" spans="2:8" hidden="1" outlineLevel="1" x14ac:dyDescent="0.25">
      <c r="B197" s="318">
        <v>45139</v>
      </c>
      <c r="C197" s="338">
        <v>156</v>
      </c>
      <c r="D197" s="338">
        <v>76</v>
      </c>
      <c r="E197" s="338">
        <v>37789</v>
      </c>
      <c r="F197" s="338">
        <v>10655</v>
      </c>
      <c r="G197" s="338">
        <v>23927</v>
      </c>
      <c r="H197" s="338">
        <v>34582</v>
      </c>
    </row>
    <row r="198" spans="2:8" hidden="1" outlineLevel="1" x14ac:dyDescent="0.25">
      <c r="B198" s="318">
        <v>45170</v>
      </c>
      <c r="C198" s="338">
        <v>316</v>
      </c>
      <c r="D198" s="338">
        <v>61</v>
      </c>
      <c r="E198" s="338">
        <v>36982</v>
      </c>
      <c r="F198" s="338">
        <v>10620</v>
      </c>
      <c r="G198" s="338">
        <v>23610</v>
      </c>
      <c r="H198" s="338">
        <v>34230</v>
      </c>
    </row>
    <row r="199" spans="2:8" hidden="1" outlineLevel="1" x14ac:dyDescent="0.25">
      <c r="B199" s="318">
        <v>45200</v>
      </c>
      <c r="C199" s="338">
        <v>123</v>
      </c>
      <c r="D199" s="338">
        <v>58</v>
      </c>
      <c r="E199" s="338">
        <v>38309</v>
      </c>
      <c r="F199" s="338">
        <v>10873</v>
      </c>
      <c r="G199" s="338">
        <v>24153</v>
      </c>
      <c r="H199" s="338">
        <v>35026</v>
      </c>
    </row>
    <row r="200" spans="2:8" hidden="1" outlineLevel="1" x14ac:dyDescent="0.25">
      <c r="B200" s="318">
        <v>45231</v>
      </c>
      <c r="C200" s="338">
        <v>6</v>
      </c>
      <c r="D200" s="338">
        <v>3</v>
      </c>
      <c r="E200" s="338">
        <v>5792</v>
      </c>
      <c r="F200" s="338">
        <v>1312</v>
      </c>
      <c r="G200" s="338">
        <v>3664</v>
      </c>
      <c r="H200" s="338">
        <v>4976</v>
      </c>
    </row>
    <row r="201" spans="2:8" hidden="1" outlineLevel="1" x14ac:dyDescent="0.25">
      <c r="B201" s="318">
        <v>45261</v>
      </c>
      <c r="C201" s="338">
        <v>211</v>
      </c>
      <c r="D201" s="338">
        <v>63</v>
      </c>
      <c r="E201" s="338">
        <v>62916</v>
      </c>
      <c r="F201" s="338">
        <v>11994</v>
      </c>
      <c r="G201" s="338">
        <v>26509</v>
      </c>
      <c r="H201" s="338">
        <v>38503</v>
      </c>
    </row>
    <row r="202" spans="2:8" collapsed="1" x14ac:dyDescent="0.25">
      <c r="B202" s="325" t="s">
        <v>869</v>
      </c>
      <c r="C202" s="362">
        <v>231.75</v>
      </c>
      <c r="D202" s="362">
        <v>64.75</v>
      </c>
      <c r="E202" s="362">
        <v>37657.5</v>
      </c>
      <c r="F202" s="362">
        <v>9940.75</v>
      </c>
      <c r="G202" s="362">
        <v>20940.5</v>
      </c>
      <c r="H202" s="362">
        <v>30881.25</v>
      </c>
    </row>
    <row r="203" spans="2:8" x14ac:dyDescent="0.25">
      <c r="B203" s="4" t="s">
        <v>815</v>
      </c>
    </row>
  </sheetData>
  <mergeCells count="7">
    <mergeCell ref="B7:B9"/>
    <mergeCell ref="C7:D7"/>
    <mergeCell ref="E7:H7"/>
    <mergeCell ref="C8:C9"/>
    <mergeCell ref="D8:D9"/>
    <mergeCell ref="E8:E9"/>
    <mergeCell ref="F8:H8"/>
  </mergeCell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8D66E-33C4-469B-A43C-E279700A063C}">
  <sheetPr>
    <tabColor theme="5"/>
  </sheetPr>
  <dimension ref="B2:L297"/>
  <sheetViews>
    <sheetView showGridLines="0" workbookViewId="0"/>
  </sheetViews>
  <sheetFormatPr baseColWidth="10" defaultRowHeight="15" outlineLevelRow="1" x14ac:dyDescent="0.25"/>
  <cols>
    <col min="2" max="2" width="19.28515625" customWidth="1"/>
    <col min="3" max="3" width="15.85546875" customWidth="1"/>
    <col min="4" max="4" width="12.85546875" customWidth="1"/>
    <col min="5" max="5" width="13" customWidth="1"/>
  </cols>
  <sheetData>
    <row r="2" spans="2:12" ht="23.25" x14ac:dyDescent="0.25">
      <c r="B2" s="1" t="s">
        <v>739</v>
      </c>
    </row>
    <row r="4" spans="2:12" ht="18.75" x14ac:dyDescent="0.3">
      <c r="B4" s="2" t="s">
        <v>740</v>
      </c>
      <c r="C4" s="2"/>
      <c r="D4" s="2"/>
      <c r="E4" s="2"/>
      <c r="F4" s="2"/>
      <c r="G4" s="2"/>
      <c r="H4" s="2"/>
      <c r="I4" s="2"/>
      <c r="J4" s="2"/>
      <c r="K4" s="2"/>
      <c r="L4" s="2"/>
    </row>
    <row r="5" spans="2:12" x14ac:dyDescent="0.25">
      <c r="B5" s="15" t="s">
        <v>876</v>
      </c>
    </row>
    <row r="7" spans="2:12" ht="15" customHeight="1" x14ac:dyDescent="0.25">
      <c r="B7" s="495" t="s">
        <v>472</v>
      </c>
      <c r="C7" s="493" t="s">
        <v>741</v>
      </c>
      <c r="D7" s="498" t="s">
        <v>735</v>
      </c>
      <c r="E7" s="499"/>
      <c r="F7" s="500"/>
    </row>
    <row r="8" spans="2:12" x14ac:dyDescent="0.25">
      <c r="B8" s="496"/>
      <c r="C8" s="493"/>
      <c r="D8" s="247" t="s">
        <v>73</v>
      </c>
      <c r="E8" s="247" t="s">
        <v>74</v>
      </c>
      <c r="F8" s="247" t="s">
        <v>588</v>
      </c>
    </row>
    <row r="9" spans="2:12" x14ac:dyDescent="0.25">
      <c r="B9" s="363" t="s">
        <v>738</v>
      </c>
      <c r="C9" s="377">
        <v>333</v>
      </c>
      <c r="D9" s="377"/>
      <c r="E9" s="377"/>
      <c r="F9" s="377"/>
    </row>
    <row r="10" spans="2:12" x14ac:dyDescent="0.25">
      <c r="B10" s="363" t="s">
        <v>28</v>
      </c>
      <c r="C10" s="377">
        <v>2105</v>
      </c>
      <c r="D10" s="377"/>
      <c r="E10" s="377"/>
      <c r="F10" s="377"/>
    </row>
    <row r="11" spans="2:12" x14ac:dyDescent="0.25">
      <c r="B11" s="363" t="s">
        <v>29</v>
      </c>
      <c r="C11" s="377">
        <v>1759</v>
      </c>
      <c r="D11" s="377"/>
      <c r="E11" s="377"/>
      <c r="F11" s="377"/>
    </row>
    <row r="12" spans="2:12" x14ac:dyDescent="0.25">
      <c r="B12" s="363" t="s">
        <v>30</v>
      </c>
      <c r="C12" s="377">
        <v>1026</v>
      </c>
      <c r="D12" s="377"/>
      <c r="E12" s="377"/>
      <c r="F12" s="377"/>
    </row>
    <row r="13" spans="2:12" x14ac:dyDescent="0.25">
      <c r="B13" s="363" t="s">
        <v>722</v>
      </c>
      <c r="C13" s="377">
        <v>807</v>
      </c>
      <c r="D13" s="377"/>
      <c r="E13" s="377"/>
      <c r="F13" s="377">
        <v>75178</v>
      </c>
    </row>
    <row r="14" spans="2:12" x14ac:dyDescent="0.25">
      <c r="B14" s="363" t="s">
        <v>34</v>
      </c>
      <c r="C14" s="377">
        <v>654</v>
      </c>
      <c r="D14" s="377"/>
      <c r="E14" s="377"/>
      <c r="F14" s="377">
        <v>114198</v>
      </c>
    </row>
    <row r="15" spans="2:12" hidden="1" outlineLevel="1" x14ac:dyDescent="0.25">
      <c r="B15" s="339">
        <v>41640</v>
      </c>
      <c r="C15" s="306">
        <v>57</v>
      </c>
      <c r="D15" s="306"/>
      <c r="E15" s="306"/>
      <c r="F15" s="306">
        <v>10003</v>
      </c>
    </row>
    <row r="16" spans="2:12" hidden="1" outlineLevel="1" x14ac:dyDescent="0.25">
      <c r="B16" s="339">
        <v>41671</v>
      </c>
      <c r="C16" s="306">
        <v>36</v>
      </c>
      <c r="D16" s="306"/>
      <c r="E16" s="306"/>
      <c r="F16" s="306">
        <v>8116</v>
      </c>
    </row>
    <row r="17" spans="2:6" hidden="1" outlineLevel="1" x14ac:dyDescent="0.25">
      <c r="B17" s="339">
        <v>41699</v>
      </c>
      <c r="C17" s="306">
        <v>43</v>
      </c>
      <c r="D17" s="306"/>
      <c r="E17" s="306"/>
      <c r="F17" s="306">
        <v>3794</v>
      </c>
    </row>
    <row r="18" spans="2:6" hidden="1" outlineLevel="1" x14ac:dyDescent="0.25">
      <c r="B18" s="339">
        <v>41730</v>
      </c>
      <c r="C18" s="306">
        <v>44</v>
      </c>
      <c r="D18" s="306"/>
      <c r="E18" s="306"/>
      <c r="F18" s="306">
        <v>5833</v>
      </c>
    </row>
    <row r="19" spans="2:6" hidden="1" outlineLevel="1" x14ac:dyDescent="0.25">
      <c r="B19" s="339">
        <v>41760</v>
      </c>
      <c r="C19" s="306">
        <v>47</v>
      </c>
      <c r="D19" s="306"/>
      <c r="E19" s="306"/>
      <c r="F19" s="306">
        <v>3916</v>
      </c>
    </row>
    <row r="20" spans="2:6" hidden="1" outlineLevel="1" x14ac:dyDescent="0.25">
      <c r="B20" s="339">
        <v>41791</v>
      </c>
      <c r="C20" s="306">
        <v>48</v>
      </c>
      <c r="D20" s="306"/>
      <c r="E20" s="306"/>
      <c r="F20" s="306">
        <v>3251</v>
      </c>
    </row>
    <row r="21" spans="2:6" hidden="1" outlineLevel="1" x14ac:dyDescent="0.25">
      <c r="B21" s="339">
        <v>41821</v>
      </c>
      <c r="C21" s="306">
        <v>47</v>
      </c>
      <c r="D21" s="306"/>
      <c r="E21" s="306"/>
      <c r="F21" s="306">
        <v>3190</v>
      </c>
    </row>
    <row r="22" spans="2:6" hidden="1" outlineLevel="1" x14ac:dyDescent="0.25">
      <c r="B22" s="339">
        <v>41852</v>
      </c>
      <c r="C22" s="306">
        <v>44</v>
      </c>
      <c r="D22" s="306"/>
      <c r="E22" s="306"/>
      <c r="F22" s="306">
        <v>3136</v>
      </c>
    </row>
    <row r="23" spans="2:6" hidden="1" outlineLevel="1" x14ac:dyDescent="0.25">
      <c r="B23" s="339">
        <v>41883</v>
      </c>
      <c r="C23" s="306">
        <v>41</v>
      </c>
      <c r="D23" s="306"/>
      <c r="E23" s="306"/>
      <c r="F23" s="306">
        <v>2928</v>
      </c>
    </row>
    <row r="24" spans="2:6" hidden="1" outlineLevel="1" x14ac:dyDescent="0.25">
      <c r="B24" s="339">
        <v>41913</v>
      </c>
      <c r="C24" s="306">
        <v>34</v>
      </c>
      <c r="D24" s="306"/>
      <c r="E24" s="306"/>
      <c r="F24" s="306">
        <v>2732</v>
      </c>
    </row>
    <row r="25" spans="2:6" hidden="1" outlineLevel="1" x14ac:dyDescent="0.25">
      <c r="B25" s="339">
        <v>41944</v>
      </c>
      <c r="C25" s="306">
        <v>25</v>
      </c>
      <c r="D25" s="306"/>
      <c r="E25" s="306"/>
      <c r="F25" s="306">
        <v>3936</v>
      </c>
    </row>
    <row r="26" spans="2:6" hidden="1" outlineLevel="1" x14ac:dyDescent="0.25">
      <c r="B26" s="339">
        <v>41974</v>
      </c>
      <c r="C26" s="306">
        <v>47</v>
      </c>
      <c r="D26" s="306"/>
      <c r="E26" s="306"/>
      <c r="F26" s="306">
        <v>3018</v>
      </c>
    </row>
    <row r="27" spans="2:6" collapsed="1" x14ac:dyDescent="0.25">
      <c r="B27" s="363" t="s">
        <v>36</v>
      </c>
      <c r="C27" s="377">
        <v>513</v>
      </c>
      <c r="D27" s="377"/>
      <c r="E27" s="377"/>
      <c r="F27" s="377">
        <v>53853</v>
      </c>
    </row>
    <row r="28" spans="2:6" hidden="1" outlineLevel="1" x14ac:dyDescent="0.25">
      <c r="B28" s="339">
        <v>42005</v>
      </c>
      <c r="C28" s="306">
        <v>40</v>
      </c>
      <c r="D28" s="306"/>
      <c r="E28" s="306"/>
      <c r="F28" s="306">
        <v>2343</v>
      </c>
    </row>
    <row r="29" spans="2:6" hidden="1" outlineLevel="1" x14ac:dyDescent="0.25">
      <c r="B29" s="339">
        <v>42036</v>
      </c>
      <c r="C29" s="306">
        <v>37</v>
      </c>
      <c r="D29" s="306"/>
      <c r="E29" s="306"/>
      <c r="F29" s="306">
        <v>2758</v>
      </c>
    </row>
    <row r="30" spans="2:6" hidden="1" outlineLevel="1" x14ac:dyDescent="0.25">
      <c r="B30" s="339">
        <v>42064</v>
      </c>
      <c r="C30" s="306">
        <v>39</v>
      </c>
      <c r="D30" s="306"/>
      <c r="E30" s="306"/>
      <c r="F30" s="306">
        <v>2319</v>
      </c>
    </row>
    <row r="31" spans="2:6" hidden="1" outlineLevel="1" x14ac:dyDescent="0.25">
      <c r="B31" s="339">
        <v>42095</v>
      </c>
      <c r="C31" s="306">
        <v>33</v>
      </c>
      <c r="D31" s="306"/>
      <c r="E31" s="306"/>
      <c r="F31" s="306">
        <v>1250</v>
      </c>
    </row>
    <row r="32" spans="2:6" hidden="1" outlineLevel="1" x14ac:dyDescent="0.25">
      <c r="B32" s="339">
        <v>42125</v>
      </c>
      <c r="C32" s="306">
        <v>31</v>
      </c>
      <c r="D32" s="306"/>
      <c r="E32" s="306"/>
      <c r="F32" s="306">
        <v>1952</v>
      </c>
    </row>
    <row r="33" spans="2:6" hidden="1" outlineLevel="1" x14ac:dyDescent="0.25">
      <c r="B33" s="339">
        <v>42156</v>
      </c>
      <c r="C33" s="306">
        <v>38</v>
      </c>
      <c r="D33" s="306"/>
      <c r="E33" s="306"/>
      <c r="F33" s="306">
        <v>1536</v>
      </c>
    </row>
    <row r="34" spans="2:6" hidden="1" outlineLevel="1" x14ac:dyDescent="0.25">
      <c r="B34" s="339">
        <v>42186</v>
      </c>
      <c r="C34" s="306">
        <v>33</v>
      </c>
      <c r="D34" s="306"/>
      <c r="E34" s="306"/>
      <c r="F34" s="306">
        <v>2640</v>
      </c>
    </row>
    <row r="35" spans="2:6" hidden="1" outlineLevel="1" x14ac:dyDescent="0.25">
      <c r="B35" s="339">
        <v>42217</v>
      </c>
      <c r="C35" s="306">
        <v>37</v>
      </c>
      <c r="D35" s="306"/>
      <c r="E35" s="306"/>
      <c r="F35" s="306">
        <v>1723</v>
      </c>
    </row>
    <row r="36" spans="2:6" hidden="1" outlineLevel="1" x14ac:dyDescent="0.25">
      <c r="B36" s="339">
        <v>42248</v>
      </c>
      <c r="C36" s="306">
        <v>40</v>
      </c>
      <c r="D36" s="306"/>
      <c r="E36" s="306"/>
      <c r="F36" s="306">
        <v>2602</v>
      </c>
    </row>
    <row r="37" spans="2:6" hidden="1" outlineLevel="1" x14ac:dyDescent="0.25">
      <c r="B37" s="339">
        <v>42278</v>
      </c>
      <c r="C37" s="306">
        <v>39</v>
      </c>
      <c r="D37" s="306"/>
      <c r="E37" s="306"/>
      <c r="F37" s="306">
        <v>2691</v>
      </c>
    </row>
    <row r="38" spans="2:6" hidden="1" outlineLevel="1" x14ac:dyDescent="0.25">
      <c r="B38" s="339">
        <v>42309</v>
      </c>
      <c r="C38" s="306">
        <v>37</v>
      </c>
      <c r="D38" s="306"/>
      <c r="E38" s="306"/>
      <c r="F38" s="306">
        <v>2518</v>
      </c>
    </row>
    <row r="39" spans="2:6" hidden="1" outlineLevel="1" x14ac:dyDescent="0.25">
      <c r="B39" s="339">
        <v>42339</v>
      </c>
      <c r="C39" s="306">
        <v>33</v>
      </c>
      <c r="D39" s="306"/>
      <c r="E39" s="306"/>
      <c r="F39" s="306">
        <v>2358</v>
      </c>
    </row>
    <row r="40" spans="2:6" collapsed="1" x14ac:dyDescent="0.25">
      <c r="B40" s="363" t="s">
        <v>38</v>
      </c>
      <c r="C40" s="377">
        <v>437</v>
      </c>
      <c r="D40" s="377"/>
      <c r="E40" s="377"/>
      <c r="F40" s="377">
        <v>26690</v>
      </c>
    </row>
    <row r="41" spans="2:6" hidden="1" outlineLevel="1" x14ac:dyDescent="0.25">
      <c r="B41" s="339">
        <v>42370</v>
      </c>
      <c r="C41" s="306">
        <v>33</v>
      </c>
      <c r="D41" s="306"/>
      <c r="E41" s="306"/>
      <c r="F41" s="306">
        <v>3308</v>
      </c>
    </row>
    <row r="42" spans="2:6" hidden="1" outlineLevel="1" x14ac:dyDescent="0.25">
      <c r="B42" s="339">
        <v>42401</v>
      </c>
      <c r="C42" s="306">
        <v>33</v>
      </c>
      <c r="D42" s="306"/>
      <c r="E42" s="306"/>
      <c r="F42" s="306">
        <v>2327</v>
      </c>
    </row>
    <row r="43" spans="2:6" hidden="1" outlineLevel="1" x14ac:dyDescent="0.25">
      <c r="B43" s="339">
        <v>42430</v>
      </c>
      <c r="C43" s="306">
        <v>40</v>
      </c>
      <c r="D43" s="306"/>
      <c r="E43" s="306"/>
      <c r="F43" s="306">
        <v>2621</v>
      </c>
    </row>
    <row r="44" spans="2:6" hidden="1" outlineLevel="1" x14ac:dyDescent="0.25">
      <c r="B44" s="339">
        <v>42461</v>
      </c>
      <c r="C44" s="306">
        <v>39</v>
      </c>
      <c r="D44" s="306"/>
      <c r="E44" s="306"/>
      <c r="F44" s="306">
        <v>2495</v>
      </c>
    </row>
    <row r="45" spans="2:6" hidden="1" outlineLevel="1" x14ac:dyDescent="0.25">
      <c r="B45" s="339">
        <v>42491</v>
      </c>
      <c r="C45" s="306">
        <v>40</v>
      </c>
      <c r="D45" s="306">
        <v>1000</v>
      </c>
      <c r="E45" s="306">
        <v>1038</v>
      </c>
      <c r="F45" s="306">
        <v>2038</v>
      </c>
    </row>
    <row r="46" spans="2:6" hidden="1" outlineLevel="1" x14ac:dyDescent="0.25">
      <c r="B46" s="339">
        <v>42522</v>
      </c>
      <c r="C46" s="306">
        <v>37</v>
      </c>
      <c r="D46" s="306" t="s">
        <v>804</v>
      </c>
      <c r="E46" s="306" t="s">
        <v>804</v>
      </c>
      <c r="F46" s="306">
        <v>1960</v>
      </c>
    </row>
    <row r="47" spans="2:6" hidden="1" outlineLevel="1" x14ac:dyDescent="0.25">
      <c r="B47" s="339">
        <v>42552</v>
      </c>
      <c r="C47" s="306">
        <v>46</v>
      </c>
      <c r="D47" s="306">
        <v>1739</v>
      </c>
      <c r="E47" s="306">
        <v>1498</v>
      </c>
      <c r="F47" s="306">
        <v>3237</v>
      </c>
    </row>
    <row r="48" spans="2:6" hidden="1" outlineLevel="1" x14ac:dyDescent="0.25">
      <c r="B48" s="339">
        <v>42583</v>
      </c>
      <c r="C48" s="306">
        <v>47</v>
      </c>
      <c r="D48" s="306">
        <v>1262</v>
      </c>
      <c r="E48" s="306">
        <v>1077</v>
      </c>
      <c r="F48" s="306">
        <v>2339</v>
      </c>
    </row>
    <row r="49" spans="2:6" hidden="1" outlineLevel="1" x14ac:dyDescent="0.25">
      <c r="B49" s="339">
        <v>42614</v>
      </c>
      <c r="C49" s="306">
        <v>38</v>
      </c>
      <c r="D49" s="306">
        <v>1119</v>
      </c>
      <c r="E49" s="306">
        <v>1309</v>
      </c>
      <c r="F49" s="306">
        <v>2428</v>
      </c>
    </row>
    <row r="50" spans="2:6" hidden="1" outlineLevel="1" x14ac:dyDescent="0.25">
      <c r="B50" s="339">
        <v>42644</v>
      </c>
      <c r="C50" s="306">
        <v>36</v>
      </c>
      <c r="D50" s="306">
        <v>943</v>
      </c>
      <c r="E50" s="306">
        <v>705</v>
      </c>
      <c r="F50" s="306">
        <v>1648</v>
      </c>
    </row>
    <row r="51" spans="2:6" hidden="1" outlineLevel="1" x14ac:dyDescent="0.25">
      <c r="B51" s="339">
        <v>42675</v>
      </c>
      <c r="C51" s="306">
        <v>42</v>
      </c>
      <c r="D51" s="306">
        <v>2225</v>
      </c>
      <c r="E51" s="306">
        <v>1770</v>
      </c>
      <c r="F51" s="306">
        <v>3995</v>
      </c>
    </row>
    <row r="52" spans="2:6" hidden="1" outlineLevel="1" x14ac:dyDescent="0.25">
      <c r="B52" s="339">
        <v>42705</v>
      </c>
      <c r="C52" s="306">
        <v>50</v>
      </c>
      <c r="D52" s="306">
        <v>3021</v>
      </c>
      <c r="E52" s="306">
        <v>2296</v>
      </c>
      <c r="F52" s="306">
        <v>5317</v>
      </c>
    </row>
    <row r="53" spans="2:6" collapsed="1" x14ac:dyDescent="0.25">
      <c r="B53" s="363" t="s">
        <v>55</v>
      </c>
      <c r="C53" s="377">
        <v>481</v>
      </c>
      <c r="D53" s="377"/>
      <c r="E53" s="377"/>
      <c r="F53" s="377">
        <v>33713</v>
      </c>
    </row>
    <row r="54" spans="2:6" hidden="1" outlineLevel="1" x14ac:dyDescent="0.25">
      <c r="B54" s="339">
        <v>42736</v>
      </c>
      <c r="C54" s="306">
        <v>40</v>
      </c>
      <c r="D54" s="306">
        <v>2335</v>
      </c>
      <c r="E54" s="306">
        <v>1830</v>
      </c>
      <c r="F54" s="306">
        <v>4165</v>
      </c>
    </row>
    <row r="55" spans="2:6" hidden="1" outlineLevel="1" x14ac:dyDescent="0.25">
      <c r="B55" s="339">
        <v>42767</v>
      </c>
      <c r="C55" s="306">
        <v>32</v>
      </c>
      <c r="D55" s="306">
        <v>2075</v>
      </c>
      <c r="E55" s="306">
        <v>1511</v>
      </c>
      <c r="F55" s="306">
        <v>3586</v>
      </c>
    </row>
    <row r="56" spans="2:6" hidden="1" outlineLevel="1" x14ac:dyDescent="0.25">
      <c r="B56" s="339">
        <v>42795</v>
      </c>
      <c r="C56" s="306">
        <v>37</v>
      </c>
      <c r="D56" s="306">
        <v>922</v>
      </c>
      <c r="E56" s="306">
        <v>763</v>
      </c>
      <c r="F56" s="306">
        <v>1685</v>
      </c>
    </row>
    <row r="57" spans="2:6" hidden="1" outlineLevel="1" x14ac:dyDescent="0.25">
      <c r="B57" s="339">
        <v>42826</v>
      </c>
      <c r="C57" s="306">
        <v>27</v>
      </c>
      <c r="D57" s="306">
        <v>464</v>
      </c>
      <c r="E57" s="306">
        <v>377</v>
      </c>
      <c r="F57" s="306">
        <v>841</v>
      </c>
    </row>
    <row r="58" spans="2:6" hidden="1" outlineLevel="1" x14ac:dyDescent="0.25">
      <c r="B58" s="339">
        <v>42856</v>
      </c>
      <c r="C58" s="306">
        <v>36</v>
      </c>
      <c r="D58" s="306">
        <v>870</v>
      </c>
      <c r="E58" s="306">
        <v>555</v>
      </c>
      <c r="F58" s="306">
        <v>1425</v>
      </c>
    </row>
    <row r="59" spans="2:6" hidden="1" outlineLevel="1" x14ac:dyDescent="0.25">
      <c r="B59" s="339">
        <v>42887</v>
      </c>
      <c r="C59" s="306">
        <v>38</v>
      </c>
      <c r="D59" s="306">
        <v>479</v>
      </c>
      <c r="E59" s="306">
        <v>437</v>
      </c>
      <c r="F59" s="306">
        <v>916</v>
      </c>
    </row>
    <row r="60" spans="2:6" hidden="1" outlineLevel="1" x14ac:dyDescent="0.25">
      <c r="B60" s="339">
        <v>42917</v>
      </c>
      <c r="C60" s="306">
        <v>31</v>
      </c>
      <c r="D60" s="306">
        <v>544</v>
      </c>
      <c r="E60" s="306">
        <v>385</v>
      </c>
      <c r="F60" s="306">
        <v>929</v>
      </c>
    </row>
    <row r="61" spans="2:6" hidden="1" outlineLevel="1" x14ac:dyDescent="0.25">
      <c r="B61" s="339">
        <v>42948</v>
      </c>
      <c r="C61" s="306">
        <v>34</v>
      </c>
      <c r="D61" s="306">
        <v>715</v>
      </c>
      <c r="E61" s="306">
        <v>414</v>
      </c>
      <c r="F61" s="306">
        <v>1129</v>
      </c>
    </row>
    <row r="62" spans="2:6" hidden="1" outlineLevel="1" x14ac:dyDescent="0.25">
      <c r="B62" s="339">
        <v>42979</v>
      </c>
      <c r="C62" s="306">
        <v>36</v>
      </c>
      <c r="D62" s="306">
        <v>680</v>
      </c>
      <c r="E62" s="306">
        <v>537</v>
      </c>
      <c r="F62" s="306">
        <v>1217</v>
      </c>
    </row>
    <row r="63" spans="2:6" hidden="1" outlineLevel="1" x14ac:dyDescent="0.25">
      <c r="B63" s="339">
        <v>43009</v>
      </c>
      <c r="C63" s="306">
        <v>33</v>
      </c>
      <c r="D63" s="306">
        <v>503</v>
      </c>
      <c r="E63" s="306">
        <v>374</v>
      </c>
      <c r="F63" s="306">
        <v>877</v>
      </c>
    </row>
    <row r="64" spans="2:6" hidden="1" outlineLevel="1" x14ac:dyDescent="0.25">
      <c r="B64" s="339">
        <v>43040</v>
      </c>
      <c r="C64" s="306">
        <v>40</v>
      </c>
      <c r="D64" s="306">
        <v>676</v>
      </c>
      <c r="E64" s="306">
        <v>640</v>
      </c>
      <c r="F64" s="306">
        <v>1316</v>
      </c>
    </row>
    <row r="65" spans="2:6" hidden="1" outlineLevel="1" x14ac:dyDescent="0.25">
      <c r="B65" s="339">
        <v>43070</v>
      </c>
      <c r="C65" s="306">
        <v>56</v>
      </c>
      <c r="D65" s="306">
        <v>742</v>
      </c>
      <c r="E65" s="306">
        <v>697</v>
      </c>
      <c r="F65" s="306">
        <v>1439</v>
      </c>
    </row>
    <row r="66" spans="2:6" collapsed="1" x14ac:dyDescent="0.25">
      <c r="B66" s="363" t="s">
        <v>58</v>
      </c>
      <c r="C66" s="377">
        <v>440</v>
      </c>
      <c r="D66" s="377">
        <v>11005</v>
      </c>
      <c r="E66" s="377">
        <v>8520</v>
      </c>
      <c r="F66" s="377">
        <v>19525</v>
      </c>
    </row>
    <row r="67" spans="2:6" hidden="1" outlineLevel="1" x14ac:dyDescent="0.25">
      <c r="B67" s="339">
        <v>43101</v>
      </c>
      <c r="C67" s="306">
        <v>46</v>
      </c>
      <c r="D67" s="306">
        <v>1310</v>
      </c>
      <c r="E67" s="306">
        <v>1294</v>
      </c>
      <c r="F67" s="306">
        <v>2604</v>
      </c>
    </row>
    <row r="68" spans="2:6" hidden="1" outlineLevel="1" x14ac:dyDescent="0.25">
      <c r="B68" s="339">
        <v>43132</v>
      </c>
      <c r="C68" s="306">
        <v>61</v>
      </c>
      <c r="D68" s="306">
        <v>1107</v>
      </c>
      <c r="E68" s="306">
        <v>809</v>
      </c>
      <c r="F68" s="306">
        <v>1916</v>
      </c>
    </row>
    <row r="69" spans="2:6" hidden="1" outlineLevel="1" x14ac:dyDescent="0.25">
      <c r="B69" s="339">
        <v>43160</v>
      </c>
      <c r="C69" s="306">
        <v>44</v>
      </c>
      <c r="D69" s="306">
        <v>861</v>
      </c>
      <c r="E69" s="306">
        <v>608</v>
      </c>
      <c r="F69" s="306">
        <v>1469</v>
      </c>
    </row>
    <row r="70" spans="2:6" hidden="1" outlineLevel="1" x14ac:dyDescent="0.25">
      <c r="B70" s="339">
        <v>43191</v>
      </c>
      <c r="C70" s="306">
        <v>39</v>
      </c>
      <c r="D70" s="306">
        <v>653</v>
      </c>
      <c r="E70" s="306">
        <v>498</v>
      </c>
      <c r="F70" s="306">
        <v>1151</v>
      </c>
    </row>
    <row r="71" spans="2:6" hidden="1" outlineLevel="1" x14ac:dyDescent="0.25">
      <c r="B71" s="339">
        <v>43221</v>
      </c>
      <c r="C71" s="306">
        <v>40</v>
      </c>
      <c r="D71" s="306">
        <v>965</v>
      </c>
      <c r="E71" s="306">
        <v>663</v>
      </c>
      <c r="F71" s="306">
        <v>1628</v>
      </c>
    </row>
    <row r="72" spans="2:6" hidden="1" outlineLevel="1" x14ac:dyDescent="0.25">
      <c r="B72" s="339">
        <v>43252</v>
      </c>
      <c r="C72" s="306">
        <v>55</v>
      </c>
      <c r="D72" s="306">
        <v>836</v>
      </c>
      <c r="E72" s="306">
        <v>774</v>
      </c>
      <c r="F72" s="306">
        <v>1610</v>
      </c>
    </row>
    <row r="73" spans="2:6" hidden="1" outlineLevel="1" x14ac:dyDescent="0.25">
      <c r="B73" s="339">
        <v>43282</v>
      </c>
      <c r="C73" s="306">
        <v>54</v>
      </c>
      <c r="D73" s="306">
        <v>1124</v>
      </c>
      <c r="E73" s="306">
        <v>980</v>
      </c>
      <c r="F73" s="306">
        <v>2104</v>
      </c>
    </row>
    <row r="74" spans="2:6" hidden="1" outlineLevel="1" x14ac:dyDescent="0.25">
      <c r="B74" s="339">
        <v>43313</v>
      </c>
      <c r="C74" s="306">
        <v>74</v>
      </c>
      <c r="D74" s="306">
        <v>1725</v>
      </c>
      <c r="E74" s="306">
        <v>1398</v>
      </c>
      <c r="F74" s="306">
        <v>3123</v>
      </c>
    </row>
    <row r="75" spans="2:6" hidden="1" outlineLevel="1" x14ac:dyDescent="0.25">
      <c r="B75" s="339">
        <v>43344</v>
      </c>
      <c r="C75" s="306">
        <v>50</v>
      </c>
      <c r="D75" s="306">
        <v>1229</v>
      </c>
      <c r="E75" s="306">
        <v>1067</v>
      </c>
      <c r="F75" s="306">
        <v>2296</v>
      </c>
    </row>
    <row r="76" spans="2:6" hidden="1" outlineLevel="1" x14ac:dyDescent="0.25">
      <c r="B76" s="339">
        <v>43374</v>
      </c>
      <c r="C76" s="306">
        <v>31</v>
      </c>
      <c r="D76" s="306">
        <v>1359</v>
      </c>
      <c r="E76" s="306">
        <v>477</v>
      </c>
      <c r="F76" s="306">
        <v>1836</v>
      </c>
    </row>
    <row r="77" spans="2:6" hidden="1" outlineLevel="1" x14ac:dyDescent="0.25">
      <c r="B77" s="339">
        <v>43405</v>
      </c>
      <c r="C77" s="306">
        <v>21</v>
      </c>
      <c r="D77" s="306">
        <v>1224</v>
      </c>
      <c r="E77" s="306">
        <v>699</v>
      </c>
      <c r="F77" s="306">
        <v>1923</v>
      </c>
    </row>
    <row r="78" spans="2:6" hidden="1" outlineLevel="1" x14ac:dyDescent="0.25">
      <c r="B78" s="339">
        <v>43435</v>
      </c>
      <c r="C78" s="306">
        <v>63</v>
      </c>
      <c r="D78" s="306">
        <v>1322</v>
      </c>
      <c r="E78" s="306">
        <v>1102</v>
      </c>
      <c r="F78" s="306">
        <v>2424</v>
      </c>
    </row>
    <row r="79" spans="2:6" collapsed="1" x14ac:dyDescent="0.25">
      <c r="B79" s="363" t="s">
        <v>59</v>
      </c>
      <c r="C79" s="377">
        <v>578</v>
      </c>
      <c r="D79" s="377">
        <v>13715</v>
      </c>
      <c r="E79" s="377">
        <v>10369</v>
      </c>
      <c r="F79" s="377">
        <v>24084</v>
      </c>
    </row>
    <row r="80" spans="2:6" hidden="1" outlineLevel="1" x14ac:dyDescent="0.25">
      <c r="B80" s="339">
        <v>43466</v>
      </c>
      <c r="C80" s="306">
        <v>46</v>
      </c>
      <c r="D80" s="306">
        <v>1409</v>
      </c>
      <c r="E80" s="306">
        <v>848</v>
      </c>
      <c r="F80" s="306">
        <v>2257</v>
      </c>
    </row>
    <row r="81" spans="2:6" hidden="1" outlineLevel="1" x14ac:dyDescent="0.25">
      <c r="B81" s="339">
        <v>43497</v>
      </c>
      <c r="C81" s="306">
        <v>47</v>
      </c>
      <c r="D81" s="306">
        <v>543</v>
      </c>
      <c r="E81" s="306">
        <v>395</v>
      </c>
      <c r="F81" s="306">
        <v>938</v>
      </c>
    </row>
    <row r="82" spans="2:6" hidden="1" outlineLevel="1" x14ac:dyDescent="0.25">
      <c r="B82" s="339">
        <v>43525</v>
      </c>
      <c r="C82" s="306">
        <v>42</v>
      </c>
      <c r="D82" s="306">
        <v>524</v>
      </c>
      <c r="E82" s="306">
        <v>314</v>
      </c>
      <c r="F82" s="306">
        <v>838</v>
      </c>
    </row>
    <row r="83" spans="2:6" hidden="1" outlineLevel="1" x14ac:dyDescent="0.25">
      <c r="B83" s="339">
        <v>43556</v>
      </c>
      <c r="C83" s="306">
        <v>49</v>
      </c>
      <c r="D83" s="306">
        <v>627</v>
      </c>
      <c r="E83" s="306">
        <v>551</v>
      </c>
      <c r="F83" s="306">
        <v>1178</v>
      </c>
    </row>
    <row r="84" spans="2:6" hidden="1" outlineLevel="1" x14ac:dyDescent="0.25">
      <c r="B84" s="339">
        <v>43586</v>
      </c>
      <c r="C84" s="306">
        <v>71</v>
      </c>
      <c r="D84" s="306">
        <v>1402</v>
      </c>
      <c r="E84" s="306">
        <v>1306</v>
      </c>
      <c r="F84" s="306">
        <v>2708</v>
      </c>
    </row>
    <row r="85" spans="2:6" hidden="1" outlineLevel="1" x14ac:dyDescent="0.25">
      <c r="B85" s="339">
        <v>43617</v>
      </c>
      <c r="C85" s="306">
        <v>68</v>
      </c>
      <c r="D85" s="306">
        <v>1687</v>
      </c>
      <c r="E85" s="306">
        <v>1029</v>
      </c>
      <c r="F85" s="306">
        <v>2716</v>
      </c>
    </row>
    <row r="86" spans="2:6" hidden="1" outlineLevel="1" x14ac:dyDescent="0.25">
      <c r="B86" s="339">
        <v>43647</v>
      </c>
      <c r="C86" s="306">
        <v>73</v>
      </c>
      <c r="D86" s="306">
        <v>1201</v>
      </c>
      <c r="E86" s="306">
        <v>953</v>
      </c>
      <c r="F86" s="306">
        <v>2154</v>
      </c>
    </row>
    <row r="87" spans="2:6" hidden="1" outlineLevel="1" x14ac:dyDescent="0.25">
      <c r="B87" s="339">
        <v>43678</v>
      </c>
      <c r="C87" s="306">
        <v>72</v>
      </c>
      <c r="D87" s="306">
        <v>1090</v>
      </c>
      <c r="E87" s="306">
        <v>1128</v>
      </c>
      <c r="F87" s="306">
        <v>2218</v>
      </c>
    </row>
    <row r="88" spans="2:6" hidden="1" outlineLevel="1" x14ac:dyDescent="0.25">
      <c r="B88" s="339">
        <v>43709</v>
      </c>
      <c r="C88" s="306">
        <v>81</v>
      </c>
      <c r="D88" s="306">
        <v>620</v>
      </c>
      <c r="E88" s="306">
        <v>590</v>
      </c>
      <c r="F88" s="306">
        <v>1210</v>
      </c>
    </row>
    <row r="89" spans="2:6" hidden="1" outlineLevel="1" x14ac:dyDescent="0.25">
      <c r="B89" s="339">
        <v>43739</v>
      </c>
      <c r="C89" s="306">
        <v>33</v>
      </c>
      <c r="D89" s="306">
        <v>599</v>
      </c>
      <c r="E89" s="306">
        <v>438</v>
      </c>
      <c r="F89" s="306">
        <v>1037</v>
      </c>
    </row>
    <row r="90" spans="2:6" hidden="1" outlineLevel="1" x14ac:dyDescent="0.25">
      <c r="B90" s="339">
        <v>43770</v>
      </c>
      <c r="C90" s="306">
        <v>78</v>
      </c>
      <c r="D90" s="306">
        <v>535</v>
      </c>
      <c r="E90" s="306">
        <v>508</v>
      </c>
      <c r="F90" s="306">
        <v>1043</v>
      </c>
    </row>
    <row r="91" spans="2:6" hidden="1" outlineLevel="1" x14ac:dyDescent="0.25">
      <c r="B91" s="339">
        <v>43800</v>
      </c>
      <c r="C91" s="306">
        <v>77</v>
      </c>
      <c r="D91" s="306">
        <v>536</v>
      </c>
      <c r="E91" s="306">
        <v>544</v>
      </c>
      <c r="F91" s="306">
        <v>1080</v>
      </c>
    </row>
    <row r="92" spans="2:6" collapsed="1" x14ac:dyDescent="0.25">
      <c r="B92" s="363" t="s">
        <v>60</v>
      </c>
      <c r="C92" s="377">
        <v>737</v>
      </c>
      <c r="D92" s="377">
        <v>10773</v>
      </c>
      <c r="E92" s="377">
        <v>8604</v>
      </c>
      <c r="F92" s="377">
        <v>19377</v>
      </c>
    </row>
    <row r="93" spans="2:6" hidden="1" outlineLevel="1" x14ac:dyDescent="0.25">
      <c r="B93" s="339">
        <v>43831</v>
      </c>
      <c r="C93" s="306">
        <v>83</v>
      </c>
      <c r="D93" s="306">
        <v>1062</v>
      </c>
      <c r="E93" s="306">
        <v>1446</v>
      </c>
      <c r="F93" s="306">
        <v>2508</v>
      </c>
    </row>
    <row r="94" spans="2:6" hidden="1" outlineLevel="1" x14ac:dyDescent="0.25">
      <c r="B94" s="339">
        <v>43862</v>
      </c>
      <c r="C94" s="306">
        <v>91</v>
      </c>
      <c r="D94" s="306">
        <v>1308</v>
      </c>
      <c r="E94" s="306">
        <v>1064</v>
      </c>
      <c r="F94" s="306">
        <v>2372</v>
      </c>
    </row>
    <row r="95" spans="2:6" hidden="1" outlineLevel="1" x14ac:dyDescent="0.25">
      <c r="B95" s="339">
        <v>43891</v>
      </c>
      <c r="C95" s="306">
        <v>73</v>
      </c>
      <c r="D95" s="306">
        <v>908</v>
      </c>
      <c r="E95" s="306">
        <v>827</v>
      </c>
      <c r="F95" s="306">
        <v>1735</v>
      </c>
    </row>
    <row r="96" spans="2:6" hidden="1" outlineLevel="1" x14ac:dyDescent="0.25">
      <c r="B96" s="339">
        <v>43922</v>
      </c>
      <c r="C96" s="306">
        <v>13</v>
      </c>
      <c r="D96" s="306">
        <v>34</v>
      </c>
      <c r="E96" s="306">
        <v>58</v>
      </c>
      <c r="F96" s="306">
        <v>92</v>
      </c>
    </row>
    <row r="97" spans="2:6" hidden="1" outlineLevel="1" x14ac:dyDescent="0.25">
      <c r="B97" s="339">
        <v>43952</v>
      </c>
      <c r="C97" s="306">
        <v>16</v>
      </c>
      <c r="D97" s="306">
        <v>356</v>
      </c>
      <c r="E97" s="306">
        <v>298</v>
      </c>
      <c r="F97" s="306">
        <v>654</v>
      </c>
    </row>
    <row r="98" spans="2:6" hidden="1" outlineLevel="1" x14ac:dyDescent="0.25">
      <c r="B98" s="339">
        <v>43983</v>
      </c>
      <c r="C98" s="306">
        <v>16</v>
      </c>
      <c r="D98" s="306">
        <v>143</v>
      </c>
      <c r="E98" s="306">
        <v>150</v>
      </c>
      <c r="F98" s="306">
        <v>293</v>
      </c>
    </row>
    <row r="99" spans="2:6" hidden="1" outlineLevel="1" x14ac:dyDescent="0.25">
      <c r="B99" s="339">
        <v>44013</v>
      </c>
      <c r="C99" s="306">
        <v>26</v>
      </c>
      <c r="D99" s="306">
        <v>245</v>
      </c>
      <c r="E99" s="306">
        <v>212</v>
      </c>
      <c r="F99" s="306">
        <v>457</v>
      </c>
    </row>
    <row r="100" spans="2:6" hidden="1" outlineLevel="1" x14ac:dyDescent="0.25">
      <c r="B100" s="339">
        <v>44044</v>
      </c>
      <c r="C100" s="306">
        <v>27</v>
      </c>
      <c r="D100" s="306">
        <v>364</v>
      </c>
      <c r="E100" s="306">
        <v>280</v>
      </c>
      <c r="F100" s="306">
        <v>644</v>
      </c>
    </row>
    <row r="101" spans="2:6" hidden="1" outlineLevel="1" x14ac:dyDescent="0.25">
      <c r="B101" s="339">
        <v>44075</v>
      </c>
      <c r="C101" s="306">
        <v>32</v>
      </c>
      <c r="D101" s="306">
        <v>439</v>
      </c>
      <c r="E101" s="306">
        <v>549</v>
      </c>
      <c r="F101" s="306">
        <v>988</v>
      </c>
    </row>
    <row r="102" spans="2:6" hidden="1" outlineLevel="1" x14ac:dyDescent="0.25">
      <c r="B102" s="339">
        <v>44105</v>
      </c>
      <c r="C102" s="306">
        <v>45</v>
      </c>
      <c r="D102" s="306">
        <v>439</v>
      </c>
      <c r="E102" s="306">
        <v>356</v>
      </c>
      <c r="F102" s="306">
        <v>795</v>
      </c>
    </row>
    <row r="103" spans="2:6" hidden="1" outlineLevel="1" x14ac:dyDescent="0.25">
      <c r="B103" s="339">
        <v>44136</v>
      </c>
      <c r="C103" s="306">
        <v>21</v>
      </c>
      <c r="D103" s="306">
        <v>423</v>
      </c>
      <c r="E103" s="306">
        <v>315</v>
      </c>
      <c r="F103" s="306">
        <v>738</v>
      </c>
    </row>
    <row r="104" spans="2:6" hidden="1" outlineLevel="1" x14ac:dyDescent="0.25">
      <c r="B104" s="339">
        <v>44166</v>
      </c>
      <c r="C104" s="306">
        <v>14</v>
      </c>
      <c r="D104" s="306">
        <v>326</v>
      </c>
      <c r="E104" s="306">
        <v>348</v>
      </c>
      <c r="F104" s="306">
        <v>674</v>
      </c>
    </row>
    <row r="105" spans="2:6" collapsed="1" x14ac:dyDescent="0.25">
      <c r="B105" s="363" t="s">
        <v>64</v>
      </c>
      <c r="C105" s="377">
        <v>457</v>
      </c>
      <c r="D105" s="377">
        <v>6047</v>
      </c>
      <c r="E105" s="377">
        <v>5903</v>
      </c>
      <c r="F105" s="377">
        <v>11950</v>
      </c>
    </row>
    <row r="106" spans="2:6" hidden="1" outlineLevel="1" x14ac:dyDescent="0.25">
      <c r="B106" s="339">
        <v>44197</v>
      </c>
      <c r="C106" s="306">
        <v>21</v>
      </c>
      <c r="D106" s="306">
        <v>863</v>
      </c>
      <c r="E106" s="306">
        <v>646</v>
      </c>
      <c r="F106" s="306">
        <v>1509</v>
      </c>
    </row>
    <row r="107" spans="2:6" hidden="1" outlineLevel="1" x14ac:dyDescent="0.25">
      <c r="B107" s="339">
        <v>44228</v>
      </c>
      <c r="C107" s="306">
        <v>12</v>
      </c>
      <c r="D107" s="306">
        <v>504</v>
      </c>
      <c r="E107" s="306">
        <v>400</v>
      </c>
      <c r="F107" s="306">
        <v>904</v>
      </c>
    </row>
    <row r="108" spans="2:6" hidden="1" outlineLevel="1" x14ac:dyDescent="0.25">
      <c r="B108" s="339">
        <v>44256</v>
      </c>
      <c r="C108" s="306">
        <v>17</v>
      </c>
      <c r="D108" s="306">
        <v>371</v>
      </c>
      <c r="E108" s="306">
        <v>245</v>
      </c>
      <c r="F108" s="306">
        <v>616</v>
      </c>
    </row>
    <row r="109" spans="2:6" hidden="1" outlineLevel="1" x14ac:dyDescent="0.25">
      <c r="B109" s="339">
        <v>44287</v>
      </c>
      <c r="C109" s="306">
        <v>9</v>
      </c>
      <c r="D109" s="306">
        <v>304</v>
      </c>
      <c r="E109" s="306">
        <v>210</v>
      </c>
      <c r="F109" s="306">
        <v>514</v>
      </c>
    </row>
    <row r="110" spans="2:6" hidden="1" outlineLevel="1" x14ac:dyDescent="0.25">
      <c r="B110" s="339">
        <v>44317</v>
      </c>
      <c r="C110" s="306">
        <v>37</v>
      </c>
      <c r="D110" s="306">
        <v>321</v>
      </c>
      <c r="E110" s="306">
        <v>719</v>
      </c>
      <c r="F110" s="306">
        <v>1040</v>
      </c>
    </row>
    <row r="111" spans="2:6" hidden="1" outlineLevel="1" x14ac:dyDescent="0.25">
      <c r="B111" s="339">
        <v>44348</v>
      </c>
      <c r="C111" s="306">
        <v>54</v>
      </c>
      <c r="D111" s="306">
        <v>420</v>
      </c>
      <c r="E111" s="306">
        <v>429</v>
      </c>
      <c r="F111" s="306">
        <v>849</v>
      </c>
    </row>
    <row r="112" spans="2:6" hidden="1" outlineLevel="1" x14ac:dyDescent="0.25">
      <c r="B112" s="339">
        <v>44378</v>
      </c>
      <c r="C112" s="306">
        <v>14</v>
      </c>
      <c r="D112" s="306">
        <v>83</v>
      </c>
      <c r="E112" s="306">
        <v>65</v>
      </c>
      <c r="F112" s="306">
        <v>148</v>
      </c>
    </row>
    <row r="113" spans="2:6" hidden="1" outlineLevel="1" x14ac:dyDescent="0.25">
      <c r="B113" s="339">
        <v>44409</v>
      </c>
      <c r="C113" s="306">
        <v>50</v>
      </c>
      <c r="D113" s="306">
        <v>526</v>
      </c>
      <c r="E113" s="306">
        <v>488</v>
      </c>
      <c r="F113" s="306">
        <v>1014</v>
      </c>
    </row>
    <row r="114" spans="2:6" hidden="1" outlineLevel="1" x14ac:dyDescent="0.25">
      <c r="B114" s="339">
        <v>44440</v>
      </c>
      <c r="C114" s="306">
        <v>17</v>
      </c>
      <c r="D114" s="306">
        <v>200</v>
      </c>
      <c r="E114" s="306">
        <v>159</v>
      </c>
      <c r="F114" s="306">
        <v>359</v>
      </c>
    </row>
    <row r="115" spans="2:6" hidden="1" outlineLevel="1" x14ac:dyDescent="0.25">
      <c r="B115" s="339">
        <v>44470</v>
      </c>
      <c r="C115" s="306">
        <v>17</v>
      </c>
      <c r="D115" s="306">
        <v>244</v>
      </c>
      <c r="E115" s="306">
        <v>174</v>
      </c>
      <c r="F115" s="306">
        <v>418</v>
      </c>
    </row>
    <row r="116" spans="2:6" hidden="1" outlineLevel="1" x14ac:dyDescent="0.25">
      <c r="B116" s="339">
        <v>44501</v>
      </c>
      <c r="C116" s="306">
        <v>13</v>
      </c>
      <c r="D116" s="306">
        <v>138</v>
      </c>
      <c r="E116" s="306">
        <v>158</v>
      </c>
      <c r="F116" s="306">
        <v>296</v>
      </c>
    </row>
    <row r="117" spans="2:6" hidden="1" outlineLevel="1" x14ac:dyDescent="0.25">
      <c r="B117" s="339">
        <v>44531</v>
      </c>
      <c r="C117" s="306">
        <v>35</v>
      </c>
      <c r="D117" s="306">
        <v>241</v>
      </c>
      <c r="E117" s="306">
        <v>258</v>
      </c>
      <c r="F117" s="306">
        <v>499</v>
      </c>
    </row>
    <row r="118" spans="2:6" collapsed="1" x14ac:dyDescent="0.25">
      <c r="B118" s="363" t="s">
        <v>65</v>
      </c>
      <c r="C118" s="377">
        <v>296</v>
      </c>
      <c r="D118" s="377">
        <v>4215</v>
      </c>
      <c r="E118" s="377">
        <v>3951</v>
      </c>
      <c r="F118" s="377">
        <v>8166</v>
      </c>
    </row>
    <row r="119" spans="2:6" hidden="1" outlineLevel="1" x14ac:dyDescent="0.25">
      <c r="B119" s="339">
        <v>44562</v>
      </c>
      <c r="C119" s="306">
        <v>52</v>
      </c>
      <c r="D119" s="306">
        <v>987</v>
      </c>
      <c r="E119" s="306">
        <v>892</v>
      </c>
      <c r="F119" s="306">
        <v>1879</v>
      </c>
    </row>
    <row r="120" spans="2:6" hidden="1" outlineLevel="1" x14ac:dyDescent="0.25">
      <c r="B120" s="339">
        <v>44593</v>
      </c>
      <c r="C120" s="306">
        <v>47</v>
      </c>
      <c r="D120" s="306">
        <v>751</v>
      </c>
      <c r="E120" s="306">
        <v>629</v>
      </c>
      <c r="F120" s="306">
        <v>1380</v>
      </c>
    </row>
    <row r="121" spans="2:6" hidden="1" outlineLevel="1" x14ac:dyDescent="0.25">
      <c r="B121" s="339">
        <v>44621</v>
      </c>
      <c r="C121" s="306">
        <v>69</v>
      </c>
      <c r="D121" s="306">
        <v>383</v>
      </c>
      <c r="E121" s="306">
        <v>358</v>
      </c>
      <c r="F121" s="306">
        <v>741</v>
      </c>
    </row>
    <row r="122" spans="2:6" hidden="1" outlineLevel="1" x14ac:dyDescent="0.25">
      <c r="B122" s="339">
        <v>44652</v>
      </c>
      <c r="C122" s="306">
        <v>75</v>
      </c>
      <c r="D122" s="306">
        <v>425</v>
      </c>
      <c r="E122" s="306">
        <v>381</v>
      </c>
      <c r="F122" s="306">
        <v>806</v>
      </c>
    </row>
    <row r="123" spans="2:6" hidden="1" outlineLevel="1" x14ac:dyDescent="0.25">
      <c r="B123" s="339">
        <v>44682</v>
      </c>
      <c r="C123" s="306">
        <v>80</v>
      </c>
      <c r="D123" s="306">
        <v>426</v>
      </c>
      <c r="E123" s="306">
        <v>325</v>
      </c>
      <c r="F123" s="306">
        <v>751</v>
      </c>
    </row>
    <row r="124" spans="2:6" hidden="1" outlineLevel="1" x14ac:dyDescent="0.25">
      <c r="B124" s="339">
        <v>44713</v>
      </c>
      <c r="C124" s="306">
        <v>51</v>
      </c>
      <c r="D124" s="306">
        <v>361</v>
      </c>
      <c r="E124" s="306">
        <v>295</v>
      </c>
      <c r="F124" s="306">
        <v>656</v>
      </c>
    </row>
    <row r="125" spans="2:6" hidden="1" outlineLevel="1" x14ac:dyDescent="0.25">
      <c r="B125" s="339">
        <v>44743</v>
      </c>
      <c r="C125" s="306">
        <v>38</v>
      </c>
      <c r="D125" s="306">
        <v>482</v>
      </c>
      <c r="E125" s="306">
        <v>401</v>
      </c>
      <c r="F125" s="306">
        <v>883</v>
      </c>
    </row>
    <row r="126" spans="2:6" hidden="1" outlineLevel="1" x14ac:dyDescent="0.25">
      <c r="B126" s="339">
        <v>44774</v>
      </c>
      <c r="C126" s="306">
        <v>35</v>
      </c>
      <c r="D126" s="306">
        <v>909</v>
      </c>
      <c r="E126" s="306">
        <v>570</v>
      </c>
      <c r="F126" s="306">
        <v>1479</v>
      </c>
    </row>
    <row r="127" spans="2:6" hidden="1" outlineLevel="1" x14ac:dyDescent="0.25">
      <c r="B127" s="339">
        <v>44805</v>
      </c>
      <c r="C127" s="306">
        <v>20</v>
      </c>
      <c r="D127" s="306">
        <v>387</v>
      </c>
      <c r="E127" s="306">
        <v>319</v>
      </c>
      <c r="F127" s="306">
        <v>706</v>
      </c>
    </row>
    <row r="128" spans="2:6" hidden="1" outlineLevel="1" x14ac:dyDescent="0.25">
      <c r="B128" s="339">
        <v>44835</v>
      </c>
      <c r="C128" s="306">
        <v>33</v>
      </c>
      <c r="D128" s="306">
        <v>504</v>
      </c>
      <c r="E128" s="306">
        <v>459</v>
      </c>
      <c r="F128" s="306">
        <v>963</v>
      </c>
    </row>
    <row r="129" spans="2:6" hidden="1" outlineLevel="1" x14ac:dyDescent="0.25">
      <c r="B129" s="339">
        <v>44866</v>
      </c>
      <c r="C129" s="306">
        <v>53</v>
      </c>
      <c r="D129" s="306">
        <v>204</v>
      </c>
      <c r="E129" s="306">
        <v>266</v>
      </c>
      <c r="F129" s="306">
        <v>470</v>
      </c>
    </row>
    <row r="130" spans="2:6" hidden="1" outlineLevel="1" x14ac:dyDescent="0.25">
      <c r="B130" s="339">
        <v>44896</v>
      </c>
      <c r="C130" s="306">
        <v>49</v>
      </c>
      <c r="D130" s="306">
        <v>219</v>
      </c>
      <c r="E130" s="306">
        <v>281</v>
      </c>
      <c r="F130" s="306">
        <v>500</v>
      </c>
    </row>
    <row r="131" spans="2:6" collapsed="1" x14ac:dyDescent="0.25">
      <c r="B131" s="363" t="s">
        <v>66</v>
      </c>
      <c r="C131" s="377">
        <v>602</v>
      </c>
      <c r="D131" s="377">
        <v>6038</v>
      </c>
      <c r="E131" s="377">
        <v>5176</v>
      </c>
      <c r="F131" s="377">
        <v>11214</v>
      </c>
    </row>
    <row r="132" spans="2:6" hidden="1" outlineLevel="1" x14ac:dyDescent="0.25">
      <c r="B132" s="339">
        <v>44927</v>
      </c>
      <c r="C132" s="306">
        <v>49</v>
      </c>
      <c r="D132" s="306">
        <v>321</v>
      </c>
      <c r="E132" s="306">
        <v>409</v>
      </c>
      <c r="F132" s="306">
        <v>730</v>
      </c>
    </row>
    <row r="133" spans="2:6" hidden="1" outlineLevel="1" x14ac:dyDescent="0.25">
      <c r="B133" s="339">
        <v>44958</v>
      </c>
      <c r="C133" s="306">
        <v>19</v>
      </c>
      <c r="D133" s="306">
        <v>443</v>
      </c>
      <c r="E133" s="306">
        <v>408</v>
      </c>
      <c r="F133" s="306">
        <v>851</v>
      </c>
    </row>
    <row r="134" spans="2:6" hidden="1" outlineLevel="1" x14ac:dyDescent="0.25">
      <c r="B134" s="339">
        <v>44986</v>
      </c>
      <c r="C134" s="306">
        <v>41</v>
      </c>
      <c r="D134" s="306">
        <v>272</v>
      </c>
      <c r="E134" s="306">
        <v>339</v>
      </c>
      <c r="F134" s="306">
        <v>611</v>
      </c>
    </row>
    <row r="135" spans="2:6" hidden="1" outlineLevel="1" x14ac:dyDescent="0.25">
      <c r="B135" s="339">
        <v>45017</v>
      </c>
      <c r="C135" s="306">
        <v>37</v>
      </c>
      <c r="D135" s="306">
        <v>872</v>
      </c>
      <c r="E135" s="306">
        <v>903</v>
      </c>
      <c r="F135" s="306">
        <v>1775</v>
      </c>
    </row>
    <row r="136" spans="2:6" hidden="1" outlineLevel="1" x14ac:dyDescent="0.25">
      <c r="B136" s="339">
        <v>45047</v>
      </c>
      <c r="C136" s="306">
        <v>23</v>
      </c>
      <c r="D136" s="306">
        <v>166</v>
      </c>
      <c r="E136" s="306">
        <v>181</v>
      </c>
      <c r="F136" s="306">
        <v>347</v>
      </c>
    </row>
    <row r="137" spans="2:6" hidden="1" outlineLevel="1" x14ac:dyDescent="0.25">
      <c r="B137" s="339">
        <v>45078</v>
      </c>
      <c r="C137" s="306">
        <v>15</v>
      </c>
      <c r="D137" s="306">
        <v>274</v>
      </c>
      <c r="E137" s="306">
        <v>259</v>
      </c>
      <c r="F137" s="306">
        <v>533</v>
      </c>
    </row>
    <row r="138" spans="2:6" hidden="1" outlineLevel="1" x14ac:dyDescent="0.25">
      <c r="B138" s="339">
        <v>45108</v>
      </c>
      <c r="C138" s="306">
        <v>31</v>
      </c>
      <c r="D138" s="306">
        <v>993</v>
      </c>
      <c r="E138" s="306">
        <v>939</v>
      </c>
      <c r="F138" s="306">
        <v>1932</v>
      </c>
    </row>
    <row r="139" spans="2:6" hidden="1" outlineLevel="1" x14ac:dyDescent="0.25">
      <c r="B139" s="339">
        <v>45139</v>
      </c>
      <c r="C139" s="306">
        <v>23</v>
      </c>
      <c r="D139" s="306">
        <v>53</v>
      </c>
      <c r="E139" s="306">
        <v>68</v>
      </c>
      <c r="F139" s="306">
        <v>121</v>
      </c>
    </row>
    <row r="140" spans="2:6" hidden="1" outlineLevel="1" x14ac:dyDescent="0.25">
      <c r="B140" s="339">
        <v>45170</v>
      </c>
      <c r="C140" s="306">
        <v>22</v>
      </c>
      <c r="D140" s="306">
        <v>214</v>
      </c>
      <c r="E140" s="306">
        <v>285</v>
      </c>
      <c r="F140" s="306">
        <v>499</v>
      </c>
    </row>
    <row r="141" spans="2:6" hidden="1" outlineLevel="1" x14ac:dyDescent="0.25">
      <c r="B141" s="339">
        <v>45200</v>
      </c>
      <c r="C141" s="306">
        <v>11</v>
      </c>
      <c r="D141" s="306">
        <v>242</v>
      </c>
      <c r="E141" s="306">
        <v>80</v>
      </c>
      <c r="F141" s="306">
        <v>322</v>
      </c>
    </row>
    <row r="142" spans="2:6" hidden="1" outlineLevel="1" x14ac:dyDescent="0.25">
      <c r="B142" s="339">
        <v>45231</v>
      </c>
      <c r="C142" s="306">
        <v>13</v>
      </c>
      <c r="D142" s="306">
        <v>86</v>
      </c>
      <c r="E142" s="306">
        <v>109</v>
      </c>
      <c r="F142" s="306">
        <v>195</v>
      </c>
    </row>
    <row r="143" spans="2:6" hidden="1" outlineLevel="1" x14ac:dyDescent="0.25">
      <c r="B143" s="339">
        <v>45261</v>
      </c>
      <c r="C143" s="306">
        <v>13</v>
      </c>
      <c r="D143" s="306">
        <v>479</v>
      </c>
      <c r="E143" s="306">
        <v>587</v>
      </c>
      <c r="F143" s="306">
        <v>1066</v>
      </c>
    </row>
    <row r="144" spans="2:6" collapsed="1" x14ac:dyDescent="0.25">
      <c r="B144" s="376" t="s">
        <v>874</v>
      </c>
      <c r="C144" s="377">
        <v>297</v>
      </c>
      <c r="D144" s="377">
        <v>4415</v>
      </c>
      <c r="E144" s="377">
        <v>4567</v>
      </c>
      <c r="F144" s="377">
        <v>8982</v>
      </c>
    </row>
    <row r="145" spans="2:11" x14ac:dyDescent="0.25">
      <c r="B145" s="363" t="s">
        <v>486</v>
      </c>
      <c r="C145" s="378">
        <v>11522</v>
      </c>
      <c r="D145" s="378">
        <v>56208</v>
      </c>
      <c r="E145" s="378">
        <v>47090</v>
      </c>
      <c r="F145" s="378">
        <v>406930</v>
      </c>
    </row>
    <row r="146" spans="2:11" x14ac:dyDescent="0.25">
      <c r="B146" s="4" t="s">
        <v>815</v>
      </c>
    </row>
    <row r="148" spans="2:11" ht="18.75" x14ac:dyDescent="0.3">
      <c r="B148" s="2" t="s">
        <v>743</v>
      </c>
      <c r="C148" s="2"/>
      <c r="D148" s="2"/>
      <c r="E148" s="2"/>
      <c r="F148" s="2"/>
      <c r="G148" s="2"/>
      <c r="H148" s="2"/>
      <c r="I148" s="2"/>
      <c r="J148" s="2"/>
      <c r="K148" s="2"/>
    </row>
    <row r="149" spans="2:11" x14ac:dyDescent="0.25">
      <c r="B149" s="3" t="s">
        <v>877</v>
      </c>
    </row>
    <row r="151" spans="2:11" x14ac:dyDescent="0.25">
      <c r="B151" s="494" t="s">
        <v>472</v>
      </c>
      <c r="C151" s="407" t="s">
        <v>688</v>
      </c>
      <c r="D151" s="407"/>
      <c r="E151" s="407"/>
      <c r="F151" s="497" t="s">
        <v>741</v>
      </c>
    </row>
    <row r="152" spans="2:11" x14ac:dyDescent="0.25">
      <c r="B152" s="494"/>
      <c r="C152" s="252" t="s">
        <v>12</v>
      </c>
      <c r="D152" s="252" t="s">
        <v>13</v>
      </c>
      <c r="E152" s="252" t="s">
        <v>742</v>
      </c>
      <c r="F152" s="497"/>
    </row>
    <row r="153" spans="2:11" x14ac:dyDescent="0.25">
      <c r="B153" s="379" t="s">
        <v>722</v>
      </c>
      <c r="C153" s="377">
        <v>114</v>
      </c>
      <c r="D153" s="377">
        <v>539</v>
      </c>
      <c r="E153" s="362">
        <v>154</v>
      </c>
      <c r="F153" s="377">
        <v>807</v>
      </c>
    </row>
    <row r="154" spans="2:11" hidden="1" outlineLevel="1" x14ac:dyDescent="0.25">
      <c r="B154" s="340">
        <v>41275</v>
      </c>
      <c r="C154" s="306">
        <v>8</v>
      </c>
      <c r="D154" s="306">
        <v>38</v>
      </c>
      <c r="E154" s="338">
        <v>12</v>
      </c>
      <c r="F154" s="306">
        <v>58</v>
      </c>
    </row>
    <row r="155" spans="2:11" hidden="1" outlineLevel="1" x14ac:dyDescent="0.25">
      <c r="B155" s="340">
        <v>41306</v>
      </c>
      <c r="C155" s="306">
        <v>5</v>
      </c>
      <c r="D155" s="306">
        <v>35</v>
      </c>
      <c r="E155" s="338">
        <v>15</v>
      </c>
      <c r="F155" s="306">
        <v>55</v>
      </c>
    </row>
    <row r="156" spans="2:11" hidden="1" outlineLevel="1" x14ac:dyDescent="0.25">
      <c r="B156" s="340">
        <v>41334</v>
      </c>
      <c r="C156" s="306">
        <v>10</v>
      </c>
      <c r="D156" s="306">
        <v>42</v>
      </c>
      <c r="E156" s="338">
        <v>12</v>
      </c>
      <c r="F156" s="306">
        <v>64</v>
      </c>
    </row>
    <row r="157" spans="2:11" hidden="1" outlineLevel="1" x14ac:dyDescent="0.25">
      <c r="B157" s="340">
        <v>41365</v>
      </c>
      <c r="C157" s="306">
        <v>10</v>
      </c>
      <c r="D157" s="306">
        <v>41</v>
      </c>
      <c r="E157" s="338">
        <v>15</v>
      </c>
      <c r="F157" s="306">
        <v>66</v>
      </c>
    </row>
    <row r="158" spans="2:11" hidden="1" outlineLevel="1" x14ac:dyDescent="0.25">
      <c r="B158" s="340">
        <v>41395</v>
      </c>
      <c r="C158" s="306">
        <v>6</v>
      </c>
      <c r="D158" s="306">
        <v>43</v>
      </c>
      <c r="E158" s="338">
        <v>11</v>
      </c>
      <c r="F158" s="306">
        <v>60</v>
      </c>
    </row>
    <row r="159" spans="2:11" hidden="1" outlineLevel="1" x14ac:dyDescent="0.25">
      <c r="B159" s="340">
        <v>41426</v>
      </c>
      <c r="C159" s="306">
        <v>6</v>
      </c>
      <c r="D159" s="306">
        <v>34</v>
      </c>
      <c r="E159" s="338">
        <v>14</v>
      </c>
      <c r="F159" s="306">
        <v>54</v>
      </c>
    </row>
    <row r="160" spans="2:11" hidden="1" outlineLevel="1" x14ac:dyDescent="0.25">
      <c r="B160" s="340">
        <v>41456</v>
      </c>
      <c r="C160" s="306">
        <v>4</v>
      </c>
      <c r="D160" s="306">
        <v>42</v>
      </c>
      <c r="E160" s="338">
        <v>12</v>
      </c>
      <c r="F160" s="306">
        <v>58</v>
      </c>
    </row>
    <row r="161" spans="2:6" hidden="1" outlineLevel="1" x14ac:dyDescent="0.25">
      <c r="B161" s="340">
        <v>41487</v>
      </c>
      <c r="C161" s="306">
        <v>7</v>
      </c>
      <c r="D161" s="306">
        <v>39</v>
      </c>
      <c r="E161" s="338">
        <v>12</v>
      </c>
      <c r="F161" s="306">
        <v>58</v>
      </c>
    </row>
    <row r="162" spans="2:6" hidden="1" outlineLevel="1" x14ac:dyDescent="0.25">
      <c r="B162" s="340">
        <v>41518</v>
      </c>
      <c r="C162" s="306">
        <v>5</v>
      </c>
      <c r="D162" s="306">
        <v>33</v>
      </c>
      <c r="E162" s="338">
        <v>12</v>
      </c>
      <c r="F162" s="306">
        <v>50</v>
      </c>
    </row>
    <row r="163" spans="2:6" hidden="1" outlineLevel="1" x14ac:dyDescent="0.25">
      <c r="B163" s="340">
        <v>41548</v>
      </c>
      <c r="C163" s="306">
        <v>3</v>
      </c>
      <c r="D163" s="306">
        <v>28</v>
      </c>
      <c r="E163" s="338">
        <v>17</v>
      </c>
      <c r="F163" s="306">
        <v>48</v>
      </c>
    </row>
    <row r="164" spans="2:6" hidden="1" outlineLevel="1" x14ac:dyDescent="0.25">
      <c r="B164" s="340">
        <v>41579</v>
      </c>
      <c r="C164" s="306">
        <v>3</v>
      </c>
      <c r="D164" s="306">
        <v>18</v>
      </c>
      <c r="E164" s="338">
        <v>7</v>
      </c>
      <c r="F164" s="306">
        <v>28</v>
      </c>
    </row>
    <row r="165" spans="2:6" hidden="1" outlineLevel="1" x14ac:dyDescent="0.25">
      <c r="B165" s="340">
        <v>41609</v>
      </c>
      <c r="C165" s="306">
        <v>7</v>
      </c>
      <c r="D165" s="306">
        <v>37</v>
      </c>
      <c r="E165" s="338">
        <v>11</v>
      </c>
      <c r="F165" s="306">
        <v>55</v>
      </c>
    </row>
    <row r="166" spans="2:6" collapsed="1" x14ac:dyDescent="0.25">
      <c r="B166" s="379" t="s">
        <v>34</v>
      </c>
      <c r="C166" s="377">
        <v>74</v>
      </c>
      <c r="D166" s="377">
        <v>430</v>
      </c>
      <c r="E166" s="362">
        <v>150</v>
      </c>
      <c r="F166" s="377">
        <v>654</v>
      </c>
    </row>
    <row r="167" spans="2:6" hidden="1" outlineLevel="1" x14ac:dyDescent="0.25">
      <c r="B167" s="340">
        <v>41640</v>
      </c>
      <c r="C167" s="306">
        <v>7</v>
      </c>
      <c r="D167" s="306">
        <v>32</v>
      </c>
      <c r="E167" s="338">
        <v>18</v>
      </c>
      <c r="F167" s="306">
        <v>57</v>
      </c>
    </row>
    <row r="168" spans="2:6" hidden="1" outlineLevel="1" x14ac:dyDescent="0.25">
      <c r="B168" s="340">
        <v>41671</v>
      </c>
      <c r="C168" s="306">
        <v>3</v>
      </c>
      <c r="D168" s="306">
        <v>24</v>
      </c>
      <c r="E168" s="338">
        <v>9</v>
      </c>
      <c r="F168" s="306">
        <v>36</v>
      </c>
    </row>
    <row r="169" spans="2:6" hidden="1" outlineLevel="1" x14ac:dyDescent="0.25">
      <c r="B169" s="340">
        <v>41699</v>
      </c>
      <c r="C169" s="306">
        <v>7</v>
      </c>
      <c r="D169" s="306">
        <v>21</v>
      </c>
      <c r="E169" s="338">
        <v>15</v>
      </c>
      <c r="F169" s="306">
        <v>43</v>
      </c>
    </row>
    <row r="170" spans="2:6" hidden="1" outlineLevel="1" x14ac:dyDescent="0.25">
      <c r="B170" s="340">
        <v>41730</v>
      </c>
      <c r="C170" s="306">
        <v>9</v>
      </c>
      <c r="D170" s="306">
        <v>25</v>
      </c>
      <c r="E170" s="338">
        <v>10</v>
      </c>
      <c r="F170" s="306">
        <v>44</v>
      </c>
    </row>
    <row r="171" spans="2:6" hidden="1" outlineLevel="1" x14ac:dyDescent="0.25">
      <c r="B171" s="340">
        <v>41760</v>
      </c>
      <c r="C171" s="306">
        <v>7</v>
      </c>
      <c r="D171" s="306">
        <v>29</v>
      </c>
      <c r="E171" s="338">
        <v>11</v>
      </c>
      <c r="F171" s="306">
        <v>47</v>
      </c>
    </row>
    <row r="172" spans="2:6" hidden="1" outlineLevel="1" x14ac:dyDescent="0.25">
      <c r="B172" s="340">
        <v>41791</v>
      </c>
      <c r="C172" s="306">
        <v>0</v>
      </c>
      <c r="D172" s="306">
        <v>31</v>
      </c>
      <c r="E172" s="338">
        <v>17</v>
      </c>
      <c r="F172" s="306">
        <v>48</v>
      </c>
    </row>
    <row r="173" spans="2:6" hidden="1" outlineLevel="1" x14ac:dyDescent="0.25">
      <c r="B173" s="340">
        <v>41821</v>
      </c>
      <c r="C173" s="306">
        <v>3</v>
      </c>
      <c r="D173" s="306">
        <v>29</v>
      </c>
      <c r="E173" s="338">
        <v>15</v>
      </c>
      <c r="F173" s="306">
        <v>47</v>
      </c>
    </row>
    <row r="174" spans="2:6" hidden="1" outlineLevel="1" x14ac:dyDescent="0.25">
      <c r="B174" s="340">
        <v>41852</v>
      </c>
      <c r="C174" s="306">
        <v>5</v>
      </c>
      <c r="D174" s="306">
        <v>30</v>
      </c>
      <c r="E174" s="338">
        <v>9</v>
      </c>
      <c r="F174" s="306">
        <v>44</v>
      </c>
    </row>
    <row r="175" spans="2:6" hidden="1" outlineLevel="1" x14ac:dyDescent="0.25">
      <c r="B175" s="340">
        <v>41883</v>
      </c>
      <c r="C175" s="306">
        <v>2</v>
      </c>
      <c r="D175" s="306">
        <v>39</v>
      </c>
      <c r="E175" s="338"/>
      <c r="F175" s="306">
        <v>41</v>
      </c>
    </row>
    <row r="176" spans="2:6" hidden="1" outlineLevel="1" x14ac:dyDescent="0.25">
      <c r="B176" s="340">
        <v>41913</v>
      </c>
      <c r="C176" s="306">
        <v>5</v>
      </c>
      <c r="D176" s="306">
        <v>29</v>
      </c>
      <c r="E176" s="338"/>
      <c r="F176" s="306">
        <v>34</v>
      </c>
    </row>
    <row r="177" spans="2:6" hidden="1" outlineLevel="1" x14ac:dyDescent="0.25">
      <c r="B177" s="340">
        <v>41944</v>
      </c>
      <c r="C177" s="306">
        <v>1</v>
      </c>
      <c r="D177" s="306">
        <v>20</v>
      </c>
      <c r="E177" s="338">
        <v>4</v>
      </c>
      <c r="F177" s="306">
        <v>25</v>
      </c>
    </row>
    <row r="178" spans="2:6" hidden="1" outlineLevel="1" x14ac:dyDescent="0.25">
      <c r="B178" s="340">
        <v>41974</v>
      </c>
      <c r="C178" s="306">
        <v>4</v>
      </c>
      <c r="D178" s="306">
        <v>38</v>
      </c>
      <c r="E178" s="338">
        <v>5</v>
      </c>
      <c r="F178" s="306">
        <v>47</v>
      </c>
    </row>
    <row r="179" spans="2:6" collapsed="1" x14ac:dyDescent="0.25">
      <c r="B179" s="379" t="s">
        <v>36</v>
      </c>
      <c r="C179" s="377">
        <v>53</v>
      </c>
      <c r="D179" s="377">
        <v>347</v>
      </c>
      <c r="E179" s="362">
        <v>113</v>
      </c>
      <c r="F179" s="377">
        <v>513</v>
      </c>
    </row>
    <row r="180" spans="2:6" hidden="1" outlineLevel="1" x14ac:dyDescent="0.25">
      <c r="B180" s="340">
        <v>42005</v>
      </c>
      <c r="C180" s="306">
        <v>2</v>
      </c>
      <c r="D180" s="306">
        <v>26</v>
      </c>
      <c r="E180" s="338">
        <v>12</v>
      </c>
      <c r="F180" s="306">
        <v>40</v>
      </c>
    </row>
    <row r="181" spans="2:6" hidden="1" outlineLevel="1" x14ac:dyDescent="0.25">
      <c r="B181" s="340">
        <v>42036</v>
      </c>
      <c r="C181" s="306">
        <v>1</v>
      </c>
      <c r="D181" s="306">
        <v>21</v>
      </c>
      <c r="E181" s="338">
        <v>15</v>
      </c>
      <c r="F181" s="306">
        <v>37</v>
      </c>
    </row>
    <row r="182" spans="2:6" hidden="1" outlineLevel="1" x14ac:dyDescent="0.25">
      <c r="B182" s="340">
        <v>42064</v>
      </c>
      <c r="C182" s="306">
        <v>7</v>
      </c>
      <c r="D182" s="306">
        <v>24</v>
      </c>
      <c r="E182" s="338">
        <v>8</v>
      </c>
      <c r="F182" s="306">
        <v>39</v>
      </c>
    </row>
    <row r="183" spans="2:6" hidden="1" outlineLevel="1" x14ac:dyDescent="0.25">
      <c r="B183" s="340">
        <v>42095</v>
      </c>
      <c r="C183" s="306">
        <v>7</v>
      </c>
      <c r="D183" s="306">
        <v>21</v>
      </c>
      <c r="E183" s="338">
        <v>5</v>
      </c>
      <c r="F183" s="306">
        <v>33</v>
      </c>
    </row>
    <row r="184" spans="2:6" hidden="1" outlineLevel="1" x14ac:dyDescent="0.25">
      <c r="B184" s="340">
        <v>42125</v>
      </c>
      <c r="C184" s="306"/>
      <c r="D184" s="306">
        <v>18</v>
      </c>
      <c r="E184" s="338">
        <v>13</v>
      </c>
      <c r="F184" s="306">
        <v>31</v>
      </c>
    </row>
    <row r="185" spans="2:6" hidden="1" outlineLevel="1" x14ac:dyDescent="0.25">
      <c r="B185" s="340">
        <v>42156</v>
      </c>
      <c r="C185" s="306">
        <v>5</v>
      </c>
      <c r="D185" s="306">
        <v>22</v>
      </c>
      <c r="E185" s="338">
        <v>11</v>
      </c>
      <c r="F185" s="306">
        <v>38</v>
      </c>
    </row>
    <row r="186" spans="2:6" hidden="1" outlineLevel="1" x14ac:dyDescent="0.25">
      <c r="B186" s="340">
        <v>42186</v>
      </c>
      <c r="C186" s="306">
        <v>1</v>
      </c>
      <c r="D186" s="306">
        <v>22</v>
      </c>
      <c r="E186" s="338">
        <v>10</v>
      </c>
      <c r="F186" s="306">
        <v>33</v>
      </c>
    </row>
    <row r="187" spans="2:6" hidden="1" outlineLevel="1" x14ac:dyDescent="0.25">
      <c r="B187" s="340">
        <v>42217</v>
      </c>
      <c r="C187" s="306">
        <v>4</v>
      </c>
      <c r="D187" s="306">
        <v>27</v>
      </c>
      <c r="E187" s="338">
        <v>6</v>
      </c>
      <c r="F187" s="306">
        <v>37</v>
      </c>
    </row>
    <row r="188" spans="2:6" hidden="1" outlineLevel="1" x14ac:dyDescent="0.25">
      <c r="B188" s="340">
        <v>42248</v>
      </c>
      <c r="C188" s="306">
        <v>1</v>
      </c>
      <c r="D188" s="306">
        <v>32</v>
      </c>
      <c r="E188" s="338">
        <v>7</v>
      </c>
      <c r="F188" s="306">
        <v>40</v>
      </c>
    </row>
    <row r="189" spans="2:6" hidden="1" outlineLevel="1" x14ac:dyDescent="0.25">
      <c r="B189" s="340">
        <v>42278</v>
      </c>
      <c r="C189" s="306">
        <v>9</v>
      </c>
      <c r="D189" s="306">
        <v>21</v>
      </c>
      <c r="E189" s="338">
        <v>9</v>
      </c>
      <c r="F189" s="306">
        <v>39</v>
      </c>
    </row>
    <row r="190" spans="2:6" hidden="1" outlineLevel="1" x14ac:dyDescent="0.25">
      <c r="B190" s="340">
        <v>42309</v>
      </c>
      <c r="C190" s="306">
        <v>7</v>
      </c>
      <c r="D190" s="306">
        <v>26</v>
      </c>
      <c r="E190" s="338">
        <v>4</v>
      </c>
      <c r="F190" s="306">
        <v>37</v>
      </c>
    </row>
    <row r="191" spans="2:6" hidden="1" outlineLevel="1" x14ac:dyDescent="0.25">
      <c r="B191" s="340">
        <v>42339</v>
      </c>
      <c r="C191" s="306">
        <v>6</v>
      </c>
      <c r="D191" s="306">
        <v>21</v>
      </c>
      <c r="E191" s="338">
        <v>6</v>
      </c>
      <c r="F191" s="306">
        <v>33</v>
      </c>
    </row>
    <row r="192" spans="2:6" collapsed="1" x14ac:dyDescent="0.25">
      <c r="B192" s="379" t="s">
        <v>38</v>
      </c>
      <c r="C192" s="377">
        <v>50</v>
      </c>
      <c r="D192" s="377">
        <v>281</v>
      </c>
      <c r="E192" s="362">
        <v>106</v>
      </c>
      <c r="F192" s="377">
        <v>437</v>
      </c>
    </row>
    <row r="193" spans="2:6" hidden="1" outlineLevel="1" x14ac:dyDescent="0.25">
      <c r="B193" s="340">
        <v>42370</v>
      </c>
      <c r="C193" s="306">
        <v>4</v>
      </c>
      <c r="D193" s="306">
        <v>19</v>
      </c>
      <c r="E193" s="338">
        <v>10</v>
      </c>
      <c r="F193" s="306">
        <v>33</v>
      </c>
    </row>
    <row r="194" spans="2:6" hidden="1" outlineLevel="1" x14ac:dyDescent="0.25">
      <c r="B194" s="340">
        <v>42401</v>
      </c>
      <c r="C194" s="306">
        <v>17</v>
      </c>
      <c r="D194" s="306">
        <v>16</v>
      </c>
      <c r="E194" s="338">
        <v>0</v>
      </c>
      <c r="F194" s="306">
        <v>33</v>
      </c>
    </row>
    <row r="195" spans="2:6" hidden="1" outlineLevel="1" x14ac:dyDescent="0.25">
      <c r="B195" s="340">
        <v>42430</v>
      </c>
      <c r="C195" s="306">
        <v>14</v>
      </c>
      <c r="D195" s="306">
        <v>13</v>
      </c>
      <c r="E195" s="338">
        <v>13</v>
      </c>
      <c r="F195" s="306">
        <v>40</v>
      </c>
    </row>
    <row r="196" spans="2:6" hidden="1" outlineLevel="1" x14ac:dyDescent="0.25">
      <c r="B196" s="340">
        <v>42461</v>
      </c>
      <c r="C196" s="306">
        <v>8</v>
      </c>
      <c r="D196" s="306">
        <v>19</v>
      </c>
      <c r="E196" s="338">
        <v>12</v>
      </c>
      <c r="F196" s="306">
        <v>39</v>
      </c>
    </row>
    <row r="197" spans="2:6" hidden="1" outlineLevel="1" x14ac:dyDescent="0.25">
      <c r="B197" s="340">
        <v>42491</v>
      </c>
      <c r="C197" s="306">
        <v>7</v>
      </c>
      <c r="D197" s="306">
        <v>21</v>
      </c>
      <c r="E197" s="338">
        <v>12</v>
      </c>
      <c r="F197" s="306">
        <v>40</v>
      </c>
    </row>
    <row r="198" spans="2:6" hidden="1" outlineLevel="1" x14ac:dyDescent="0.25">
      <c r="B198" s="340">
        <v>42522</v>
      </c>
      <c r="C198" s="306">
        <v>7</v>
      </c>
      <c r="D198" s="306">
        <v>19</v>
      </c>
      <c r="E198" s="338">
        <v>11</v>
      </c>
      <c r="F198" s="306">
        <v>37</v>
      </c>
    </row>
    <row r="199" spans="2:6" hidden="1" outlineLevel="1" x14ac:dyDescent="0.25">
      <c r="B199" s="340">
        <v>42552</v>
      </c>
      <c r="C199" s="306">
        <v>18</v>
      </c>
      <c r="D199" s="306">
        <v>16</v>
      </c>
      <c r="E199" s="338">
        <v>12</v>
      </c>
      <c r="F199" s="306">
        <v>46</v>
      </c>
    </row>
    <row r="200" spans="2:6" hidden="1" outlineLevel="1" x14ac:dyDescent="0.25">
      <c r="B200" s="340">
        <v>42583</v>
      </c>
      <c r="C200" s="306">
        <v>12</v>
      </c>
      <c r="D200" s="306">
        <v>18</v>
      </c>
      <c r="E200" s="338">
        <v>17</v>
      </c>
      <c r="F200" s="306">
        <v>47</v>
      </c>
    </row>
    <row r="201" spans="2:6" hidden="1" outlineLevel="1" x14ac:dyDescent="0.25">
      <c r="B201" s="340">
        <v>42614</v>
      </c>
      <c r="C201" s="306">
        <v>6</v>
      </c>
      <c r="D201" s="306">
        <v>19</v>
      </c>
      <c r="E201" s="338">
        <v>13</v>
      </c>
      <c r="F201" s="306">
        <v>38</v>
      </c>
    </row>
    <row r="202" spans="2:6" hidden="1" outlineLevel="1" x14ac:dyDescent="0.25">
      <c r="B202" s="340">
        <v>42644</v>
      </c>
      <c r="C202" s="306">
        <v>10</v>
      </c>
      <c r="D202" s="306">
        <v>15</v>
      </c>
      <c r="E202" s="338">
        <v>11</v>
      </c>
      <c r="F202" s="306">
        <v>36</v>
      </c>
    </row>
    <row r="203" spans="2:6" hidden="1" outlineLevel="1" x14ac:dyDescent="0.25">
      <c r="B203" s="340">
        <v>42675</v>
      </c>
      <c r="C203" s="306">
        <v>14</v>
      </c>
      <c r="D203" s="306">
        <v>16</v>
      </c>
      <c r="E203" s="338">
        <v>12</v>
      </c>
      <c r="F203" s="306">
        <v>42</v>
      </c>
    </row>
    <row r="204" spans="2:6" hidden="1" outlineLevel="1" x14ac:dyDescent="0.25">
      <c r="B204" s="340">
        <v>42705</v>
      </c>
      <c r="C204" s="306">
        <v>14</v>
      </c>
      <c r="D204" s="306">
        <v>16</v>
      </c>
      <c r="E204" s="338">
        <v>20</v>
      </c>
      <c r="F204" s="306">
        <v>50</v>
      </c>
    </row>
    <row r="205" spans="2:6" collapsed="1" x14ac:dyDescent="0.25">
      <c r="B205" s="379" t="s">
        <v>55</v>
      </c>
      <c r="C205" s="377">
        <v>131</v>
      </c>
      <c r="D205" s="377">
        <v>207</v>
      </c>
      <c r="E205" s="362">
        <v>143</v>
      </c>
      <c r="F205" s="377">
        <v>481</v>
      </c>
    </row>
    <row r="206" spans="2:6" hidden="1" outlineLevel="1" x14ac:dyDescent="0.25">
      <c r="B206" s="340">
        <v>42736</v>
      </c>
      <c r="C206" s="306">
        <v>8</v>
      </c>
      <c r="D206" s="306">
        <v>17</v>
      </c>
      <c r="E206" s="338">
        <v>15</v>
      </c>
      <c r="F206" s="306">
        <v>40</v>
      </c>
    </row>
    <row r="207" spans="2:6" hidden="1" outlineLevel="1" x14ac:dyDescent="0.25">
      <c r="B207" s="340">
        <v>42767</v>
      </c>
      <c r="C207" s="306">
        <v>9</v>
      </c>
      <c r="D207" s="306">
        <v>11</v>
      </c>
      <c r="E207" s="338">
        <v>12</v>
      </c>
      <c r="F207" s="306">
        <v>32</v>
      </c>
    </row>
    <row r="208" spans="2:6" hidden="1" outlineLevel="1" x14ac:dyDescent="0.25">
      <c r="B208" s="340">
        <v>42795</v>
      </c>
      <c r="C208" s="306">
        <v>9</v>
      </c>
      <c r="D208" s="306">
        <v>13</v>
      </c>
      <c r="E208" s="338">
        <v>15</v>
      </c>
      <c r="F208" s="306">
        <v>37</v>
      </c>
    </row>
    <row r="209" spans="2:6" hidden="1" outlineLevel="1" x14ac:dyDescent="0.25">
      <c r="B209" s="340">
        <v>42826</v>
      </c>
      <c r="C209" s="306">
        <v>3</v>
      </c>
      <c r="D209" s="306">
        <v>17</v>
      </c>
      <c r="E209" s="338">
        <v>7</v>
      </c>
      <c r="F209" s="306">
        <v>27</v>
      </c>
    </row>
    <row r="210" spans="2:6" hidden="1" outlineLevel="1" x14ac:dyDescent="0.25">
      <c r="B210" s="340">
        <v>42856</v>
      </c>
      <c r="C210" s="306">
        <v>8</v>
      </c>
      <c r="D210" s="306">
        <v>18</v>
      </c>
      <c r="E210" s="338">
        <v>10</v>
      </c>
      <c r="F210" s="306">
        <v>36</v>
      </c>
    </row>
    <row r="211" spans="2:6" hidden="1" outlineLevel="1" x14ac:dyDescent="0.25">
      <c r="B211" s="340">
        <v>42887</v>
      </c>
      <c r="C211" s="306">
        <v>12</v>
      </c>
      <c r="D211" s="306">
        <v>19</v>
      </c>
      <c r="E211" s="338">
        <v>7</v>
      </c>
      <c r="F211" s="306">
        <v>38</v>
      </c>
    </row>
    <row r="212" spans="2:6" hidden="1" outlineLevel="1" x14ac:dyDescent="0.25">
      <c r="B212" s="340">
        <v>42917</v>
      </c>
      <c r="C212" s="306">
        <v>8</v>
      </c>
      <c r="D212" s="306">
        <v>12</v>
      </c>
      <c r="E212" s="338">
        <v>11</v>
      </c>
      <c r="F212" s="306">
        <v>31</v>
      </c>
    </row>
    <row r="213" spans="2:6" hidden="1" outlineLevel="1" x14ac:dyDescent="0.25">
      <c r="B213" s="340">
        <v>42948</v>
      </c>
      <c r="C213" s="306">
        <v>10</v>
      </c>
      <c r="D213" s="306">
        <v>13</v>
      </c>
      <c r="E213" s="338">
        <v>11</v>
      </c>
      <c r="F213" s="306">
        <v>34</v>
      </c>
    </row>
    <row r="214" spans="2:6" hidden="1" outlineLevel="1" x14ac:dyDescent="0.25">
      <c r="B214" s="340">
        <v>42979</v>
      </c>
      <c r="C214" s="306">
        <v>10</v>
      </c>
      <c r="D214" s="306">
        <v>9</v>
      </c>
      <c r="E214" s="338">
        <v>17</v>
      </c>
      <c r="F214" s="306">
        <v>36</v>
      </c>
    </row>
    <row r="215" spans="2:6" hidden="1" outlineLevel="1" x14ac:dyDescent="0.25">
      <c r="B215" s="340">
        <v>43009</v>
      </c>
      <c r="C215" s="306">
        <v>6</v>
      </c>
      <c r="D215" s="306">
        <v>14</v>
      </c>
      <c r="E215" s="338">
        <v>13</v>
      </c>
      <c r="F215" s="306">
        <v>33</v>
      </c>
    </row>
    <row r="216" spans="2:6" hidden="1" outlineLevel="1" x14ac:dyDescent="0.25">
      <c r="B216" s="340">
        <v>43040</v>
      </c>
      <c r="C216" s="306">
        <v>5</v>
      </c>
      <c r="D216" s="306">
        <v>23</v>
      </c>
      <c r="E216" s="338">
        <v>12</v>
      </c>
      <c r="F216" s="306">
        <v>40</v>
      </c>
    </row>
    <row r="217" spans="2:6" hidden="1" outlineLevel="1" x14ac:dyDescent="0.25">
      <c r="B217" s="340">
        <v>43070</v>
      </c>
      <c r="C217" s="306">
        <v>19</v>
      </c>
      <c r="D217" s="306">
        <v>22</v>
      </c>
      <c r="E217" s="338">
        <v>15</v>
      </c>
      <c r="F217" s="306">
        <v>56</v>
      </c>
    </row>
    <row r="218" spans="2:6" collapsed="1" x14ac:dyDescent="0.25">
      <c r="B218" s="379" t="s">
        <v>58</v>
      </c>
      <c r="C218" s="377">
        <v>107</v>
      </c>
      <c r="D218" s="377">
        <v>188</v>
      </c>
      <c r="E218" s="362">
        <v>145</v>
      </c>
      <c r="F218" s="377">
        <v>440</v>
      </c>
    </row>
    <row r="219" spans="2:6" hidden="1" outlineLevel="1" x14ac:dyDescent="0.25">
      <c r="B219" s="340">
        <v>43101</v>
      </c>
      <c r="C219" s="306">
        <v>13</v>
      </c>
      <c r="D219" s="306">
        <v>23</v>
      </c>
      <c r="E219" s="338">
        <v>10</v>
      </c>
      <c r="F219" s="306">
        <v>46</v>
      </c>
    </row>
    <row r="220" spans="2:6" hidden="1" outlineLevel="1" x14ac:dyDescent="0.25">
      <c r="B220" s="340">
        <v>43132</v>
      </c>
      <c r="C220" s="306">
        <v>16</v>
      </c>
      <c r="D220" s="306">
        <v>22</v>
      </c>
      <c r="E220" s="338">
        <v>23</v>
      </c>
      <c r="F220" s="306">
        <v>61</v>
      </c>
    </row>
    <row r="221" spans="2:6" hidden="1" outlineLevel="1" x14ac:dyDescent="0.25">
      <c r="B221" s="340">
        <v>43160</v>
      </c>
      <c r="C221" s="306">
        <v>14</v>
      </c>
      <c r="D221" s="306">
        <v>19</v>
      </c>
      <c r="E221" s="338">
        <v>11</v>
      </c>
      <c r="F221" s="306">
        <v>44</v>
      </c>
    </row>
    <row r="222" spans="2:6" hidden="1" outlineLevel="1" x14ac:dyDescent="0.25">
      <c r="B222" s="340">
        <v>43191</v>
      </c>
      <c r="C222" s="306">
        <v>10</v>
      </c>
      <c r="D222" s="306">
        <v>18</v>
      </c>
      <c r="E222" s="338">
        <v>11</v>
      </c>
      <c r="F222" s="306">
        <v>39</v>
      </c>
    </row>
    <row r="223" spans="2:6" hidden="1" outlineLevel="1" x14ac:dyDescent="0.25">
      <c r="B223" s="340">
        <v>43221</v>
      </c>
      <c r="C223" s="306">
        <v>22</v>
      </c>
      <c r="D223" s="306">
        <v>9</v>
      </c>
      <c r="E223" s="338">
        <v>9</v>
      </c>
      <c r="F223" s="306">
        <v>40</v>
      </c>
    </row>
    <row r="224" spans="2:6" hidden="1" outlineLevel="1" x14ac:dyDescent="0.25">
      <c r="B224" s="340">
        <v>43252</v>
      </c>
      <c r="C224" s="306">
        <v>27</v>
      </c>
      <c r="D224" s="306">
        <v>18</v>
      </c>
      <c r="E224" s="338">
        <v>10</v>
      </c>
      <c r="F224" s="306">
        <v>55</v>
      </c>
    </row>
    <row r="225" spans="2:6" hidden="1" outlineLevel="1" x14ac:dyDescent="0.25">
      <c r="B225" s="340">
        <v>43282</v>
      </c>
      <c r="C225" s="306">
        <v>15</v>
      </c>
      <c r="D225" s="306">
        <v>20</v>
      </c>
      <c r="E225" s="338">
        <v>19</v>
      </c>
      <c r="F225" s="306">
        <v>54</v>
      </c>
    </row>
    <row r="226" spans="2:6" hidden="1" outlineLevel="1" x14ac:dyDescent="0.25">
      <c r="B226" s="340">
        <v>43313</v>
      </c>
      <c r="C226" s="306">
        <v>17</v>
      </c>
      <c r="D226" s="306">
        <v>40</v>
      </c>
      <c r="E226" s="338">
        <v>17</v>
      </c>
      <c r="F226" s="306">
        <v>74</v>
      </c>
    </row>
    <row r="227" spans="2:6" hidden="1" outlineLevel="1" x14ac:dyDescent="0.25">
      <c r="B227" s="340">
        <v>43344</v>
      </c>
      <c r="C227" s="306">
        <v>16</v>
      </c>
      <c r="D227" s="306">
        <v>31</v>
      </c>
      <c r="E227" s="338">
        <v>3</v>
      </c>
      <c r="F227" s="306">
        <v>50</v>
      </c>
    </row>
    <row r="228" spans="2:6" hidden="1" outlineLevel="1" x14ac:dyDescent="0.25">
      <c r="B228" s="340">
        <v>43374</v>
      </c>
      <c r="C228" s="306">
        <v>4</v>
      </c>
      <c r="D228" s="306">
        <v>22</v>
      </c>
      <c r="E228" s="338">
        <v>5</v>
      </c>
      <c r="F228" s="306">
        <v>31</v>
      </c>
    </row>
    <row r="229" spans="2:6" hidden="1" outlineLevel="1" x14ac:dyDescent="0.25">
      <c r="B229" s="340">
        <v>43405</v>
      </c>
      <c r="C229" s="306">
        <v>3</v>
      </c>
      <c r="D229" s="306">
        <v>16</v>
      </c>
      <c r="E229" s="338">
        <v>2</v>
      </c>
      <c r="F229" s="306">
        <v>21</v>
      </c>
    </row>
    <row r="230" spans="2:6" hidden="1" outlineLevel="1" x14ac:dyDescent="0.25">
      <c r="B230" s="340">
        <v>43435</v>
      </c>
      <c r="C230" s="306">
        <v>21</v>
      </c>
      <c r="D230" s="306">
        <v>40</v>
      </c>
      <c r="E230" s="338">
        <v>2</v>
      </c>
      <c r="F230" s="306">
        <v>63</v>
      </c>
    </row>
    <row r="231" spans="2:6" collapsed="1" x14ac:dyDescent="0.25">
      <c r="B231" s="379" t="s">
        <v>59</v>
      </c>
      <c r="C231" s="377">
        <v>178</v>
      </c>
      <c r="D231" s="377">
        <v>278</v>
      </c>
      <c r="E231" s="362">
        <v>122</v>
      </c>
      <c r="F231" s="377">
        <v>578</v>
      </c>
    </row>
    <row r="232" spans="2:6" hidden="1" outlineLevel="1" x14ac:dyDescent="0.25">
      <c r="B232" s="340">
        <v>43466</v>
      </c>
      <c r="C232" s="306">
        <v>19</v>
      </c>
      <c r="D232" s="306">
        <v>25</v>
      </c>
      <c r="E232" s="338">
        <v>2</v>
      </c>
      <c r="F232" s="306">
        <v>46</v>
      </c>
    </row>
    <row r="233" spans="2:6" hidden="1" outlineLevel="1" x14ac:dyDescent="0.25">
      <c r="B233" s="340">
        <v>43497</v>
      </c>
      <c r="C233" s="306">
        <v>15</v>
      </c>
      <c r="D233" s="306">
        <v>30</v>
      </c>
      <c r="E233" s="338">
        <v>2</v>
      </c>
      <c r="F233" s="306">
        <v>47</v>
      </c>
    </row>
    <row r="234" spans="2:6" hidden="1" outlineLevel="1" x14ac:dyDescent="0.25">
      <c r="B234" s="340">
        <v>43525</v>
      </c>
      <c r="C234" s="306">
        <v>9</v>
      </c>
      <c r="D234" s="306">
        <v>30</v>
      </c>
      <c r="E234" s="338">
        <v>3</v>
      </c>
      <c r="F234" s="306">
        <v>42</v>
      </c>
    </row>
    <row r="235" spans="2:6" hidden="1" outlineLevel="1" x14ac:dyDescent="0.25">
      <c r="B235" s="340">
        <v>43556</v>
      </c>
      <c r="C235" s="306">
        <v>8</v>
      </c>
      <c r="D235" s="306">
        <v>39</v>
      </c>
      <c r="E235" s="338">
        <v>2</v>
      </c>
      <c r="F235" s="306">
        <v>49</v>
      </c>
    </row>
    <row r="236" spans="2:6" hidden="1" outlineLevel="1" x14ac:dyDescent="0.25">
      <c r="B236" s="340">
        <v>43586</v>
      </c>
      <c r="C236" s="306">
        <v>27</v>
      </c>
      <c r="D236" s="306">
        <v>34</v>
      </c>
      <c r="E236" s="338">
        <v>10</v>
      </c>
      <c r="F236" s="306">
        <v>71</v>
      </c>
    </row>
    <row r="237" spans="2:6" hidden="1" outlineLevel="1" x14ac:dyDescent="0.25">
      <c r="B237" s="340">
        <v>43617</v>
      </c>
      <c r="C237" s="306">
        <v>22</v>
      </c>
      <c r="D237" s="306">
        <v>41</v>
      </c>
      <c r="E237" s="338">
        <v>5</v>
      </c>
      <c r="F237" s="306">
        <v>68</v>
      </c>
    </row>
    <row r="238" spans="2:6" hidden="1" outlineLevel="1" x14ac:dyDescent="0.25">
      <c r="B238" s="340">
        <v>43647</v>
      </c>
      <c r="C238" s="306">
        <v>25</v>
      </c>
      <c r="D238" s="306">
        <v>40</v>
      </c>
      <c r="E238" s="338">
        <v>8</v>
      </c>
      <c r="F238" s="306">
        <v>73</v>
      </c>
    </row>
    <row r="239" spans="2:6" hidden="1" outlineLevel="1" x14ac:dyDescent="0.25">
      <c r="B239" s="340">
        <v>43678</v>
      </c>
      <c r="C239" s="306">
        <v>17</v>
      </c>
      <c r="D239" s="306">
        <v>50</v>
      </c>
      <c r="E239" s="338">
        <v>5</v>
      </c>
      <c r="F239" s="306">
        <v>72</v>
      </c>
    </row>
    <row r="240" spans="2:6" hidden="1" outlineLevel="1" x14ac:dyDescent="0.25">
      <c r="B240" s="340">
        <v>43709</v>
      </c>
      <c r="C240" s="306">
        <v>19</v>
      </c>
      <c r="D240" s="306">
        <v>54</v>
      </c>
      <c r="E240" s="338">
        <v>8</v>
      </c>
      <c r="F240" s="306">
        <v>81</v>
      </c>
    </row>
    <row r="241" spans="2:6" hidden="1" outlineLevel="1" x14ac:dyDescent="0.25">
      <c r="B241" s="340">
        <v>43739</v>
      </c>
      <c r="C241" s="306">
        <v>7</v>
      </c>
      <c r="D241" s="306">
        <v>24</v>
      </c>
      <c r="E241" s="338">
        <v>2</v>
      </c>
      <c r="F241" s="306">
        <v>33</v>
      </c>
    </row>
    <row r="242" spans="2:6" hidden="1" outlineLevel="1" x14ac:dyDescent="0.25">
      <c r="B242" s="340">
        <v>43770</v>
      </c>
      <c r="C242" s="306">
        <v>16</v>
      </c>
      <c r="D242" s="306">
        <v>57</v>
      </c>
      <c r="E242" s="338">
        <v>5</v>
      </c>
      <c r="F242" s="306">
        <v>78</v>
      </c>
    </row>
    <row r="243" spans="2:6" hidden="1" outlineLevel="1" x14ac:dyDescent="0.25">
      <c r="B243" s="340">
        <v>43800</v>
      </c>
      <c r="C243" s="306">
        <v>1</v>
      </c>
      <c r="D243" s="306">
        <v>72</v>
      </c>
      <c r="E243" s="338">
        <v>4</v>
      </c>
      <c r="F243" s="306">
        <v>77</v>
      </c>
    </row>
    <row r="244" spans="2:6" collapsed="1" x14ac:dyDescent="0.25">
      <c r="B244" s="379" t="s">
        <v>60</v>
      </c>
      <c r="C244" s="377">
        <v>185</v>
      </c>
      <c r="D244" s="377">
        <v>496</v>
      </c>
      <c r="E244" s="362">
        <v>56</v>
      </c>
      <c r="F244" s="377">
        <v>737</v>
      </c>
    </row>
    <row r="245" spans="2:6" hidden="1" outlineLevel="1" x14ac:dyDescent="0.25">
      <c r="B245" s="340">
        <v>43831</v>
      </c>
      <c r="C245" s="306">
        <v>5</v>
      </c>
      <c r="D245" s="306">
        <v>54</v>
      </c>
      <c r="E245" s="338">
        <v>24</v>
      </c>
      <c r="F245" s="306">
        <v>83</v>
      </c>
    </row>
    <row r="246" spans="2:6" hidden="1" outlineLevel="1" x14ac:dyDescent="0.25">
      <c r="B246" s="340">
        <v>43862</v>
      </c>
      <c r="C246" s="306">
        <v>7</v>
      </c>
      <c r="D246" s="306">
        <v>70</v>
      </c>
      <c r="E246" s="338">
        <v>14</v>
      </c>
      <c r="F246" s="306">
        <v>91</v>
      </c>
    </row>
    <row r="247" spans="2:6" hidden="1" outlineLevel="1" x14ac:dyDescent="0.25">
      <c r="B247" s="340">
        <v>43891</v>
      </c>
      <c r="C247" s="306">
        <v>6</v>
      </c>
      <c r="D247" s="306">
        <v>59</v>
      </c>
      <c r="E247" s="338">
        <v>8</v>
      </c>
      <c r="F247" s="306">
        <v>73</v>
      </c>
    </row>
    <row r="248" spans="2:6" hidden="1" outlineLevel="1" x14ac:dyDescent="0.25">
      <c r="B248" s="340">
        <v>43922</v>
      </c>
      <c r="C248" s="306">
        <v>3</v>
      </c>
      <c r="D248" s="306">
        <v>8</v>
      </c>
      <c r="E248" s="338">
        <v>2</v>
      </c>
      <c r="F248" s="306">
        <v>13</v>
      </c>
    </row>
    <row r="249" spans="2:6" hidden="1" outlineLevel="1" x14ac:dyDescent="0.25">
      <c r="B249" s="340">
        <v>43952</v>
      </c>
      <c r="C249" s="306">
        <v>5</v>
      </c>
      <c r="D249" s="306">
        <v>7</v>
      </c>
      <c r="E249" s="338">
        <v>4</v>
      </c>
      <c r="F249" s="306">
        <v>16</v>
      </c>
    </row>
    <row r="250" spans="2:6" hidden="1" outlineLevel="1" x14ac:dyDescent="0.25">
      <c r="B250" s="340">
        <v>43983</v>
      </c>
      <c r="C250" s="306">
        <v>4</v>
      </c>
      <c r="D250" s="306">
        <v>9</v>
      </c>
      <c r="E250" s="338">
        <v>3</v>
      </c>
      <c r="F250" s="306">
        <v>16</v>
      </c>
    </row>
    <row r="251" spans="2:6" hidden="1" outlineLevel="1" x14ac:dyDescent="0.25">
      <c r="B251" s="340">
        <v>44013</v>
      </c>
      <c r="C251" s="306">
        <v>5</v>
      </c>
      <c r="D251" s="306">
        <v>9</v>
      </c>
      <c r="E251" s="338">
        <v>12</v>
      </c>
      <c r="F251" s="306">
        <v>26</v>
      </c>
    </row>
    <row r="252" spans="2:6" hidden="1" outlineLevel="1" x14ac:dyDescent="0.25">
      <c r="B252" s="340">
        <v>44044</v>
      </c>
      <c r="C252" s="306">
        <v>2</v>
      </c>
      <c r="D252" s="306">
        <v>14</v>
      </c>
      <c r="E252" s="338">
        <v>11</v>
      </c>
      <c r="F252" s="306">
        <v>27</v>
      </c>
    </row>
    <row r="253" spans="2:6" hidden="1" outlineLevel="1" x14ac:dyDescent="0.25">
      <c r="B253" s="340">
        <v>44075</v>
      </c>
      <c r="C253" s="306">
        <v>7</v>
      </c>
      <c r="D253" s="306">
        <v>22</v>
      </c>
      <c r="E253" s="338">
        <v>3</v>
      </c>
      <c r="F253" s="306">
        <v>32</v>
      </c>
    </row>
    <row r="254" spans="2:6" hidden="1" outlineLevel="1" x14ac:dyDescent="0.25">
      <c r="B254" s="340">
        <v>44105</v>
      </c>
      <c r="C254" s="306">
        <v>2</v>
      </c>
      <c r="D254" s="306">
        <v>38</v>
      </c>
      <c r="E254" s="338">
        <v>5</v>
      </c>
      <c r="F254" s="306">
        <v>45</v>
      </c>
    </row>
    <row r="255" spans="2:6" hidden="1" outlineLevel="1" x14ac:dyDescent="0.25">
      <c r="B255" s="340">
        <v>44136</v>
      </c>
      <c r="C255" s="306">
        <v>0</v>
      </c>
      <c r="D255" s="306">
        <v>16</v>
      </c>
      <c r="E255" s="338">
        <v>5</v>
      </c>
      <c r="F255" s="306">
        <v>21</v>
      </c>
    </row>
    <row r="256" spans="2:6" hidden="1" outlineLevel="1" x14ac:dyDescent="0.25">
      <c r="B256" s="340">
        <v>44166</v>
      </c>
      <c r="C256" s="306">
        <v>0</v>
      </c>
      <c r="D256" s="306">
        <v>11</v>
      </c>
      <c r="E256" s="338">
        <v>3</v>
      </c>
      <c r="F256" s="306">
        <v>14</v>
      </c>
    </row>
    <row r="257" spans="2:6" collapsed="1" x14ac:dyDescent="0.25">
      <c r="B257" s="379" t="s">
        <v>64</v>
      </c>
      <c r="C257" s="377">
        <v>46</v>
      </c>
      <c r="D257" s="377">
        <v>317</v>
      </c>
      <c r="E257" s="362">
        <v>94</v>
      </c>
      <c r="F257" s="377">
        <v>457</v>
      </c>
    </row>
    <row r="258" spans="2:6" hidden="1" outlineLevel="1" x14ac:dyDescent="0.25">
      <c r="B258" s="340">
        <v>44197</v>
      </c>
      <c r="C258" s="306">
        <v>1</v>
      </c>
      <c r="D258" s="306">
        <v>19</v>
      </c>
      <c r="E258" s="338">
        <v>1</v>
      </c>
      <c r="F258" s="306">
        <v>21</v>
      </c>
    </row>
    <row r="259" spans="2:6" hidden="1" outlineLevel="1" x14ac:dyDescent="0.25">
      <c r="B259" s="340">
        <v>44228</v>
      </c>
      <c r="C259" s="306">
        <v>0</v>
      </c>
      <c r="D259" s="306">
        <v>12</v>
      </c>
      <c r="E259" s="338">
        <v>0</v>
      </c>
      <c r="F259" s="306">
        <v>12</v>
      </c>
    </row>
    <row r="260" spans="2:6" hidden="1" outlineLevel="1" x14ac:dyDescent="0.25">
      <c r="B260" s="340">
        <v>44256</v>
      </c>
      <c r="C260" s="306">
        <v>2</v>
      </c>
      <c r="D260" s="306">
        <v>13</v>
      </c>
      <c r="E260" s="338">
        <v>2</v>
      </c>
      <c r="F260" s="306">
        <v>17</v>
      </c>
    </row>
    <row r="261" spans="2:6" hidden="1" outlineLevel="1" x14ac:dyDescent="0.25">
      <c r="B261" s="340">
        <v>44287</v>
      </c>
      <c r="C261" s="306">
        <v>0</v>
      </c>
      <c r="D261" s="306">
        <v>9</v>
      </c>
      <c r="E261" s="338">
        <v>0</v>
      </c>
      <c r="F261" s="306">
        <v>9</v>
      </c>
    </row>
    <row r="262" spans="2:6" hidden="1" outlineLevel="1" x14ac:dyDescent="0.25">
      <c r="B262" s="340">
        <v>44317</v>
      </c>
      <c r="C262" s="306">
        <v>1</v>
      </c>
      <c r="D262" s="306">
        <v>28</v>
      </c>
      <c r="E262" s="338">
        <v>8</v>
      </c>
      <c r="F262" s="306">
        <v>37</v>
      </c>
    </row>
    <row r="263" spans="2:6" hidden="1" outlineLevel="1" x14ac:dyDescent="0.25">
      <c r="B263" s="340">
        <v>44348</v>
      </c>
      <c r="C263" s="306">
        <v>3</v>
      </c>
      <c r="D263" s="306">
        <v>35</v>
      </c>
      <c r="E263" s="338">
        <v>16</v>
      </c>
      <c r="F263" s="306">
        <v>54</v>
      </c>
    </row>
    <row r="264" spans="2:6" hidden="1" outlineLevel="1" x14ac:dyDescent="0.25">
      <c r="B264" s="340">
        <v>44378</v>
      </c>
      <c r="C264" s="306">
        <v>4</v>
      </c>
      <c r="D264" s="306">
        <v>9</v>
      </c>
      <c r="E264" s="338">
        <v>1</v>
      </c>
      <c r="F264" s="306">
        <v>14</v>
      </c>
    </row>
    <row r="265" spans="2:6" hidden="1" outlineLevel="1" x14ac:dyDescent="0.25">
      <c r="B265" s="340">
        <v>44409</v>
      </c>
      <c r="C265" s="306">
        <v>1</v>
      </c>
      <c r="D265" s="306">
        <v>38</v>
      </c>
      <c r="E265" s="338">
        <v>11</v>
      </c>
      <c r="F265" s="306">
        <v>50</v>
      </c>
    </row>
    <row r="266" spans="2:6" hidden="1" outlineLevel="1" x14ac:dyDescent="0.25">
      <c r="B266" s="340">
        <v>44440</v>
      </c>
      <c r="C266" s="306">
        <v>2</v>
      </c>
      <c r="D266" s="306">
        <v>15</v>
      </c>
      <c r="E266" s="338">
        <v>0</v>
      </c>
      <c r="F266" s="306">
        <v>17</v>
      </c>
    </row>
    <row r="267" spans="2:6" hidden="1" outlineLevel="1" x14ac:dyDescent="0.25">
      <c r="B267" s="340">
        <v>44470</v>
      </c>
      <c r="C267" s="306">
        <v>3</v>
      </c>
      <c r="D267" s="306">
        <v>14</v>
      </c>
      <c r="E267" s="338">
        <v>0</v>
      </c>
      <c r="F267" s="306">
        <v>17</v>
      </c>
    </row>
    <row r="268" spans="2:6" hidden="1" outlineLevel="1" x14ac:dyDescent="0.25">
      <c r="B268" s="340">
        <v>44501</v>
      </c>
      <c r="C268" s="306">
        <v>2</v>
      </c>
      <c r="D268" s="306">
        <v>11</v>
      </c>
      <c r="E268" s="338">
        <v>0</v>
      </c>
      <c r="F268" s="306">
        <v>13</v>
      </c>
    </row>
    <row r="269" spans="2:6" hidden="1" outlineLevel="1" x14ac:dyDescent="0.25">
      <c r="B269" s="340">
        <v>44531</v>
      </c>
      <c r="C269" s="306">
        <v>10</v>
      </c>
      <c r="D269" s="306">
        <v>13</v>
      </c>
      <c r="E269" s="338">
        <v>12</v>
      </c>
      <c r="F269" s="306">
        <v>35</v>
      </c>
    </row>
    <row r="270" spans="2:6" collapsed="1" x14ac:dyDescent="0.25">
      <c r="B270" s="379" t="s">
        <v>65</v>
      </c>
      <c r="C270" s="377">
        <v>29</v>
      </c>
      <c r="D270" s="377">
        <v>216</v>
      </c>
      <c r="E270" s="362">
        <v>51</v>
      </c>
      <c r="F270" s="377">
        <v>296</v>
      </c>
    </row>
    <row r="271" spans="2:6" hidden="1" outlineLevel="1" x14ac:dyDescent="0.25">
      <c r="B271" s="340">
        <v>44562</v>
      </c>
      <c r="C271" s="306">
        <v>21</v>
      </c>
      <c r="D271" s="306">
        <v>8</v>
      </c>
      <c r="E271" s="338">
        <v>23</v>
      </c>
      <c r="F271" s="306">
        <v>52</v>
      </c>
    </row>
    <row r="272" spans="2:6" hidden="1" outlineLevel="1" x14ac:dyDescent="0.25">
      <c r="B272" s="340">
        <v>44593</v>
      </c>
      <c r="C272" s="306">
        <v>24</v>
      </c>
      <c r="D272" s="306">
        <v>10</v>
      </c>
      <c r="E272" s="338">
        <v>13</v>
      </c>
      <c r="F272" s="306">
        <v>47</v>
      </c>
    </row>
    <row r="273" spans="2:6" hidden="1" outlineLevel="1" x14ac:dyDescent="0.25">
      <c r="B273" s="340">
        <v>44621</v>
      </c>
      <c r="C273" s="306">
        <v>44</v>
      </c>
      <c r="D273" s="306">
        <v>13</v>
      </c>
      <c r="E273" s="338">
        <v>12</v>
      </c>
      <c r="F273" s="306">
        <v>69</v>
      </c>
    </row>
    <row r="274" spans="2:6" hidden="1" outlineLevel="1" x14ac:dyDescent="0.25">
      <c r="B274" s="340">
        <v>44652</v>
      </c>
      <c r="C274" s="306">
        <v>41</v>
      </c>
      <c r="D274" s="306">
        <v>6</v>
      </c>
      <c r="E274" s="338">
        <v>28</v>
      </c>
      <c r="F274" s="306">
        <v>75</v>
      </c>
    </row>
    <row r="275" spans="2:6" hidden="1" outlineLevel="1" x14ac:dyDescent="0.25">
      <c r="B275" s="340">
        <v>44682</v>
      </c>
      <c r="C275" s="306">
        <v>49</v>
      </c>
      <c r="D275" s="306">
        <v>13</v>
      </c>
      <c r="E275" s="338">
        <v>18</v>
      </c>
      <c r="F275" s="306">
        <v>80</v>
      </c>
    </row>
    <row r="276" spans="2:6" hidden="1" outlineLevel="1" x14ac:dyDescent="0.25">
      <c r="B276" s="340">
        <v>44713</v>
      </c>
      <c r="C276" s="306">
        <v>24</v>
      </c>
      <c r="D276" s="306">
        <v>13</v>
      </c>
      <c r="E276" s="338">
        <v>14</v>
      </c>
      <c r="F276" s="306">
        <v>51</v>
      </c>
    </row>
    <row r="277" spans="2:6" hidden="1" outlineLevel="1" x14ac:dyDescent="0.25">
      <c r="B277" s="340">
        <v>44743</v>
      </c>
      <c r="C277" s="306">
        <v>17</v>
      </c>
      <c r="D277" s="306">
        <v>9</v>
      </c>
      <c r="E277" s="338">
        <v>12</v>
      </c>
      <c r="F277" s="306">
        <v>38</v>
      </c>
    </row>
    <row r="278" spans="2:6" hidden="1" outlineLevel="1" x14ac:dyDescent="0.25">
      <c r="B278" s="340">
        <v>44774</v>
      </c>
      <c r="C278" s="306">
        <v>12</v>
      </c>
      <c r="D278" s="306">
        <v>17</v>
      </c>
      <c r="E278" s="338">
        <v>6</v>
      </c>
      <c r="F278" s="306">
        <v>35</v>
      </c>
    </row>
    <row r="279" spans="2:6" hidden="1" outlineLevel="1" x14ac:dyDescent="0.25">
      <c r="B279" s="340">
        <v>44805</v>
      </c>
      <c r="C279" s="306">
        <v>11</v>
      </c>
      <c r="D279" s="306">
        <v>2</v>
      </c>
      <c r="E279" s="338">
        <v>2</v>
      </c>
      <c r="F279" s="306">
        <v>15</v>
      </c>
    </row>
    <row r="280" spans="2:6" hidden="1" outlineLevel="1" x14ac:dyDescent="0.25">
      <c r="B280" s="340">
        <v>44835</v>
      </c>
      <c r="C280" s="306">
        <v>12</v>
      </c>
      <c r="D280" s="306">
        <v>15</v>
      </c>
      <c r="E280" s="338">
        <v>6</v>
      </c>
      <c r="F280" s="306">
        <v>33</v>
      </c>
    </row>
    <row r="281" spans="2:6" hidden="1" outlineLevel="1" x14ac:dyDescent="0.25">
      <c r="B281" s="340">
        <v>44866</v>
      </c>
      <c r="C281" s="306">
        <v>9</v>
      </c>
      <c r="D281" s="306">
        <v>29</v>
      </c>
      <c r="E281" s="338">
        <v>15</v>
      </c>
      <c r="F281" s="306">
        <v>53</v>
      </c>
    </row>
    <row r="282" spans="2:6" hidden="1" outlineLevel="1" x14ac:dyDescent="0.25">
      <c r="B282" s="340">
        <v>44896</v>
      </c>
      <c r="C282" s="306">
        <v>8</v>
      </c>
      <c r="D282" s="306">
        <v>31</v>
      </c>
      <c r="E282" s="338">
        <v>10</v>
      </c>
      <c r="F282" s="306">
        <v>49</v>
      </c>
    </row>
    <row r="283" spans="2:6" collapsed="1" x14ac:dyDescent="0.25">
      <c r="B283" s="379" t="s">
        <v>66</v>
      </c>
      <c r="C283" s="377">
        <v>272</v>
      </c>
      <c r="D283" s="377">
        <v>166</v>
      </c>
      <c r="E283" s="362">
        <v>159</v>
      </c>
      <c r="F283" s="377">
        <v>597</v>
      </c>
    </row>
    <row r="284" spans="2:6" hidden="1" outlineLevel="1" x14ac:dyDescent="0.25">
      <c r="B284" s="340">
        <v>44927</v>
      </c>
      <c r="C284" s="306">
        <v>5</v>
      </c>
      <c r="D284" s="306">
        <v>40</v>
      </c>
      <c r="E284" s="338">
        <v>4</v>
      </c>
      <c r="F284" s="306">
        <v>49</v>
      </c>
    </row>
    <row r="285" spans="2:6" hidden="1" outlineLevel="1" x14ac:dyDescent="0.25">
      <c r="B285" s="340">
        <v>44958</v>
      </c>
      <c r="C285" s="306">
        <v>2</v>
      </c>
      <c r="D285" s="306">
        <v>13</v>
      </c>
      <c r="E285" s="338">
        <v>4</v>
      </c>
      <c r="F285" s="306">
        <v>19</v>
      </c>
    </row>
    <row r="286" spans="2:6" hidden="1" outlineLevel="1" x14ac:dyDescent="0.25">
      <c r="B286" s="340">
        <v>44986</v>
      </c>
      <c r="C286" s="306">
        <v>22</v>
      </c>
      <c r="D286" s="306">
        <v>15</v>
      </c>
      <c r="E286" s="338">
        <v>4</v>
      </c>
      <c r="F286" s="306">
        <v>41</v>
      </c>
    </row>
    <row r="287" spans="2:6" hidden="1" outlineLevel="1" x14ac:dyDescent="0.25">
      <c r="B287" s="340">
        <v>45017</v>
      </c>
      <c r="C287" s="306">
        <v>12</v>
      </c>
      <c r="D287" s="306">
        <v>9</v>
      </c>
      <c r="E287" s="338">
        <v>16</v>
      </c>
      <c r="F287" s="306">
        <v>37</v>
      </c>
    </row>
    <row r="288" spans="2:6" hidden="1" outlineLevel="1" x14ac:dyDescent="0.25">
      <c r="B288" s="340">
        <v>45047</v>
      </c>
      <c r="C288" s="306">
        <v>13</v>
      </c>
      <c r="D288" s="306">
        <v>6</v>
      </c>
      <c r="E288" s="338">
        <v>4</v>
      </c>
      <c r="F288" s="306">
        <v>23</v>
      </c>
    </row>
    <row r="289" spans="2:6" hidden="1" outlineLevel="1" x14ac:dyDescent="0.25">
      <c r="B289" s="340">
        <v>45078</v>
      </c>
      <c r="C289" s="306">
        <v>5</v>
      </c>
      <c r="D289" s="306">
        <v>4</v>
      </c>
      <c r="E289" s="338">
        <v>6</v>
      </c>
      <c r="F289" s="306">
        <v>15</v>
      </c>
    </row>
    <row r="290" spans="2:6" hidden="1" outlineLevel="1" x14ac:dyDescent="0.25">
      <c r="B290" s="340">
        <v>45108</v>
      </c>
      <c r="C290" s="306">
        <v>9</v>
      </c>
      <c r="D290" s="306">
        <v>15</v>
      </c>
      <c r="E290" s="338">
        <v>7</v>
      </c>
      <c r="F290" s="306">
        <v>31</v>
      </c>
    </row>
    <row r="291" spans="2:6" hidden="1" outlineLevel="1" x14ac:dyDescent="0.25">
      <c r="B291" s="340">
        <v>45139</v>
      </c>
      <c r="C291" s="306">
        <v>6</v>
      </c>
      <c r="D291" s="306">
        <v>12</v>
      </c>
      <c r="E291" s="338">
        <v>5</v>
      </c>
      <c r="F291" s="306">
        <v>23</v>
      </c>
    </row>
    <row r="292" spans="2:6" hidden="1" outlineLevel="1" x14ac:dyDescent="0.25">
      <c r="B292" s="340">
        <v>45170</v>
      </c>
      <c r="C292" s="306">
        <v>3</v>
      </c>
      <c r="D292" s="306">
        <v>16</v>
      </c>
      <c r="E292" s="338">
        <v>3</v>
      </c>
      <c r="F292" s="306">
        <v>22</v>
      </c>
    </row>
    <row r="293" spans="2:6" hidden="1" outlineLevel="1" x14ac:dyDescent="0.25">
      <c r="B293" s="340">
        <v>45200</v>
      </c>
      <c r="C293" s="306">
        <v>3</v>
      </c>
      <c r="D293" s="306">
        <v>6</v>
      </c>
      <c r="E293" s="338">
        <v>2</v>
      </c>
      <c r="F293" s="306">
        <v>11</v>
      </c>
    </row>
    <row r="294" spans="2:6" hidden="1" outlineLevel="1" x14ac:dyDescent="0.25">
      <c r="B294" s="340">
        <v>45231</v>
      </c>
      <c r="C294" s="306">
        <v>1</v>
      </c>
      <c r="D294" s="306">
        <v>11</v>
      </c>
      <c r="E294" s="338">
        <v>1</v>
      </c>
      <c r="F294" s="306">
        <v>13</v>
      </c>
    </row>
    <row r="295" spans="2:6" hidden="1" outlineLevel="1" x14ac:dyDescent="0.25">
      <c r="B295" s="340">
        <v>45261</v>
      </c>
      <c r="C295" s="306">
        <v>3</v>
      </c>
      <c r="D295" s="306">
        <v>8</v>
      </c>
      <c r="E295" s="338">
        <v>2</v>
      </c>
      <c r="F295" s="306">
        <v>13</v>
      </c>
    </row>
    <row r="296" spans="2:6" collapsed="1" x14ac:dyDescent="0.25">
      <c r="B296" s="379" t="s">
        <v>874</v>
      </c>
      <c r="C296" s="377">
        <v>84</v>
      </c>
      <c r="D296" s="377">
        <v>155</v>
      </c>
      <c r="E296" s="362">
        <v>58</v>
      </c>
      <c r="F296" s="377">
        <v>297</v>
      </c>
    </row>
    <row r="297" spans="2:6" x14ac:dyDescent="0.25">
      <c r="B297" s="4" t="s">
        <v>815</v>
      </c>
    </row>
  </sheetData>
  <mergeCells count="6">
    <mergeCell ref="B151:B152"/>
    <mergeCell ref="C151:E151"/>
    <mergeCell ref="F151:F152"/>
    <mergeCell ref="D7:F7"/>
    <mergeCell ref="C7:C8"/>
    <mergeCell ref="B7:B8"/>
  </mergeCells>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B1335-F5F0-483B-A3A4-CB520F6FD8F3}">
  <sheetPr>
    <tabColor theme="5"/>
  </sheetPr>
  <dimension ref="B2:L307"/>
  <sheetViews>
    <sheetView showGridLines="0" workbookViewId="0"/>
  </sheetViews>
  <sheetFormatPr baseColWidth="10" defaultRowHeight="15" outlineLevelRow="1" x14ac:dyDescent="0.25"/>
  <cols>
    <col min="2" max="2" width="19.28515625" customWidth="1"/>
  </cols>
  <sheetData>
    <row r="2" spans="2:12" ht="23.25" x14ac:dyDescent="0.25">
      <c r="B2" s="1" t="s">
        <v>746</v>
      </c>
    </row>
    <row r="4" spans="2:12" ht="18.75" x14ac:dyDescent="0.3">
      <c r="B4" s="2" t="s">
        <v>747</v>
      </c>
      <c r="C4" s="2"/>
      <c r="D4" s="2"/>
      <c r="E4" s="2"/>
      <c r="F4" s="2"/>
      <c r="G4" s="2"/>
      <c r="H4" s="2"/>
      <c r="I4" s="2"/>
      <c r="J4" s="2"/>
      <c r="K4" s="2"/>
      <c r="L4" s="2"/>
    </row>
    <row r="5" spans="2:12" x14ac:dyDescent="0.25">
      <c r="B5" s="15" t="s">
        <v>878</v>
      </c>
    </row>
    <row r="7" spans="2:12" x14ac:dyDescent="0.25">
      <c r="B7" s="251" t="s">
        <v>472</v>
      </c>
      <c r="C7" s="247" t="s">
        <v>73</v>
      </c>
      <c r="D7" s="247" t="s">
        <v>74</v>
      </c>
      <c r="E7" s="247" t="s">
        <v>25</v>
      </c>
    </row>
    <row r="8" spans="2:12" x14ac:dyDescent="0.25">
      <c r="B8" s="281" t="s">
        <v>744</v>
      </c>
      <c r="C8" s="260"/>
      <c r="D8" s="260"/>
      <c r="E8" s="279">
        <v>122650</v>
      </c>
    </row>
    <row r="9" spans="2:12" x14ac:dyDescent="0.25">
      <c r="B9" s="282" t="s">
        <v>722</v>
      </c>
      <c r="C9" s="260"/>
      <c r="D9" s="260"/>
      <c r="E9" s="279">
        <v>32605</v>
      </c>
    </row>
    <row r="10" spans="2:12" hidden="1" outlineLevel="1" x14ac:dyDescent="0.25">
      <c r="B10" s="341">
        <v>41275</v>
      </c>
      <c r="C10" s="261"/>
      <c r="D10" s="261"/>
      <c r="E10" s="342">
        <v>2532</v>
      </c>
    </row>
    <row r="11" spans="2:12" hidden="1" outlineLevel="1" x14ac:dyDescent="0.25">
      <c r="B11" s="341">
        <v>41306</v>
      </c>
      <c r="C11" s="261"/>
      <c r="D11" s="261"/>
      <c r="E11" s="342">
        <v>2439</v>
      </c>
    </row>
    <row r="12" spans="2:12" hidden="1" outlineLevel="1" x14ac:dyDescent="0.25">
      <c r="B12" s="341">
        <v>41334</v>
      </c>
      <c r="C12" s="261"/>
      <c r="D12" s="261"/>
      <c r="E12" s="342">
        <v>2431</v>
      </c>
    </row>
    <row r="13" spans="2:12" hidden="1" outlineLevel="1" x14ac:dyDescent="0.25">
      <c r="B13" s="341">
        <v>41365</v>
      </c>
      <c r="C13" s="261"/>
      <c r="D13" s="261"/>
      <c r="E13" s="342">
        <v>1851</v>
      </c>
    </row>
    <row r="14" spans="2:12" hidden="1" outlineLevel="1" x14ac:dyDescent="0.25">
      <c r="B14" s="341">
        <v>41395</v>
      </c>
      <c r="C14" s="261"/>
      <c r="D14" s="261"/>
      <c r="E14" s="342">
        <v>2369</v>
      </c>
    </row>
    <row r="15" spans="2:12" hidden="1" outlineLevel="1" x14ac:dyDescent="0.25">
      <c r="B15" s="341">
        <v>41426</v>
      </c>
      <c r="C15" s="261"/>
      <c r="D15" s="261"/>
      <c r="E15" s="342">
        <v>2281</v>
      </c>
    </row>
    <row r="16" spans="2:12" hidden="1" outlineLevel="1" x14ac:dyDescent="0.25">
      <c r="B16" s="341">
        <v>41456</v>
      </c>
      <c r="C16" s="261"/>
      <c r="D16" s="261"/>
      <c r="E16" s="342">
        <v>2297</v>
      </c>
    </row>
    <row r="17" spans="2:5" hidden="1" outlineLevel="1" x14ac:dyDescent="0.25">
      <c r="B17" s="341">
        <v>41487</v>
      </c>
      <c r="C17" s="261"/>
      <c r="D17" s="261"/>
      <c r="E17" s="342">
        <v>1478</v>
      </c>
    </row>
    <row r="18" spans="2:5" hidden="1" outlineLevel="1" x14ac:dyDescent="0.25">
      <c r="B18" s="341">
        <v>41518</v>
      </c>
      <c r="C18" s="261"/>
      <c r="D18" s="261"/>
      <c r="E18" s="342">
        <v>1310</v>
      </c>
    </row>
    <row r="19" spans="2:5" hidden="1" outlineLevel="1" x14ac:dyDescent="0.25">
      <c r="B19" s="341">
        <v>41548</v>
      </c>
      <c r="C19" s="261"/>
      <c r="D19" s="261"/>
      <c r="E19" s="342">
        <v>1141</v>
      </c>
    </row>
    <row r="20" spans="2:5" hidden="1" outlineLevel="1" x14ac:dyDescent="0.25">
      <c r="B20" s="341">
        <v>41579</v>
      </c>
      <c r="C20" s="261"/>
      <c r="D20" s="261"/>
      <c r="E20" s="342">
        <v>925</v>
      </c>
    </row>
    <row r="21" spans="2:5" hidden="1" outlineLevel="1" x14ac:dyDescent="0.25">
      <c r="B21" s="341">
        <v>41609</v>
      </c>
      <c r="C21" s="261"/>
      <c r="D21" s="261"/>
      <c r="E21" s="342">
        <v>2271</v>
      </c>
    </row>
    <row r="22" spans="2:5" collapsed="1" x14ac:dyDescent="0.25">
      <c r="B22" s="282" t="s">
        <v>34</v>
      </c>
      <c r="C22" s="260"/>
      <c r="D22" s="260"/>
      <c r="E22" s="279">
        <v>23325</v>
      </c>
    </row>
    <row r="23" spans="2:5" hidden="1" outlineLevel="1" x14ac:dyDescent="0.25">
      <c r="B23" s="341">
        <v>41640</v>
      </c>
      <c r="C23" s="261"/>
      <c r="D23" s="261"/>
      <c r="E23" s="342">
        <v>2624</v>
      </c>
    </row>
    <row r="24" spans="2:5" hidden="1" outlineLevel="1" x14ac:dyDescent="0.25">
      <c r="B24" s="341">
        <v>41671</v>
      </c>
      <c r="C24" s="261"/>
      <c r="D24" s="261"/>
      <c r="E24" s="342">
        <v>1598</v>
      </c>
    </row>
    <row r="25" spans="2:5" hidden="1" outlineLevel="1" x14ac:dyDescent="0.25">
      <c r="B25" s="341">
        <v>41699</v>
      </c>
      <c r="C25" s="261"/>
      <c r="D25" s="261"/>
      <c r="E25" s="342">
        <v>1914</v>
      </c>
    </row>
    <row r="26" spans="2:5" hidden="1" outlineLevel="1" x14ac:dyDescent="0.25">
      <c r="B26" s="341">
        <v>41730</v>
      </c>
      <c r="C26" s="261"/>
      <c r="D26" s="261"/>
      <c r="E26" s="342">
        <v>1065</v>
      </c>
    </row>
    <row r="27" spans="2:5" hidden="1" outlineLevel="1" x14ac:dyDescent="0.25">
      <c r="B27" s="341">
        <v>41760</v>
      </c>
      <c r="C27" s="261"/>
      <c r="D27" s="261"/>
      <c r="E27" s="342">
        <v>1919</v>
      </c>
    </row>
    <row r="28" spans="2:5" hidden="1" outlineLevel="1" x14ac:dyDescent="0.25">
      <c r="B28" s="341">
        <v>41791</v>
      </c>
      <c r="C28" s="261"/>
      <c r="D28" s="261"/>
      <c r="E28" s="342">
        <v>1580</v>
      </c>
    </row>
    <row r="29" spans="2:5" hidden="1" outlineLevel="1" x14ac:dyDescent="0.25">
      <c r="B29" s="341">
        <v>41821</v>
      </c>
      <c r="C29" s="261"/>
      <c r="D29" s="261"/>
      <c r="E29" s="342">
        <v>1542</v>
      </c>
    </row>
    <row r="30" spans="2:5" hidden="1" outlineLevel="1" x14ac:dyDescent="0.25">
      <c r="B30" s="341">
        <v>41852</v>
      </c>
      <c r="C30" s="261"/>
      <c r="D30" s="261"/>
      <c r="E30" s="342">
        <v>1606</v>
      </c>
    </row>
    <row r="31" spans="2:5" hidden="1" outlineLevel="1" x14ac:dyDescent="0.25">
      <c r="B31" s="341">
        <v>41883</v>
      </c>
      <c r="C31" s="261"/>
      <c r="D31" s="261"/>
      <c r="E31" s="342">
        <v>2676</v>
      </c>
    </row>
    <row r="32" spans="2:5" hidden="1" outlineLevel="1" x14ac:dyDescent="0.25">
      <c r="B32" s="341">
        <v>41913</v>
      </c>
      <c r="C32" s="261"/>
      <c r="D32" s="261"/>
      <c r="E32" s="342">
        <v>2626</v>
      </c>
    </row>
    <row r="33" spans="2:5" hidden="1" outlineLevel="1" x14ac:dyDescent="0.25">
      <c r="B33" s="341">
        <v>41944</v>
      </c>
      <c r="C33" s="261"/>
      <c r="D33" s="261"/>
      <c r="E33" s="342">
        <v>2422</v>
      </c>
    </row>
    <row r="34" spans="2:5" hidden="1" outlineLevel="1" x14ac:dyDescent="0.25">
      <c r="B34" s="341">
        <v>41974</v>
      </c>
      <c r="C34" s="261"/>
      <c r="D34" s="261"/>
      <c r="E34" s="342">
        <v>1349</v>
      </c>
    </row>
    <row r="35" spans="2:5" collapsed="1" x14ac:dyDescent="0.25">
      <c r="B35" s="282" t="s">
        <v>36</v>
      </c>
      <c r="C35" s="260"/>
      <c r="D35" s="260"/>
      <c r="E35" s="279">
        <v>22921</v>
      </c>
    </row>
    <row r="36" spans="2:5" hidden="1" outlineLevel="1" x14ac:dyDescent="0.25">
      <c r="B36" s="341">
        <v>42005</v>
      </c>
      <c r="C36" s="261"/>
      <c r="D36" s="261"/>
      <c r="E36" s="342">
        <v>2382</v>
      </c>
    </row>
    <row r="37" spans="2:5" hidden="1" outlineLevel="1" x14ac:dyDescent="0.25">
      <c r="B37" s="341">
        <v>42036</v>
      </c>
      <c r="C37" s="261"/>
      <c r="D37" s="261"/>
      <c r="E37" s="342">
        <v>3962</v>
      </c>
    </row>
    <row r="38" spans="2:5" hidden="1" outlineLevel="1" x14ac:dyDescent="0.25">
      <c r="B38" s="341">
        <v>42064</v>
      </c>
      <c r="C38" s="261"/>
      <c r="D38" s="261"/>
      <c r="E38" s="342">
        <v>2652</v>
      </c>
    </row>
    <row r="39" spans="2:5" hidden="1" outlineLevel="1" x14ac:dyDescent="0.25">
      <c r="B39" s="341">
        <v>42095</v>
      </c>
      <c r="C39" s="261"/>
      <c r="D39" s="261"/>
      <c r="E39" s="342">
        <v>3302</v>
      </c>
    </row>
    <row r="40" spans="2:5" hidden="1" outlineLevel="1" x14ac:dyDescent="0.25">
      <c r="B40" s="341">
        <v>42125</v>
      </c>
      <c r="C40" s="261"/>
      <c r="D40" s="261"/>
      <c r="E40" s="342">
        <v>1564</v>
      </c>
    </row>
    <row r="41" spans="2:5" hidden="1" outlineLevel="1" x14ac:dyDescent="0.25">
      <c r="B41" s="341">
        <v>42156</v>
      </c>
      <c r="C41" s="261"/>
      <c r="D41" s="261"/>
      <c r="E41" s="342">
        <v>2459</v>
      </c>
    </row>
    <row r="42" spans="2:5" hidden="1" outlineLevel="1" x14ac:dyDescent="0.25">
      <c r="B42" s="341">
        <v>42186</v>
      </c>
      <c r="C42" s="261"/>
      <c r="D42" s="261"/>
      <c r="E42" s="342">
        <v>1307</v>
      </c>
    </row>
    <row r="43" spans="2:5" hidden="1" outlineLevel="1" x14ac:dyDescent="0.25">
      <c r="B43" s="341">
        <v>42217</v>
      </c>
      <c r="C43" s="261"/>
      <c r="D43" s="261"/>
      <c r="E43" s="342">
        <v>2005</v>
      </c>
    </row>
    <row r="44" spans="2:5" hidden="1" outlineLevel="1" x14ac:dyDescent="0.25">
      <c r="B44" s="341">
        <v>42248</v>
      </c>
      <c r="C44" s="261"/>
      <c r="D44" s="261"/>
      <c r="E44" s="342">
        <v>1605</v>
      </c>
    </row>
    <row r="45" spans="2:5" hidden="1" outlineLevel="1" x14ac:dyDescent="0.25">
      <c r="B45" s="341">
        <v>42278</v>
      </c>
      <c r="C45" s="261"/>
      <c r="D45" s="261"/>
      <c r="E45" s="342">
        <v>5170</v>
      </c>
    </row>
    <row r="46" spans="2:5" hidden="1" outlineLevel="1" x14ac:dyDescent="0.25">
      <c r="B46" s="341">
        <v>42309</v>
      </c>
      <c r="C46" s="261"/>
      <c r="D46" s="261"/>
      <c r="E46" s="342">
        <v>2737</v>
      </c>
    </row>
    <row r="47" spans="2:5" hidden="1" outlineLevel="1" x14ac:dyDescent="0.25">
      <c r="B47" s="341">
        <v>42339</v>
      </c>
      <c r="C47" s="261"/>
      <c r="D47" s="261"/>
      <c r="E47" s="342">
        <v>1802</v>
      </c>
    </row>
    <row r="48" spans="2:5" collapsed="1" x14ac:dyDescent="0.25">
      <c r="B48" s="282" t="s">
        <v>38</v>
      </c>
      <c r="C48" s="260"/>
      <c r="D48" s="260"/>
      <c r="E48" s="260">
        <v>30947</v>
      </c>
    </row>
    <row r="49" spans="2:5" hidden="1" outlineLevel="1" x14ac:dyDescent="0.25">
      <c r="B49" s="341">
        <v>42370</v>
      </c>
      <c r="C49" s="261"/>
      <c r="D49" s="261"/>
      <c r="E49" s="342">
        <v>3979</v>
      </c>
    </row>
    <row r="50" spans="2:5" hidden="1" outlineLevel="1" x14ac:dyDescent="0.25">
      <c r="B50" s="341">
        <v>42401</v>
      </c>
      <c r="C50" s="261"/>
      <c r="D50" s="261"/>
      <c r="E50" s="342">
        <v>4366</v>
      </c>
    </row>
    <row r="51" spans="2:5" hidden="1" outlineLevel="1" x14ac:dyDescent="0.25">
      <c r="B51" s="341">
        <v>42430</v>
      </c>
      <c r="C51" s="261"/>
      <c r="D51" s="261"/>
      <c r="E51" s="342">
        <v>2056</v>
      </c>
    </row>
    <row r="52" spans="2:5" hidden="1" outlineLevel="1" x14ac:dyDescent="0.25">
      <c r="B52" s="341">
        <v>42461</v>
      </c>
      <c r="C52" s="261"/>
      <c r="D52" s="261"/>
      <c r="E52" s="342">
        <v>2454</v>
      </c>
    </row>
    <row r="53" spans="2:5" hidden="1" outlineLevel="1" x14ac:dyDescent="0.25">
      <c r="B53" s="341">
        <v>42491</v>
      </c>
      <c r="C53" s="261">
        <v>1021</v>
      </c>
      <c r="D53" s="261">
        <v>834</v>
      </c>
      <c r="E53" s="342">
        <v>1855</v>
      </c>
    </row>
    <row r="54" spans="2:5" hidden="1" outlineLevel="1" x14ac:dyDescent="0.25">
      <c r="B54" s="341">
        <v>42522</v>
      </c>
      <c r="C54" s="261">
        <v>983</v>
      </c>
      <c r="D54" s="261">
        <v>924</v>
      </c>
      <c r="E54" s="342">
        <v>1907</v>
      </c>
    </row>
    <row r="55" spans="2:5" hidden="1" outlineLevel="1" x14ac:dyDescent="0.25">
      <c r="B55" s="341">
        <v>42552</v>
      </c>
      <c r="C55" s="261">
        <v>1011</v>
      </c>
      <c r="D55" s="261">
        <v>872</v>
      </c>
      <c r="E55" s="342">
        <v>1883</v>
      </c>
    </row>
    <row r="56" spans="2:5" hidden="1" outlineLevel="1" x14ac:dyDescent="0.25">
      <c r="B56" s="341">
        <v>42583</v>
      </c>
      <c r="C56" s="261">
        <v>2375</v>
      </c>
      <c r="D56" s="261">
        <v>1728</v>
      </c>
      <c r="E56" s="342">
        <v>4103</v>
      </c>
    </row>
    <row r="57" spans="2:5" hidden="1" outlineLevel="1" x14ac:dyDescent="0.25">
      <c r="B57" s="341">
        <v>42614</v>
      </c>
      <c r="C57" s="261">
        <v>993</v>
      </c>
      <c r="D57" s="261">
        <v>820</v>
      </c>
      <c r="E57" s="342">
        <v>1813</v>
      </c>
    </row>
    <row r="58" spans="2:5" hidden="1" outlineLevel="1" x14ac:dyDescent="0.25">
      <c r="B58" s="341">
        <v>42644</v>
      </c>
      <c r="C58" s="261">
        <v>783</v>
      </c>
      <c r="D58" s="261">
        <v>848</v>
      </c>
      <c r="E58" s="342">
        <v>1631</v>
      </c>
    </row>
    <row r="59" spans="2:5" hidden="1" outlineLevel="1" x14ac:dyDescent="0.25">
      <c r="B59" s="341">
        <v>42675</v>
      </c>
      <c r="C59" s="261">
        <v>497</v>
      </c>
      <c r="D59" s="261">
        <v>326</v>
      </c>
      <c r="E59" s="342">
        <v>823</v>
      </c>
    </row>
    <row r="60" spans="2:5" hidden="1" outlineLevel="1" x14ac:dyDescent="0.25">
      <c r="B60" s="341">
        <v>42705</v>
      </c>
      <c r="C60" s="261">
        <v>1219</v>
      </c>
      <c r="D60" s="261">
        <v>923</v>
      </c>
      <c r="E60" s="342">
        <v>2142</v>
      </c>
    </row>
    <row r="61" spans="2:5" collapsed="1" x14ac:dyDescent="0.25">
      <c r="B61" s="282" t="s">
        <v>55</v>
      </c>
      <c r="C61" s="260"/>
      <c r="D61" s="260"/>
      <c r="E61" s="279">
        <v>29012</v>
      </c>
    </row>
    <row r="62" spans="2:5" hidden="1" outlineLevel="1" x14ac:dyDescent="0.25">
      <c r="B62" s="341">
        <v>42736</v>
      </c>
      <c r="C62" s="261">
        <v>1817</v>
      </c>
      <c r="D62" s="261">
        <v>1272</v>
      </c>
      <c r="E62" s="342">
        <v>3089</v>
      </c>
    </row>
    <row r="63" spans="2:5" hidden="1" outlineLevel="1" x14ac:dyDescent="0.25">
      <c r="B63" s="341">
        <v>42767</v>
      </c>
      <c r="C63" s="261">
        <v>1645</v>
      </c>
      <c r="D63" s="261">
        <v>1289</v>
      </c>
      <c r="E63" s="342">
        <v>2934</v>
      </c>
    </row>
    <row r="64" spans="2:5" hidden="1" outlineLevel="1" x14ac:dyDescent="0.25">
      <c r="B64" s="341">
        <v>42795</v>
      </c>
      <c r="C64" s="261">
        <v>1362</v>
      </c>
      <c r="D64" s="261">
        <v>1006</v>
      </c>
      <c r="E64" s="342">
        <v>2368</v>
      </c>
    </row>
    <row r="65" spans="2:5" hidden="1" outlineLevel="1" x14ac:dyDescent="0.25">
      <c r="B65" s="341">
        <v>42826</v>
      </c>
      <c r="C65" s="261">
        <v>718</v>
      </c>
      <c r="D65" s="261">
        <v>604</v>
      </c>
      <c r="E65" s="342">
        <v>1322</v>
      </c>
    </row>
    <row r="66" spans="2:5" hidden="1" outlineLevel="1" x14ac:dyDescent="0.25">
      <c r="B66" s="341">
        <v>42856</v>
      </c>
      <c r="C66" s="261">
        <v>762</v>
      </c>
      <c r="D66" s="261">
        <v>531</v>
      </c>
      <c r="E66" s="342">
        <v>1293</v>
      </c>
    </row>
    <row r="67" spans="2:5" hidden="1" outlineLevel="1" x14ac:dyDescent="0.25">
      <c r="B67" s="341">
        <v>42887</v>
      </c>
      <c r="C67" s="261">
        <v>919</v>
      </c>
      <c r="D67" s="261">
        <v>611</v>
      </c>
      <c r="E67" s="342">
        <v>1530</v>
      </c>
    </row>
    <row r="68" spans="2:5" hidden="1" outlineLevel="1" x14ac:dyDescent="0.25">
      <c r="B68" s="341">
        <v>42917</v>
      </c>
      <c r="C68" s="261">
        <v>956</v>
      </c>
      <c r="D68" s="261">
        <v>639</v>
      </c>
      <c r="E68" s="342">
        <v>1595</v>
      </c>
    </row>
    <row r="69" spans="2:5" hidden="1" outlineLevel="1" x14ac:dyDescent="0.25">
      <c r="B69" s="341">
        <v>42948</v>
      </c>
      <c r="C69" s="261">
        <v>751</v>
      </c>
      <c r="D69" s="261">
        <v>503</v>
      </c>
      <c r="E69" s="342">
        <v>1254</v>
      </c>
    </row>
    <row r="70" spans="2:5" hidden="1" outlineLevel="1" x14ac:dyDescent="0.25">
      <c r="B70" s="341">
        <v>42979</v>
      </c>
      <c r="C70" s="261">
        <v>863</v>
      </c>
      <c r="D70" s="261">
        <v>564</v>
      </c>
      <c r="E70" s="342">
        <v>1427</v>
      </c>
    </row>
    <row r="71" spans="2:5" hidden="1" outlineLevel="1" x14ac:dyDescent="0.25">
      <c r="B71" s="341">
        <v>43009</v>
      </c>
      <c r="C71" s="261">
        <v>352</v>
      </c>
      <c r="D71" s="261">
        <v>264</v>
      </c>
      <c r="E71" s="342">
        <v>616</v>
      </c>
    </row>
    <row r="72" spans="2:5" hidden="1" outlineLevel="1" x14ac:dyDescent="0.25">
      <c r="B72" s="341">
        <v>43040</v>
      </c>
      <c r="C72" s="261">
        <v>561</v>
      </c>
      <c r="D72" s="261">
        <v>386</v>
      </c>
      <c r="E72" s="342">
        <v>947</v>
      </c>
    </row>
    <row r="73" spans="2:5" hidden="1" outlineLevel="1" x14ac:dyDescent="0.25">
      <c r="B73" s="341">
        <v>43070</v>
      </c>
      <c r="C73" s="261">
        <v>660</v>
      </c>
      <c r="D73" s="261">
        <v>615</v>
      </c>
      <c r="E73" s="342">
        <v>1275</v>
      </c>
    </row>
    <row r="74" spans="2:5" collapsed="1" x14ac:dyDescent="0.25">
      <c r="B74" s="242" t="s">
        <v>58</v>
      </c>
      <c r="C74" s="260">
        <v>11366</v>
      </c>
      <c r="D74" s="260">
        <v>8284</v>
      </c>
      <c r="E74" s="260">
        <v>19650</v>
      </c>
    </row>
    <row r="75" spans="2:5" hidden="1" outlineLevel="1" x14ac:dyDescent="0.25">
      <c r="B75" s="341">
        <v>43101</v>
      </c>
      <c r="C75" s="261">
        <v>777</v>
      </c>
      <c r="D75" s="261">
        <v>678</v>
      </c>
      <c r="E75" s="342">
        <v>1455</v>
      </c>
    </row>
    <row r="76" spans="2:5" hidden="1" outlineLevel="1" x14ac:dyDescent="0.25">
      <c r="B76" s="341">
        <v>43132</v>
      </c>
      <c r="C76" s="261">
        <v>979</v>
      </c>
      <c r="D76" s="261">
        <v>837</v>
      </c>
      <c r="E76" s="342">
        <v>1816</v>
      </c>
    </row>
    <row r="77" spans="2:5" hidden="1" outlineLevel="1" x14ac:dyDescent="0.25">
      <c r="B77" s="341">
        <v>43160</v>
      </c>
      <c r="C77" s="261">
        <v>1375</v>
      </c>
      <c r="D77" s="261">
        <v>894</v>
      </c>
      <c r="E77" s="342">
        <v>2269</v>
      </c>
    </row>
    <row r="78" spans="2:5" hidden="1" outlineLevel="1" x14ac:dyDescent="0.25">
      <c r="B78" s="341">
        <v>43191</v>
      </c>
      <c r="C78" s="261">
        <v>1043</v>
      </c>
      <c r="D78" s="261">
        <v>596</v>
      </c>
      <c r="E78" s="342">
        <v>1639</v>
      </c>
    </row>
    <row r="79" spans="2:5" hidden="1" outlineLevel="1" x14ac:dyDescent="0.25">
      <c r="B79" s="341">
        <v>43221</v>
      </c>
      <c r="C79" s="261">
        <v>760</v>
      </c>
      <c r="D79" s="261">
        <v>451</v>
      </c>
      <c r="E79" s="342">
        <v>1211</v>
      </c>
    </row>
    <row r="80" spans="2:5" hidden="1" outlineLevel="1" x14ac:dyDescent="0.25">
      <c r="B80" s="341">
        <v>43252</v>
      </c>
      <c r="C80" s="261">
        <v>1059</v>
      </c>
      <c r="D80" s="261">
        <v>680</v>
      </c>
      <c r="E80" s="342">
        <v>1739</v>
      </c>
    </row>
    <row r="81" spans="2:5" hidden="1" outlineLevel="1" x14ac:dyDescent="0.25">
      <c r="B81" s="341">
        <v>43282</v>
      </c>
      <c r="C81" s="261">
        <v>968</v>
      </c>
      <c r="D81" s="261">
        <v>597</v>
      </c>
      <c r="E81" s="342">
        <v>1565</v>
      </c>
    </row>
    <row r="82" spans="2:5" hidden="1" outlineLevel="1" x14ac:dyDescent="0.25">
      <c r="B82" s="341">
        <v>43313</v>
      </c>
      <c r="C82" s="261">
        <v>1231</v>
      </c>
      <c r="D82" s="261">
        <v>879</v>
      </c>
      <c r="E82" s="342">
        <v>2110</v>
      </c>
    </row>
    <row r="83" spans="2:5" hidden="1" outlineLevel="1" x14ac:dyDescent="0.25">
      <c r="B83" s="341">
        <v>43344</v>
      </c>
      <c r="C83" s="261">
        <v>1614</v>
      </c>
      <c r="D83" s="261">
        <v>1116</v>
      </c>
      <c r="E83" s="342">
        <v>2730</v>
      </c>
    </row>
    <row r="84" spans="2:5" hidden="1" outlineLevel="1" x14ac:dyDescent="0.25">
      <c r="B84" s="341">
        <v>43374</v>
      </c>
      <c r="C84" s="261">
        <v>1026</v>
      </c>
      <c r="D84" s="261">
        <v>810</v>
      </c>
      <c r="E84" s="342">
        <v>1836</v>
      </c>
    </row>
    <row r="85" spans="2:5" hidden="1" outlineLevel="1" x14ac:dyDescent="0.25">
      <c r="B85" s="341">
        <v>43405</v>
      </c>
      <c r="C85" s="261">
        <v>655</v>
      </c>
      <c r="D85" s="261">
        <v>330</v>
      </c>
      <c r="E85" s="342">
        <v>985</v>
      </c>
    </row>
    <row r="86" spans="2:5" hidden="1" outlineLevel="1" x14ac:dyDescent="0.25">
      <c r="B86" s="341">
        <v>43435</v>
      </c>
      <c r="C86" s="261">
        <v>1554</v>
      </c>
      <c r="D86" s="261">
        <v>766</v>
      </c>
      <c r="E86" s="342">
        <v>2320</v>
      </c>
    </row>
    <row r="87" spans="2:5" collapsed="1" x14ac:dyDescent="0.25">
      <c r="B87" s="242" t="s">
        <v>59</v>
      </c>
      <c r="C87" s="260">
        <v>13041</v>
      </c>
      <c r="D87" s="260">
        <v>8634</v>
      </c>
      <c r="E87" s="260">
        <v>21675</v>
      </c>
    </row>
    <row r="88" spans="2:5" hidden="1" outlineLevel="1" x14ac:dyDescent="0.25">
      <c r="B88" s="341">
        <v>43466</v>
      </c>
      <c r="C88" s="261">
        <v>1711</v>
      </c>
      <c r="D88" s="261">
        <v>1024</v>
      </c>
      <c r="E88" s="342">
        <v>2735</v>
      </c>
    </row>
    <row r="89" spans="2:5" hidden="1" outlineLevel="1" x14ac:dyDescent="0.25">
      <c r="B89" s="341">
        <v>43497</v>
      </c>
      <c r="C89" s="261">
        <v>1618</v>
      </c>
      <c r="D89" s="261">
        <v>809</v>
      </c>
      <c r="E89" s="342">
        <v>2427</v>
      </c>
    </row>
    <row r="90" spans="2:5" hidden="1" outlineLevel="1" x14ac:dyDescent="0.25">
      <c r="B90" s="341">
        <v>43525</v>
      </c>
      <c r="C90" s="261">
        <v>467</v>
      </c>
      <c r="D90" s="261">
        <v>342</v>
      </c>
      <c r="E90" s="342">
        <v>809</v>
      </c>
    </row>
    <row r="91" spans="2:5" hidden="1" outlineLevel="1" x14ac:dyDescent="0.25">
      <c r="B91" s="341">
        <v>43556</v>
      </c>
      <c r="C91" s="261">
        <v>1080</v>
      </c>
      <c r="D91" s="261">
        <v>564</v>
      </c>
      <c r="E91" s="342">
        <v>1644</v>
      </c>
    </row>
    <row r="92" spans="2:5" hidden="1" outlineLevel="1" x14ac:dyDescent="0.25">
      <c r="B92" s="341">
        <v>43586</v>
      </c>
      <c r="C92" s="261">
        <v>1085</v>
      </c>
      <c r="D92" s="261">
        <v>663</v>
      </c>
      <c r="E92" s="342">
        <v>1748</v>
      </c>
    </row>
    <row r="93" spans="2:5" hidden="1" outlineLevel="1" x14ac:dyDescent="0.25">
      <c r="B93" s="341">
        <v>43617</v>
      </c>
      <c r="C93" s="261">
        <v>2004</v>
      </c>
      <c r="D93" s="261">
        <v>1413</v>
      </c>
      <c r="E93" s="342">
        <v>3417</v>
      </c>
    </row>
    <row r="94" spans="2:5" hidden="1" outlineLevel="1" x14ac:dyDescent="0.25">
      <c r="B94" s="341">
        <v>43647</v>
      </c>
      <c r="C94" s="261">
        <v>2427</v>
      </c>
      <c r="D94" s="261">
        <v>1403</v>
      </c>
      <c r="E94" s="342">
        <v>3830</v>
      </c>
    </row>
    <row r="95" spans="2:5" hidden="1" outlineLevel="1" x14ac:dyDescent="0.25">
      <c r="B95" s="341">
        <v>43678</v>
      </c>
      <c r="C95" s="261">
        <v>2118</v>
      </c>
      <c r="D95" s="261">
        <v>1197</v>
      </c>
      <c r="E95" s="342">
        <v>3315</v>
      </c>
    </row>
    <row r="96" spans="2:5" hidden="1" outlineLevel="1" x14ac:dyDescent="0.25">
      <c r="B96" s="341">
        <v>43709</v>
      </c>
      <c r="C96" s="261">
        <v>1382</v>
      </c>
      <c r="D96" s="261">
        <v>1016</v>
      </c>
      <c r="E96" s="342">
        <v>2398</v>
      </c>
    </row>
    <row r="97" spans="2:5" hidden="1" outlineLevel="1" x14ac:dyDescent="0.25">
      <c r="B97" s="341">
        <v>43739</v>
      </c>
      <c r="C97" s="261">
        <v>948</v>
      </c>
      <c r="D97" s="261">
        <v>627</v>
      </c>
      <c r="E97" s="342">
        <v>1575</v>
      </c>
    </row>
    <row r="98" spans="2:5" hidden="1" outlineLevel="1" x14ac:dyDescent="0.25">
      <c r="B98" s="341">
        <v>43770</v>
      </c>
      <c r="C98" s="261">
        <v>949</v>
      </c>
      <c r="D98" s="261">
        <v>527</v>
      </c>
      <c r="E98" s="342">
        <v>1476</v>
      </c>
    </row>
    <row r="99" spans="2:5" hidden="1" outlineLevel="1" x14ac:dyDescent="0.25">
      <c r="B99" s="341">
        <v>43800</v>
      </c>
      <c r="C99" s="261">
        <v>506</v>
      </c>
      <c r="D99" s="261">
        <v>423</v>
      </c>
      <c r="E99" s="342">
        <v>929</v>
      </c>
    </row>
    <row r="100" spans="2:5" collapsed="1" x14ac:dyDescent="0.25">
      <c r="B100" s="242" t="s">
        <v>60</v>
      </c>
      <c r="C100" s="260">
        <v>16295</v>
      </c>
      <c r="D100" s="260">
        <v>10008</v>
      </c>
      <c r="E100" s="260">
        <v>26303</v>
      </c>
    </row>
    <row r="101" spans="2:5" hidden="1" outlineLevel="1" x14ac:dyDescent="0.25">
      <c r="B101" s="341">
        <v>43831</v>
      </c>
      <c r="C101" s="261">
        <v>1297</v>
      </c>
      <c r="D101" s="261">
        <v>758</v>
      </c>
      <c r="E101" s="342">
        <v>2055</v>
      </c>
    </row>
    <row r="102" spans="2:5" hidden="1" outlineLevel="1" x14ac:dyDescent="0.25">
      <c r="B102" s="341">
        <v>43862</v>
      </c>
      <c r="C102" s="261">
        <v>1495</v>
      </c>
      <c r="D102" s="261">
        <v>1505</v>
      </c>
      <c r="E102" s="342">
        <v>3000</v>
      </c>
    </row>
    <row r="103" spans="2:5" hidden="1" outlineLevel="1" x14ac:dyDescent="0.25">
      <c r="B103" s="341">
        <v>43891</v>
      </c>
      <c r="C103" s="261">
        <v>1883</v>
      </c>
      <c r="D103" s="261">
        <v>1296</v>
      </c>
      <c r="E103" s="342">
        <v>3179</v>
      </c>
    </row>
    <row r="104" spans="2:5" hidden="1" outlineLevel="1" x14ac:dyDescent="0.25">
      <c r="B104" s="341">
        <v>43922</v>
      </c>
      <c r="C104" s="261">
        <v>3853</v>
      </c>
      <c r="D104" s="261">
        <v>2369</v>
      </c>
      <c r="E104" s="342">
        <v>6222</v>
      </c>
    </row>
    <row r="105" spans="2:5" hidden="1" outlineLevel="1" x14ac:dyDescent="0.25">
      <c r="B105" s="341">
        <v>43952</v>
      </c>
      <c r="C105" s="261">
        <v>3685</v>
      </c>
      <c r="D105" s="261">
        <v>1919</v>
      </c>
      <c r="E105" s="342">
        <v>5604</v>
      </c>
    </row>
    <row r="106" spans="2:5" hidden="1" outlineLevel="1" x14ac:dyDescent="0.25">
      <c r="B106" s="341">
        <v>43983</v>
      </c>
      <c r="C106" s="261">
        <v>3750</v>
      </c>
      <c r="D106" s="261">
        <v>1981</v>
      </c>
      <c r="E106" s="342">
        <v>5731</v>
      </c>
    </row>
    <row r="107" spans="2:5" hidden="1" outlineLevel="1" x14ac:dyDescent="0.25">
      <c r="B107" s="341">
        <v>44013</v>
      </c>
      <c r="C107" s="261">
        <v>5203</v>
      </c>
      <c r="D107" s="261">
        <v>2979</v>
      </c>
      <c r="E107" s="342">
        <v>8182</v>
      </c>
    </row>
    <row r="108" spans="2:5" hidden="1" outlineLevel="1" x14ac:dyDescent="0.25">
      <c r="B108" s="341">
        <v>44044</v>
      </c>
      <c r="C108" s="261">
        <v>4969</v>
      </c>
      <c r="D108" s="261">
        <v>2864</v>
      </c>
      <c r="E108" s="342">
        <v>7833</v>
      </c>
    </row>
    <row r="109" spans="2:5" hidden="1" outlineLevel="1" x14ac:dyDescent="0.25">
      <c r="B109" s="341">
        <v>44075</v>
      </c>
      <c r="C109" s="261">
        <v>2385</v>
      </c>
      <c r="D109" s="261">
        <v>1258</v>
      </c>
      <c r="E109" s="342">
        <v>3643</v>
      </c>
    </row>
    <row r="110" spans="2:5" hidden="1" outlineLevel="1" x14ac:dyDescent="0.25">
      <c r="B110" s="341">
        <v>44105</v>
      </c>
      <c r="C110" s="261">
        <v>2045</v>
      </c>
      <c r="D110" s="261">
        <v>1173</v>
      </c>
      <c r="E110" s="342">
        <v>3218</v>
      </c>
    </row>
    <row r="111" spans="2:5" hidden="1" outlineLevel="1" x14ac:dyDescent="0.25">
      <c r="B111" s="341">
        <v>44136</v>
      </c>
      <c r="C111" s="261">
        <v>1545</v>
      </c>
      <c r="D111" s="261">
        <v>906</v>
      </c>
      <c r="E111" s="342">
        <v>2451</v>
      </c>
    </row>
    <row r="112" spans="2:5" hidden="1" outlineLevel="1" x14ac:dyDescent="0.25">
      <c r="B112" s="341">
        <v>44166</v>
      </c>
      <c r="C112" s="261">
        <v>1765</v>
      </c>
      <c r="D112" s="261">
        <v>802</v>
      </c>
      <c r="E112" s="342">
        <v>2567</v>
      </c>
    </row>
    <row r="113" spans="2:5" collapsed="1" x14ac:dyDescent="0.25">
      <c r="B113" s="283" t="s">
        <v>64</v>
      </c>
      <c r="C113" s="260">
        <v>33875</v>
      </c>
      <c r="D113" s="260">
        <v>19810</v>
      </c>
      <c r="E113" s="260">
        <v>53685</v>
      </c>
    </row>
    <row r="114" spans="2:5" hidden="1" outlineLevel="1" x14ac:dyDescent="0.25">
      <c r="B114" s="341">
        <v>44197</v>
      </c>
      <c r="C114" s="261">
        <v>2266</v>
      </c>
      <c r="D114" s="261">
        <v>1048</v>
      </c>
      <c r="E114" s="342">
        <v>3314</v>
      </c>
    </row>
    <row r="115" spans="2:5" hidden="1" outlineLevel="1" x14ac:dyDescent="0.25">
      <c r="B115" s="341">
        <v>44228</v>
      </c>
      <c r="C115" s="261">
        <v>3079</v>
      </c>
      <c r="D115" s="261">
        <v>1343</v>
      </c>
      <c r="E115" s="342">
        <v>4422</v>
      </c>
    </row>
    <row r="116" spans="2:5" hidden="1" outlineLevel="1" x14ac:dyDescent="0.25">
      <c r="B116" s="341">
        <v>44256</v>
      </c>
      <c r="C116" s="261">
        <v>3621</v>
      </c>
      <c r="D116" s="261">
        <v>1770</v>
      </c>
      <c r="E116" s="342">
        <v>5391</v>
      </c>
    </row>
    <row r="117" spans="2:5" hidden="1" outlineLevel="1" x14ac:dyDescent="0.25">
      <c r="B117" s="341">
        <v>44287</v>
      </c>
      <c r="C117" s="261">
        <v>4727</v>
      </c>
      <c r="D117" s="261">
        <v>2416</v>
      </c>
      <c r="E117" s="342">
        <v>7143</v>
      </c>
    </row>
    <row r="118" spans="2:5" hidden="1" outlineLevel="1" x14ac:dyDescent="0.25">
      <c r="B118" s="341">
        <v>44317</v>
      </c>
      <c r="C118" s="261">
        <v>3848</v>
      </c>
      <c r="D118" s="261">
        <v>2237</v>
      </c>
      <c r="E118" s="342">
        <v>6085</v>
      </c>
    </row>
    <row r="119" spans="2:5" hidden="1" outlineLevel="1" x14ac:dyDescent="0.25">
      <c r="B119" s="341">
        <v>44348</v>
      </c>
      <c r="C119" s="261">
        <v>3185</v>
      </c>
      <c r="D119" s="261">
        <v>2330</v>
      </c>
      <c r="E119" s="342">
        <v>5515</v>
      </c>
    </row>
    <row r="120" spans="2:5" hidden="1" outlineLevel="1" x14ac:dyDescent="0.25">
      <c r="B120" s="341">
        <v>44378</v>
      </c>
      <c r="C120" s="261">
        <v>2655</v>
      </c>
      <c r="D120" s="261">
        <v>1488</v>
      </c>
      <c r="E120" s="342">
        <v>4143</v>
      </c>
    </row>
    <row r="121" spans="2:5" hidden="1" outlineLevel="1" x14ac:dyDescent="0.25">
      <c r="B121" s="341">
        <v>44409</v>
      </c>
      <c r="C121" s="261">
        <v>2460</v>
      </c>
      <c r="D121" s="261">
        <v>1179</v>
      </c>
      <c r="E121" s="342">
        <v>3639</v>
      </c>
    </row>
    <row r="122" spans="2:5" hidden="1" outlineLevel="1" x14ac:dyDescent="0.25">
      <c r="B122" s="341">
        <v>44440</v>
      </c>
      <c r="C122" s="261">
        <v>2275</v>
      </c>
      <c r="D122" s="261">
        <v>1293</v>
      </c>
      <c r="E122" s="342">
        <v>3568</v>
      </c>
    </row>
    <row r="123" spans="2:5" hidden="1" outlineLevel="1" x14ac:dyDescent="0.25">
      <c r="B123" s="341">
        <v>44470</v>
      </c>
      <c r="C123" s="261">
        <v>1844</v>
      </c>
      <c r="D123" s="261">
        <v>901</v>
      </c>
      <c r="E123" s="342">
        <v>2745</v>
      </c>
    </row>
    <row r="124" spans="2:5" hidden="1" outlineLevel="1" x14ac:dyDescent="0.25">
      <c r="B124" s="341">
        <v>44501</v>
      </c>
      <c r="C124" s="261">
        <v>1736</v>
      </c>
      <c r="D124" s="261">
        <v>897</v>
      </c>
      <c r="E124" s="342">
        <v>2633</v>
      </c>
    </row>
    <row r="125" spans="2:5" hidden="1" outlineLevel="1" x14ac:dyDescent="0.25">
      <c r="B125" s="341">
        <v>44531</v>
      </c>
      <c r="C125" s="261">
        <v>1412</v>
      </c>
      <c r="D125" s="261">
        <v>755</v>
      </c>
      <c r="E125" s="342">
        <v>2167</v>
      </c>
    </row>
    <row r="126" spans="2:5" collapsed="1" x14ac:dyDescent="0.25">
      <c r="B126" s="283" t="s">
        <v>65</v>
      </c>
      <c r="C126" s="260">
        <v>33108</v>
      </c>
      <c r="D126" s="260">
        <v>17657</v>
      </c>
      <c r="E126" s="260">
        <v>50765</v>
      </c>
    </row>
    <row r="127" spans="2:5" hidden="1" outlineLevel="1" x14ac:dyDescent="0.25">
      <c r="B127" s="341">
        <v>44562</v>
      </c>
      <c r="C127" s="261">
        <v>2120</v>
      </c>
      <c r="D127" s="261">
        <v>1047</v>
      </c>
      <c r="E127" s="342">
        <v>3167</v>
      </c>
    </row>
    <row r="128" spans="2:5" hidden="1" outlineLevel="1" x14ac:dyDescent="0.25">
      <c r="B128" s="341">
        <v>44593</v>
      </c>
      <c r="C128" s="261">
        <v>1533</v>
      </c>
      <c r="D128" s="261">
        <v>678</v>
      </c>
      <c r="E128" s="342">
        <v>2211</v>
      </c>
    </row>
    <row r="129" spans="2:5" hidden="1" outlineLevel="1" x14ac:dyDescent="0.25">
      <c r="B129" s="341">
        <v>44621</v>
      </c>
      <c r="C129" s="261">
        <v>1322</v>
      </c>
      <c r="D129" s="261">
        <v>822</v>
      </c>
      <c r="E129" s="342">
        <v>2144</v>
      </c>
    </row>
    <row r="130" spans="2:5" hidden="1" outlineLevel="1" x14ac:dyDescent="0.25">
      <c r="B130" s="341">
        <v>44652</v>
      </c>
      <c r="C130" s="261">
        <v>4292</v>
      </c>
      <c r="D130" s="261">
        <v>2262</v>
      </c>
      <c r="E130" s="342">
        <v>6554</v>
      </c>
    </row>
    <row r="131" spans="2:5" hidden="1" outlineLevel="1" x14ac:dyDescent="0.25">
      <c r="B131" s="341">
        <v>44682</v>
      </c>
      <c r="C131" s="261">
        <v>3114</v>
      </c>
      <c r="D131" s="261">
        <v>1783</v>
      </c>
      <c r="E131" s="342">
        <v>4897</v>
      </c>
    </row>
    <row r="132" spans="2:5" hidden="1" outlineLevel="1" x14ac:dyDescent="0.25">
      <c r="B132" s="341">
        <v>44713</v>
      </c>
      <c r="C132" s="261">
        <v>2806</v>
      </c>
      <c r="D132" s="261">
        <v>1333</v>
      </c>
      <c r="E132" s="342">
        <v>4139</v>
      </c>
    </row>
    <row r="133" spans="2:5" hidden="1" outlineLevel="1" x14ac:dyDescent="0.25">
      <c r="B133" s="341">
        <v>44743</v>
      </c>
      <c r="C133" s="261">
        <v>4112</v>
      </c>
      <c r="D133" s="261">
        <v>1806</v>
      </c>
      <c r="E133" s="342">
        <v>5918</v>
      </c>
    </row>
    <row r="134" spans="2:5" hidden="1" outlineLevel="1" x14ac:dyDescent="0.25">
      <c r="B134" s="341">
        <v>44774</v>
      </c>
      <c r="C134" s="261">
        <v>4749</v>
      </c>
      <c r="D134" s="261">
        <v>2007</v>
      </c>
      <c r="E134" s="342">
        <v>6756</v>
      </c>
    </row>
    <row r="135" spans="2:5" hidden="1" outlineLevel="1" x14ac:dyDescent="0.25">
      <c r="B135" s="341">
        <v>44805</v>
      </c>
      <c r="C135" s="261">
        <v>2253</v>
      </c>
      <c r="D135" s="261">
        <v>1434</v>
      </c>
      <c r="E135" s="342">
        <v>3687</v>
      </c>
    </row>
    <row r="136" spans="2:5" hidden="1" outlineLevel="1" x14ac:dyDescent="0.25">
      <c r="B136" s="341">
        <v>44835</v>
      </c>
      <c r="C136" s="261">
        <v>4664</v>
      </c>
      <c r="D136" s="261">
        <v>2110</v>
      </c>
      <c r="E136" s="342">
        <v>6774</v>
      </c>
    </row>
    <row r="137" spans="2:5" hidden="1" outlineLevel="1" x14ac:dyDescent="0.25">
      <c r="B137" s="341">
        <v>44866</v>
      </c>
      <c r="C137" s="261">
        <v>2215</v>
      </c>
      <c r="D137" s="261">
        <v>1015</v>
      </c>
      <c r="E137" s="342">
        <v>3230</v>
      </c>
    </row>
    <row r="138" spans="2:5" hidden="1" outlineLevel="1" x14ac:dyDescent="0.25">
      <c r="B138" s="341">
        <v>44896</v>
      </c>
      <c r="C138" s="261">
        <v>911</v>
      </c>
      <c r="D138" s="261">
        <v>503</v>
      </c>
      <c r="E138" s="342">
        <v>1414</v>
      </c>
    </row>
    <row r="139" spans="2:5" collapsed="1" x14ac:dyDescent="0.25">
      <c r="B139" s="283" t="s">
        <v>66</v>
      </c>
      <c r="C139" s="260">
        <v>34091</v>
      </c>
      <c r="D139" s="260">
        <v>16800</v>
      </c>
      <c r="E139" s="260">
        <v>50891</v>
      </c>
    </row>
    <row r="140" spans="2:5" hidden="1" outlineLevel="1" x14ac:dyDescent="0.25">
      <c r="B140" s="241">
        <v>44927</v>
      </c>
      <c r="C140" s="261">
        <v>4342</v>
      </c>
      <c r="D140" s="261">
        <v>1839</v>
      </c>
      <c r="E140" s="342">
        <v>6181</v>
      </c>
    </row>
    <row r="141" spans="2:5" hidden="1" outlineLevel="1" x14ac:dyDescent="0.25">
      <c r="B141" s="241">
        <v>44958</v>
      </c>
      <c r="C141" s="261">
        <v>3408</v>
      </c>
      <c r="D141" s="261">
        <v>1537</v>
      </c>
      <c r="E141" s="342">
        <v>4945</v>
      </c>
    </row>
    <row r="142" spans="2:5" hidden="1" outlineLevel="1" x14ac:dyDescent="0.25">
      <c r="B142" s="241">
        <v>44986</v>
      </c>
      <c r="C142" s="261">
        <v>4511</v>
      </c>
      <c r="D142" s="261">
        <v>1868</v>
      </c>
      <c r="E142" s="342">
        <v>6379</v>
      </c>
    </row>
    <row r="143" spans="2:5" hidden="1" outlineLevel="1" x14ac:dyDescent="0.25">
      <c r="B143" s="241">
        <v>45017</v>
      </c>
      <c r="C143" s="261">
        <v>3511</v>
      </c>
      <c r="D143" s="261">
        <v>1609</v>
      </c>
      <c r="E143" s="342">
        <v>5120</v>
      </c>
    </row>
    <row r="144" spans="2:5" hidden="1" outlineLevel="1" x14ac:dyDescent="0.25">
      <c r="B144" s="241">
        <v>45047</v>
      </c>
      <c r="C144" s="261">
        <v>3827</v>
      </c>
      <c r="D144" s="261">
        <v>1949</v>
      </c>
      <c r="E144" s="342">
        <v>5776</v>
      </c>
    </row>
    <row r="145" spans="2:12" hidden="1" outlineLevel="1" x14ac:dyDescent="0.25">
      <c r="B145" s="241">
        <v>45078</v>
      </c>
      <c r="C145" s="261">
        <v>3803</v>
      </c>
      <c r="D145" s="261">
        <v>1656</v>
      </c>
      <c r="E145" s="342">
        <v>5459</v>
      </c>
    </row>
    <row r="146" spans="2:12" hidden="1" outlineLevel="1" x14ac:dyDescent="0.25">
      <c r="B146" s="241">
        <v>45108</v>
      </c>
      <c r="C146" s="261">
        <v>3246</v>
      </c>
      <c r="D146" s="261">
        <v>1391</v>
      </c>
      <c r="E146" s="342">
        <v>4637</v>
      </c>
    </row>
    <row r="147" spans="2:12" hidden="1" outlineLevel="1" x14ac:dyDescent="0.25">
      <c r="B147" s="241">
        <v>45139</v>
      </c>
      <c r="C147" s="261">
        <v>3837</v>
      </c>
      <c r="D147" s="261">
        <v>2097</v>
      </c>
      <c r="E147" s="342">
        <v>5934</v>
      </c>
    </row>
    <row r="148" spans="2:12" hidden="1" outlineLevel="1" x14ac:dyDescent="0.25">
      <c r="B148" s="241">
        <v>45170</v>
      </c>
      <c r="C148" s="261">
        <v>1343</v>
      </c>
      <c r="D148" s="261">
        <v>616</v>
      </c>
      <c r="E148" s="342">
        <v>1959</v>
      </c>
    </row>
    <row r="149" spans="2:12" hidden="1" outlineLevel="1" x14ac:dyDescent="0.25">
      <c r="B149" s="241">
        <v>45200</v>
      </c>
      <c r="C149" s="261">
        <v>799</v>
      </c>
      <c r="D149" s="261">
        <v>466</v>
      </c>
      <c r="E149" s="342">
        <v>1265</v>
      </c>
    </row>
    <row r="150" spans="2:12" hidden="1" outlineLevel="1" x14ac:dyDescent="0.25">
      <c r="B150" s="241">
        <v>45231</v>
      </c>
      <c r="C150" s="261">
        <v>1559</v>
      </c>
      <c r="D150" s="261">
        <v>670</v>
      </c>
      <c r="E150" s="342">
        <v>2229</v>
      </c>
    </row>
    <row r="151" spans="2:12" hidden="1" outlineLevel="1" x14ac:dyDescent="0.25">
      <c r="B151" s="241">
        <v>45261</v>
      </c>
      <c r="C151" s="261">
        <v>1619</v>
      </c>
      <c r="D151" s="261">
        <v>787</v>
      </c>
      <c r="E151" s="342">
        <v>2406</v>
      </c>
    </row>
    <row r="152" spans="2:12" collapsed="1" x14ac:dyDescent="0.25">
      <c r="B152" s="240" t="s">
        <v>874</v>
      </c>
      <c r="C152" s="278">
        <v>35805</v>
      </c>
      <c r="D152" s="278">
        <v>16485</v>
      </c>
      <c r="E152" s="278">
        <v>52290</v>
      </c>
    </row>
    <row r="153" spans="2:12" x14ac:dyDescent="0.25">
      <c r="B153" s="502" t="s">
        <v>486</v>
      </c>
      <c r="C153" s="503"/>
      <c r="D153" s="504"/>
      <c r="E153" s="349">
        <v>536719</v>
      </c>
    </row>
    <row r="154" spans="2:12" x14ac:dyDescent="0.25">
      <c r="B154" s="4" t="s">
        <v>815</v>
      </c>
    </row>
    <row r="156" spans="2:12" ht="18.75" x14ac:dyDescent="0.3">
      <c r="B156" s="2" t="s">
        <v>748</v>
      </c>
      <c r="C156" s="2"/>
      <c r="D156" s="2"/>
      <c r="E156" s="2"/>
      <c r="F156" s="2"/>
      <c r="G156" s="2"/>
      <c r="H156" s="2"/>
      <c r="I156" s="2"/>
      <c r="J156" s="2"/>
      <c r="K156" s="2"/>
    </row>
    <row r="157" spans="2:12" x14ac:dyDescent="0.25">
      <c r="B157" s="3" t="s">
        <v>878</v>
      </c>
    </row>
    <row r="159" spans="2:12" ht="27.75" customHeight="1" x14ac:dyDescent="0.25">
      <c r="B159" s="494" t="s">
        <v>472</v>
      </c>
      <c r="C159" s="498" t="s">
        <v>688</v>
      </c>
      <c r="D159" s="499"/>
      <c r="E159" s="499"/>
      <c r="F159" s="499"/>
      <c r="G159" s="499"/>
      <c r="H159" s="499"/>
      <c r="I159" s="499"/>
      <c r="J159" s="499"/>
      <c r="K159" s="500"/>
      <c r="L159" s="495" t="s">
        <v>741</v>
      </c>
    </row>
    <row r="160" spans="2:12" x14ac:dyDescent="0.25">
      <c r="B160" s="494"/>
      <c r="C160" s="494" t="s">
        <v>12</v>
      </c>
      <c r="D160" s="494"/>
      <c r="E160" s="494"/>
      <c r="F160" s="505" t="s">
        <v>13</v>
      </c>
      <c r="G160" s="505"/>
      <c r="H160" s="505"/>
      <c r="I160" s="505" t="s">
        <v>742</v>
      </c>
      <c r="J160" s="505"/>
      <c r="K160" s="505"/>
      <c r="L160" s="501"/>
    </row>
    <row r="161" spans="2:12" x14ac:dyDescent="0.25">
      <c r="B161" s="494"/>
      <c r="C161" s="246" t="s">
        <v>73</v>
      </c>
      <c r="D161" s="246" t="s">
        <v>74</v>
      </c>
      <c r="E161" s="252" t="s">
        <v>588</v>
      </c>
      <c r="F161" s="246" t="s">
        <v>73</v>
      </c>
      <c r="G161" s="246" t="s">
        <v>74</v>
      </c>
      <c r="H161" s="252" t="s">
        <v>588</v>
      </c>
      <c r="I161" s="246" t="s">
        <v>73</v>
      </c>
      <c r="J161" s="246" t="s">
        <v>74</v>
      </c>
      <c r="K161" s="252" t="s">
        <v>588</v>
      </c>
      <c r="L161" s="496"/>
    </row>
    <row r="162" spans="2:12" x14ac:dyDescent="0.25">
      <c r="B162" s="242" t="s">
        <v>745</v>
      </c>
      <c r="C162" s="260"/>
      <c r="D162" s="260"/>
      <c r="E162" s="260">
        <v>119211</v>
      </c>
      <c r="F162" s="260"/>
      <c r="G162" s="260"/>
      <c r="H162" s="260">
        <v>1457</v>
      </c>
      <c r="I162" s="260"/>
      <c r="J162" s="260"/>
      <c r="K162" s="260">
        <v>1982</v>
      </c>
      <c r="L162" s="260">
        <v>122650</v>
      </c>
    </row>
    <row r="163" spans="2:12" x14ac:dyDescent="0.25">
      <c r="B163" s="242" t="s">
        <v>722</v>
      </c>
      <c r="C163" s="260"/>
      <c r="D163" s="260"/>
      <c r="E163" s="279">
        <v>24495</v>
      </c>
      <c r="F163" s="279"/>
      <c r="G163" s="279"/>
      <c r="H163" s="279">
        <v>248</v>
      </c>
      <c r="I163" s="279"/>
      <c r="J163" s="279"/>
      <c r="K163" s="279">
        <v>7862</v>
      </c>
      <c r="L163" s="279">
        <v>32605</v>
      </c>
    </row>
    <row r="164" spans="2:12" hidden="1" outlineLevel="1" x14ac:dyDescent="0.25">
      <c r="B164" s="339">
        <v>41275</v>
      </c>
      <c r="C164" s="261"/>
      <c r="D164" s="261"/>
      <c r="E164" s="342">
        <v>1593</v>
      </c>
      <c r="F164" s="342"/>
      <c r="G164" s="342"/>
      <c r="H164" s="342">
        <v>15</v>
      </c>
      <c r="I164" s="342"/>
      <c r="J164" s="342"/>
      <c r="K164" s="342">
        <v>924</v>
      </c>
      <c r="L164" s="342">
        <v>2532</v>
      </c>
    </row>
    <row r="165" spans="2:12" hidden="1" outlineLevel="1" x14ac:dyDescent="0.25">
      <c r="B165" s="339">
        <v>41306</v>
      </c>
      <c r="C165" s="261"/>
      <c r="D165" s="261"/>
      <c r="E165" s="342">
        <v>1468</v>
      </c>
      <c r="F165" s="342"/>
      <c r="G165" s="342"/>
      <c r="H165" s="342">
        <v>22</v>
      </c>
      <c r="I165" s="342"/>
      <c r="J165" s="342"/>
      <c r="K165" s="342">
        <v>949</v>
      </c>
      <c r="L165" s="342">
        <v>2439</v>
      </c>
    </row>
    <row r="166" spans="2:12" hidden="1" outlineLevel="1" x14ac:dyDescent="0.25">
      <c r="B166" s="339">
        <v>41334</v>
      </c>
      <c r="C166" s="261"/>
      <c r="D166" s="261"/>
      <c r="E166" s="342">
        <v>1784</v>
      </c>
      <c r="F166" s="342"/>
      <c r="G166" s="342"/>
      <c r="H166" s="342">
        <v>16</v>
      </c>
      <c r="I166" s="342"/>
      <c r="J166" s="342"/>
      <c r="K166" s="342">
        <v>631</v>
      </c>
      <c r="L166" s="342">
        <v>2431</v>
      </c>
    </row>
    <row r="167" spans="2:12" hidden="1" outlineLevel="1" x14ac:dyDescent="0.25">
      <c r="B167" s="339">
        <v>41365</v>
      </c>
      <c r="C167" s="261"/>
      <c r="D167" s="261"/>
      <c r="E167" s="342">
        <v>1305</v>
      </c>
      <c r="F167" s="342"/>
      <c r="G167" s="342"/>
      <c r="H167" s="342">
        <v>44</v>
      </c>
      <c r="I167" s="342"/>
      <c r="J167" s="342"/>
      <c r="K167" s="342">
        <v>502</v>
      </c>
      <c r="L167" s="342">
        <v>1851</v>
      </c>
    </row>
    <row r="168" spans="2:12" hidden="1" outlineLevel="1" x14ac:dyDescent="0.25">
      <c r="B168" s="339">
        <v>41395</v>
      </c>
      <c r="C168" s="261"/>
      <c r="D168" s="261"/>
      <c r="E168" s="342">
        <v>1777</v>
      </c>
      <c r="F168" s="342"/>
      <c r="G168" s="342"/>
      <c r="H168" s="342">
        <v>10</v>
      </c>
      <c r="I168" s="342"/>
      <c r="J168" s="342"/>
      <c r="K168" s="342">
        <v>582</v>
      </c>
      <c r="L168" s="342">
        <v>2369</v>
      </c>
    </row>
    <row r="169" spans="2:12" hidden="1" outlineLevel="1" x14ac:dyDescent="0.25">
      <c r="B169" s="339">
        <v>41426</v>
      </c>
      <c r="C169" s="261"/>
      <c r="D169" s="261"/>
      <c r="E169" s="342">
        <v>1540</v>
      </c>
      <c r="F169" s="342"/>
      <c r="G169" s="342"/>
      <c r="H169" s="342">
        <v>16</v>
      </c>
      <c r="I169" s="342"/>
      <c r="J169" s="342"/>
      <c r="K169" s="342">
        <v>725</v>
      </c>
      <c r="L169" s="342">
        <v>2281</v>
      </c>
    </row>
    <row r="170" spans="2:12" hidden="1" outlineLevel="1" x14ac:dyDescent="0.25">
      <c r="B170" s="339">
        <v>41456</v>
      </c>
      <c r="C170" s="261"/>
      <c r="D170" s="261"/>
      <c r="E170" s="342">
        <v>1026</v>
      </c>
      <c r="F170" s="342"/>
      <c r="G170" s="342"/>
      <c r="H170" s="342">
        <v>10</v>
      </c>
      <c r="I170" s="342"/>
      <c r="J170" s="342"/>
      <c r="K170" s="342">
        <v>1261</v>
      </c>
      <c r="L170" s="342">
        <v>2297</v>
      </c>
    </row>
    <row r="171" spans="2:12" hidden="1" outlineLevel="1" x14ac:dyDescent="0.25">
      <c r="B171" s="339">
        <v>41487</v>
      </c>
      <c r="C171" s="261"/>
      <c r="D171" s="261"/>
      <c r="E171" s="342">
        <v>610</v>
      </c>
      <c r="F171" s="342"/>
      <c r="G171" s="342"/>
      <c r="H171" s="342">
        <v>14</v>
      </c>
      <c r="I171" s="342"/>
      <c r="J171" s="342"/>
      <c r="K171" s="342">
        <v>854</v>
      </c>
      <c r="L171" s="342">
        <v>1478</v>
      </c>
    </row>
    <row r="172" spans="2:12" hidden="1" outlineLevel="1" x14ac:dyDescent="0.25">
      <c r="B172" s="339">
        <v>41518</v>
      </c>
      <c r="C172" s="261"/>
      <c r="D172" s="261"/>
      <c r="E172" s="342">
        <v>816</v>
      </c>
      <c r="F172" s="342"/>
      <c r="G172" s="342"/>
      <c r="H172" s="342">
        <v>1</v>
      </c>
      <c r="I172" s="342"/>
      <c r="J172" s="342"/>
      <c r="K172" s="342">
        <v>493</v>
      </c>
      <c r="L172" s="342">
        <v>1310</v>
      </c>
    </row>
    <row r="173" spans="2:12" hidden="1" outlineLevel="1" x14ac:dyDescent="0.25">
      <c r="B173" s="339">
        <v>41548</v>
      </c>
      <c r="C173" s="261"/>
      <c r="D173" s="261"/>
      <c r="E173" s="342">
        <v>485</v>
      </c>
      <c r="F173" s="342"/>
      <c r="G173" s="342"/>
      <c r="H173" s="342">
        <v>2</v>
      </c>
      <c r="I173" s="342"/>
      <c r="J173" s="342"/>
      <c r="K173" s="342">
        <v>654</v>
      </c>
      <c r="L173" s="342">
        <v>1141</v>
      </c>
    </row>
    <row r="174" spans="2:12" hidden="1" outlineLevel="1" x14ac:dyDescent="0.25">
      <c r="B174" s="339">
        <v>41579</v>
      </c>
      <c r="C174" s="261"/>
      <c r="D174" s="261"/>
      <c r="E174" s="342">
        <v>480</v>
      </c>
      <c r="F174" s="342"/>
      <c r="G174" s="342"/>
      <c r="H174" s="342">
        <v>2</v>
      </c>
      <c r="I174" s="342"/>
      <c r="J174" s="342"/>
      <c r="K174" s="342">
        <v>443</v>
      </c>
      <c r="L174" s="342">
        <v>925</v>
      </c>
    </row>
    <row r="175" spans="2:12" hidden="1" outlineLevel="1" x14ac:dyDescent="0.25">
      <c r="B175" s="339">
        <v>41609</v>
      </c>
      <c r="C175" s="261"/>
      <c r="D175" s="261"/>
      <c r="E175" s="342">
        <v>1157</v>
      </c>
      <c r="F175" s="342"/>
      <c r="G175" s="342"/>
      <c r="H175" s="342">
        <v>6</v>
      </c>
      <c r="I175" s="342"/>
      <c r="J175" s="342"/>
      <c r="K175" s="342">
        <v>1108</v>
      </c>
      <c r="L175" s="342">
        <v>2271</v>
      </c>
    </row>
    <row r="176" spans="2:12" collapsed="1" x14ac:dyDescent="0.25">
      <c r="B176" s="242" t="s">
        <v>34</v>
      </c>
      <c r="C176" s="260"/>
      <c r="D176" s="260"/>
      <c r="E176" s="260">
        <v>14041</v>
      </c>
      <c r="F176" s="260"/>
      <c r="G176" s="260"/>
      <c r="H176" s="260">
        <v>158</v>
      </c>
      <c r="I176" s="260"/>
      <c r="J176" s="260"/>
      <c r="K176" s="260">
        <v>9126</v>
      </c>
      <c r="L176" s="260">
        <v>23325</v>
      </c>
    </row>
    <row r="177" spans="2:12" hidden="1" outlineLevel="1" x14ac:dyDescent="0.25">
      <c r="B177" s="339">
        <v>41640</v>
      </c>
      <c r="C177" s="261"/>
      <c r="D177" s="261"/>
      <c r="E177" s="342">
        <v>1358</v>
      </c>
      <c r="F177" s="342"/>
      <c r="G177" s="342"/>
      <c r="H177" s="342">
        <v>5</v>
      </c>
      <c r="I177" s="342"/>
      <c r="J177" s="342"/>
      <c r="K177" s="342">
        <v>1261</v>
      </c>
      <c r="L177" s="342">
        <v>2624</v>
      </c>
    </row>
    <row r="178" spans="2:12" hidden="1" outlineLevel="1" x14ac:dyDescent="0.25">
      <c r="B178" s="339">
        <v>41671</v>
      </c>
      <c r="C178" s="261"/>
      <c r="D178" s="261"/>
      <c r="E178" s="342">
        <v>746</v>
      </c>
      <c r="F178" s="342"/>
      <c r="G178" s="342"/>
      <c r="H178" s="342">
        <v>4</v>
      </c>
      <c r="I178" s="342"/>
      <c r="J178" s="342"/>
      <c r="K178" s="342">
        <v>848</v>
      </c>
      <c r="L178" s="342">
        <v>1598</v>
      </c>
    </row>
    <row r="179" spans="2:12" hidden="1" outlineLevel="1" x14ac:dyDescent="0.25">
      <c r="B179" s="339">
        <v>41699</v>
      </c>
      <c r="C179" s="261"/>
      <c r="D179" s="261"/>
      <c r="E179" s="342">
        <v>1052</v>
      </c>
      <c r="F179" s="342"/>
      <c r="G179" s="342"/>
      <c r="H179" s="342">
        <v>10</v>
      </c>
      <c r="I179" s="342"/>
      <c r="J179" s="342"/>
      <c r="K179" s="342">
        <v>852</v>
      </c>
      <c r="L179" s="342">
        <v>1914</v>
      </c>
    </row>
    <row r="180" spans="2:12" hidden="1" outlineLevel="1" x14ac:dyDescent="0.25">
      <c r="B180" s="339">
        <v>41730</v>
      </c>
      <c r="C180" s="261"/>
      <c r="D180" s="261"/>
      <c r="E180" s="342">
        <v>549</v>
      </c>
      <c r="F180" s="342"/>
      <c r="G180" s="342"/>
      <c r="H180" s="342">
        <v>4</v>
      </c>
      <c r="I180" s="342"/>
      <c r="J180" s="342"/>
      <c r="K180" s="342">
        <v>512</v>
      </c>
      <c r="L180" s="342">
        <v>1065</v>
      </c>
    </row>
    <row r="181" spans="2:12" hidden="1" outlineLevel="1" x14ac:dyDescent="0.25">
      <c r="B181" s="339">
        <v>41760</v>
      </c>
      <c r="C181" s="261"/>
      <c r="D181" s="261"/>
      <c r="E181" s="342">
        <v>773</v>
      </c>
      <c r="F181" s="342"/>
      <c r="G181" s="342"/>
      <c r="H181" s="342">
        <v>9</v>
      </c>
      <c r="I181" s="342"/>
      <c r="J181" s="342"/>
      <c r="K181" s="342">
        <v>1137</v>
      </c>
      <c r="L181" s="342">
        <v>1919</v>
      </c>
    </row>
    <row r="182" spans="2:12" hidden="1" outlineLevel="1" x14ac:dyDescent="0.25">
      <c r="B182" s="339">
        <v>41791</v>
      </c>
      <c r="C182" s="261"/>
      <c r="D182" s="261"/>
      <c r="E182" s="342">
        <v>660</v>
      </c>
      <c r="F182" s="342"/>
      <c r="G182" s="342"/>
      <c r="H182" s="342">
        <v>15</v>
      </c>
      <c r="I182" s="342"/>
      <c r="J182" s="342"/>
      <c r="K182" s="342">
        <v>905</v>
      </c>
      <c r="L182" s="342">
        <v>1580</v>
      </c>
    </row>
    <row r="183" spans="2:12" hidden="1" outlineLevel="1" x14ac:dyDescent="0.25">
      <c r="B183" s="339">
        <v>41821</v>
      </c>
      <c r="C183" s="261"/>
      <c r="D183" s="261"/>
      <c r="E183" s="342">
        <v>881</v>
      </c>
      <c r="F183" s="342"/>
      <c r="G183" s="342"/>
      <c r="H183" s="342">
        <v>15</v>
      </c>
      <c r="I183" s="342"/>
      <c r="J183" s="342"/>
      <c r="K183" s="342">
        <v>646</v>
      </c>
      <c r="L183" s="342">
        <v>1542</v>
      </c>
    </row>
    <row r="184" spans="2:12" hidden="1" outlineLevel="1" x14ac:dyDescent="0.25">
      <c r="B184" s="339">
        <v>41852</v>
      </c>
      <c r="C184" s="261"/>
      <c r="D184" s="261"/>
      <c r="E184" s="342">
        <v>825</v>
      </c>
      <c r="F184" s="342"/>
      <c r="G184" s="342"/>
      <c r="H184" s="342">
        <v>28</v>
      </c>
      <c r="I184" s="342"/>
      <c r="J184" s="342"/>
      <c r="K184" s="342">
        <v>753</v>
      </c>
      <c r="L184" s="342">
        <v>1606</v>
      </c>
    </row>
    <row r="185" spans="2:12" hidden="1" outlineLevel="1" x14ac:dyDescent="0.25">
      <c r="B185" s="339">
        <v>41883</v>
      </c>
      <c r="C185" s="261"/>
      <c r="D185" s="261"/>
      <c r="E185" s="342">
        <v>1489</v>
      </c>
      <c r="F185" s="342"/>
      <c r="G185" s="342"/>
      <c r="H185" s="342">
        <v>41</v>
      </c>
      <c r="I185" s="342"/>
      <c r="J185" s="342"/>
      <c r="K185" s="342">
        <v>1146</v>
      </c>
      <c r="L185" s="342">
        <v>2676</v>
      </c>
    </row>
    <row r="186" spans="2:12" hidden="1" outlineLevel="1" x14ac:dyDescent="0.25">
      <c r="B186" s="339">
        <v>41913</v>
      </c>
      <c r="C186" s="261"/>
      <c r="D186" s="261"/>
      <c r="E186" s="342">
        <v>1667</v>
      </c>
      <c r="F186" s="342"/>
      <c r="G186" s="342"/>
      <c r="H186" s="342">
        <v>132</v>
      </c>
      <c r="I186" s="342"/>
      <c r="J186" s="342"/>
      <c r="K186" s="342">
        <v>827</v>
      </c>
      <c r="L186" s="342">
        <v>2626</v>
      </c>
    </row>
    <row r="187" spans="2:12" hidden="1" outlineLevel="1" x14ac:dyDescent="0.25">
      <c r="B187" s="339">
        <v>41944</v>
      </c>
      <c r="C187" s="261"/>
      <c r="D187" s="261"/>
      <c r="E187" s="342">
        <v>1332</v>
      </c>
      <c r="F187" s="342"/>
      <c r="G187" s="342"/>
      <c r="H187" s="342">
        <v>22</v>
      </c>
      <c r="I187" s="342"/>
      <c r="J187" s="342"/>
      <c r="K187" s="342">
        <v>1068</v>
      </c>
      <c r="L187" s="342">
        <v>2422</v>
      </c>
    </row>
    <row r="188" spans="2:12" hidden="1" outlineLevel="1" x14ac:dyDescent="0.25">
      <c r="B188" s="339">
        <v>41974</v>
      </c>
      <c r="C188" s="261"/>
      <c r="D188" s="261"/>
      <c r="E188" s="342">
        <v>500</v>
      </c>
      <c r="F188" s="342"/>
      <c r="G188" s="342"/>
      <c r="H188" s="342">
        <v>14</v>
      </c>
      <c r="I188" s="342"/>
      <c r="J188" s="342"/>
      <c r="K188" s="342">
        <v>835</v>
      </c>
      <c r="L188" s="342">
        <v>1349</v>
      </c>
    </row>
    <row r="189" spans="2:12" collapsed="1" x14ac:dyDescent="0.25">
      <c r="B189" s="242" t="s">
        <v>36</v>
      </c>
      <c r="C189" s="260"/>
      <c r="D189" s="260"/>
      <c r="E189" s="279">
        <v>11832</v>
      </c>
      <c r="F189" s="279"/>
      <c r="G189" s="279"/>
      <c r="H189" s="279">
        <v>299</v>
      </c>
      <c r="I189" s="279"/>
      <c r="J189" s="279"/>
      <c r="K189" s="279">
        <v>10790</v>
      </c>
      <c r="L189" s="279">
        <v>22921</v>
      </c>
    </row>
    <row r="190" spans="2:12" hidden="1" outlineLevel="1" x14ac:dyDescent="0.25">
      <c r="B190" s="339">
        <v>42005</v>
      </c>
      <c r="C190" s="261"/>
      <c r="D190" s="261"/>
      <c r="E190" s="342">
        <v>38</v>
      </c>
      <c r="F190" s="342"/>
      <c r="G190" s="342"/>
      <c r="H190" s="342">
        <v>896</v>
      </c>
      <c r="I190" s="342"/>
      <c r="J190" s="342"/>
      <c r="K190" s="342">
        <v>1448</v>
      </c>
      <c r="L190" s="342">
        <v>2382</v>
      </c>
    </row>
    <row r="191" spans="2:12" hidden="1" outlineLevel="1" x14ac:dyDescent="0.25">
      <c r="B191" s="339">
        <v>42036</v>
      </c>
      <c r="C191" s="261"/>
      <c r="D191" s="261"/>
      <c r="E191" s="342">
        <v>1411</v>
      </c>
      <c r="F191" s="342"/>
      <c r="G191" s="342"/>
      <c r="H191" s="342">
        <v>90</v>
      </c>
      <c r="I191" s="342"/>
      <c r="J191" s="342"/>
      <c r="K191" s="342">
        <v>2461</v>
      </c>
      <c r="L191" s="342">
        <v>3962</v>
      </c>
    </row>
    <row r="192" spans="2:12" hidden="1" outlineLevel="1" x14ac:dyDescent="0.25">
      <c r="B192" s="339">
        <v>42064</v>
      </c>
      <c r="C192" s="261"/>
      <c r="D192" s="261"/>
      <c r="E192" s="342">
        <v>1147</v>
      </c>
      <c r="F192" s="342"/>
      <c r="G192" s="342"/>
      <c r="H192" s="342">
        <v>78</v>
      </c>
      <c r="I192" s="342"/>
      <c r="J192" s="342"/>
      <c r="K192" s="342">
        <v>1427</v>
      </c>
      <c r="L192" s="342">
        <v>2652</v>
      </c>
    </row>
    <row r="193" spans="2:12" hidden="1" outlineLevel="1" x14ac:dyDescent="0.25">
      <c r="B193" s="339">
        <v>42095</v>
      </c>
      <c r="C193" s="261"/>
      <c r="D193" s="261"/>
      <c r="E193" s="342">
        <v>1650</v>
      </c>
      <c r="F193" s="342"/>
      <c r="G193" s="342"/>
      <c r="H193" s="342">
        <v>172</v>
      </c>
      <c r="I193" s="342"/>
      <c r="J193" s="342"/>
      <c r="K193" s="342">
        <v>1480</v>
      </c>
      <c r="L193" s="342">
        <v>3302</v>
      </c>
    </row>
    <row r="194" spans="2:12" hidden="1" outlineLevel="1" x14ac:dyDescent="0.25">
      <c r="B194" s="339">
        <v>42125</v>
      </c>
      <c r="C194" s="261"/>
      <c r="D194" s="261"/>
      <c r="E194" s="342">
        <v>1272</v>
      </c>
      <c r="F194" s="342"/>
      <c r="G194" s="342"/>
      <c r="H194" s="342">
        <v>123</v>
      </c>
      <c r="I194" s="342"/>
      <c r="J194" s="342"/>
      <c r="K194" s="342">
        <v>169</v>
      </c>
      <c r="L194" s="342">
        <v>1564</v>
      </c>
    </row>
    <row r="195" spans="2:12" hidden="1" outlineLevel="1" x14ac:dyDescent="0.25">
      <c r="B195" s="339">
        <v>42156</v>
      </c>
      <c r="C195" s="261"/>
      <c r="D195" s="261"/>
      <c r="E195" s="342">
        <v>1877</v>
      </c>
      <c r="F195" s="342"/>
      <c r="G195" s="342"/>
      <c r="H195" s="342">
        <v>135</v>
      </c>
      <c r="I195" s="342"/>
      <c r="J195" s="342"/>
      <c r="K195" s="342">
        <v>447</v>
      </c>
      <c r="L195" s="342">
        <v>2459</v>
      </c>
    </row>
    <row r="196" spans="2:12" hidden="1" outlineLevel="1" x14ac:dyDescent="0.25">
      <c r="B196" s="339">
        <v>42186</v>
      </c>
      <c r="C196" s="261"/>
      <c r="D196" s="261"/>
      <c r="E196" s="342">
        <v>1030</v>
      </c>
      <c r="F196" s="342"/>
      <c r="G196" s="342"/>
      <c r="H196" s="342">
        <v>110</v>
      </c>
      <c r="I196" s="342"/>
      <c r="J196" s="342"/>
      <c r="K196" s="342">
        <v>167</v>
      </c>
      <c r="L196" s="342">
        <v>1307</v>
      </c>
    </row>
    <row r="197" spans="2:12" hidden="1" outlineLevel="1" x14ac:dyDescent="0.25">
      <c r="B197" s="339">
        <v>42217</v>
      </c>
      <c r="C197" s="261"/>
      <c r="D197" s="261"/>
      <c r="E197" s="342">
        <v>1674</v>
      </c>
      <c r="F197" s="342"/>
      <c r="G197" s="342"/>
      <c r="H197" s="342">
        <v>113</v>
      </c>
      <c r="I197" s="342"/>
      <c r="J197" s="342"/>
      <c r="K197" s="342">
        <v>218</v>
      </c>
      <c r="L197" s="342">
        <v>2005</v>
      </c>
    </row>
    <row r="198" spans="2:12" hidden="1" outlineLevel="1" x14ac:dyDescent="0.25">
      <c r="B198" s="339">
        <v>42248</v>
      </c>
      <c r="C198" s="261"/>
      <c r="D198" s="261"/>
      <c r="E198" s="342">
        <v>1313</v>
      </c>
      <c r="F198" s="342"/>
      <c r="G198" s="342"/>
      <c r="H198" s="342">
        <v>136</v>
      </c>
      <c r="I198" s="342"/>
      <c r="J198" s="342"/>
      <c r="K198" s="342">
        <v>156</v>
      </c>
      <c r="L198" s="342">
        <v>1605</v>
      </c>
    </row>
    <row r="199" spans="2:12" hidden="1" outlineLevel="1" x14ac:dyDescent="0.25">
      <c r="B199" s="339">
        <v>42278</v>
      </c>
      <c r="C199" s="261"/>
      <c r="D199" s="261"/>
      <c r="E199" s="342">
        <v>5045</v>
      </c>
      <c r="F199" s="342"/>
      <c r="G199" s="342"/>
      <c r="H199" s="342">
        <v>104</v>
      </c>
      <c r="I199" s="342"/>
      <c r="J199" s="342"/>
      <c r="K199" s="342">
        <v>21</v>
      </c>
      <c r="L199" s="342">
        <v>5170</v>
      </c>
    </row>
    <row r="200" spans="2:12" hidden="1" outlineLevel="1" x14ac:dyDescent="0.25">
      <c r="B200" s="339">
        <v>42309</v>
      </c>
      <c r="C200" s="261"/>
      <c r="D200" s="261"/>
      <c r="E200" s="342">
        <v>1924</v>
      </c>
      <c r="F200" s="342"/>
      <c r="G200" s="342"/>
      <c r="H200" s="342">
        <v>764</v>
      </c>
      <c r="I200" s="342"/>
      <c r="J200" s="342"/>
      <c r="K200" s="342">
        <v>49</v>
      </c>
      <c r="L200" s="342">
        <v>2737</v>
      </c>
    </row>
    <row r="201" spans="2:12" hidden="1" outlineLevel="1" x14ac:dyDescent="0.25">
      <c r="B201" s="339">
        <v>42339</v>
      </c>
      <c r="C201" s="261"/>
      <c r="D201" s="261"/>
      <c r="E201" s="342">
        <v>1346</v>
      </c>
      <c r="F201" s="342"/>
      <c r="G201" s="342"/>
      <c r="H201" s="342">
        <v>239</v>
      </c>
      <c r="I201" s="342"/>
      <c r="J201" s="342"/>
      <c r="K201" s="342">
        <v>217</v>
      </c>
      <c r="L201" s="342">
        <v>1802</v>
      </c>
    </row>
    <row r="202" spans="2:12" collapsed="1" x14ac:dyDescent="0.25">
      <c r="B202" s="242" t="s">
        <v>38</v>
      </c>
      <c r="C202" s="260"/>
      <c r="D202" s="260"/>
      <c r="E202" s="279">
        <v>19727</v>
      </c>
      <c r="F202" s="279"/>
      <c r="G202" s="279"/>
      <c r="H202" s="279">
        <v>2960</v>
      </c>
      <c r="I202" s="279"/>
      <c r="J202" s="279"/>
      <c r="K202" s="279">
        <v>8260</v>
      </c>
      <c r="L202" s="279">
        <v>30947</v>
      </c>
    </row>
    <row r="203" spans="2:12" hidden="1" outlineLevel="1" x14ac:dyDescent="0.25">
      <c r="B203" s="339">
        <v>42370</v>
      </c>
      <c r="C203" s="261"/>
      <c r="D203" s="261"/>
      <c r="E203" s="342">
        <v>3773</v>
      </c>
      <c r="F203" s="342"/>
      <c r="G203" s="342"/>
      <c r="H203" s="342">
        <v>149</v>
      </c>
      <c r="I203" s="342"/>
      <c r="J203" s="342"/>
      <c r="K203" s="342">
        <v>57</v>
      </c>
      <c r="L203" s="342">
        <v>3979</v>
      </c>
    </row>
    <row r="204" spans="2:12" hidden="1" outlineLevel="1" x14ac:dyDescent="0.25">
      <c r="B204" s="339">
        <v>42401</v>
      </c>
      <c r="C204" s="261"/>
      <c r="D204" s="261"/>
      <c r="E204" s="342">
        <v>4253</v>
      </c>
      <c r="F204" s="342"/>
      <c r="G204" s="342"/>
      <c r="H204" s="342">
        <v>113</v>
      </c>
      <c r="I204" s="342"/>
      <c r="J204" s="342"/>
      <c r="K204" s="342">
        <v>0</v>
      </c>
      <c r="L204" s="342">
        <v>4366</v>
      </c>
    </row>
    <row r="205" spans="2:12" hidden="1" outlineLevel="1" x14ac:dyDescent="0.25">
      <c r="B205" s="339">
        <v>42430</v>
      </c>
      <c r="C205" s="261"/>
      <c r="D205" s="261"/>
      <c r="E205" s="342">
        <v>2016</v>
      </c>
      <c r="F205" s="342"/>
      <c r="G205" s="342"/>
      <c r="H205" s="342">
        <v>25</v>
      </c>
      <c r="I205" s="342"/>
      <c r="J205" s="342"/>
      <c r="K205" s="342">
        <v>15</v>
      </c>
      <c r="L205" s="342">
        <v>2056</v>
      </c>
    </row>
    <row r="206" spans="2:12" hidden="1" outlineLevel="1" x14ac:dyDescent="0.25">
      <c r="B206" s="339">
        <v>42461</v>
      </c>
      <c r="C206" s="261"/>
      <c r="D206" s="261"/>
      <c r="E206" s="342">
        <v>2405</v>
      </c>
      <c r="F206" s="342"/>
      <c r="G206" s="342"/>
      <c r="H206" s="342">
        <v>33</v>
      </c>
      <c r="I206" s="342"/>
      <c r="J206" s="342"/>
      <c r="K206" s="342">
        <v>16</v>
      </c>
      <c r="L206" s="342">
        <v>2454</v>
      </c>
    </row>
    <row r="207" spans="2:12" hidden="1" outlineLevel="1" x14ac:dyDescent="0.25">
      <c r="B207" s="339">
        <v>42491</v>
      </c>
      <c r="C207" s="261">
        <v>996</v>
      </c>
      <c r="D207" s="261">
        <v>817</v>
      </c>
      <c r="E207" s="342">
        <v>1813</v>
      </c>
      <c r="F207" s="342">
        <v>17</v>
      </c>
      <c r="G207" s="342">
        <v>17</v>
      </c>
      <c r="H207" s="342">
        <v>34</v>
      </c>
      <c r="I207" s="342">
        <v>8</v>
      </c>
      <c r="J207" s="342">
        <v>0</v>
      </c>
      <c r="K207" s="342">
        <v>8</v>
      </c>
      <c r="L207" s="342">
        <v>1855</v>
      </c>
    </row>
    <row r="208" spans="2:12" hidden="1" outlineLevel="1" x14ac:dyDescent="0.25">
      <c r="B208" s="339">
        <v>42522</v>
      </c>
      <c r="C208" s="261">
        <v>957</v>
      </c>
      <c r="D208" s="261">
        <v>898</v>
      </c>
      <c r="E208" s="342">
        <v>1855</v>
      </c>
      <c r="F208" s="342">
        <v>15</v>
      </c>
      <c r="G208" s="342">
        <v>21</v>
      </c>
      <c r="H208" s="342">
        <v>36</v>
      </c>
      <c r="I208" s="342">
        <v>11</v>
      </c>
      <c r="J208" s="342">
        <v>5</v>
      </c>
      <c r="K208" s="342">
        <v>16</v>
      </c>
      <c r="L208" s="342">
        <v>1907</v>
      </c>
    </row>
    <row r="209" spans="2:12" hidden="1" outlineLevel="1" x14ac:dyDescent="0.25">
      <c r="B209" s="339">
        <v>42552</v>
      </c>
      <c r="C209" s="261">
        <v>977</v>
      </c>
      <c r="D209" s="261">
        <v>835</v>
      </c>
      <c r="E209" s="342">
        <v>1812</v>
      </c>
      <c r="F209" s="342">
        <v>24</v>
      </c>
      <c r="G209" s="342">
        <v>24</v>
      </c>
      <c r="H209" s="342">
        <v>48</v>
      </c>
      <c r="I209" s="342">
        <v>10</v>
      </c>
      <c r="J209" s="342">
        <v>13</v>
      </c>
      <c r="K209" s="342">
        <v>23</v>
      </c>
      <c r="L209" s="342">
        <v>1883</v>
      </c>
    </row>
    <row r="210" spans="2:12" hidden="1" outlineLevel="1" x14ac:dyDescent="0.25">
      <c r="B210" s="339">
        <v>42583</v>
      </c>
      <c r="C210" s="261">
        <v>2266</v>
      </c>
      <c r="D210" s="261">
        <v>1640</v>
      </c>
      <c r="E210" s="342">
        <v>3906</v>
      </c>
      <c r="F210" s="342">
        <v>90</v>
      </c>
      <c r="G210" s="342">
        <v>73</v>
      </c>
      <c r="H210" s="342">
        <v>163</v>
      </c>
      <c r="I210" s="342">
        <v>19</v>
      </c>
      <c r="J210" s="342">
        <v>15</v>
      </c>
      <c r="K210" s="342">
        <v>34</v>
      </c>
      <c r="L210" s="342">
        <v>4103</v>
      </c>
    </row>
    <row r="211" spans="2:12" hidden="1" outlineLevel="1" x14ac:dyDescent="0.25">
      <c r="B211" s="339">
        <v>42614</v>
      </c>
      <c r="C211" s="261">
        <v>948</v>
      </c>
      <c r="D211" s="261">
        <v>779</v>
      </c>
      <c r="E211" s="342">
        <v>1727</v>
      </c>
      <c r="F211" s="342">
        <v>42</v>
      </c>
      <c r="G211" s="342">
        <v>41</v>
      </c>
      <c r="H211" s="342">
        <v>83</v>
      </c>
      <c r="I211" s="342">
        <v>3</v>
      </c>
      <c r="J211" s="342">
        <v>0</v>
      </c>
      <c r="K211" s="342">
        <v>3</v>
      </c>
      <c r="L211" s="342">
        <v>1813</v>
      </c>
    </row>
    <row r="212" spans="2:12" hidden="1" outlineLevel="1" x14ac:dyDescent="0.25">
      <c r="B212" s="339">
        <v>42644</v>
      </c>
      <c r="C212" s="261">
        <v>770</v>
      </c>
      <c r="D212" s="261">
        <v>832</v>
      </c>
      <c r="E212" s="342">
        <v>1602</v>
      </c>
      <c r="F212" s="342">
        <v>13</v>
      </c>
      <c r="G212" s="342">
        <v>16</v>
      </c>
      <c r="H212" s="342">
        <v>29</v>
      </c>
      <c r="I212" s="342">
        <v>0</v>
      </c>
      <c r="J212" s="342">
        <v>0</v>
      </c>
      <c r="K212" s="342">
        <v>0</v>
      </c>
      <c r="L212" s="342">
        <v>1631</v>
      </c>
    </row>
    <row r="213" spans="2:12" hidden="1" outlineLevel="1" x14ac:dyDescent="0.25">
      <c r="B213" s="339">
        <v>42675</v>
      </c>
      <c r="C213" s="261">
        <v>484</v>
      </c>
      <c r="D213" s="261">
        <v>317</v>
      </c>
      <c r="E213" s="342">
        <v>801</v>
      </c>
      <c r="F213" s="342">
        <v>12</v>
      </c>
      <c r="G213" s="342">
        <v>9</v>
      </c>
      <c r="H213" s="342">
        <v>21</v>
      </c>
      <c r="I213" s="342">
        <v>0</v>
      </c>
      <c r="J213" s="342">
        <v>0</v>
      </c>
      <c r="K213" s="342">
        <v>0</v>
      </c>
      <c r="L213" s="342">
        <v>822</v>
      </c>
    </row>
    <row r="214" spans="2:12" hidden="1" outlineLevel="1" x14ac:dyDescent="0.25">
      <c r="B214" s="339">
        <v>42705</v>
      </c>
      <c r="C214" s="261">
        <v>1057</v>
      </c>
      <c r="D214" s="261">
        <v>797</v>
      </c>
      <c r="E214" s="342">
        <v>1854</v>
      </c>
      <c r="F214" s="342">
        <v>156</v>
      </c>
      <c r="G214" s="342">
        <v>126</v>
      </c>
      <c r="H214" s="342">
        <v>282</v>
      </c>
      <c r="I214" s="342">
        <v>6</v>
      </c>
      <c r="J214" s="342">
        <v>0</v>
      </c>
      <c r="K214" s="342">
        <v>6</v>
      </c>
      <c r="L214" s="342">
        <v>2142</v>
      </c>
    </row>
    <row r="215" spans="2:12" collapsed="1" x14ac:dyDescent="0.25">
      <c r="B215" s="242" t="s">
        <v>55</v>
      </c>
      <c r="C215" s="280"/>
      <c r="D215" s="280"/>
      <c r="E215" s="279">
        <v>27817</v>
      </c>
      <c r="F215" s="279"/>
      <c r="G215" s="279"/>
      <c r="H215" s="279">
        <v>1016</v>
      </c>
      <c r="I215" s="279"/>
      <c r="J215" s="279"/>
      <c r="K215" s="279">
        <v>178</v>
      </c>
      <c r="L215" s="279">
        <v>29011</v>
      </c>
    </row>
    <row r="216" spans="2:12" hidden="1" outlineLevel="1" x14ac:dyDescent="0.25">
      <c r="B216" s="339">
        <v>42736</v>
      </c>
      <c r="C216" s="261">
        <v>1709</v>
      </c>
      <c r="D216" s="261">
        <v>1188</v>
      </c>
      <c r="E216" s="342">
        <v>2897</v>
      </c>
      <c r="F216" s="342">
        <v>87</v>
      </c>
      <c r="G216" s="342">
        <v>62</v>
      </c>
      <c r="H216" s="342">
        <v>149</v>
      </c>
      <c r="I216" s="342">
        <v>21</v>
      </c>
      <c r="J216" s="342">
        <v>22</v>
      </c>
      <c r="K216" s="342">
        <v>43</v>
      </c>
      <c r="L216" s="342">
        <v>3089</v>
      </c>
    </row>
    <row r="217" spans="2:12" hidden="1" outlineLevel="1" x14ac:dyDescent="0.25">
      <c r="B217" s="339">
        <v>42767</v>
      </c>
      <c r="C217" s="261">
        <v>1599</v>
      </c>
      <c r="D217" s="261">
        <v>1237</v>
      </c>
      <c r="E217" s="342">
        <v>2836</v>
      </c>
      <c r="F217" s="342">
        <v>35</v>
      </c>
      <c r="G217" s="342">
        <v>42</v>
      </c>
      <c r="H217" s="342">
        <v>77</v>
      </c>
      <c r="I217" s="342">
        <v>11</v>
      </c>
      <c r="J217" s="342">
        <v>10</v>
      </c>
      <c r="K217" s="342">
        <v>21</v>
      </c>
      <c r="L217" s="342">
        <v>2934</v>
      </c>
    </row>
    <row r="218" spans="2:12" hidden="1" outlineLevel="1" x14ac:dyDescent="0.25">
      <c r="B218" s="339">
        <v>42795</v>
      </c>
      <c r="C218" s="261">
        <v>1281</v>
      </c>
      <c r="D218" s="261">
        <v>949</v>
      </c>
      <c r="E218" s="342">
        <v>2230</v>
      </c>
      <c r="F218" s="342">
        <v>63</v>
      </c>
      <c r="G218" s="342">
        <v>47</v>
      </c>
      <c r="H218" s="342">
        <v>110</v>
      </c>
      <c r="I218" s="342">
        <v>18</v>
      </c>
      <c r="J218" s="342">
        <v>10</v>
      </c>
      <c r="K218" s="342">
        <v>28</v>
      </c>
      <c r="L218" s="342">
        <v>2368</v>
      </c>
    </row>
    <row r="219" spans="2:12" hidden="1" outlineLevel="1" x14ac:dyDescent="0.25">
      <c r="B219" s="339">
        <v>42826</v>
      </c>
      <c r="C219" s="261">
        <v>694</v>
      </c>
      <c r="D219" s="261">
        <v>578</v>
      </c>
      <c r="E219" s="342">
        <v>1272</v>
      </c>
      <c r="F219" s="342">
        <v>16</v>
      </c>
      <c r="G219" s="342">
        <v>19</v>
      </c>
      <c r="H219" s="342">
        <v>35</v>
      </c>
      <c r="I219" s="342">
        <v>8</v>
      </c>
      <c r="J219" s="342">
        <v>7</v>
      </c>
      <c r="K219" s="342">
        <v>15</v>
      </c>
      <c r="L219" s="342">
        <v>1322</v>
      </c>
    </row>
    <row r="220" spans="2:12" hidden="1" outlineLevel="1" x14ac:dyDescent="0.25">
      <c r="B220" s="339">
        <v>42856</v>
      </c>
      <c r="C220" s="261">
        <v>698</v>
      </c>
      <c r="D220" s="261">
        <v>493</v>
      </c>
      <c r="E220" s="342">
        <v>1191</v>
      </c>
      <c r="F220" s="342">
        <v>13</v>
      </c>
      <c r="G220" s="342">
        <v>3</v>
      </c>
      <c r="H220" s="342">
        <v>16</v>
      </c>
      <c r="I220" s="342">
        <v>45</v>
      </c>
      <c r="J220" s="342">
        <v>41</v>
      </c>
      <c r="K220" s="342">
        <v>86</v>
      </c>
      <c r="L220" s="342">
        <v>1293</v>
      </c>
    </row>
    <row r="221" spans="2:12" hidden="1" outlineLevel="1" x14ac:dyDescent="0.25">
      <c r="B221" s="339">
        <v>42887</v>
      </c>
      <c r="C221" s="261">
        <v>891</v>
      </c>
      <c r="D221" s="261">
        <v>581</v>
      </c>
      <c r="E221" s="342">
        <v>1472</v>
      </c>
      <c r="F221" s="342">
        <v>18</v>
      </c>
      <c r="G221" s="342">
        <v>18</v>
      </c>
      <c r="H221" s="342">
        <v>36</v>
      </c>
      <c r="I221" s="342">
        <v>10</v>
      </c>
      <c r="J221" s="342">
        <v>12</v>
      </c>
      <c r="K221" s="342">
        <v>22</v>
      </c>
      <c r="L221" s="342">
        <v>1530</v>
      </c>
    </row>
    <row r="222" spans="2:12" hidden="1" outlineLevel="1" x14ac:dyDescent="0.25">
      <c r="B222" s="339">
        <v>42917</v>
      </c>
      <c r="C222" s="261">
        <v>857</v>
      </c>
      <c r="D222" s="261">
        <v>571</v>
      </c>
      <c r="E222" s="342">
        <v>1428</v>
      </c>
      <c r="F222" s="342">
        <v>15</v>
      </c>
      <c r="G222" s="342">
        <v>14</v>
      </c>
      <c r="H222" s="342">
        <v>29</v>
      </c>
      <c r="I222" s="342">
        <v>84</v>
      </c>
      <c r="J222" s="342">
        <v>54</v>
      </c>
      <c r="K222" s="342">
        <v>138</v>
      </c>
      <c r="L222" s="342">
        <v>1595</v>
      </c>
    </row>
    <row r="223" spans="2:12" hidden="1" outlineLevel="1" x14ac:dyDescent="0.25">
      <c r="B223" s="339">
        <v>42948</v>
      </c>
      <c r="C223" s="261">
        <v>697</v>
      </c>
      <c r="D223" s="261">
        <v>460</v>
      </c>
      <c r="E223" s="342">
        <v>1157</v>
      </c>
      <c r="F223" s="342">
        <v>11</v>
      </c>
      <c r="G223" s="342">
        <v>9</v>
      </c>
      <c r="H223" s="342">
        <v>20</v>
      </c>
      <c r="I223" s="342">
        <v>43</v>
      </c>
      <c r="J223" s="342">
        <v>34</v>
      </c>
      <c r="K223" s="342">
        <v>77</v>
      </c>
      <c r="L223" s="342">
        <v>1254</v>
      </c>
    </row>
    <row r="224" spans="2:12" hidden="1" outlineLevel="1" x14ac:dyDescent="0.25">
      <c r="B224" s="339">
        <v>42979</v>
      </c>
      <c r="C224" s="261">
        <v>850</v>
      </c>
      <c r="D224" s="261">
        <v>547</v>
      </c>
      <c r="E224" s="342">
        <v>1397</v>
      </c>
      <c r="F224" s="342">
        <v>1</v>
      </c>
      <c r="G224" s="342">
        <v>3</v>
      </c>
      <c r="H224" s="342">
        <v>4</v>
      </c>
      <c r="I224" s="342">
        <v>12</v>
      </c>
      <c r="J224" s="342">
        <v>14</v>
      </c>
      <c r="K224" s="342">
        <v>26</v>
      </c>
      <c r="L224" s="342">
        <v>1427</v>
      </c>
    </row>
    <row r="225" spans="2:12" hidden="1" outlineLevel="1" x14ac:dyDescent="0.25">
      <c r="B225" s="339">
        <v>43009</v>
      </c>
      <c r="C225" s="261">
        <v>305</v>
      </c>
      <c r="D225" s="261">
        <v>234</v>
      </c>
      <c r="E225" s="342">
        <v>539</v>
      </c>
      <c r="F225" s="342">
        <v>11</v>
      </c>
      <c r="G225" s="342">
        <v>11</v>
      </c>
      <c r="H225" s="342">
        <v>22</v>
      </c>
      <c r="I225" s="342">
        <v>36</v>
      </c>
      <c r="J225" s="342">
        <v>19</v>
      </c>
      <c r="K225" s="342">
        <v>55</v>
      </c>
      <c r="L225" s="342">
        <v>616</v>
      </c>
    </row>
    <row r="226" spans="2:12" hidden="1" outlineLevel="1" x14ac:dyDescent="0.25">
      <c r="B226" s="339">
        <v>43040</v>
      </c>
      <c r="C226" s="261">
        <v>524</v>
      </c>
      <c r="D226" s="261">
        <v>369</v>
      </c>
      <c r="E226" s="342">
        <v>893</v>
      </c>
      <c r="F226" s="342">
        <v>15</v>
      </c>
      <c r="G226" s="342">
        <v>6</v>
      </c>
      <c r="H226" s="342">
        <v>21</v>
      </c>
      <c r="I226" s="342">
        <v>22</v>
      </c>
      <c r="J226" s="342">
        <v>11</v>
      </c>
      <c r="K226" s="342">
        <v>33</v>
      </c>
      <c r="L226" s="342">
        <v>947</v>
      </c>
    </row>
    <row r="227" spans="2:12" hidden="1" outlineLevel="1" x14ac:dyDescent="0.25">
      <c r="B227" s="339">
        <v>43070</v>
      </c>
      <c r="C227" s="261">
        <v>638</v>
      </c>
      <c r="D227" s="261">
        <v>595</v>
      </c>
      <c r="E227" s="342">
        <v>1233</v>
      </c>
      <c r="F227" s="342">
        <v>17</v>
      </c>
      <c r="G227" s="342">
        <v>15</v>
      </c>
      <c r="H227" s="342">
        <v>32</v>
      </c>
      <c r="I227" s="342">
        <v>5</v>
      </c>
      <c r="J227" s="342">
        <v>5</v>
      </c>
      <c r="K227" s="342">
        <v>10</v>
      </c>
      <c r="L227" s="342">
        <v>1275</v>
      </c>
    </row>
    <row r="228" spans="2:12" collapsed="1" x14ac:dyDescent="0.25">
      <c r="B228" s="242" t="s">
        <v>58</v>
      </c>
      <c r="C228" s="279"/>
      <c r="D228" s="279"/>
      <c r="E228" s="279">
        <v>18545</v>
      </c>
      <c r="F228" s="279"/>
      <c r="G228" s="279"/>
      <c r="H228" s="279">
        <v>551</v>
      </c>
      <c r="I228" s="279"/>
      <c r="J228" s="279"/>
      <c r="K228" s="279">
        <v>554</v>
      </c>
      <c r="L228" s="279">
        <v>19650</v>
      </c>
    </row>
    <row r="229" spans="2:12" hidden="1" outlineLevel="1" x14ac:dyDescent="0.25">
      <c r="B229" s="339">
        <v>43101</v>
      </c>
      <c r="C229" s="261">
        <v>755</v>
      </c>
      <c r="D229" s="261">
        <v>663</v>
      </c>
      <c r="E229" s="342">
        <v>1418</v>
      </c>
      <c r="F229" s="342">
        <v>14</v>
      </c>
      <c r="G229" s="342">
        <v>12</v>
      </c>
      <c r="H229" s="342">
        <v>26</v>
      </c>
      <c r="I229" s="342">
        <v>8</v>
      </c>
      <c r="J229" s="342">
        <v>3</v>
      </c>
      <c r="K229" s="342">
        <v>11</v>
      </c>
      <c r="L229" s="342">
        <v>1455</v>
      </c>
    </row>
    <row r="230" spans="2:12" hidden="1" outlineLevel="1" x14ac:dyDescent="0.25">
      <c r="B230" s="339">
        <v>43132</v>
      </c>
      <c r="C230" s="261">
        <v>908</v>
      </c>
      <c r="D230" s="261">
        <v>778</v>
      </c>
      <c r="E230" s="342">
        <v>1686</v>
      </c>
      <c r="F230" s="342">
        <v>16</v>
      </c>
      <c r="G230" s="342">
        <v>9</v>
      </c>
      <c r="H230" s="342">
        <v>25</v>
      </c>
      <c r="I230" s="342">
        <v>55</v>
      </c>
      <c r="J230" s="342">
        <v>50</v>
      </c>
      <c r="K230" s="342">
        <v>105</v>
      </c>
      <c r="L230" s="342">
        <v>1816</v>
      </c>
    </row>
    <row r="231" spans="2:12" hidden="1" outlineLevel="1" x14ac:dyDescent="0.25">
      <c r="B231" s="339">
        <v>43160</v>
      </c>
      <c r="C231" s="261">
        <v>1306</v>
      </c>
      <c r="D231" s="261">
        <v>853</v>
      </c>
      <c r="E231" s="342">
        <v>2159</v>
      </c>
      <c r="F231" s="342">
        <v>34</v>
      </c>
      <c r="G231" s="342">
        <v>26</v>
      </c>
      <c r="H231" s="342">
        <v>60</v>
      </c>
      <c r="I231" s="342">
        <v>35</v>
      </c>
      <c r="J231" s="342">
        <v>15</v>
      </c>
      <c r="K231" s="342">
        <v>50</v>
      </c>
      <c r="L231" s="342">
        <v>2269</v>
      </c>
    </row>
    <row r="232" spans="2:12" hidden="1" outlineLevel="1" x14ac:dyDescent="0.25">
      <c r="B232" s="339">
        <v>43191</v>
      </c>
      <c r="C232" s="261">
        <v>1004</v>
      </c>
      <c r="D232" s="261">
        <v>564</v>
      </c>
      <c r="E232" s="342">
        <v>1568</v>
      </c>
      <c r="F232" s="342">
        <v>19</v>
      </c>
      <c r="G232" s="342">
        <v>14</v>
      </c>
      <c r="H232" s="342">
        <v>33</v>
      </c>
      <c r="I232" s="342">
        <v>20</v>
      </c>
      <c r="J232" s="342">
        <v>18</v>
      </c>
      <c r="K232" s="342">
        <v>38</v>
      </c>
      <c r="L232" s="342">
        <v>1639</v>
      </c>
    </row>
    <row r="233" spans="2:12" hidden="1" outlineLevel="1" x14ac:dyDescent="0.25">
      <c r="B233" s="339">
        <v>43221</v>
      </c>
      <c r="C233" s="261">
        <v>717</v>
      </c>
      <c r="D233" s="261">
        <v>410</v>
      </c>
      <c r="E233" s="342">
        <v>1127</v>
      </c>
      <c r="F233" s="342">
        <v>17</v>
      </c>
      <c r="G233" s="342">
        <v>15</v>
      </c>
      <c r="H233" s="342">
        <v>32</v>
      </c>
      <c r="I233" s="342">
        <v>26</v>
      </c>
      <c r="J233" s="342">
        <v>26</v>
      </c>
      <c r="K233" s="342">
        <v>52</v>
      </c>
      <c r="L233" s="342">
        <v>1211</v>
      </c>
    </row>
    <row r="234" spans="2:12" hidden="1" outlineLevel="1" x14ac:dyDescent="0.25">
      <c r="B234" s="339">
        <v>43252</v>
      </c>
      <c r="C234" s="261">
        <v>1018</v>
      </c>
      <c r="D234" s="261">
        <v>658</v>
      </c>
      <c r="E234" s="342">
        <v>1676</v>
      </c>
      <c r="F234" s="342">
        <v>18</v>
      </c>
      <c r="G234" s="342">
        <v>12</v>
      </c>
      <c r="H234" s="342">
        <v>30</v>
      </c>
      <c r="I234" s="342">
        <v>23</v>
      </c>
      <c r="J234" s="342">
        <v>10</v>
      </c>
      <c r="K234" s="342">
        <v>33</v>
      </c>
      <c r="L234" s="342">
        <v>1739</v>
      </c>
    </row>
    <row r="235" spans="2:12" hidden="1" outlineLevel="1" x14ac:dyDescent="0.25">
      <c r="B235" s="339">
        <v>43282</v>
      </c>
      <c r="C235" s="261">
        <v>845</v>
      </c>
      <c r="D235" s="261">
        <v>604</v>
      </c>
      <c r="E235" s="342">
        <v>1449</v>
      </c>
      <c r="F235" s="342">
        <v>17</v>
      </c>
      <c r="G235" s="342">
        <v>33</v>
      </c>
      <c r="H235" s="342">
        <v>50</v>
      </c>
      <c r="I235" s="342">
        <v>35</v>
      </c>
      <c r="J235" s="342">
        <v>31</v>
      </c>
      <c r="K235" s="342">
        <v>66</v>
      </c>
      <c r="L235" s="342">
        <v>1565</v>
      </c>
    </row>
    <row r="236" spans="2:12" hidden="1" outlineLevel="1" x14ac:dyDescent="0.25">
      <c r="B236" s="339">
        <v>43313</v>
      </c>
      <c r="C236" s="261">
        <v>1178</v>
      </c>
      <c r="D236" s="261">
        <v>821</v>
      </c>
      <c r="E236" s="342">
        <v>1999</v>
      </c>
      <c r="F236" s="342">
        <v>20</v>
      </c>
      <c r="G236" s="342">
        <v>30</v>
      </c>
      <c r="H236" s="342">
        <v>50</v>
      </c>
      <c r="I236" s="342">
        <v>33</v>
      </c>
      <c r="J236" s="342">
        <v>28</v>
      </c>
      <c r="K236" s="342">
        <v>61</v>
      </c>
      <c r="L236" s="342">
        <v>2110</v>
      </c>
    </row>
    <row r="237" spans="2:12" hidden="1" outlineLevel="1" x14ac:dyDescent="0.25">
      <c r="B237" s="339">
        <v>43344</v>
      </c>
      <c r="C237" s="261">
        <v>1529</v>
      </c>
      <c r="D237" s="261">
        <v>1059</v>
      </c>
      <c r="E237" s="342">
        <v>2588</v>
      </c>
      <c r="F237" s="342">
        <v>40</v>
      </c>
      <c r="G237" s="342">
        <v>42</v>
      </c>
      <c r="H237" s="342">
        <v>82</v>
      </c>
      <c r="I237" s="342">
        <v>45</v>
      </c>
      <c r="J237" s="342">
        <v>15</v>
      </c>
      <c r="K237" s="342">
        <v>60</v>
      </c>
      <c r="L237" s="342">
        <v>2730</v>
      </c>
    </row>
    <row r="238" spans="2:12" hidden="1" outlineLevel="1" x14ac:dyDescent="0.25">
      <c r="B238" s="339">
        <v>43374</v>
      </c>
      <c r="C238" s="261">
        <v>978</v>
      </c>
      <c r="D238" s="261">
        <v>757</v>
      </c>
      <c r="E238" s="342">
        <v>1735</v>
      </c>
      <c r="F238" s="342">
        <v>21</v>
      </c>
      <c r="G238" s="342">
        <v>40</v>
      </c>
      <c r="H238" s="342">
        <v>61</v>
      </c>
      <c r="I238" s="342">
        <v>27</v>
      </c>
      <c r="J238" s="342">
        <v>13</v>
      </c>
      <c r="K238" s="342">
        <v>40</v>
      </c>
      <c r="L238" s="342">
        <v>1836</v>
      </c>
    </row>
    <row r="239" spans="2:12" hidden="1" outlineLevel="1" x14ac:dyDescent="0.25">
      <c r="B239" s="339">
        <v>43405</v>
      </c>
      <c r="C239" s="261">
        <v>583</v>
      </c>
      <c r="D239" s="261">
        <v>278</v>
      </c>
      <c r="E239" s="342">
        <v>861</v>
      </c>
      <c r="F239" s="342">
        <v>9</v>
      </c>
      <c r="G239" s="342">
        <v>8</v>
      </c>
      <c r="H239" s="342">
        <v>17</v>
      </c>
      <c r="I239" s="342">
        <v>63</v>
      </c>
      <c r="J239" s="342">
        <v>44</v>
      </c>
      <c r="K239" s="342">
        <v>107</v>
      </c>
      <c r="L239" s="342">
        <v>985</v>
      </c>
    </row>
    <row r="240" spans="2:12" hidden="1" outlineLevel="1" x14ac:dyDescent="0.25">
      <c r="B240" s="339">
        <v>43435</v>
      </c>
      <c r="C240" s="261">
        <v>1471</v>
      </c>
      <c r="D240" s="261">
        <v>707</v>
      </c>
      <c r="E240" s="342">
        <v>2178</v>
      </c>
      <c r="F240" s="342">
        <v>34</v>
      </c>
      <c r="G240" s="342">
        <v>21</v>
      </c>
      <c r="H240" s="342">
        <v>55</v>
      </c>
      <c r="I240" s="342">
        <v>49</v>
      </c>
      <c r="J240" s="342">
        <v>38</v>
      </c>
      <c r="K240" s="342">
        <v>87</v>
      </c>
      <c r="L240" s="342">
        <v>2320</v>
      </c>
    </row>
    <row r="241" spans="2:12" collapsed="1" x14ac:dyDescent="0.25">
      <c r="B241" s="242" t="s">
        <v>59</v>
      </c>
      <c r="C241" s="279"/>
      <c r="D241" s="279"/>
      <c r="E241" s="279">
        <v>20444</v>
      </c>
      <c r="F241" s="279"/>
      <c r="G241" s="279"/>
      <c r="H241" s="279">
        <v>521</v>
      </c>
      <c r="I241" s="279"/>
      <c r="J241" s="279"/>
      <c r="K241" s="279">
        <v>710</v>
      </c>
      <c r="L241" s="279">
        <v>21675</v>
      </c>
    </row>
    <row r="242" spans="2:12" hidden="1" outlineLevel="1" x14ac:dyDescent="0.25">
      <c r="B242" s="339">
        <v>43466</v>
      </c>
      <c r="C242" s="261">
        <v>1585</v>
      </c>
      <c r="D242" s="261">
        <v>954</v>
      </c>
      <c r="E242" s="342">
        <v>2539</v>
      </c>
      <c r="F242" s="342">
        <v>44</v>
      </c>
      <c r="G242" s="342">
        <v>43</v>
      </c>
      <c r="H242" s="342">
        <v>87</v>
      </c>
      <c r="I242" s="342">
        <v>82</v>
      </c>
      <c r="J242" s="342">
        <v>27</v>
      </c>
      <c r="K242" s="342">
        <v>109</v>
      </c>
      <c r="L242" s="342">
        <v>2735</v>
      </c>
    </row>
    <row r="243" spans="2:12" hidden="1" outlineLevel="1" x14ac:dyDescent="0.25">
      <c r="B243" s="339">
        <v>43497</v>
      </c>
      <c r="C243" s="261">
        <v>1537</v>
      </c>
      <c r="D243" s="261">
        <v>762</v>
      </c>
      <c r="E243" s="342">
        <v>2299</v>
      </c>
      <c r="F243" s="342">
        <v>27</v>
      </c>
      <c r="G243" s="342">
        <v>19</v>
      </c>
      <c r="H243" s="342">
        <v>46</v>
      </c>
      <c r="I243" s="342">
        <v>54</v>
      </c>
      <c r="J243" s="342">
        <v>28</v>
      </c>
      <c r="K243" s="342">
        <v>82</v>
      </c>
      <c r="L243" s="342">
        <v>2427</v>
      </c>
    </row>
    <row r="244" spans="2:12" hidden="1" outlineLevel="1" x14ac:dyDescent="0.25">
      <c r="B244" s="339">
        <v>43525</v>
      </c>
      <c r="C244" s="261">
        <v>454</v>
      </c>
      <c r="D244" s="261">
        <v>329</v>
      </c>
      <c r="E244" s="342">
        <v>783</v>
      </c>
      <c r="F244" s="342">
        <v>8</v>
      </c>
      <c r="G244" s="342">
        <v>7</v>
      </c>
      <c r="H244" s="342">
        <v>15</v>
      </c>
      <c r="I244" s="342">
        <v>5</v>
      </c>
      <c r="J244" s="342">
        <v>6</v>
      </c>
      <c r="K244" s="342">
        <v>11</v>
      </c>
      <c r="L244" s="342">
        <v>809</v>
      </c>
    </row>
    <row r="245" spans="2:12" hidden="1" outlineLevel="1" x14ac:dyDescent="0.25">
      <c r="B245" s="339">
        <v>43556</v>
      </c>
      <c r="C245" s="261">
        <v>988</v>
      </c>
      <c r="D245" s="261">
        <v>507</v>
      </c>
      <c r="E245" s="342">
        <v>1495</v>
      </c>
      <c r="F245" s="342">
        <v>20</v>
      </c>
      <c r="G245" s="342">
        <v>11</v>
      </c>
      <c r="H245" s="342">
        <v>31</v>
      </c>
      <c r="I245" s="342">
        <v>72</v>
      </c>
      <c r="J245" s="342">
        <v>46</v>
      </c>
      <c r="K245" s="342">
        <v>118</v>
      </c>
      <c r="L245" s="342">
        <v>1644</v>
      </c>
    </row>
    <row r="246" spans="2:12" hidden="1" outlineLevel="1" x14ac:dyDescent="0.25">
      <c r="B246" s="339">
        <v>43586</v>
      </c>
      <c r="C246" s="261">
        <v>995</v>
      </c>
      <c r="D246" s="261">
        <v>602</v>
      </c>
      <c r="E246" s="342">
        <v>1597</v>
      </c>
      <c r="F246" s="342">
        <v>30</v>
      </c>
      <c r="G246" s="342">
        <v>28</v>
      </c>
      <c r="H246" s="342">
        <v>58</v>
      </c>
      <c r="I246" s="342">
        <v>60</v>
      </c>
      <c r="J246" s="342">
        <v>33</v>
      </c>
      <c r="K246" s="342">
        <v>93</v>
      </c>
      <c r="L246" s="342">
        <v>1748</v>
      </c>
    </row>
    <row r="247" spans="2:12" hidden="1" outlineLevel="1" x14ac:dyDescent="0.25">
      <c r="B247" s="339">
        <v>43617</v>
      </c>
      <c r="C247" s="261">
        <v>1868</v>
      </c>
      <c r="D247" s="261">
        <v>1297</v>
      </c>
      <c r="E247" s="342">
        <v>3165</v>
      </c>
      <c r="F247" s="342">
        <v>86</v>
      </c>
      <c r="G247" s="342">
        <v>86</v>
      </c>
      <c r="H247" s="342">
        <v>172</v>
      </c>
      <c r="I247" s="342">
        <v>50</v>
      </c>
      <c r="J247" s="342">
        <v>30</v>
      </c>
      <c r="K247" s="342">
        <v>80</v>
      </c>
      <c r="L247" s="342">
        <v>3417</v>
      </c>
    </row>
    <row r="248" spans="2:12" hidden="1" outlineLevel="1" x14ac:dyDescent="0.25">
      <c r="B248" s="339">
        <v>43647</v>
      </c>
      <c r="C248" s="261">
        <v>2276</v>
      </c>
      <c r="D248" s="261">
        <v>1274</v>
      </c>
      <c r="E248" s="342">
        <v>3550</v>
      </c>
      <c r="F248" s="342">
        <v>43</v>
      </c>
      <c r="G248" s="342">
        <v>59</v>
      </c>
      <c r="H248" s="342">
        <v>102</v>
      </c>
      <c r="I248" s="342">
        <v>108</v>
      </c>
      <c r="J248" s="342">
        <v>70</v>
      </c>
      <c r="K248" s="342">
        <v>178</v>
      </c>
      <c r="L248" s="342">
        <v>3830</v>
      </c>
    </row>
    <row r="249" spans="2:12" hidden="1" outlineLevel="1" x14ac:dyDescent="0.25">
      <c r="B249" s="339">
        <v>43678</v>
      </c>
      <c r="C249" s="261">
        <v>1983</v>
      </c>
      <c r="D249" s="261">
        <v>1098</v>
      </c>
      <c r="E249" s="342">
        <v>3081</v>
      </c>
      <c r="F249" s="342">
        <v>57</v>
      </c>
      <c r="G249" s="342">
        <v>62</v>
      </c>
      <c r="H249" s="342">
        <v>119</v>
      </c>
      <c r="I249" s="342">
        <v>78</v>
      </c>
      <c r="J249" s="342">
        <v>37</v>
      </c>
      <c r="K249" s="342">
        <v>115</v>
      </c>
      <c r="L249" s="342">
        <v>3315</v>
      </c>
    </row>
    <row r="250" spans="2:12" hidden="1" outlineLevel="1" x14ac:dyDescent="0.25">
      <c r="B250" s="339">
        <v>43709</v>
      </c>
      <c r="C250" s="261">
        <v>1341</v>
      </c>
      <c r="D250" s="261">
        <v>990</v>
      </c>
      <c r="E250" s="342">
        <v>2331</v>
      </c>
      <c r="F250" s="342">
        <v>18</v>
      </c>
      <c r="G250" s="342">
        <v>11</v>
      </c>
      <c r="H250" s="342">
        <v>29</v>
      </c>
      <c r="I250" s="342">
        <v>23</v>
      </c>
      <c r="J250" s="342">
        <v>15</v>
      </c>
      <c r="K250" s="342">
        <v>38</v>
      </c>
      <c r="L250" s="342">
        <v>2398</v>
      </c>
    </row>
    <row r="251" spans="2:12" hidden="1" outlineLevel="1" x14ac:dyDescent="0.25">
      <c r="B251" s="339">
        <v>43739</v>
      </c>
      <c r="C251" s="261">
        <v>866</v>
      </c>
      <c r="D251" s="261">
        <v>575</v>
      </c>
      <c r="E251" s="342">
        <v>1441</v>
      </c>
      <c r="F251" s="342">
        <v>51</v>
      </c>
      <c r="G251" s="342">
        <v>40</v>
      </c>
      <c r="H251" s="342">
        <v>91</v>
      </c>
      <c r="I251" s="342">
        <v>31</v>
      </c>
      <c r="J251" s="342">
        <v>12</v>
      </c>
      <c r="K251" s="342">
        <v>43</v>
      </c>
      <c r="L251" s="342">
        <v>1575</v>
      </c>
    </row>
    <row r="252" spans="2:12" hidden="1" outlineLevel="1" x14ac:dyDescent="0.25">
      <c r="B252" s="339">
        <v>43770</v>
      </c>
      <c r="C252" s="261">
        <v>902</v>
      </c>
      <c r="D252" s="261">
        <v>489</v>
      </c>
      <c r="E252" s="342">
        <v>1391</v>
      </c>
      <c r="F252" s="342">
        <v>23</v>
      </c>
      <c r="G252" s="342">
        <v>20</v>
      </c>
      <c r="H252" s="342">
        <v>43</v>
      </c>
      <c r="I252" s="342">
        <v>24</v>
      </c>
      <c r="J252" s="342">
        <v>18</v>
      </c>
      <c r="K252" s="342">
        <v>42</v>
      </c>
      <c r="L252" s="342">
        <v>1476</v>
      </c>
    </row>
    <row r="253" spans="2:12" hidden="1" outlineLevel="1" x14ac:dyDescent="0.25">
      <c r="B253" s="339">
        <v>43800</v>
      </c>
      <c r="C253" s="261">
        <v>491</v>
      </c>
      <c r="D253" s="261">
        <v>410</v>
      </c>
      <c r="E253" s="342">
        <v>901</v>
      </c>
      <c r="F253" s="342">
        <v>12</v>
      </c>
      <c r="G253" s="342">
        <v>12</v>
      </c>
      <c r="H253" s="342">
        <v>24</v>
      </c>
      <c r="I253" s="342">
        <v>3</v>
      </c>
      <c r="J253" s="342">
        <v>1</v>
      </c>
      <c r="K253" s="342">
        <v>4</v>
      </c>
      <c r="L253" s="342">
        <v>929</v>
      </c>
    </row>
    <row r="254" spans="2:12" collapsed="1" x14ac:dyDescent="0.25">
      <c r="B254" s="242" t="s">
        <v>60</v>
      </c>
      <c r="C254" s="279"/>
      <c r="D254" s="279"/>
      <c r="E254" s="279">
        <v>24573</v>
      </c>
      <c r="F254" s="279"/>
      <c r="G254" s="279"/>
      <c r="H254" s="279">
        <v>817</v>
      </c>
      <c r="I254" s="279"/>
      <c r="J254" s="279"/>
      <c r="K254" s="279">
        <v>913</v>
      </c>
      <c r="L254" s="279">
        <v>26303</v>
      </c>
    </row>
    <row r="255" spans="2:12" hidden="1" outlineLevel="1" x14ac:dyDescent="0.25">
      <c r="B255" s="339">
        <v>43831</v>
      </c>
      <c r="C255" s="261">
        <v>1205</v>
      </c>
      <c r="D255" s="261">
        <v>702</v>
      </c>
      <c r="E255" s="342">
        <v>1907</v>
      </c>
      <c r="F255" s="342">
        <v>38</v>
      </c>
      <c r="G255" s="342">
        <v>19</v>
      </c>
      <c r="H255" s="342">
        <v>57</v>
      </c>
      <c r="I255" s="342">
        <v>54</v>
      </c>
      <c r="J255" s="342">
        <v>37</v>
      </c>
      <c r="K255" s="342">
        <v>91</v>
      </c>
      <c r="L255" s="342">
        <v>2055</v>
      </c>
    </row>
    <row r="256" spans="2:12" hidden="1" outlineLevel="1" x14ac:dyDescent="0.25">
      <c r="B256" s="339">
        <v>43862</v>
      </c>
      <c r="C256" s="261">
        <v>1372</v>
      </c>
      <c r="D256" s="261">
        <v>1327</v>
      </c>
      <c r="E256" s="342">
        <v>2699</v>
      </c>
      <c r="F256" s="342">
        <v>81</v>
      </c>
      <c r="G256" s="342">
        <v>150</v>
      </c>
      <c r="H256" s="342">
        <v>231</v>
      </c>
      <c r="I256" s="342">
        <v>42</v>
      </c>
      <c r="J256" s="342">
        <v>28</v>
      </c>
      <c r="K256" s="342">
        <v>70</v>
      </c>
      <c r="L256" s="342">
        <v>3000</v>
      </c>
    </row>
    <row r="257" spans="2:12" hidden="1" outlineLevel="1" x14ac:dyDescent="0.25">
      <c r="B257" s="339">
        <v>43891</v>
      </c>
      <c r="C257" s="261">
        <v>1750</v>
      </c>
      <c r="D257" s="261">
        <v>1162</v>
      </c>
      <c r="E257" s="342">
        <v>2912</v>
      </c>
      <c r="F257" s="342">
        <v>73</v>
      </c>
      <c r="G257" s="342">
        <v>85</v>
      </c>
      <c r="H257" s="342">
        <v>158</v>
      </c>
      <c r="I257" s="342">
        <v>60</v>
      </c>
      <c r="J257" s="342">
        <v>49</v>
      </c>
      <c r="K257" s="342">
        <v>109</v>
      </c>
      <c r="L257" s="342">
        <v>3179</v>
      </c>
    </row>
    <row r="258" spans="2:12" hidden="1" outlineLevel="1" x14ac:dyDescent="0.25">
      <c r="B258" s="339">
        <v>43922</v>
      </c>
      <c r="C258" s="261">
        <v>3482</v>
      </c>
      <c r="D258" s="261">
        <v>2096</v>
      </c>
      <c r="E258" s="342">
        <v>5578</v>
      </c>
      <c r="F258" s="342">
        <v>132</v>
      </c>
      <c r="G258" s="342">
        <v>116</v>
      </c>
      <c r="H258" s="342">
        <v>248</v>
      </c>
      <c r="I258" s="342">
        <v>239</v>
      </c>
      <c r="J258" s="342">
        <v>157</v>
      </c>
      <c r="K258" s="342">
        <v>396</v>
      </c>
      <c r="L258" s="342">
        <v>6222</v>
      </c>
    </row>
    <row r="259" spans="2:12" hidden="1" outlineLevel="1" x14ac:dyDescent="0.25">
      <c r="B259" s="339">
        <v>43952</v>
      </c>
      <c r="C259" s="261">
        <v>3376</v>
      </c>
      <c r="D259" s="261">
        <v>1668</v>
      </c>
      <c r="E259" s="342">
        <v>5044</v>
      </c>
      <c r="F259" s="342">
        <v>71</v>
      </c>
      <c r="G259" s="342">
        <v>48</v>
      </c>
      <c r="H259" s="342">
        <v>119</v>
      </c>
      <c r="I259" s="342">
        <v>238</v>
      </c>
      <c r="J259" s="342">
        <v>203</v>
      </c>
      <c r="K259" s="342">
        <v>441</v>
      </c>
      <c r="L259" s="342">
        <v>5604</v>
      </c>
    </row>
    <row r="260" spans="2:12" hidden="1" outlineLevel="1" x14ac:dyDescent="0.25">
      <c r="B260" s="339">
        <v>43983</v>
      </c>
      <c r="C260" s="261">
        <v>3453</v>
      </c>
      <c r="D260" s="261">
        <v>1719</v>
      </c>
      <c r="E260" s="342">
        <v>5172</v>
      </c>
      <c r="F260" s="342">
        <v>56</v>
      </c>
      <c r="G260" s="342">
        <v>45</v>
      </c>
      <c r="H260" s="342">
        <v>101</v>
      </c>
      <c r="I260" s="342">
        <v>241</v>
      </c>
      <c r="J260" s="342">
        <v>217</v>
      </c>
      <c r="K260" s="342">
        <v>458</v>
      </c>
      <c r="L260" s="342">
        <v>5731</v>
      </c>
    </row>
    <row r="261" spans="2:12" hidden="1" outlineLevel="1" x14ac:dyDescent="0.25">
      <c r="B261" s="339">
        <v>44013</v>
      </c>
      <c r="C261" s="261">
        <v>4515</v>
      </c>
      <c r="D261" s="261">
        <v>2459</v>
      </c>
      <c r="E261" s="342">
        <v>6974</v>
      </c>
      <c r="F261" s="342">
        <v>191</v>
      </c>
      <c r="G261" s="342">
        <v>130</v>
      </c>
      <c r="H261" s="342">
        <v>321</v>
      </c>
      <c r="I261" s="342">
        <v>497</v>
      </c>
      <c r="J261" s="342">
        <v>390</v>
      </c>
      <c r="K261" s="342">
        <v>887</v>
      </c>
      <c r="L261" s="342">
        <v>8182</v>
      </c>
    </row>
    <row r="262" spans="2:12" hidden="1" outlineLevel="1" x14ac:dyDescent="0.25">
      <c r="B262" s="339">
        <v>44044</v>
      </c>
      <c r="C262" s="261">
        <v>4543</v>
      </c>
      <c r="D262" s="261">
        <v>2497</v>
      </c>
      <c r="E262" s="342">
        <v>7040</v>
      </c>
      <c r="F262" s="342">
        <v>180</v>
      </c>
      <c r="G262" s="342">
        <v>146</v>
      </c>
      <c r="H262" s="342">
        <v>326</v>
      </c>
      <c r="I262" s="342">
        <v>246</v>
      </c>
      <c r="J262" s="342">
        <v>221</v>
      </c>
      <c r="K262" s="342">
        <v>467</v>
      </c>
      <c r="L262" s="342">
        <v>7833</v>
      </c>
    </row>
    <row r="263" spans="2:12" hidden="1" outlineLevel="1" x14ac:dyDescent="0.25">
      <c r="B263" s="339">
        <v>44075</v>
      </c>
      <c r="C263" s="261">
        <v>2169</v>
      </c>
      <c r="D263" s="261">
        <v>1096</v>
      </c>
      <c r="E263" s="342">
        <v>3265</v>
      </c>
      <c r="F263" s="342">
        <v>93</v>
      </c>
      <c r="G263" s="342">
        <v>82</v>
      </c>
      <c r="H263" s="342">
        <v>175</v>
      </c>
      <c r="I263" s="342">
        <v>123</v>
      </c>
      <c r="J263" s="342">
        <v>80</v>
      </c>
      <c r="K263" s="342">
        <v>203</v>
      </c>
      <c r="L263" s="342">
        <v>3643</v>
      </c>
    </row>
    <row r="264" spans="2:12" hidden="1" outlineLevel="1" x14ac:dyDescent="0.25">
      <c r="B264" s="339">
        <v>44105</v>
      </c>
      <c r="C264" s="261">
        <v>1870</v>
      </c>
      <c r="D264" s="261">
        <v>1040</v>
      </c>
      <c r="E264" s="342">
        <v>2910</v>
      </c>
      <c r="F264" s="342">
        <v>30</v>
      </c>
      <c r="G264" s="342">
        <v>43</v>
      </c>
      <c r="H264" s="342">
        <v>73</v>
      </c>
      <c r="I264" s="342">
        <v>145</v>
      </c>
      <c r="J264" s="342">
        <v>90</v>
      </c>
      <c r="K264" s="342">
        <v>235</v>
      </c>
      <c r="L264" s="342">
        <v>3218</v>
      </c>
    </row>
    <row r="265" spans="2:12" hidden="1" outlineLevel="1" x14ac:dyDescent="0.25">
      <c r="B265" s="339">
        <v>44136</v>
      </c>
      <c r="C265" s="261">
        <v>1395</v>
      </c>
      <c r="D265" s="261">
        <v>773</v>
      </c>
      <c r="E265" s="342">
        <v>2168</v>
      </c>
      <c r="F265" s="342">
        <v>61</v>
      </c>
      <c r="G265" s="342">
        <v>54</v>
      </c>
      <c r="H265" s="342">
        <v>115</v>
      </c>
      <c r="I265" s="342">
        <v>89</v>
      </c>
      <c r="J265" s="342">
        <v>79</v>
      </c>
      <c r="K265" s="342">
        <v>168</v>
      </c>
      <c r="L265" s="342">
        <v>2451</v>
      </c>
    </row>
    <row r="266" spans="2:12" hidden="1" outlineLevel="1" x14ac:dyDescent="0.25">
      <c r="B266" s="339">
        <v>44166</v>
      </c>
      <c r="C266" s="261">
        <v>1662</v>
      </c>
      <c r="D266" s="261">
        <v>710</v>
      </c>
      <c r="E266" s="342">
        <v>2372</v>
      </c>
      <c r="F266" s="342">
        <v>30</v>
      </c>
      <c r="G266" s="342">
        <v>31</v>
      </c>
      <c r="H266" s="342">
        <v>61</v>
      </c>
      <c r="I266" s="342">
        <v>73</v>
      </c>
      <c r="J266" s="342">
        <v>61</v>
      </c>
      <c r="K266" s="342">
        <v>134</v>
      </c>
      <c r="L266" s="342">
        <v>2567</v>
      </c>
    </row>
    <row r="267" spans="2:12" collapsed="1" x14ac:dyDescent="0.25">
      <c r="B267" s="242" t="s">
        <v>64</v>
      </c>
      <c r="C267" s="279"/>
      <c r="D267" s="279"/>
      <c r="E267" s="279">
        <v>48041</v>
      </c>
      <c r="F267" s="279"/>
      <c r="G267" s="279"/>
      <c r="H267" s="279">
        <v>1985</v>
      </c>
      <c r="I267" s="279"/>
      <c r="J267" s="279"/>
      <c r="K267" s="279">
        <v>3659</v>
      </c>
      <c r="L267" s="279">
        <v>53685</v>
      </c>
    </row>
    <row r="268" spans="2:12" hidden="1" outlineLevel="1" x14ac:dyDescent="0.25">
      <c r="B268" s="339">
        <v>44197</v>
      </c>
      <c r="C268" s="261">
        <v>2090</v>
      </c>
      <c r="D268" s="261">
        <v>934</v>
      </c>
      <c r="E268" s="342">
        <v>3024</v>
      </c>
      <c r="F268" s="342">
        <v>46</v>
      </c>
      <c r="G268" s="342">
        <v>31</v>
      </c>
      <c r="H268" s="342">
        <v>77</v>
      </c>
      <c r="I268" s="342">
        <v>112</v>
      </c>
      <c r="J268" s="342">
        <v>101</v>
      </c>
      <c r="K268" s="342">
        <v>213</v>
      </c>
      <c r="L268" s="342">
        <v>3314</v>
      </c>
    </row>
    <row r="269" spans="2:12" hidden="1" outlineLevel="1" x14ac:dyDescent="0.25">
      <c r="B269" s="339">
        <v>44228</v>
      </c>
      <c r="C269" s="261">
        <v>2887</v>
      </c>
      <c r="D269" s="261">
        <v>1200</v>
      </c>
      <c r="E269" s="342">
        <v>4087</v>
      </c>
      <c r="F269" s="342">
        <v>78</v>
      </c>
      <c r="G269" s="342">
        <v>53</v>
      </c>
      <c r="H269" s="342">
        <v>131</v>
      </c>
      <c r="I269" s="342">
        <v>114</v>
      </c>
      <c r="J269" s="342">
        <v>90</v>
      </c>
      <c r="K269" s="342">
        <v>204</v>
      </c>
      <c r="L269" s="342">
        <v>4422</v>
      </c>
    </row>
    <row r="270" spans="2:12" hidden="1" outlineLevel="1" x14ac:dyDescent="0.25">
      <c r="B270" s="339">
        <v>44256</v>
      </c>
      <c r="C270" s="261">
        <v>3264</v>
      </c>
      <c r="D270" s="261">
        <v>1514</v>
      </c>
      <c r="E270" s="342">
        <v>4778</v>
      </c>
      <c r="F270" s="342">
        <v>49</v>
      </c>
      <c r="G270" s="342">
        <v>53</v>
      </c>
      <c r="H270" s="342">
        <v>102</v>
      </c>
      <c r="I270" s="342">
        <v>308</v>
      </c>
      <c r="J270" s="342">
        <v>203</v>
      </c>
      <c r="K270" s="342">
        <v>511</v>
      </c>
      <c r="L270" s="342">
        <v>5391</v>
      </c>
    </row>
    <row r="271" spans="2:12" hidden="1" outlineLevel="1" x14ac:dyDescent="0.25">
      <c r="B271" s="339">
        <v>44287</v>
      </c>
      <c r="C271" s="261">
        <v>4279</v>
      </c>
      <c r="D271" s="261">
        <v>2062</v>
      </c>
      <c r="E271" s="342">
        <v>6341</v>
      </c>
      <c r="F271" s="342">
        <v>106</v>
      </c>
      <c r="G271" s="342">
        <v>82</v>
      </c>
      <c r="H271" s="342">
        <v>188</v>
      </c>
      <c r="I271" s="342">
        <v>342</v>
      </c>
      <c r="J271" s="342">
        <v>272</v>
      </c>
      <c r="K271" s="342">
        <v>614</v>
      </c>
      <c r="L271" s="342">
        <v>7143</v>
      </c>
    </row>
    <row r="272" spans="2:12" hidden="1" outlineLevel="1" x14ac:dyDescent="0.25">
      <c r="B272" s="339">
        <v>44317</v>
      </c>
      <c r="C272" s="261">
        <v>3493</v>
      </c>
      <c r="D272" s="261">
        <v>1924</v>
      </c>
      <c r="E272" s="342">
        <v>5417</v>
      </c>
      <c r="F272" s="342">
        <v>95</v>
      </c>
      <c r="G272" s="342">
        <v>76</v>
      </c>
      <c r="H272" s="342">
        <v>171</v>
      </c>
      <c r="I272" s="342">
        <v>260</v>
      </c>
      <c r="J272" s="342">
        <v>237</v>
      </c>
      <c r="K272" s="342">
        <v>497</v>
      </c>
      <c r="L272" s="342">
        <v>6085</v>
      </c>
    </row>
    <row r="273" spans="2:12" hidden="1" outlineLevel="1" x14ac:dyDescent="0.25">
      <c r="B273" s="339">
        <v>44348</v>
      </c>
      <c r="C273" s="261">
        <v>2836</v>
      </c>
      <c r="D273" s="261">
        <v>1991</v>
      </c>
      <c r="E273" s="342">
        <v>4827</v>
      </c>
      <c r="F273" s="342">
        <v>87</v>
      </c>
      <c r="G273" s="342">
        <v>140</v>
      </c>
      <c r="H273" s="342">
        <v>227</v>
      </c>
      <c r="I273" s="342">
        <v>262</v>
      </c>
      <c r="J273" s="342">
        <v>199</v>
      </c>
      <c r="K273" s="342">
        <v>461</v>
      </c>
      <c r="L273" s="342">
        <v>5515</v>
      </c>
    </row>
    <row r="274" spans="2:12" hidden="1" outlineLevel="1" x14ac:dyDescent="0.25">
      <c r="B274" s="339">
        <v>44378</v>
      </c>
      <c r="C274" s="261">
        <v>2343</v>
      </c>
      <c r="D274" s="261">
        <v>1233</v>
      </c>
      <c r="E274" s="342">
        <v>3576</v>
      </c>
      <c r="F274" s="342">
        <v>100</v>
      </c>
      <c r="G274" s="342">
        <v>93</v>
      </c>
      <c r="H274" s="342">
        <v>193</v>
      </c>
      <c r="I274" s="342">
        <v>212</v>
      </c>
      <c r="J274" s="342">
        <v>162</v>
      </c>
      <c r="K274" s="342">
        <v>374</v>
      </c>
      <c r="L274" s="342">
        <v>4143</v>
      </c>
    </row>
    <row r="275" spans="2:12" hidden="1" outlineLevel="1" x14ac:dyDescent="0.25">
      <c r="B275" s="339">
        <v>44409</v>
      </c>
      <c r="C275" s="261">
        <v>2201</v>
      </c>
      <c r="D275" s="261">
        <v>996</v>
      </c>
      <c r="E275" s="342">
        <v>3197</v>
      </c>
      <c r="F275" s="342">
        <v>47</v>
      </c>
      <c r="G275" s="342">
        <v>37</v>
      </c>
      <c r="H275" s="342">
        <v>84</v>
      </c>
      <c r="I275" s="342">
        <v>212</v>
      </c>
      <c r="J275" s="342">
        <v>146</v>
      </c>
      <c r="K275" s="342">
        <v>358</v>
      </c>
      <c r="L275" s="342">
        <v>3639</v>
      </c>
    </row>
    <row r="276" spans="2:12" hidden="1" outlineLevel="1" x14ac:dyDescent="0.25">
      <c r="B276" s="339">
        <v>44440</v>
      </c>
      <c r="C276" s="261">
        <v>1991</v>
      </c>
      <c r="D276" s="261">
        <v>1077</v>
      </c>
      <c r="E276" s="342">
        <v>3068</v>
      </c>
      <c r="F276" s="342">
        <v>76</v>
      </c>
      <c r="G276" s="342">
        <v>70</v>
      </c>
      <c r="H276" s="342">
        <v>146</v>
      </c>
      <c r="I276" s="342">
        <v>208</v>
      </c>
      <c r="J276" s="342">
        <v>146</v>
      </c>
      <c r="K276" s="342">
        <v>354</v>
      </c>
      <c r="L276" s="342">
        <v>3568</v>
      </c>
    </row>
    <row r="277" spans="2:12" hidden="1" outlineLevel="1" x14ac:dyDescent="0.25">
      <c r="B277" s="339">
        <v>44470</v>
      </c>
      <c r="C277" s="261">
        <v>1639</v>
      </c>
      <c r="D277" s="261">
        <v>788</v>
      </c>
      <c r="E277" s="342">
        <v>2427</v>
      </c>
      <c r="F277" s="342">
        <v>61</v>
      </c>
      <c r="G277" s="342">
        <v>34</v>
      </c>
      <c r="H277" s="342">
        <v>95</v>
      </c>
      <c r="I277" s="342">
        <v>144</v>
      </c>
      <c r="J277" s="342">
        <v>79</v>
      </c>
      <c r="K277" s="342">
        <v>223</v>
      </c>
      <c r="L277" s="342">
        <v>2745</v>
      </c>
    </row>
    <row r="278" spans="2:12" hidden="1" outlineLevel="1" x14ac:dyDescent="0.25">
      <c r="B278" s="339">
        <v>44501</v>
      </c>
      <c r="C278" s="261">
        <v>1532</v>
      </c>
      <c r="D278" s="261">
        <v>765</v>
      </c>
      <c r="E278" s="342">
        <v>2297</v>
      </c>
      <c r="F278" s="342">
        <v>25</v>
      </c>
      <c r="G278" s="342">
        <v>18</v>
      </c>
      <c r="H278" s="342">
        <v>43</v>
      </c>
      <c r="I278" s="342">
        <v>179</v>
      </c>
      <c r="J278" s="342">
        <v>114</v>
      </c>
      <c r="K278" s="342">
        <v>293</v>
      </c>
      <c r="L278" s="342">
        <v>2633</v>
      </c>
    </row>
    <row r="279" spans="2:12" hidden="1" outlineLevel="1" x14ac:dyDescent="0.25">
      <c r="B279" s="339">
        <v>44531</v>
      </c>
      <c r="C279" s="261">
        <v>1277</v>
      </c>
      <c r="D279" s="261">
        <v>646</v>
      </c>
      <c r="E279" s="342">
        <v>1923</v>
      </c>
      <c r="F279" s="342">
        <v>39</v>
      </c>
      <c r="G279" s="342">
        <v>24</v>
      </c>
      <c r="H279" s="342">
        <v>63</v>
      </c>
      <c r="I279" s="342">
        <v>76</v>
      </c>
      <c r="J279" s="342">
        <v>105</v>
      </c>
      <c r="K279" s="342">
        <v>181</v>
      </c>
      <c r="L279" s="342">
        <v>2167</v>
      </c>
    </row>
    <row r="280" spans="2:12" collapsed="1" x14ac:dyDescent="0.25">
      <c r="B280" s="242" t="s">
        <v>65</v>
      </c>
      <c r="C280" s="279">
        <v>29832</v>
      </c>
      <c r="D280" s="279">
        <v>15130</v>
      </c>
      <c r="E280" s="279">
        <v>44962</v>
      </c>
      <c r="F280" s="279">
        <v>809</v>
      </c>
      <c r="G280" s="279">
        <v>711</v>
      </c>
      <c r="H280" s="279">
        <v>1520</v>
      </c>
      <c r="I280" s="279">
        <v>2429</v>
      </c>
      <c r="J280" s="279">
        <v>1854</v>
      </c>
      <c r="K280" s="279">
        <v>4283</v>
      </c>
      <c r="L280" s="279">
        <v>50765</v>
      </c>
    </row>
    <row r="281" spans="2:12" hidden="1" outlineLevel="1" x14ac:dyDescent="0.25">
      <c r="B281" s="339">
        <v>44562</v>
      </c>
      <c r="C281" s="261">
        <v>1886</v>
      </c>
      <c r="D281" s="261">
        <v>887</v>
      </c>
      <c r="E281" s="342">
        <v>2773</v>
      </c>
      <c r="F281" s="342">
        <v>53</v>
      </c>
      <c r="G281" s="342">
        <v>47</v>
      </c>
      <c r="H281" s="342">
        <v>100</v>
      </c>
      <c r="I281" s="342">
        <v>181</v>
      </c>
      <c r="J281" s="342">
        <v>113</v>
      </c>
      <c r="K281" s="342">
        <v>294</v>
      </c>
      <c r="L281" s="342">
        <v>3167</v>
      </c>
    </row>
    <row r="282" spans="2:12" hidden="1" outlineLevel="1" x14ac:dyDescent="0.25">
      <c r="B282" s="339">
        <v>44593</v>
      </c>
      <c r="C282" s="261">
        <v>1412</v>
      </c>
      <c r="D282" s="261">
        <v>595</v>
      </c>
      <c r="E282" s="342">
        <v>2007</v>
      </c>
      <c r="F282" s="342">
        <v>30</v>
      </c>
      <c r="G282" s="342">
        <v>18</v>
      </c>
      <c r="H282" s="342">
        <v>48</v>
      </c>
      <c r="I282" s="342">
        <v>91</v>
      </c>
      <c r="J282" s="342">
        <v>65</v>
      </c>
      <c r="K282" s="342">
        <v>156</v>
      </c>
      <c r="L282" s="342">
        <v>2211</v>
      </c>
    </row>
    <row r="283" spans="2:12" hidden="1" outlineLevel="1" x14ac:dyDescent="0.25">
      <c r="B283" s="339">
        <v>44621</v>
      </c>
      <c r="C283" s="261">
        <v>1162</v>
      </c>
      <c r="D283" s="261">
        <v>726</v>
      </c>
      <c r="E283" s="342">
        <v>1888</v>
      </c>
      <c r="F283" s="342">
        <v>26</v>
      </c>
      <c r="G283" s="342">
        <v>33</v>
      </c>
      <c r="H283" s="342">
        <v>59</v>
      </c>
      <c r="I283" s="342">
        <v>134</v>
      </c>
      <c r="J283" s="342">
        <v>63</v>
      </c>
      <c r="K283" s="342">
        <v>197</v>
      </c>
      <c r="L283" s="342">
        <v>2144</v>
      </c>
    </row>
    <row r="284" spans="2:12" hidden="1" outlineLevel="1" x14ac:dyDescent="0.25">
      <c r="B284" s="339">
        <v>44652</v>
      </c>
      <c r="C284" s="261">
        <v>3769</v>
      </c>
      <c r="D284" s="261">
        <v>1904</v>
      </c>
      <c r="E284" s="342">
        <v>5673</v>
      </c>
      <c r="F284" s="342">
        <v>61</v>
      </c>
      <c r="G284" s="342">
        <v>35</v>
      </c>
      <c r="H284" s="342">
        <v>96</v>
      </c>
      <c r="I284" s="342">
        <v>462</v>
      </c>
      <c r="J284" s="342">
        <v>323</v>
      </c>
      <c r="K284" s="342">
        <v>785</v>
      </c>
      <c r="L284" s="342">
        <v>6554</v>
      </c>
    </row>
    <row r="285" spans="2:12" hidden="1" outlineLevel="1" x14ac:dyDescent="0.25">
      <c r="B285" s="339">
        <v>44682</v>
      </c>
      <c r="C285" s="261">
        <v>2974</v>
      </c>
      <c r="D285" s="261">
        <v>1701</v>
      </c>
      <c r="E285" s="342">
        <v>4675</v>
      </c>
      <c r="F285" s="342">
        <v>45</v>
      </c>
      <c r="G285" s="342">
        <v>26</v>
      </c>
      <c r="H285" s="342">
        <v>71</v>
      </c>
      <c r="I285" s="342">
        <v>95</v>
      </c>
      <c r="J285" s="342">
        <v>56</v>
      </c>
      <c r="K285" s="342">
        <v>151</v>
      </c>
      <c r="L285" s="342">
        <v>4897</v>
      </c>
    </row>
    <row r="286" spans="2:12" hidden="1" outlineLevel="1" x14ac:dyDescent="0.25">
      <c r="B286" s="339">
        <v>44713</v>
      </c>
      <c r="C286" s="261">
        <v>2583</v>
      </c>
      <c r="D286" s="261">
        <v>1144</v>
      </c>
      <c r="E286" s="342">
        <v>3727</v>
      </c>
      <c r="F286" s="342">
        <v>69</v>
      </c>
      <c r="G286" s="342">
        <v>74</v>
      </c>
      <c r="H286" s="342">
        <v>143</v>
      </c>
      <c r="I286" s="342">
        <v>154</v>
      </c>
      <c r="J286" s="342">
        <v>115</v>
      </c>
      <c r="K286" s="342">
        <v>269</v>
      </c>
      <c r="L286" s="342">
        <v>4139</v>
      </c>
    </row>
    <row r="287" spans="2:12" hidden="1" outlineLevel="1" x14ac:dyDescent="0.25">
      <c r="B287" s="339">
        <v>44743</v>
      </c>
      <c r="C287" s="261">
        <v>3721</v>
      </c>
      <c r="D287" s="261">
        <v>1573</v>
      </c>
      <c r="E287" s="342">
        <v>5294</v>
      </c>
      <c r="F287" s="342">
        <v>88</v>
      </c>
      <c r="G287" s="342">
        <v>48</v>
      </c>
      <c r="H287" s="342">
        <v>136</v>
      </c>
      <c r="I287" s="342">
        <v>303</v>
      </c>
      <c r="J287" s="342">
        <v>185</v>
      </c>
      <c r="K287" s="342">
        <v>488</v>
      </c>
      <c r="L287" s="342">
        <v>5918</v>
      </c>
    </row>
    <row r="288" spans="2:12" hidden="1" outlineLevel="1" x14ac:dyDescent="0.25">
      <c r="B288" s="339">
        <v>44774</v>
      </c>
      <c r="C288" s="261">
        <v>4303</v>
      </c>
      <c r="D288" s="261">
        <v>1721</v>
      </c>
      <c r="E288" s="342">
        <v>6024</v>
      </c>
      <c r="F288" s="342">
        <v>106</v>
      </c>
      <c r="G288" s="342">
        <v>83</v>
      </c>
      <c r="H288" s="342">
        <v>189</v>
      </c>
      <c r="I288" s="342">
        <v>340</v>
      </c>
      <c r="J288" s="342">
        <v>203</v>
      </c>
      <c r="K288" s="342">
        <v>543</v>
      </c>
      <c r="L288" s="342">
        <v>6756</v>
      </c>
    </row>
    <row r="289" spans="2:12" hidden="1" outlineLevel="1" x14ac:dyDescent="0.25">
      <c r="B289" s="339">
        <v>44805</v>
      </c>
      <c r="C289" s="261">
        <v>2112</v>
      </c>
      <c r="D289" s="261">
        <v>1341</v>
      </c>
      <c r="E289" s="342">
        <v>3453</v>
      </c>
      <c r="F289" s="342">
        <v>57</v>
      </c>
      <c r="G289" s="342">
        <v>48</v>
      </c>
      <c r="H289" s="342">
        <v>105</v>
      </c>
      <c r="I289" s="342">
        <v>84</v>
      </c>
      <c r="J289" s="342">
        <v>45</v>
      </c>
      <c r="K289" s="342">
        <v>129</v>
      </c>
      <c r="L289" s="342">
        <v>3687</v>
      </c>
    </row>
    <row r="290" spans="2:12" hidden="1" outlineLevel="1" x14ac:dyDescent="0.25">
      <c r="B290" s="339">
        <v>44835</v>
      </c>
      <c r="C290" s="261">
        <v>4150</v>
      </c>
      <c r="D290" s="261">
        <v>1782</v>
      </c>
      <c r="E290" s="342">
        <v>5932</v>
      </c>
      <c r="F290" s="342">
        <v>116</v>
      </c>
      <c r="G290" s="342">
        <v>81</v>
      </c>
      <c r="H290" s="342">
        <v>197</v>
      </c>
      <c r="I290" s="342">
        <v>398</v>
      </c>
      <c r="J290" s="342">
        <v>247</v>
      </c>
      <c r="K290" s="342">
        <v>645</v>
      </c>
      <c r="L290" s="342">
        <v>6774</v>
      </c>
    </row>
    <row r="291" spans="2:12" hidden="1" outlineLevel="1" x14ac:dyDescent="0.25">
      <c r="B291" s="339">
        <v>44866</v>
      </c>
      <c r="C291" s="261">
        <v>2043</v>
      </c>
      <c r="D291" s="261">
        <v>877</v>
      </c>
      <c r="E291" s="342">
        <v>2920</v>
      </c>
      <c r="F291" s="342">
        <v>75</v>
      </c>
      <c r="G291" s="342">
        <v>80</v>
      </c>
      <c r="H291" s="342">
        <v>155</v>
      </c>
      <c r="I291" s="342">
        <v>97</v>
      </c>
      <c r="J291" s="342">
        <v>58</v>
      </c>
      <c r="K291" s="342">
        <v>155</v>
      </c>
      <c r="L291" s="342">
        <v>3230</v>
      </c>
    </row>
    <row r="292" spans="2:12" hidden="1" outlineLevel="1" x14ac:dyDescent="0.25">
      <c r="B292" s="339">
        <v>44896</v>
      </c>
      <c r="C292" s="261">
        <v>803</v>
      </c>
      <c r="D292" s="261">
        <v>425</v>
      </c>
      <c r="E292" s="342">
        <v>1228</v>
      </c>
      <c r="F292" s="342">
        <v>4</v>
      </c>
      <c r="G292" s="342">
        <v>13</v>
      </c>
      <c r="H292" s="342">
        <v>17</v>
      </c>
      <c r="I292" s="342">
        <v>104</v>
      </c>
      <c r="J292" s="342">
        <v>65</v>
      </c>
      <c r="K292" s="342">
        <v>169</v>
      </c>
      <c r="L292" s="342">
        <v>1414</v>
      </c>
    </row>
    <row r="293" spans="2:12" collapsed="1" x14ac:dyDescent="0.25">
      <c r="B293" s="283" t="s">
        <v>66</v>
      </c>
      <c r="C293" s="279">
        <v>30918</v>
      </c>
      <c r="D293" s="279">
        <v>14676</v>
      </c>
      <c r="E293" s="279">
        <v>45594</v>
      </c>
      <c r="F293" s="279">
        <v>730</v>
      </c>
      <c r="G293" s="279">
        <v>586</v>
      </c>
      <c r="H293" s="279">
        <v>1316</v>
      </c>
      <c r="I293" s="279">
        <v>2443</v>
      </c>
      <c r="J293" s="279">
        <v>1538</v>
      </c>
      <c r="K293" s="279">
        <v>3981</v>
      </c>
      <c r="L293" s="279">
        <v>50891</v>
      </c>
    </row>
    <row r="294" spans="2:12" hidden="1" outlineLevel="1" x14ac:dyDescent="0.25">
      <c r="B294" s="339">
        <v>44927</v>
      </c>
      <c r="C294" s="261">
        <v>3854</v>
      </c>
      <c r="D294" s="261">
        <v>1528</v>
      </c>
      <c r="E294" s="342">
        <v>5382</v>
      </c>
      <c r="F294" s="342">
        <v>73</v>
      </c>
      <c r="G294" s="342">
        <v>60</v>
      </c>
      <c r="H294" s="342">
        <v>133</v>
      </c>
      <c r="I294" s="342">
        <v>415</v>
      </c>
      <c r="J294" s="342">
        <v>251</v>
      </c>
      <c r="K294" s="342">
        <v>666</v>
      </c>
      <c r="L294" s="342">
        <v>6181</v>
      </c>
    </row>
    <row r="295" spans="2:12" hidden="1" outlineLevel="1" x14ac:dyDescent="0.25">
      <c r="B295" s="339">
        <v>44958</v>
      </c>
      <c r="C295" s="261">
        <v>3035</v>
      </c>
      <c r="D295" s="261">
        <v>1322</v>
      </c>
      <c r="E295" s="342">
        <v>4357</v>
      </c>
      <c r="F295" s="342">
        <v>77</v>
      </c>
      <c r="G295" s="342">
        <v>60</v>
      </c>
      <c r="H295" s="342">
        <v>137</v>
      </c>
      <c r="I295" s="342">
        <v>296</v>
      </c>
      <c r="J295" s="342">
        <v>155</v>
      </c>
      <c r="K295" s="342">
        <v>451</v>
      </c>
      <c r="L295" s="342">
        <v>4945</v>
      </c>
    </row>
    <row r="296" spans="2:12" hidden="1" outlineLevel="1" x14ac:dyDescent="0.25">
      <c r="B296" s="339">
        <v>44986</v>
      </c>
      <c r="C296" s="261">
        <v>3982</v>
      </c>
      <c r="D296" s="261">
        <v>1554</v>
      </c>
      <c r="E296" s="342">
        <v>5536</v>
      </c>
      <c r="F296" s="342">
        <v>98</v>
      </c>
      <c r="G296" s="342">
        <v>67</v>
      </c>
      <c r="H296" s="342">
        <v>165</v>
      </c>
      <c r="I296" s="342">
        <v>431</v>
      </c>
      <c r="J296" s="342">
        <v>247</v>
      </c>
      <c r="K296" s="342">
        <v>678</v>
      </c>
      <c r="L296" s="342">
        <v>6379</v>
      </c>
    </row>
    <row r="297" spans="2:12" hidden="1" outlineLevel="1" x14ac:dyDescent="0.25">
      <c r="B297" s="339">
        <v>45017</v>
      </c>
      <c r="C297" s="261">
        <v>3175</v>
      </c>
      <c r="D297" s="261">
        <v>1403</v>
      </c>
      <c r="E297" s="342">
        <v>4578</v>
      </c>
      <c r="F297" s="342">
        <v>53</v>
      </c>
      <c r="G297" s="342">
        <v>36</v>
      </c>
      <c r="H297" s="342">
        <v>89</v>
      </c>
      <c r="I297" s="342">
        <v>283</v>
      </c>
      <c r="J297" s="342">
        <v>170</v>
      </c>
      <c r="K297" s="342">
        <v>453</v>
      </c>
      <c r="L297" s="342">
        <v>5120</v>
      </c>
    </row>
    <row r="298" spans="2:12" hidden="1" outlineLevel="1" x14ac:dyDescent="0.25">
      <c r="B298" s="339">
        <v>45047</v>
      </c>
      <c r="C298" s="261">
        <v>3397</v>
      </c>
      <c r="D298" s="261">
        <v>1659</v>
      </c>
      <c r="E298" s="342">
        <v>5056</v>
      </c>
      <c r="F298" s="342">
        <v>104</v>
      </c>
      <c r="G298" s="342">
        <v>96</v>
      </c>
      <c r="H298" s="342">
        <v>200</v>
      </c>
      <c r="I298" s="342">
        <v>326</v>
      </c>
      <c r="J298" s="342">
        <v>194</v>
      </c>
      <c r="K298" s="342">
        <v>520</v>
      </c>
      <c r="L298" s="342">
        <v>5776</v>
      </c>
    </row>
    <row r="299" spans="2:12" hidden="1" outlineLevel="1" x14ac:dyDescent="0.25">
      <c r="B299" s="339">
        <v>45078</v>
      </c>
      <c r="C299" s="261">
        <v>3279</v>
      </c>
      <c r="D299" s="261">
        <v>1345</v>
      </c>
      <c r="E299" s="342">
        <v>4624</v>
      </c>
      <c r="F299" s="342">
        <v>100</v>
      </c>
      <c r="G299" s="342">
        <v>58</v>
      </c>
      <c r="H299" s="342">
        <v>158</v>
      </c>
      <c r="I299" s="342">
        <v>424</v>
      </c>
      <c r="J299" s="342">
        <v>253</v>
      </c>
      <c r="K299" s="342">
        <v>677</v>
      </c>
      <c r="L299" s="342">
        <v>5459</v>
      </c>
    </row>
    <row r="300" spans="2:12" hidden="1" outlineLevel="1" x14ac:dyDescent="0.25">
      <c r="B300" s="339">
        <v>45108</v>
      </c>
      <c r="C300" s="261">
        <v>2870</v>
      </c>
      <c r="D300" s="261">
        <v>1153</v>
      </c>
      <c r="E300" s="342">
        <v>4023</v>
      </c>
      <c r="F300" s="342">
        <v>60</v>
      </c>
      <c r="G300" s="342">
        <v>39</v>
      </c>
      <c r="H300" s="342">
        <v>99</v>
      </c>
      <c r="I300" s="342">
        <v>316</v>
      </c>
      <c r="J300" s="342">
        <v>199</v>
      </c>
      <c r="K300" s="342">
        <v>515</v>
      </c>
      <c r="L300" s="342">
        <v>4637</v>
      </c>
    </row>
    <row r="301" spans="2:12" hidden="1" outlineLevel="1" x14ac:dyDescent="0.25">
      <c r="B301" s="339">
        <v>45139</v>
      </c>
      <c r="C301" s="261">
        <v>3384</v>
      </c>
      <c r="D301" s="261">
        <v>1786</v>
      </c>
      <c r="E301" s="342">
        <v>5170</v>
      </c>
      <c r="F301" s="342">
        <v>108</v>
      </c>
      <c r="G301" s="342">
        <v>122</v>
      </c>
      <c r="H301" s="342">
        <v>230</v>
      </c>
      <c r="I301" s="342">
        <v>345</v>
      </c>
      <c r="J301" s="342">
        <v>189</v>
      </c>
      <c r="K301" s="342">
        <v>534</v>
      </c>
      <c r="L301" s="342">
        <v>5934</v>
      </c>
    </row>
    <row r="302" spans="2:12" hidden="1" outlineLevel="1" x14ac:dyDescent="0.25">
      <c r="B302" s="339">
        <v>45170</v>
      </c>
      <c r="C302" s="261">
        <v>1197</v>
      </c>
      <c r="D302" s="261">
        <v>506</v>
      </c>
      <c r="E302" s="342">
        <v>1703</v>
      </c>
      <c r="F302" s="342">
        <v>43</v>
      </c>
      <c r="G302" s="342">
        <v>43</v>
      </c>
      <c r="H302" s="342">
        <v>86</v>
      </c>
      <c r="I302" s="342">
        <v>103</v>
      </c>
      <c r="J302" s="342">
        <v>67</v>
      </c>
      <c r="K302" s="342">
        <v>170</v>
      </c>
      <c r="L302" s="342">
        <v>1959</v>
      </c>
    </row>
    <row r="303" spans="2:12" hidden="1" outlineLevel="1" x14ac:dyDescent="0.25">
      <c r="B303" s="339">
        <v>45200</v>
      </c>
      <c r="C303" s="261">
        <v>702</v>
      </c>
      <c r="D303" s="261">
        <v>408</v>
      </c>
      <c r="E303" s="342">
        <v>1110</v>
      </c>
      <c r="F303" s="342">
        <v>15</v>
      </c>
      <c r="G303" s="342">
        <v>17</v>
      </c>
      <c r="H303" s="342">
        <v>32</v>
      </c>
      <c r="I303" s="342">
        <v>82</v>
      </c>
      <c r="J303" s="342">
        <v>41</v>
      </c>
      <c r="K303" s="342">
        <v>123</v>
      </c>
      <c r="L303" s="342">
        <v>1265</v>
      </c>
    </row>
    <row r="304" spans="2:12" hidden="1" outlineLevel="1" x14ac:dyDescent="0.25">
      <c r="B304" s="339">
        <v>45231</v>
      </c>
      <c r="C304" s="261">
        <v>1399</v>
      </c>
      <c r="D304" s="261">
        <v>581</v>
      </c>
      <c r="E304" s="342">
        <v>1980</v>
      </c>
      <c r="F304" s="342">
        <v>17</v>
      </c>
      <c r="G304" s="342">
        <v>16</v>
      </c>
      <c r="H304" s="342">
        <v>33</v>
      </c>
      <c r="I304" s="342">
        <v>143</v>
      </c>
      <c r="J304" s="342">
        <v>73</v>
      </c>
      <c r="K304" s="342">
        <v>216</v>
      </c>
      <c r="L304" s="342">
        <v>2229</v>
      </c>
    </row>
    <row r="305" spans="2:12" hidden="1" outlineLevel="1" x14ac:dyDescent="0.25">
      <c r="B305" s="339">
        <v>45261</v>
      </c>
      <c r="C305" s="261">
        <v>1326</v>
      </c>
      <c r="D305" s="261">
        <v>612</v>
      </c>
      <c r="E305" s="342">
        <v>1938</v>
      </c>
      <c r="F305" s="342">
        <v>34</v>
      </c>
      <c r="G305" s="342">
        <v>19</v>
      </c>
      <c r="H305" s="342">
        <v>53</v>
      </c>
      <c r="I305" s="342">
        <v>259</v>
      </c>
      <c r="J305" s="342">
        <v>156</v>
      </c>
      <c r="K305" s="342">
        <v>415</v>
      </c>
      <c r="L305" s="342">
        <v>2406</v>
      </c>
    </row>
    <row r="306" spans="2:12" collapsed="1" x14ac:dyDescent="0.25">
      <c r="B306" s="240" t="s">
        <v>874</v>
      </c>
      <c r="C306" s="284">
        <v>31600</v>
      </c>
      <c r="D306" s="284">
        <v>13857</v>
      </c>
      <c r="E306" s="284">
        <v>45457</v>
      </c>
      <c r="F306" s="284">
        <v>782</v>
      </c>
      <c r="G306" s="284">
        <v>633</v>
      </c>
      <c r="H306" s="284">
        <v>1415</v>
      </c>
      <c r="I306" s="284">
        <v>3423</v>
      </c>
      <c r="J306" s="284">
        <v>1995</v>
      </c>
      <c r="K306" s="284">
        <v>5418</v>
      </c>
      <c r="L306" s="284">
        <v>52290</v>
      </c>
    </row>
    <row r="307" spans="2:12" x14ac:dyDescent="0.25">
      <c r="B307" s="4" t="s">
        <v>815</v>
      </c>
    </row>
  </sheetData>
  <mergeCells count="7">
    <mergeCell ref="L159:L161"/>
    <mergeCell ref="C159:K159"/>
    <mergeCell ref="B153:D153"/>
    <mergeCell ref="B159:B161"/>
    <mergeCell ref="C160:E160"/>
    <mergeCell ref="F160:H160"/>
    <mergeCell ref="I160:K160"/>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19378-0D09-465B-AA94-EFBB95F252F5}">
  <sheetPr>
    <tabColor rgb="FF00B0F0"/>
  </sheetPr>
  <dimension ref="A3:P246"/>
  <sheetViews>
    <sheetView workbookViewId="0"/>
  </sheetViews>
  <sheetFormatPr baseColWidth="10" defaultColWidth="11.5703125" defaultRowHeight="15" x14ac:dyDescent="0.25"/>
  <cols>
    <col min="1" max="1" width="46.5703125" style="165" bestFit="1" customWidth="1"/>
    <col min="2" max="2" width="13.28515625" style="164" customWidth="1"/>
    <col min="3" max="3" width="11.42578125" style="164" customWidth="1"/>
    <col min="4" max="4" width="13.42578125" style="164" customWidth="1"/>
    <col min="5" max="7" width="11.42578125" style="164" customWidth="1"/>
  </cols>
  <sheetData>
    <row r="3" spans="1:16" x14ac:dyDescent="0.25">
      <c r="A3" s="192" t="s">
        <v>488</v>
      </c>
    </row>
    <row r="7" spans="1:16" ht="18.75" x14ac:dyDescent="0.3">
      <c r="A7" s="2" t="s">
        <v>537</v>
      </c>
      <c r="B7" s="163"/>
    </row>
    <row r="8" spans="1:16" x14ac:dyDescent="0.25">
      <c r="A8" s="6" t="s">
        <v>8</v>
      </c>
      <c r="B8" s="163"/>
      <c r="C8" s="163"/>
      <c r="D8" s="163"/>
      <c r="E8" s="163"/>
      <c r="F8" s="163"/>
      <c r="G8" s="163"/>
    </row>
    <row r="9" spans="1:16" x14ac:dyDescent="0.25">
      <c r="A9" s="158"/>
      <c r="B9" s="163"/>
      <c r="C9" s="163"/>
      <c r="J9" s="139" t="s">
        <v>538</v>
      </c>
    </row>
    <row r="10" spans="1:16" ht="30" customHeight="1" x14ac:dyDescent="0.25">
      <c r="A10" s="507" t="s">
        <v>521</v>
      </c>
      <c r="B10" s="506" t="s">
        <v>522</v>
      </c>
      <c r="C10" s="506"/>
      <c r="D10" s="506"/>
      <c r="E10" s="506"/>
      <c r="F10" s="506"/>
      <c r="G10" s="154"/>
      <c r="H10" s="509" t="s">
        <v>523</v>
      </c>
      <c r="I10" s="509"/>
      <c r="J10" s="506" t="s">
        <v>524</v>
      </c>
      <c r="K10" s="506"/>
      <c r="L10" s="506"/>
      <c r="M10" s="506"/>
      <c r="N10" s="506"/>
      <c r="O10" s="506"/>
    </row>
    <row r="11" spans="1:16" ht="45" x14ac:dyDescent="0.25">
      <c r="A11" s="508"/>
      <c r="B11" s="180" t="s">
        <v>484</v>
      </c>
      <c r="C11" s="180" t="s">
        <v>128</v>
      </c>
      <c r="D11" s="180" t="s">
        <v>485</v>
      </c>
      <c r="E11" s="180" t="s">
        <v>9</v>
      </c>
      <c r="F11" s="180" t="s">
        <v>130</v>
      </c>
      <c r="G11" s="179" t="s">
        <v>25</v>
      </c>
      <c r="H11" s="180" t="s">
        <v>474</v>
      </c>
      <c r="I11" s="180" t="s">
        <v>475</v>
      </c>
      <c r="J11" s="181" t="s">
        <v>525</v>
      </c>
      <c r="K11" s="180" t="s">
        <v>526</v>
      </c>
      <c r="L11" s="180" t="s">
        <v>527</v>
      </c>
      <c r="M11" s="180" t="s">
        <v>528</v>
      </c>
      <c r="N11" s="180" t="s">
        <v>529</v>
      </c>
      <c r="O11" s="181">
        <v>7</v>
      </c>
      <c r="P11" s="179" t="s">
        <v>25</v>
      </c>
    </row>
    <row r="12" spans="1:16" x14ac:dyDescent="0.25">
      <c r="A12" s="178" t="s">
        <v>505</v>
      </c>
      <c r="B12" s="137">
        <v>8101</v>
      </c>
      <c r="C12" s="137">
        <v>5582</v>
      </c>
      <c r="D12" s="137">
        <v>27670</v>
      </c>
      <c r="E12" s="137">
        <v>5521</v>
      </c>
      <c r="F12" s="137">
        <v>2426</v>
      </c>
      <c r="G12" s="137">
        <v>49300</v>
      </c>
      <c r="H12" s="137">
        <v>28700</v>
      </c>
      <c r="I12" s="137">
        <v>20600</v>
      </c>
      <c r="J12" s="137">
        <f>26867+O12</f>
        <v>31824</v>
      </c>
      <c r="K12" s="137">
        <v>8036</v>
      </c>
      <c r="L12" s="137">
        <v>1630</v>
      </c>
      <c r="M12" s="137">
        <v>7810</v>
      </c>
      <c r="N12" s="137">
        <v>0</v>
      </c>
      <c r="O12" s="137">
        <v>4957</v>
      </c>
      <c r="P12" s="137">
        <v>49300</v>
      </c>
    </row>
    <row r="13" spans="1:16" x14ac:dyDescent="0.25">
      <c r="A13" s="178" t="s">
        <v>506</v>
      </c>
      <c r="B13" s="137">
        <v>15794</v>
      </c>
      <c r="C13" s="137">
        <v>7187</v>
      </c>
      <c r="D13" s="137">
        <v>50016</v>
      </c>
      <c r="E13" s="137">
        <v>8862</v>
      </c>
      <c r="F13" s="137">
        <v>2691</v>
      </c>
      <c r="G13" s="137">
        <v>84550</v>
      </c>
      <c r="H13" s="137">
        <v>51877</v>
      </c>
      <c r="I13" s="137">
        <v>32673</v>
      </c>
      <c r="J13" s="137">
        <v>53005</v>
      </c>
      <c r="K13" s="137">
        <v>12495</v>
      </c>
      <c r="L13" s="137">
        <v>1293</v>
      </c>
      <c r="M13" s="137">
        <v>7378</v>
      </c>
      <c r="N13" s="137">
        <v>0</v>
      </c>
      <c r="O13" s="137">
        <v>10379</v>
      </c>
      <c r="P13" s="137">
        <v>84550</v>
      </c>
    </row>
    <row r="14" spans="1:16" x14ac:dyDescent="0.25">
      <c r="A14" s="178" t="s">
        <v>507</v>
      </c>
      <c r="B14" s="137">
        <v>9557</v>
      </c>
      <c r="C14" s="137">
        <v>4574</v>
      </c>
      <c r="D14" s="137">
        <v>31048</v>
      </c>
      <c r="E14" s="137">
        <v>4547</v>
      </c>
      <c r="F14" s="137">
        <v>1754</v>
      </c>
      <c r="G14" s="137">
        <v>51480</v>
      </c>
      <c r="H14" s="137">
        <v>29719</v>
      </c>
      <c r="I14" s="137">
        <v>21761</v>
      </c>
      <c r="J14" s="137">
        <v>28789</v>
      </c>
      <c r="K14" s="137">
        <v>9687</v>
      </c>
      <c r="L14" s="137">
        <v>1315</v>
      </c>
      <c r="M14" s="137">
        <v>7301</v>
      </c>
      <c r="N14" s="137">
        <v>0</v>
      </c>
      <c r="O14" s="137">
        <v>4388</v>
      </c>
      <c r="P14" s="137">
        <v>51480</v>
      </c>
    </row>
    <row r="15" spans="1:16" x14ac:dyDescent="0.25">
      <c r="A15" s="178" t="s">
        <v>508</v>
      </c>
      <c r="B15" s="137">
        <v>28582</v>
      </c>
      <c r="C15" s="137">
        <v>13327</v>
      </c>
      <c r="D15" s="137">
        <v>90729</v>
      </c>
      <c r="E15" s="137">
        <v>13865</v>
      </c>
      <c r="F15" s="137">
        <v>5332</v>
      </c>
      <c r="G15" s="137">
        <v>151835</v>
      </c>
      <c r="H15" s="137">
        <v>89314</v>
      </c>
      <c r="I15" s="137">
        <v>62521</v>
      </c>
      <c r="J15" s="137">
        <v>101670</v>
      </c>
      <c r="K15" s="137">
        <v>22392</v>
      </c>
      <c r="L15" s="137">
        <v>2506</v>
      </c>
      <c r="M15" s="137">
        <v>12134</v>
      </c>
      <c r="N15" s="137">
        <v>2</v>
      </c>
      <c r="O15" s="137">
        <v>13131</v>
      </c>
      <c r="P15" s="137">
        <v>151835</v>
      </c>
    </row>
    <row r="16" spans="1:16" x14ac:dyDescent="0.25">
      <c r="A16" s="178" t="s">
        <v>509</v>
      </c>
      <c r="B16" s="137">
        <v>69827</v>
      </c>
      <c r="C16" s="137">
        <v>33363</v>
      </c>
      <c r="D16" s="137">
        <v>241450</v>
      </c>
      <c r="E16" s="137">
        <v>42677</v>
      </c>
      <c r="F16" s="137">
        <v>15760</v>
      </c>
      <c r="G16" s="137">
        <v>403077</v>
      </c>
      <c r="H16" s="137">
        <v>243554</v>
      </c>
      <c r="I16" s="137">
        <v>159523</v>
      </c>
      <c r="J16" s="137">
        <v>230337</v>
      </c>
      <c r="K16" s="137">
        <v>76048</v>
      </c>
      <c r="L16" s="137">
        <v>8740</v>
      </c>
      <c r="M16" s="137">
        <v>45453</v>
      </c>
      <c r="N16" s="137">
        <v>0</v>
      </c>
      <c r="O16" s="137">
        <v>42499</v>
      </c>
      <c r="P16" s="137">
        <v>403077</v>
      </c>
    </row>
    <row r="17" spans="1:16" x14ac:dyDescent="0.25">
      <c r="A17" s="178" t="s">
        <v>510</v>
      </c>
      <c r="B17" s="137">
        <v>33286</v>
      </c>
      <c r="C17" s="137">
        <v>19613</v>
      </c>
      <c r="D17" s="137">
        <v>115083</v>
      </c>
      <c r="E17" s="137">
        <v>16976</v>
      </c>
      <c r="F17" s="137">
        <v>9059</v>
      </c>
      <c r="G17" s="137">
        <v>194017</v>
      </c>
      <c r="H17" s="137">
        <v>112239</v>
      </c>
      <c r="I17" s="137">
        <v>81778</v>
      </c>
      <c r="J17" s="137">
        <v>104725</v>
      </c>
      <c r="K17" s="137">
        <v>31998</v>
      </c>
      <c r="L17" s="137">
        <v>4701</v>
      </c>
      <c r="M17" s="137">
        <v>36379</v>
      </c>
      <c r="N17" s="137">
        <v>0</v>
      </c>
      <c r="O17" s="137">
        <v>16214</v>
      </c>
      <c r="P17" s="137">
        <v>194017</v>
      </c>
    </row>
    <row r="18" spans="1:16" x14ac:dyDescent="0.25">
      <c r="A18" s="178" t="s">
        <v>511</v>
      </c>
      <c r="B18" s="137">
        <v>44682</v>
      </c>
      <c r="C18" s="137">
        <v>25086</v>
      </c>
      <c r="D18" s="137">
        <v>130947</v>
      </c>
      <c r="E18" s="137">
        <v>17751</v>
      </c>
      <c r="F18" s="137">
        <v>9739</v>
      </c>
      <c r="G18" s="137">
        <v>228205</v>
      </c>
      <c r="H18" s="137">
        <v>129715</v>
      </c>
      <c r="I18" s="137">
        <v>98490</v>
      </c>
      <c r="J18" s="137">
        <v>127730</v>
      </c>
      <c r="K18" s="137">
        <v>44147</v>
      </c>
      <c r="L18" s="137">
        <v>5852</v>
      </c>
      <c r="M18" s="137">
        <v>35671</v>
      </c>
      <c r="N18" s="137">
        <v>1</v>
      </c>
      <c r="O18" s="137">
        <v>14804</v>
      </c>
      <c r="P18" s="137">
        <v>228205</v>
      </c>
    </row>
    <row r="19" spans="1:16" x14ac:dyDescent="0.25">
      <c r="A19" s="178" t="s">
        <v>512</v>
      </c>
      <c r="B19" s="137">
        <v>61335</v>
      </c>
      <c r="C19" s="137">
        <v>42826</v>
      </c>
      <c r="D19" s="137">
        <v>181651</v>
      </c>
      <c r="E19" s="137">
        <v>29863</v>
      </c>
      <c r="F19" s="137">
        <v>13098</v>
      </c>
      <c r="G19" s="137">
        <v>328773</v>
      </c>
      <c r="H19" s="137">
        <v>198806</v>
      </c>
      <c r="I19" s="137">
        <v>129967</v>
      </c>
      <c r="J19" s="137">
        <v>179008</v>
      </c>
      <c r="K19" s="137">
        <v>52292</v>
      </c>
      <c r="L19" s="137">
        <v>9533</v>
      </c>
      <c r="M19" s="137">
        <v>60582</v>
      </c>
      <c r="N19" s="137">
        <v>0</v>
      </c>
      <c r="O19" s="137">
        <v>27358</v>
      </c>
      <c r="P19" s="137">
        <v>328773</v>
      </c>
    </row>
    <row r="20" spans="1:16" x14ac:dyDescent="0.25">
      <c r="A20" s="178" t="s">
        <v>513</v>
      </c>
      <c r="B20" s="137">
        <v>48594</v>
      </c>
      <c r="C20" s="137">
        <v>29684</v>
      </c>
      <c r="D20" s="137">
        <v>102186</v>
      </c>
      <c r="E20" s="137">
        <v>14675</v>
      </c>
      <c r="F20" s="137">
        <v>7901</v>
      </c>
      <c r="G20" s="137">
        <v>203040</v>
      </c>
      <c r="H20" s="137">
        <v>119372</v>
      </c>
      <c r="I20" s="137">
        <v>83668</v>
      </c>
      <c r="J20" s="137">
        <v>125072</v>
      </c>
      <c r="K20" s="137">
        <v>34098</v>
      </c>
      <c r="L20" s="137">
        <v>5023</v>
      </c>
      <c r="M20" s="137">
        <v>25515</v>
      </c>
      <c r="N20" s="137">
        <v>0</v>
      </c>
      <c r="O20" s="137">
        <v>13332</v>
      </c>
      <c r="P20" s="137">
        <v>203040</v>
      </c>
    </row>
    <row r="21" spans="1:16" x14ac:dyDescent="0.25">
      <c r="A21" s="178" t="s">
        <v>514</v>
      </c>
      <c r="B21" s="137">
        <v>34497</v>
      </c>
      <c r="C21" s="137">
        <v>21145</v>
      </c>
      <c r="D21" s="137">
        <v>82738</v>
      </c>
      <c r="E21" s="137">
        <v>11762</v>
      </c>
      <c r="F21" s="137">
        <v>8043</v>
      </c>
      <c r="G21" s="137">
        <v>158185</v>
      </c>
      <c r="H21" s="137">
        <v>90862</v>
      </c>
      <c r="I21" s="137">
        <v>67323</v>
      </c>
      <c r="J21" s="137">
        <v>97626</v>
      </c>
      <c r="K21" s="137">
        <v>32927</v>
      </c>
      <c r="L21" s="137">
        <v>4538</v>
      </c>
      <c r="M21" s="137">
        <v>12733</v>
      </c>
      <c r="N21" s="137">
        <v>0</v>
      </c>
      <c r="O21" s="137">
        <v>10361</v>
      </c>
      <c r="P21" s="137">
        <v>158185</v>
      </c>
    </row>
    <row r="22" spans="1:16" x14ac:dyDescent="0.25">
      <c r="A22" s="178" t="s">
        <v>515</v>
      </c>
      <c r="B22" s="137">
        <v>3478</v>
      </c>
      <c r="C22" s="137">
        <v>1755</v>
      </c>
      <c r="D22" s="137">
        <v>9775</v>
      </c>
      <c r="E22" s="137">
        <v>1326</v>
      </c>
      <c r="F22" s="137">
        <v>810</v>
      </c>
      <c r="G22" s="137">
        <v>17144</v>
      </c>
      <c r="H22" s="137">
        <v>9187</v>
      </c>
      <c r="I22" s="137">
        <v>7957</v>
      </c>
      <c r="J22" s="137">
        <v>11749</v>
      </c>
      <c r="K22" s="137">
        <v>3130</v>
      </c>
      <c r="L22" s="137">
        <v>269</v>
      </c>
      <c r="M22" s="137">
        <v>897</v>
      </c>
      <c r="N22" s="137">
        <v>0</v>
      </c>
      <c r="O22" s="137">
        <v>1099</v>
      </c>
      <c r="P22" s="137">
        <v>17144</v>
      </c>
    </row>
    <row r="23" spans="1:16" x14ac:dyDescent="0.25">
      <c r="A23" s="178" t="s">
        <v>516</v>
      </c>
      <c r="B23" s="137">
        <v>5652</v>
      </c>
      <c r="C23" s="137">
        <v>2170</v>
      </c>
      <c r="D23" s="137">
        <v>19217</v>
      </c>
      <c r="E23" s="137">
        <v>3795</v>
      </c>
      <c r="F23" s="137">
        <v>1119</v>
      </c>
      <c r="G23" s="137">
        <v>31953</v>
      </c>
      <c r="H23" s="137">
        <v>19088</v>
      </c>
      <c r="I23" s="137">
        <v>12865</v>
      </c>
      <c r="J23" s="137">
        <v>22306</v>
      </c>
      <c r="K23" s="137">
        <v>5348</v>
      </c>
      <c r="L23" s="137">
        <v>1204</v>
      </c>
      <c r="M23" s="137">
        <v>81</v>
      </c>
      <c r="N23" s="137">
        <v>0</v>
      </c>
      <c r="O23" s="137">
        <v>3014</v>
      </c>
      <c r="P23" s="137">
        <v>31953</v>
      </c>
    </row>
    <row r="24" spans="1:16" x14ac:dyDescent="0.25">
      <c r="A24" s="178" t="s">
        <v>517</v>
      </c>
      <c r="B24" s="137">
        <v>233102</v>
      </c>
      <c r="C24" s="137">
        <v>92519</v>
      </c>
      <c r="D24" s="137">
        <v>749658</v>
      </c>
      <c r="E24" s="137">
        <v>127402</v>
      </c>
      <c r="F24" s="137">
        <v>38448</v>
      </c>
      <c r="G24" s="137">
        <v>1241129</v>
      </c>
      <c r="H24" s="137">
        <v>758738</v>
      </c>
      <c r="I24" s="137">
        <v>482391</v>
      </c>
      <c r="J24" s="137">
        <v>644033</v>
      </c>
      <c r="K24" s="137">
        <v>195156</v>
      </c>
      <c r="L24" s="137">
        <v>34575</v>
      </c>
      <c r="M24" s="137">
        <v>192809</v>
      </c>
      <c r="N24" s="137">
        <v>0</v>
      </c>
      <c r="O24" s="137">
        <v>174556</v>
      </c>
      <c r="P24" s="137">
        <v>1241129</v>
      </c>
    </row>
    <row r="25" spans="1:16" x14ac:dyDescent="0.25">
      <c r="A25" s="178" t="s">
        <v>518</v>
      </c>
      <c r="B25" s="137">
        <v>17455</v>
      </c>
      <c r="C25" s="137">
        <v>11146</v>
      </c>
      <c r="D25" s="137">
        <v>45943</v>
      </c>
      <c r="E25" s="137">
        <v>7112</v>
      </c>
      <c r="F25" s="137">
        <v>4835</v>
      </c>
      <c r="G25" s="137">
        <v>86491</v>
      </c>
      <c r="H25" s="137">
        <v>50843</v>
      </c>
      <c r="I25" s="137">
        <v>35648</v>
      </c>
      <c r="J25" s="137">
        <v>57562</v>
      </c>
      <c r="K25" s="137">
        <v>16266</v>
      </c>
      <c r="L25" s="137">
        <v>2373</v>
      </c>
      <c r="M25" s="137">
        <v>4831</v>
      </c>
      <c r="N25" s="137">
        <v>2</v>
      </c>
      <c r="O25" s="137">
        <v>5457</v>
      </c>
      <c r="P25" s="137">
        <v>86491</v>
      </c>
    </row>
    <row r="26" spans="1:16" x14ac:dyDescent="0.25">
      <c r="A26" s="178" t="s">
        <v>519</v>
      </c>
      <c r="B26" s="137">
        <v>7640</v>
      </c>
      <c r="C26" s="137">
        <v>3351</v>
      </c>
      <c r="D26" s="137">
        <v>24755</v>
      </c>
      <c r="E26" s="137">
        <v>4271</v>
      </c>
      <c r="F26" s="137">
        <v>1491</v>
      </c>
      <c r="G26" s="137">
        <v>41508</v>
      </c>
      <c r="H26" s="137">
        <v>23818</v>
      </c>
      <c r="I26" s="137">
        <v>17690</v>
      </c>
      <c r="J26" s="137">
        <v>22486</v>
      </c>
      <c r="K26" s="137">
        <v>8492</v>
      </c>
      <c r="L26" s="137">
        <v>1323</v>
      </c>
      <c r="M26" s="137">
        <v>5428</v>
      </c>
      <c r="N26" s="137">
        <v>0</v>
      </c>
      <c r="O26" s="137">
        <v>3779</v>
      </c>
      <c r="P26" s="137">
        <v>41508</v>
      </c>
    </row>
    <row r="27" spans="1:16" x14ac:dyDescent="0.25">
      <c r="A27" s="178" t="s">
        <v>520</v>
      </c>
      <c r="B27" s="137">
        <v>23877</v>
      </c>
      <c r="C27" s="137">
        <v>26114</v>
      </c>
      <c r="D27" s="137">
        <v>59830</v>
      </c>
      <c r="E27" s="137">
        <v>8479</v>
      </c>
      <c r="F27" s="137">
        <v>7300</v>
      </c>
      <c r="G27" s="137">
        <v>125600</v>
      </c>
      <c r="H27" s="137">
        <v>75028</v>
      </c>
      <c r="I27" s="137">
        <v>50572</v>
      </c>
      <c r="J27" s="137">
        <v>69735</v>
      </c>
      <c r="K27" s="137">
        <v>20741</v>
      </c>
      <c r="L27" s="137">
        <v>2265</v>
      </c>
      <c r="M27" s="137">
        <v>26512</v>
      </c>
      <c r="N27" s="137">
        <v>0</v>
      </c>
      <c r="O27" s="137">
        <v>6347</v>
      </c>
      <c r="P27" s="137">
        <v>125600</v>
      </c>
    </row>
    <row r="28" spans="1:16" x14ac:dyDescent="0.25">
      <c r="A28" s="178" t="s">
        <v>25</v>
      </c>
      <c r="B28" s="137">
        <v>645459</v>
      </c>
      <c r="C28" s="137">
        <v>339442</v>
      </c>
      <c r="D28" s="137">
        <v>1962696</v>
      </c>
      <c r="E28" s="137">
        <v>318884</v>
      </c>
      <c r="F28" s="137">
        <v>129806</v>
      </c>
      <c r="G28" s="137">
        <v>3396287</v>
      </c>
      <c r="H28" s="137">
        <v>2030860</v>
      </c>
      <c r="I28" s="137">
        <v>1365427</v>
      </c>
      <c r="J28" s="137">
        <v>1902700</v>
      </c>
      <c r="K28" s="137">
        <v>573253</v>
      </c>
      <c r="L28" s="137">
        <v>87140</v>
      </c>
      <c r="M28" s="137">
        <v>481514</v>
      </c>
      <c r="N28" s="137">
        <v>5</v>
      </c>
      <c r="O28" s="137">
        <v>351675</v>
      </c>
      <c r="P28" s="137">
        <v>3396287</v>
      </c>
    </row>
    <row r="29" spans="1:16" x14ac:dyDescent="0.25">
      <c r="A29" s="158"/>
      <c r="B29" s="163"/>
      <c r="C29" s="163"/>
      <c r="D29" s="163"/>
      <c r="E29" s="163"/>
      <c r="F29" s="163"/>
      <c r="G29" s="163"/>
    </row>
    <row r="30" spans="1:16" x14ac:dyDescent="0.25">
      <c r="A30" s="158"/>
      <c r="B30" s="163"/>
      <c r="C30" s="163"/>
      <c r="D30" s="163"/>
      <c r="E30" s="163"/>
      <c r="F30" s="163"/>
      <c r="G30" s="163"/>
    </row>
    <row r="31" spans="1:16" x14ac:dyDescent="0.25">
      <c r="A31" s="199" t="s">
        <v>539</v>
      </c>
      <c r="B31" s="163"/>
      <c r="C31" s="163"/>
      <c r="D31" s="163"/>
      <c r="E31" s="163"/>
      <c r="F31" s="163"/>
      <c r="G31" s="163"/>
    </row>
    <row r="32" spans="1:16" ht="18.75" x14ac:dyDescent="0.3">
      <c r="A32" s="2" t="s">
        <v>530</v>
      </c>
      <c r="B32" s="163"/>
      <c r="C32" s="163"/>
      <c r="D32" s="163"/>
      <c r="E32" s="163"/>
      <c r="F32" s="163"/>
      <c r="G32" s="163"/>
    </row>
    <row r="33" spans="1:16" x14ac:dyDescent="0.25">
      <c r="A33" s="6" t="s">
        <v>8</v>
      </c>
      <c r="B33" s="163"/>
      <c r="C33" s="163"/>
      <c r="D33" s="163"/>
      <c r="E33" s="163"/>
      <c r="F33" s="163"/>
      <c r="G33" s="163"/>
    </row>
    <row r="34" spans="1:16" x14ac:dyDescent="0.25">
      <c r="A34" s="158"/>
      <c r="B34" s="163"/>
      <c r="C34" s="163"/>
      <c r="D34" s="163"/>
      <c r="E34" s="163"/>
      <c r="F34" s="163"/>
      <c r="G34" s="163"/>
    </row>
    <row r="35" spans="1:16" x14ac:dyDescent="0.25">
      <c r="A35" s="507" t="s">
        <v>521</v>
      </c>
      <c r="B35" s="506" t="s">
        <v>522</v>
      </c>
      <c r="C35" s="506"/>
      <c r="D35" s="506"/>
      <c r="E35" s="506"/>
      <c r="F35" s="506"/>
      <c r="G35" s="154"/>
      <c r="H35" s="509" t="s">
        <v>523</v>
      </c>
      <c r="I35" s="509"/>
      <c r="J35" s="506" t="s">
        <v>524</v>
      </c>
      <c r="K35" s="506"/>
      <c r="L35" s="506"/>
      <c r="M35" s="506"/>
      <c r="N35" s="506"/>
      <c r="O35" s="506"/>
    </row>
    <row r="36" spans="1:16" ht="45" x14ac:dyDescent="0.25">
      <c r="A36" s="508"/>
      <c r="B36" s="180" t="s">
        <v>484</v>
      </c>
      <c r="C36" s="180" t="s">
        <v>128</v>
      </c>
      <c r="D36" s="180" t="s">
        <v>485</v>
      </c>
      <c r="E36" s="180" t="s">
        <v>9</v>
      </c>
      <c r="F36" s="180" t="s">
        <v>130</v>
      </c>
      <c r="G36" s="179" t="s">
        <v>25</v>
      </c>
      <c r="H36" s="180" t="s">
        <v>474</v>
      </c>
      <c r="I36" s="180" t="s">
        <v>475</v>
      </c>
      <c r="J36" s="181" t="s">
        <v>525</v>
      </c>
      <c r="K36" s="180" t="s">
        <v>526</v>
      </c>
      <c r="L36" s="180" t="s">
        <v>527</v>
      </c>
      <c r="M36" s="180" t="s">
        <v>528</v>
      </c>
      <c r="N36" s="180" t="s">
        <v>529</v>
      </c>
      <c r="O36" s="181">
        <v>7</v>
      </c>
      <c r="P36" s="179" t="s">
        <v>25</v>
      </c>
    </row>
    <row r="37" spans="1:16" x14ac:dyDescent="0.25">
      <c r="A37" s="178" t="s">
        <v>505</v>
      </c>
      <c r="B37" s="137">
        <v>6662</v>
      </c>
      <c r="C37" s="137">
        <v>3217</v>
      </c>
      <c r="D37" s="137">
        <v>24104</v>
      </c>
      <c r="E37" s="137">
        <v>2630</v>
      </c>
      <c r="F37" s="137">
        <v>1936</v>
      </c>
      <c r="G37" s="137">
        <v>38549</v>
      </c>
      <c r="H37" s="137">
        <v>21882</v>
      </c>
      <c r="I37" s="137">
        <v>16667</v>
      </c>
      <c r="J37" s="137">
        <v>21212</v>
      </c>
      <c r="K37" s="137">
        <v>6595</v>
      </c>
      <c r="L37" s="137">
        <v>1309</v>
      </c>
      <c r="M37" s="137">
        <v>5804</v>
      </c>
      <c r="N37" s="137">
        <v>0</v>
      </c>
      <c r="O37" s="137">
        <v>3629</v>
      </c>
      <c r="P37" s="137">
        <v>38549</v>
      </c>
    </row>
    <row r="38" spans="1:16" x14ac:dyDescent="0.25">
      <c r="A38" s="178" t="s">
        <v>506</v>
      </c>
      <c r="B38" s="137">
        <v>12443</v>
      </c>
      <c r="C38" s="137">
        <v>4092</v>
      </c>
      <c r="D38" s="137">
        <v>42233</v>
      </c>
      <c r="E38" s="137">
        <v>4122</v>
      </c>
      <c r="F38" s="137">
        <v>2141</v>
      </c>
      <c r="G38" s="137">
        <v>65031</v>
      </c>
      <c r="H38" s="137">
        <v>39070</v>
      </c>
      <c r="I38" s="137">
        <v>25961</v>
      </c>
      <c r="J38" s="137">
        <v>40781</v>
      </c>
      <c r="K38" s="137">
        <v>9803</v>
      </c>
      <c r="L38" s="137">
        <v>1053</v>
      </c>
      <c r="M38" s="137">
        <v>6018</v>
      </c>
      <c r="N38" s="137">
        <v>0</v>
      </c>
      <c r="O38" s="137">
        <v>7376</v>
      </c>
      <c r="P38" s="137">
        <v>65031</v>
      </c>
    </row>
    <row r="39" spans="1:16" x14ac:dyDescent="0.25">
      <c r="A39" s="178" t="s">
        <v>507</v>
      </c>
      <c r="B39" s="137">
        <v>7988</v>
      </c>
      <c r="C39" s="137">
        <v>2722</v>
      </c>
      <c r="D39" s="137">
        <v>27232</v>
      </c>
      <c r="E39" s="137">
        <v>2396</v>
      </c>
      <c r="F39" s="137">
        <v>1448</v>
      </c>
      <c r="G39" s="137">
        <v>41786</v>
      </c>
      <c r="H39" s="137">
        <v>23546</v>
      </c>
      <c r="I39" s="137">
        <v>18240</v>
      </c>
      <c r="J39" s="137">
        <v>23161</v>
      </c>
      <c r="K39" s="137">
        <v>8195</v>
      </c>
      <c r="L39" s="137">
        <v>1026</v>
      </c>
      <c r="M39" s="137">
        <v>6108</v>
      </c>
      <c r="N39" s="137">
        <v>0</v>
      </c>
      <c r="O39" s="137">
        <v>3296</v>
      </c>
      <c r="P39" s="137">
        <v>41786</v>
      </c>
    </row>
    <row r="40" spans="1:16" x14ac:dyDescent="0.25">
      <c r="A40" s="178" t="s">
        <v>508</v>
      </c>
      <c r="B40" s="137">
        <v>24517</v>
      </c>
      <c r="C40" s="137">
        <v>7944</v>
      </c>
      <c r="D40" s="137">
        <v>80576</v>
      </c>
      <c r="E40" s="137">
        <v>7006</v>
      </c>
      <c r="F40" s="137">
        <v>4576</v>
      </c>
      <c r="G40" s="137">
        <v>124619</v>
      </c>
      <c r="H40" s="137">
        <v>71239</v>
      </c>
      <c r="I40" s="137">
        <v>53380</v>
      </c>
      <c r="J40" s="137">
        <v>83796</v>
      </c>
      <c r="K40" s="137">
        <v>19151</v>
      </c>
      <c r="L40" s="137">
        <v>1986</v>
      </c>
      <c r="M40" s="137">
        <v>9679</v>
      </c>
      <c r="N40" s="137">
        <v>2</v>
      </c>
      <c r="O40" s="137">
        <v>10005</v>
      </c>
      <c r="P40" s="137">
        <v>124619</v>
      </c>
    </row>
    <row r="41" spans="1:16" x14ac:dyDescent="0.25">
      <c r="A41" s="178" t="s">
        <v>509</v>
      </c>
      <c r="B41" s="137">
        <v>60056</v>
      </c>
      <c r="C41" s="137">
        <v>20443</v>
      </c>
      <c r="D41" s="137">
        <v>213573</v>
      </c>
      <c r="E41" s="137">
        <v>21002</v>
      </c>
      <c r="F41" s="137">
        <v>13051</v>
      </c>
      <c r="G41" s="137">
        <v>328125</v>
      </c>
      <c r="H41" s="137">
        <v>194329</v>
      </c>
      <c r="I41" s="137">
        <v>133796</v>
      </c>
      <c r="J41" s="137">
        <v>187067</v>
      </c>
      <c r="K41" s="137">
        <v>64257</v>
      </c>
      <c r="L41" s="137">
        <v>7042</v>
      </c>
      <c r="M41" s="137">
        <v>37690</v>
      </c>
      <c r="N41" s="137">
        <v>0</v>
      </c>
      <c r="O41" s="137">
        <v>32069</v>
      </c>
      <c r="P41" s="137">
        <v>328125</v>
      </c>
    </row>
    <row r="42" spans="1:16" x14ac:dyDescent="0.25">
      <c r="A42" s="178" t="s">
        <v>510</v>
      </c>
      <c r="B42" s="137">
        <v>28310</v>
      </c>
      <c r="C42" s="137">
        <v>10063</v>
      </c>
      <c r="D42" s="137">
        <v>102818</v>
      </c>
      <c r="E42" s="137">
        <v>8651</v>
      </c>
      <c r="F42" s="137">
        <v>7551</v>
      </c>
      <c r="G42" s="137">
        <v>157393</v>
      </c>
      <c r="H42" s="137">
        <v>87940</v>
      </c>
      <c r="I42" s="137">
        <v>69453</v>
      </c>
      <c r="J42" s="137">
        <v>85185</v>
      </c>
      <c r="K42" s="137">
        <v>27456</v>
      </c>
      <c r="L42" s="137">
        <v>3852</v>
      </c>
      <c r="M42" s="137">
        <v>28715</v>
      </c>
      <c r="N42" s="137">
        <v>0</v>
      </c>
      <c r="O42" s="137">
        <v>12185</v>
      </c>
      <c r="P42" s="137">
        <v>157393</v>
      </c>
    </row>
    <row r="43" spans="1:16" x14ac:dyDescent="0.25">
      <c r="A43" s="178" t="s">
        <v>511</v>
      </c>
      <c r="B43" s="137">
        <v>39533</v>
      </c>
      <c r="C43" s="137">
        <v>13471</v>
      </c>
      <c r="D43" s="137">
        <v>118610</v>
      </c>
      <c r="E43" s="137">
        <v>9596</v>
      </c>
      <c r="F43" s="137">
        <v>8042</v>
      </c>
      <c r="G43" s="137">
        <v>189252</v>
      </c>
      <c r="H43" s="137">
        <v>104534</v>
      </c>
      <c r="I43" s="137">
        <v>84718</v>
      </c>
      <c r="J43" s="137">
        <v>106557</v>
      </c>
      <c r="K43" s="137">
        <v>38759</v>
      </c>
      <c r="L43" s="137">
        <v>4838</v>
      </c>
      <c r="M43" s="137">
        <v>27831</v>
      </c>
      <c r="N43" s="137">
        <v>1</v>
      </c>
      <c r="O43" s="137">
        <v>11266</v>
      </c>
      <c r="P43" s="137">
        <v>189252</v>
      </c>
    </row>
    <row r="44" spans="1:16" x14ac:dyDescent="0.25">
      <c r="A44" s="178" t="s">
        <v>512</v>
      </c>
      <c r="B44" s="137">
        <v>53055</v>
      </c>
      <c r="C44" s="137">
        <v>21104</v>
      </c>
      <c r="D44" s="137">
        <v>160824</v>
      </c>
      <c r="E44" s="137">
        <v>16010</v>
      </c>
      <c r="F44" s="137">
        <v>10879</v>
      </c>
      <c r="G44" s="137">
        <v>261872</v>
      </c>
      <c r="H44" s="137">
        <v>151675</v>
      </c>
      <c r="I44" s="137">
        <v>110197</v>
      </c>
      <c r="J44" s="137">
        <v>144582</v>
      </c>
      <c r="K44" s="137">
        <v>44045</v>
      </c>
      <c r="L44" s="137">
        <v>7685</v>
      </c>
      <c r="M44" s="137">
        <v>44925</v>
      </c>
      <c r="N44" s="137">
        <v>0</v>
      </c>
      <c r="O44" s="137">
        <v>20635</v>
      </c>
      <c r="P44" s="137">
        <v>261872</v>
      </c>
    </row>
    <row r="45" spans="1:16" x14ac:dyDescent="0.25">
      <c r="A45" s="178" t="s">
        <v>513</v>
      </c>
      <c r="B45" s="137">
        <v>43591</v>
      </c>
      <c r="C45" s="137">
        <v>13744</v>
      </c>
      <c r="D45" s="137">
        <v>91902</v>
      </c>
      <c r="E45" s="137">
        <v>7758</v>
      </c>
      <c r="F45" s="137">
        <v>6637</v>
      </c>
      <c r="G45" s="137">
        <v>163632</v>
      </c>
      <c r="H45" s="137">
        <v>92141</v>
      </c>
      <c r="I45" s="137">
        <v>71491</v>
      </c>
      <c r="J45" s="137">
        <v>100767</v>
      </c>
      <c r="K45" s="137">
        <v>29809</v>
      </c>
      <c r="L45" s="137">
        <v>3964</v>
      </c>
      <c r="M45" s="137">
        <v>19138</v>
      </c>
      <c r="N45" s="137">
        <v>0</v>
      </c>
      <c r="O45" s="137">
        <v>9954</v>
      </c>
      <c r="P45" s="137">
        <v>163632</v>
      </c>
    </row>
    <row r="46" spans="1:16" x14ac:dyDescent="0.25">
      <c r="A46" s="178" t="s">
        <v>514</v>
      </c>
      <c r="B46" s="137">
        <v>30962</v>
      </c>
      <c r="C46" s="137">
        <v>11779</v>
      </c>
      <c r="D46" s="137">
        <v>74142</v>
      </c>
      <c r="E46" s="137">
        <v>6994</v>
      </c>
      <c r="F46" s="137">
        <v>6730</v>
      </c>
      <c r="G46" s="137">
        <v>130607</v>
      </c>
      <c r="H46" s="137">
        <v>73240</v>
      </c>
      <c r="I46" s="137">
        <v>57367</v>
      </c>
      <c r="J46" s="137">
        <v>79415</v>
      </c>
      <c r="K46" s="137">
        <v>29077</v>
      </c>
      <c r="L46" s="137">
        <v>3779</v>
      </c>
      <c r="M46" s="137">
        <v>10652</v>
      </c>
      <c r="N46" s="137">
        <v>0</v>
      </c>
      <c r="O46" s="137">
        <v>7684</v>
      </c>
      <c r="P46" s="137">
        <v>130607</v>
      </c>
    </row>
    <row r="47" spans="1:16" x14ac:dyDescent="0.25">
      <c r="A47" s="178" t="s">
        <v>515</v>
      </c>
      <c r="B47" s="137">
        <v>2978</v>
      </c>
      <c r="C47" s="137">
        <v>845</v>
      </c>
      <c r="D47" s="137">
        <v>8505</v>
      </c>
      <c r="E47" s="137">
        <v>574</v>
      </c>
      <c r="F47" s="137">
        <v>655</v>
      </c>
      <c r="G47" s="137">
        <v>13557</v>
      </c>
      <c r="H47" s="137">
        <v>6968</v>
      </c>
      <c r="I47" s="137">
        <v>6589</v>
      </c>
      <c r="J47" s="137">
        <v>9286</v>
      </c>
      <c r="K47" s="137">
        <v>2577</v>
      </c>
      <c r="L47" s="137">
        <v>195</v>
      </c>
      <c r="M47" s="137">
        <v>729</v>
      </c>
      <c r="N47" s="137">
        <v>0</v>
      </c>
      <c r="O47" s="137">
        <v>770</v>
      </c>
      <c r="P47" s="137">
        <v>13557</v>
      </c>
    </row>
    <row r="48" spans="1:16" x14ac:dyDescent="0.25">
      <c r="A48" s="178" t="s">
        <v>516</v>
      </c>
      <c r="B48" s="137">
        <v>4781</v>
      </c>
      <c r="C48" s="137">
        <v>1409</v>
      </c>
      <c r="D48" s="137">
        <v>16418</v>
      </c>
      <c r="E48" s="137">
        <v>1924</v>
      </c>
      <c r="F48" s="137">
        <v>926</v>
      </c>
      <c r="G48" s="137">
        <v>25458</v>
      </c>
      <c r="H48" s="137">
        <v>14866</v>
      </c>
      <c r="I48" s="137">
        <v>10592</v>
      </c>
      <c r="J48" s="137">
        <v>17936</v>
      </c>
      <c r="K48" s="137">
        <v>4323</v>
      </c>
      <c r="L48" s="137">
        <v>964</v>
      </c>
      <c r="M48" s="137">
        <v>64</v>
      </c>
      <c r="N48" s="137">
        <v>0</v>
      </c>
      <c r="O48" s="137">
        <v>2171</v>
      </c>
      <c r="P48" s="137">
        <v>25458</v>
      </c>
    </row>
    <row r="49" spans="1:16" x14ac:dyDescent="0.25">
      <c r="A49" s="178" t="s">
        <v>517</v>
      </c>
      <c r="B49" s="137">
        <v>200819</v>
      </c>
      <c r="C49" s="137">
        <v>55946</v>
      </c>
      <c r="D49" s="137">
        <v>661857</v>
      </c>
      <c r="E49" s="137">
        <v>67870</v>
      </c>
      <c r="F49" s="137">
        <v>31821</v>
      </c>
      <c r="G49" s="137">
        <v>1018313</v>
      </c>
      <c r="H49" s="137">
        <v>614365</v>
      </c>
      <c r="I49" s="137">
        <v>403948</v>
      </c>
      <c r="J49" s="137">
        <v>534149</v>
      </c>
      <c r="K49" s="137">
        <v>165113</v>
      </c>
      <c r="L49" s="137">
        <v>28569</v>
      </c>
      <c r="M49" s="137">
        <v>159877</v>
      </c>
      <c r="N49" s="137">
        <v>0</v>
      </c>
      <c r="O49" s="137">
        <v>130605</v>
      </c>
      <c r="P49" s="137">
        <v>1018313</v>
      </c>
    </row>
    <row r="50" spans="1:16" x14ac:dyDescent="0.25">
      <c r="A50" s="178" t="s">
        <v>518</v>
      </c>
      <c r="B50" s="137">
        <v>15645</v>
      </c>
      <c r="C50" s="137">
        <v>7315</v>
      </c>
      <c r="D50" s="137">
        <v>40964</v>
      </c>
      <c r="E50" s="137">
        <v>4112</v>
      </c>
      <c r="F50" s="137">
        <v>4143</v>
      </c>
      <c r="G50" s="137">
        <v>72179</v>
      </c>
      <c r="H50" s="137">
        <v>41329</v>
      </c>
      <c r="I50" s="137">
        <v>30850</v>
      </c>
      <c r="J50" s="137">
        <v>47993</v>
      </c>
      <c r="K50" s="137">
        <v>14144</v>
      </c>
      <c r="L50" s="137">
        <v>1935</v>
      </c>
      <c r="M50" s="137">
        <v>4031</v>
      </c>
      <c r="N50" s="137">
        <v>2</v>
      </c>
      <c r="O50" s="137">
        <v>4074</v>
      </c>
      <c r="P50" s="137">
        <v>72179</v>
      </c>
    </row>
    <row r="51" spans="1:16" x14ac:dyDescent="0.25">
      <c r="A51" s="178" t="s">
        <v>519</v>
      </c>
      <c r="B51" s="137">
        <v>6601</v>
      </c>
      <c r="C51" s="137">
        <v>2283</v>
      </c>
      <c r="D51" s="137">
        <v>22097</v>
      </c>
      <c r="E51" s="137">
        <v>2429</v>
      </c>
      <c r="F51" s="137">
        <v>1230</v>
      </c>
      <c r="G51" s="137">
        <v>34640</v>
      </c>
      <c r="H51" s="137">
        <v>19654</v>
      </c>
      <c r="I51" s="137">
        <v>14986</v>
      </c>
      <c r="J51" s="137">
        <v>18800</v>
      </c>
      <c r="K51" s="137">
        <v>7203</v>
      </c>
      <c r="L51" s="137">
        <v>1115</v>
      </c>
      <c r="M51" s="137">
        <v>4648</v>
      </c>
      <c r="N51" s="137">
        <v>0</v>
      </c>
      <c r="O51" s="137">
        <v>2874</v>
      </c>
      <c r="P51" s="137">
        <v>34640</v>
      </c>
    </row>
    <row r="52" spans="1:16" x14ac:dyDescent="0.25">
      <c r="A52" s="178" t="s">
        <v>520</v>
      </c>
      <c r="B52" s="137">
        <v>21395</v>
      </c>
      <c r="C52" s="137">
        <v>11278</v>
      </c>
      <c r="D52" s="137">
        <v>54317</v>
      </c>
      <c r="E52" s="137">
        <v>4745</v>
      </c>
      <c r="F52" s="137">
        <v>6172</v>
      </c>
      <c r="G52" s="137">
        <v>97907</v>
      </c>
      <c r="H52" s="137">
        <v>55177</v>
      </c>
      <c r="I52" s="137">
        <v>42730</v>
      </c>
      <c r="J52" s="137">
        <v>55568</v>
      </c>
      <c r="K52" s="137">
        <v>18252</v>
      </c>
      <c r="L52" s="137">
        <v>1933</v>
      </c>
      <c r="M52" s="137">
        <v>17376</v>
      </c>
      <c r="N52" s="137">
        <v>0</v>
      </c>
      <c r="O52" s="137">
        <v>4778</v>
      </c>
      <c r="P52" s="137">
        <v>97907</v>
      </c>
    </row>
    <row r="53" spans="1:16" x14ac:dyDescent="0.25">
      <c r="A53" s="136" t="s">
        <v>25</v>
      </c>
      <c r="B53" s="137">
        <v>559336</v>
      </c>
      <c r="C53" s="137">
        <v>187655</v>
      </c>
      <c r="D53" s="137">
        <v>1740172</v>
      </c>
      <c r="E53" s="137">
        <v>167819</v>
      </c>
      <c r="F53" s="137">
        <v>107938</v>
      </c>
      <c r="G53" s="137">
        <v>2762920</v>
      </c>
      <c r="H53" s="137">
        <v>1611955</v>
      </c>
      <c r="I53" s="137">
        <v>1150965</v>
      </c>
      <c r="J53" s="137">
        <v>1556255</v>
      </c>
      <c r="K53" s="137">
        <v>488759</v>
      </c>
      <c r="L53" s="137">
        <v>71245</v>
      </c>
      <c r="M53" s="137">
        <v>383285</v>
      </c>
      <c r="N53" s="137">
        <v>5</v>
      </c>
      <c r="O53" s="137">
        <v>263371</v>
      </c>
      <c r="P53" s="137">
        <v>2762920</v>
      </c>
    </row>
    <row r="54" spans="1:16" x14ac:dyDescent="0.25">
      <c r="A54" s="158"/>
      <c r="B54" s="163"/>
      <c r="C54" s="163"/>
      <c r="D54" s="163"/>
      <c r="E54" s="163"/>
      <c r="F54" s="163"/>
      <c r="G54" s="163"/>
    </row>
    <row r="55" spans="1:16" x14ac:dyDescent="0.25">
      <c r="A55" s="199" t="s">
        <v>540</v>
      </c>
      <c r="B55" s="200"/>
      <c r="C55" s="163"/>
      <c r="D55" s="163"/>
      <c r="E55" s="163"/>
      <c r="F55" s="163"/>
      <c r="G55" s="163"/>
    </row>
    <row r="56" spans="1:16" ht="18.75" x14ac:dyDescent="0.3">
      <c r="A56" s="2" t="s">
        <v>531</v>
      </c>
      <c r="B56" s="163"/>
      <c r="C56" s="163"/>
      <c r="D56" s="163"/>
      <c r="E56" s="163"/>
      <c r="F56" s="163"/>
      <c r="G56" s="163"/>
    </row>
    <row r="57" spans="1:16" x14ac:dyDescent="0.25">
      <c r="A57" s="6" t="s">
        <v>8</v>
      </c>
      <c r="B57" s="163"/>
      <c r="C57" s="163"/>
      <c r="D57" s="163"/>
      <c r="E57" s="163"/>
      <c r="F57" s="163"/>
      <c r="G57" s="163"/>
    </row>
    <row r="58" spans="1:16" x14ac:dyDescent="0.25">
      <c r="A58" s="158" t="s">
        <v>489</v>
      </c>
      <c r="B58" s="163"/>
      <c r="C58" s="163"/>
    </row>
    <row r="59" spans="1:16" x14ac:dyDescent="0.25">
      <c r="A59" s="507" t="s">
        <v>521</v>
      </c>
      <c r="B59" s="506" t="s">
        <v>522</v>
      </c>
      <c r="C59" s="506"/>
      <c r="D59" s="506"/>
      <c r="E59" s="506"/>
      <c r="F59" s="506"/>
      <c r="G59" s="155"/>
    </row>
    <row r="60" spans="1:16" ht="30" x14ac:dyDescent="0.25">
      <c r="A60" s="508"/>
      <c r="B60" s="136" t="s">
        <v>484</v>
      </c>
      <c r="C60" s="136" t="s">
        <v>128</v>
      </c>
      <c r="D60" s="136" t="s">
        <v>485</v>
      </c>
      <c r="E60" s="136" t="s">
        <v>9</v>
      </c>
      <c r="F60" s="136" t="s">
        <v>130</v>
      </c>
      <c r="G60" s="136" t="s">
        <v>25</v>
      </c>
    </row>
    <row r="61" spans="1:16" x14ac:dyDescent="0.25">
      <c r="A61" s="178" t="s">
        <v>505</v>
      </c>
      <c r="B61" s="166">
        <f t="shared" ref="B61:G70" si="0">+B37/B12</f>
        <v>0.8223676089371682</v>
      </c>
      <c r="C61" s="166">
        <f t="shared" si="0"/>
        <v>0.57631673235399494</v>
      </c>
      <c r="D61" s="166">
        <f t="shared" si="0"/>
        <v>0.87112396096855804</v>
      </c>
      <c r="E61" s="166">
        <f t="shared" si="0"/>
        <v>0.47636297772142727</v>
      </c>
      <c r="F61" s="166">
        <f t="shared" si="0"/>
        <v>0.7980214344600165</v>
      </c>
      <c r="G61" s="166">
        <f t="shared" si="0"/>
        <v>0.78192697768762676</v>
      </c>
    </row>
    <row r="62" spans="1:16" x14ac:dyDescent="0.25">
      <c r="A62" s="178" t="s">
        <v>506</v>
      </c>
      <c r="B62" s="166">
        <f t="shared" si="0"/>
        <v>0.78783082183107511</v>
      </c>
      <c r="C62" s="166">
        <f t="shared" si="0"/>
        <v>0.56936134687630446</v>
      </c>
      <c r="D62" s="166">
        <f t="shared" si="0"/>
        <v>0.84438979526551505</v>
      </c>
      <c r="E62" s="166">
        <f t="shared" si="0"/>
        <v>0.46513202437373052</v>
      </c>
      <c r="F62" s="166">
        <f t="shared" si="0"/>
        <v>0.79561501300631732</v>
      </c>
      <c r="G62" s="166">
        <f t="shared" si="0"/>
        <v>0.7691425192193968</v>
      </c>
    </row>
    <row r="63" spans="1:16" x14ac:dyDescent="0.25">
      <c r="A63" s="178" t="s">
        <v>507</v>
      </c>
      <c r="B63" s="166">
        <f t="shared" si="0"/>
        <v>0.8358271424087057</v>
      </c>
      <c r="C63" s="166">
        <f t="shared" si="0"/>
        <v>0.59510275470048102</v>
      </c>
      <c r="D63" s="166">
        <f t="shared" si="0"/>
        <v>0.87709353259469214</v>
      </c>
      <c r="E63" s="166">
        <f t="shared" si="0"/>
        <v>0.52694084011436115</v>
      </c>
      <c r="F63" s="166">
        <f t="shared" si="0"/>
        <v>0.82554161915621438</v>
      </c>
      <c r="G63" s="166">
        <f t="shared" si="0"/>
        <v>0.81169386169386171</v>
      </c>
    </row>
    <row r="64" spans="1:16" x14ac:dyDescent="0.25">
      <c r="A64" s="178" t="s">
        <v>508</v>
      </c>
      <c r="B64" s="166">
        <f t="shared" si="0"/>
        <v>0.85777762227975651</v>
      </c>
      <c r="C64" s="166">
        <f t="shared" si="0"/>
        <v>0.59608313949125835</v>
      </c>
      <c r="D64" s="166">
        <f t="shared" si="0"/>
        <v>0.88809531682262566</v>
      </c>
      <c r="E64" s="166">
        <f t="shared" si="0"/>
        <v>0.50530111792282728</v>
      </c>
      <c r="F64" s="166">
        <f t="shared" si="0"/>
        <v>0.85821455363840959</v>
      </c>
      <c r="G64" s="166">
        <f t="shared" si="0"/>
        <v>0.82075279085849773</v>
      </c>
    </row>
    <row r="65" spans="1:7" x14ac:dyDescent="0.25">
      <c r="A65" s="178" t="s">
        <v>509</v>
      </c>
      <c r="B65" s="166">
        <f t="shared" si="0"/>
        <v>0.86006845489567074</v>
      </c>
      <c r="C65" s="166">
        <f t="shared" si="0"/>
        <v>0.61274465725504301</v>
      </c>
      <c r="D65" s="166">
        <f t="shared" si="0"/>
        <v>0.88454338372333818</v>
      </c>
      <c r="E65" s="166">
        <f t="shared" si="0"/>
        <v>0.4921151908522155</v>
      </c>
      <c r="F65" s="166">
        <f t="shared" si="0"/>
        <v>0.82810913705583755</v>
      </c>
      <c r="G65" s="166">
        <f t="shared" si="0"/>
        <v>0.81405041716595095</v>
      </c>
    </row>
    <row r="66" spans="1:7" x14ac:dyDescent="0.25">
      <c r="A66" s="178" t="s">
        <v>510</v>
      </c>
      <c r="B66" s="166">
        <f t="shared" si="0"/>
        <v>0.85050772096376859</v>
      </c>
      <c r="C66" s="166">
        <f t="shared" si="0"/>
        <v>0.51307806047009641</v>
      </c>
      <c r="D66" s="166">
        <f t="shared" si="0"/>
        <v>0.89342474561837981</v>
      </c>
      <c r="E66" s="166">
        <f t="shared" si="0"/>
        <v>0.50960179076343071</v>
      </c>
      <c r="F66" s="166">
        <f t="shared" si="0"/>
        <v>0.83353571034330498</v>
      </c>
      <c r="G66" s="166">
        <f t="shared" si="0"/>
        <v>0.81123303628032595</v>
      </c>
    </row>
    <row r="67" spans="1:7" x14ac:dyDescent="0.25">
      <c r="A67" s="178" t="s">
        <v>511</v>
      </c>
      <c r="B67" s="166">
        <f t="shared" si="0"/>
        <v>0.88476343941631974</v>
      </c>
      <c r="C67" s="166">
        <f t="shared" si="0"/>
        <v>0.53699274495734672</v>
      </c>
      <c r="D67" s="166">
        <f t="shared" si="0"/>
        <v>0.90578631049203118</v>
      </c>
      <c r="E67" s="166">
        <f t="shared" si="0"/>
        <v>0.54058926257675621</v>
      </c>
      <c r="F67" s="166">
        <f t="shared" si="0"/>
        <v>0.82575213060889208</v>
      </c>
      <c r="G67" s="166">
        <f t="shared" si="0"/>
        <v>0.82930698275673187</v>
      </c>
    </row>
    <row r="68" spans="1:7" x14ac:dyDescent="0.25">
      <c r="A68" s="178" t="s">
        <v>512</v>
      </c>
      <c r="B68" s="166">
        <f t="shared" si="0"/>
        <v>0.86500366837857667</v>
      </c>
      <c r="C68" s="166">
        <f t="shared" si="0"/>
        <v>0.49278475692336432</v>
      </c>
      <c r="D68" s="166">
        <f t="shared" si="0"/>
        <v>0.88534607571662138</v>
      </c>
      <c r="E68" s="166">
        <f t="shared" si="0"/>
        <v>0.53611492482335998</v>
      </c>
      <c r="F68" s="166">
        <f t="shared" si="0"/>
        <v>0.83058482211024587</v>
      </c>
      <c r="G68" s="166">
        <f t="shared" si="0"/>
        <v>0.79651309566174833</v>
      </c>
    </row>
    <row r="69" spans="1:7" x14ac:dyDescent="0.25">
      <c r="A69" s="178" t="s">
        <v>513</v>
      </c>
      <c r="B69" s="166">
        <f t="shared" si="0"/>
        <v>0.89704490266288017</v>
      </c>
      <c r="C69" s="166">
        <f t="shared" si="0"/>
        <v>0.46301037596011319</v>
      </c>
      <c r="D69" s="166">
        <f t="shared" si="0"/>
        <v>0.89935999060536664</v>
      </c>
      <c r="E69" s="166">
        <f t="shared" si="0"/>
        <v>0.52865417376490631</v>
      </c>
      <c r="F69" s="166">
        <f t="shared" si="0"/>
        <v>0.84002025060118968</v>
      </c>
      <c r="G69" s="166">
        <f t="shared" si="0"/>
        <v>0.80591016548463357</v>
      </c>
    </row>
    <row r="70" spans="1:7" x14ac:dyDescent="0.25">
      <c r="A70" s="178" t="s">
        <v>514</v>
      </c>
      <c r="B70" s="166">
        <f t="shared" si="0"/>
        <v>0.8975273212163376</v>
      </c>
      <c r="C70" s="166">
        <f t="shared" si="0"/>
        <v>0.55705840624261049</v>
      </c>
      <c r="D70" s="166">
        <f t="shared" si="0"/>
        <v>0.89610577969010607</v>
      </c>
      <c r="E70" s="166">
        <f t="shared" si="0"/>
        <v>0.59462676415575577</v>
      </c>
      <c r="F70" s="166">
        <f t="shared" si="0"/>
        <v>0.8367524555514112</v>
      </c>
      <c r="G70" s="166">
        <f t="shared" si="0"/>
        <v>0.82565982868160703</v>
      </c>
    </row>
    <row r="71" spans="1:7" x14ac:dyDescent="0.25">
      <c r="A71" s="178" t="s">
        <v>515</v>
      </c>
      <c r="B71" s="166">
        <f t="shared" ref="B71:G77" si="1">+B47/B22</f>
        <v>0.85623921794134561</v>
      </c>
      <c r="C71" s="166">
        <f t="shared" si="1"/>
        <v>0.48148148148148145</v>
      </c>
      <c r="D71" s="166">
        <f t="shared" si="1"/>
        <v>0.87007672634271105</v>
      </c>
      <c r="E71" s="166">
        <f t="shared" si="1"/>
        <v>0.43288084464555054</v>
      </c>
      <c r="F71" s="166">
        <f t="shared" si="1"/>
        <v>0.80864197530864201</v>
      </c>
      <c r="G71" s="166">
        <f t="shared" si="1"/>
        <v>0.79077228184787685</v>
      </c>
    </row>
    <row r="72" spans="1:7" x14ac:dyDescent="0.25">
      <c r="A72" s="178" t="s">
        <v>516</v>
      </c>
      <c r="B72" s="166">
        <f t="shared" si="1"/>
        <v>0.8458952583156405</v>
      </c>
      <c r="C72" s="166">
        <f t="shared" si="1"/>
        <v>0.64930875576036862</v>
      </c>
      <c r="D72" s="166">
        <f t="shared" si="1"/>
        <v>0.85434771296248113</v>
      </c>
      <c r="E72" s="166">
        <f t="shared" si="1"/>
        <v>0.5069828722002635</v>
      </c>
      <c r="F72" s="166">
        <f t="shared" si="1"/>
        <v>0.82752457551385161</v>
      </c>
      <c r="G72" s="166">
        <f t="shared" si="1"/>
        <v>0.7967327011548212</v>
      </c>
    </row>
    <row r="73" spans="1:7" x14ac:dyDescent="0.25">
      <c r="A73" s="178" t="s">
        <v>517</v>
      </c>
      <c r="B73" s="166">
        <f t="shared" si="1"/>
        <v>0.86150697977709334</v>
      </c>
      <c r="C73" s="166">
        <f t="shared" si="1"/>
        <v>0.60469741350425321</v>
      </c>
      <c r="D73" s="166">
        <f t="shared" si="1"/>
        <v>0.88287859263824309</v>
      </c>
      <c r="E73" s="166">
        <f t="shared" si="1"/>
        <v>0.53272319115869449</v>
      </c>
      <c r="F73" s="166">
        <f t="shared" si="1"/>
        <v>0.82763732833957548</v>
      </c>
      <c r="G73" s="166">
        <f t="shared" si="1"/>
        <v>0.82047313373549402</v>
      </c>
    </row>
    <row r="74" spans="1:7" x14ac:dyDescent="0.25">
      <c r="A74" s="178" t="s">
        <v>518</v>
      </c>
      <c r="B74" s="166">
        <f t="shared" si="1"/>
        <v>0.89630478372959033</v>
      </c>
      <c r="C74" s="166">
        <f t="shared" si="1"/>
        <v>0.65628925174950659</v>
      </c>
      <c r="D74" s="166">
        <f t="shared" si="1"/>
        <v>0.89162658076311951</v>
      </c>
      <c r="E74" s="166">
        <f t="shared" si="1"/>
        <v>0.57817772778402698</v>
      </c>
      <c r="F74" s="166">
        <f t="shared" si="1"/>
        <v>0.85687693898655637</v>
      </c>
      <c r="G74" s="166">
        <f t="shared" si="1"/>
        <v>0.83452613566729483</v>
      </c>
    </row>
    <row r="75" spans="1:7" x14ac:dyDescent="0.25">
      <c r="A75" s="178" t="s">
        <v>519</v>
      </c>
      <c r="B75" s="166">
        <f t="shared" si="1"/>
        <v>0.86400523560209419</v>
      </c>
      <c r="C75" s="166">
        <f t="shared" si="1"/>
        <v>0.68128916741271262</v>
      </c>
      <c r="D75" s="166">
        <f t="shared" si="1"/>
        <v>0.89262775196929911</v>
      </c>
      <c r="E75" s="166">
        <f t="shared" si="1"/>
        <v>0.56871926949192231</v>
      </c>
      <c r="F75" s="166">
        <f t="shared" si="1"/>
        <v>0.82494969818913477</v>
      </c>
      <c r="G75" s="166">
        <f t="shared" si="1"/>
        <v>0.83453792040088659</v>
      </c>
    </row>
    <row r="76" spans="1:7" x14ac:dyDescent="0.25">
      <c r="A76" s="178" t="s">
        <v>520</v>
      </c>
      <c r="B76" s="166">
        <f t="shared" si="1"/>
        <v>0.89605059262051345</v>
      </c>
      <c r="C76" s="166">
        <f t="shared" si="1"/>
        <v>0.43187562227157844</v>
      </c>
      <c r="D76" s="166">
        <f t="shared" si="1"/>
        <v>0.90785559084071532</v>
      </c>
      <c r="E76" s="166">
        <f t="shared" si="1"/>
        <v>0.55961787946691832</v>
      </c>
      <c r="F76" s="166">
        <f t="shared" si="1"/>
        <v>0.84547945205479447</v>
      </c>
      <c r="G76" s="166">
        <f t="shared" si="1"/>
        <v>0.77951433121019109</v>
      </c>
    </row>
    <row r="77" spans="1:7" x14ac:dyDescent="0.25">
      <c r="A77" s="136" t="s">
        <v>25</v>
      </c>
      <c r="B77" s="166">
        <f t="shared" si="1"/>
        <v>0.86657092084857446</v>
      </c>
      <c r="C77" s="166">
        <f t="shared" si="1"/>
        <v>0.55283376836101605</v>
      </c>
      <c r="D77" s="166">
        <f t="shared" si="1"/>
        <v>0.886623297749626</v>
      </c>
      <c r="E77" s="166">
        <f t="shared" si="1"/>
        <v>0.52626974072076371</v>
      </c>
      <c r="F77" s="166">
        <f t="shared" si="1"/>
        <v>0.83153321109964096</v>
      </c>
      <c r="G77" s="166">
        <f t="shared" si="1"/>
        <v>0.81351193229547447</v>
      </c>
    </row>
    <row r="78" spans="1:7" x14ac:dyDescent="0.25">
      <c r="A78" s="158"/>
      <c r="B78" s="163"/>
      <c r="C78" s="163"/>
      <c r="D78" s="163"/>
      <c r="E78" s="163"/>
      <c r="F78" s="163"/>
      <c r="G78" s="163"/>
    </row>
    <row r="79" spans="1:7" x14ac:dyDescent="0.25">
      <c r="A79" s="158"/>
      <c r="B79" s="163"/>
      <c r="C79" s="163"/>
      <c r="D79" s="163"/>
      <c r="E79" s="163"/>
      <c r="F79" s="163"/>
      <c r="G79" s="163"/>
    </row>
    <row r="80" spans="1:7" x14ac:dyDescent="0.25">
      <c r="A80" s="158"/>
      <c r="B80" s="163"/>
      <c r="C80" s="163"/>
      <c r="D80" s="163"/>
      <c r="E80" s="163"/>
      <c r="F80" s="163"/>
      <c r="G80" s="163"/>
    </row>
    <row r="81" spans="1:7" x14ac:dyDescent="0.25">
      <c r="A81" s="158"/>
      <c r="B81" s="163"/>
      <c r="C81" s="163"/>
      <c r="D81" s="163"/>
      <c r="E81" s="163"/>
      <c r="F81" s="163"/>
      <c r="G81" s="163"/>
    </row>
    <row r="82" spans="1:7" x14ac:dyDescent="0.25">
      <c r="A82" s="158"/>
      <c r="B82" s="163"/>
      <c r="C82" s="163"/>
      <c r="D82" s="163"/>
      <c r="E82" s="163"/>
      <c r="F82" s="163"/>
      <c r="G82" s="163"/>
    </row>
    <row r="83" spans="1:7" x14ac:dyDescent="0.25">
      <c r="A83" s="158"/>
      <c r="B83" s="163"/>
      <c r="C83" s="163"/>
      <c r="D83" s="163"/>
      <c r="E83" s="163"/>
      <c r="F83" s="163"/>
      <c r="G83" s="163"/>
    </row>
    <row r="84" spans="1:7" x14ac:dyDescent="0.25">
      <c r="A84" s="158"/>
      <c r="B84" s="163"/>
      <c r="C84" s="163"/>
      <c r="D84" s="163"/>
      <c r="E84" s="163"/>
      <c r="F84" s="163"/>
      <c r="G84" s="163"/>
    </row>
    <row r="85" spans="1:7" x14ac:dyDescent="0.25">
      <c r="A85" s="158"/>
      <c r="B85" s="163"/>
      <c r="C85" s="163"/>
      <c r="D85" s="163"/>
      <c r="E85" s="163"/>
      <c r="F85" s="163"/>
      <c r="G85" s="163"/>
    </row>
    <row r="86" spans="1:7" x14ac:dyDescent="0.25">
      <c r="A86" s="158"/>
      <c r="B86" s="163"/>
      <c r="C86" s="163"/>
      <c r="D86" s="163"/>
      <c r="E86" s="163"/>
      <c r="F86" s="163"/>
      <c r="G86" s="163"/>
    </row>
    <row r="87" spans="1:7" x14ac:dyDescent="0.25">
      <c r="A87" s="158"/>
      <c r="B87" s="163"/>
      <c r="C87" s="163"/>
      <c r="D87" s="163"/>
      <c r="E87" s="163"/>
      <c r="F87" s="163"/>
      <c r="G87" s="163"/>
    </row>
    <row r="88" spans="1:7" x14ac:dyDescent="0.25">
      <c r="A88" s="158"/>
      <c r="B88" s="163"/>
      <c r="C88" s="163"/>
      <c r="D88" s="163"/>
      <c r="E88" s="163"/>
      <c r="F88" s="163"/>
      <c r="G88" s="163"/>
    </row>
    <row r="89" spans="1:7" x14ac:dyDescent="0.25">
      <c r="A89" s="158"/>
      <c r="B89" s="163"/>
      <c r="C89" s="163"/>
      <c r="D89" s="163"/>
      <c r="E89" s="163"/>
      <c r="F89" s="163"/>
      <c r="G89" s="163"/>
    </row>
    <row r="90" spans="1:7" x14ac:dyDescent="0.25">
      <c r="A90" s="158"/>
      <c r="B90" s="163"/>
      <c r="C90" s="163"/>
      <c r="D90" s="163"/>
      <c r="E90" s="163"/>
      <c r="F90" s="163"/>
      <c r="G90" s="163"/>
    </row>
    <row r="91" spans="1:7" x14ac:dyDescent="0.25">
      <c r="A91" s="158"/>
      <c r="B91" s="163"/>
      <c r="C91" s="163"/>
      <c r="D91" s="163"/>
      <c r="E91" s="163"/>
      <c r="F91" s="163"/>
      <c r="G91" s="163"/>
    </row>
    <row r="92" spans="1:7" x14ac:dyDescent="0.25">
      <c r="A92" s="158"/>
      <c r="B92" s="163"/>
      <c r="C92" s="163"/>
      <c r="D92" s="163"/>
      <c r="E92" s="163"/>
      <c r="F92" s="163"/>
      <c r="G92" s="163"/>
    </row>
    <row r="93" spans="1:7" x14ac:dyDescent="0.25">
      <c r="A93" s="158"/>
      <c r="B93" s="163"/>
      <c r="C93" s="163"/>
    </row>
    <row r="94" spans="1:7" x14ac:dyDescent="0.25">
      <c r="A94" s="158"/>
      <c r="B94" s="163"/>
      <c r="C94" s="163"/>
      <c r="D94" s="163"/>
      <c r="E94" s="163"/>
      <c r="F94" s="163"/>
      <c r="G94" s="163"/>
    </row>
    <row r="95" spans="1:7" x14ac:dyDescent="0.25">
      <c r="A95" s="158"/>
      <c r="B95" s="163"/>
      <c r="C95" s="163"/>
      <c r="D95" s="163"/>
    </row>
    <row r="96" spans="1:7" x14ac:dyDescent="0.25">
      <c r="A96" s="158"/>
    </row>
    <row r="97" spans="1:7" x14ac:dyDescent="0.25">
      <c r="A97" s="158"/>
      <c r="B97" s="163"/>
      <c r="C97" s="163"/>
    </row>
    <row r="98" spans="1:7" x14ac:dyDescent="0.25">
      <c r="A98" s="158"/>
      <c r="B98" s="163"/>
      <c r="C98" s="163"/>
      <c r="D98" s="163"/>
      <c r="E98" s="163"/>
      <c r="F98" s="163"/>
      <c r="G98" s="163"/>
    </row>
    <row r="99" spans="1:7" x14ac:dyDescent="0.25">
      <c r="A99" s="158"/>
      <c r="B99" s="163"/>
      <c r="C99" s="163"/>
    </row>
    <row r="100" spans="1:7" x14ac:dyDescent="0.25">
      <c r="A100" s="158"/>
      <c r="B100" s="163"/>
      <c r="C100" s="163"/>
      <c r="D100" s="163"/>
      <c r="E100" s="163"/>
      <c r="F100" s="163"/>
      <c r="G100" s="163"/>
    </row>
    <row r="101" spans="1:7" x14ac:dyDescent="0.25">
      <c r="A101" s="158"/>
      <c r="B101" s="163"/>
      <c r="C101" s="163"/>
      <c r="D101" s="163"/>
      <c r="E101" s="163"/>
      <c r="F101" s="163"/>
      <c r="G101" s="163"/>
    </row>
    <row r="102" spans="1:7" x14ac:dyDescent="0.25">
      <c r="A102" s="158"/>
      <c r="B102" s="163"/>
      <c r="C102" s="163"/>
      <c r="D102" s="163"/>
      <c r="E102" s="163"/>
      <c r="F102" s="163"/>
      <c r="G102" s="163"/>
    </row>
    <row r="103" spans="1:7" x14ac:dyDescent="0.25">
      <c r="A103" s="158"/>
      <c r="B103" s="163"/>
      <c r="C103" s="163"/>
      <c r="D103" s="163"/>
      <c r="E103" s="163"/>
      <c r="F103" s="163"/>
      <c r="G103" s="163"/>
    </row>
    <row r="104" spans="1:7" x14ac:dyDescent="0.25">
      <c r="A104" s="158"/>
      <c r="B104" s="163"/>
      <c r="C104" s="163"/>
      <c r="D104" s="163"/>
      <c r="E104" s="163"/>
      <c r="F104" s="163"/>
      <c r="G104" s="163"/>
    </row>
    <row r="105" spans="1:7" x14ac:dyDescent="0.25">
      <c r="A105" s="158"/>
      <c r="B105" s="163"/>
      <c r="C105" s="163"/>
      <c r="D105" s="163"/>
      <c r="E105" s="163"/>
      <c r="F105" s="163"/>
      <c r="G105" s="163"/>
    </row>
    <row r="106" spans="1:7" x14ac:dyDescent="0.25">
      <c r="A106" s="158"/>
      <c r="B106" s="163"/>
      <c r="C106" s="163"/>
      <c r="D106" s="163"/>
      <c r="E106" s="163"/>
      <c r="F106" s="163"/>
      <c r="G106" s="163"/>
    </row>
    <row r="107" spans="1:7" x14ac:dyDescent="0.25">
      <c r="A107" s="158"/>
      <c r="B107" s="163"/>
      <c r="C107" s="163"/>
      <c r="D107" s="163"/>
      <c r="E107" s="163"/>
      <c r="F107" s="163"/>
      <c r="G107" s="163"/>
    </row>
    <row r="108" spans="1:7" x14ac:dyDescent="0.25">
      <c r="A108" s="158"/>
      <c r="B108" s="163"/>
      <c r="C108" s="163"/>
      <c r="D108" s="163"/>
      <c r="E108" s="163"/>
      <c r="F108" s="163"/>
      <c r="G108" s="163"/>
    </row>
    <row r="109" spans="1:7" x14ac:dyDescent="0.25">
      <c r="A109" s="158"/>
      <c r="B109" s="163"/>
      <c r="C109" s="163"/>
      <c r="D109" s="163"/>
      <c r="E109" s="163"/>
      <c r="F109" s="163"/>
      <c r="G109" s="163"/>
    </row>
    <row r="110" spans="1:7" x14ac:dyDescent="0.25">
      <c r="A110" s="158"/>
      <c r="B110" s="163"/>
      <c r="C110" s="163"/>
    </row>
    <row r="111" spans="1:7" x14ac:dyDescent="0.25">
      <c r="A111" s="158"/>
      <c r="B111" s="163"/>
      <c r="C111" s="163"/>
      <c r="D111" s="163"/>
      <c r="E111" s="163"/>
      <c r="F111" s="163"/>
      <c r="G111" s="163"/>
    </row>
    <row r="112" spans="1:7" x14ac:dyDescent="0.25">
      <c r="A112" s="158"/>
      <c r="B112" s="163"/>
      <c r="C112" s="163"/>
      <c r="D112" s="163"/>
    </row>
    <row r="113" spans="1:7" x14ac:dyDescent="0.25">
      <c r="A113" s="158"/>
    </row>
    <row r="114" spans="1:7" x14ac:dyDescent="0.25">
      <c r="A114" s="158"/>
      <c r="B114" s="163"/>
      <c r="C114" s="163"/>
    </row>
    <row r="115" spans="1:7" x14ac:dyDescent="0.25">
      <c r="A115" s="158"/>
      <c r="B115" s="163"/>
      <c r="C115" s="163"/>
      <c r="D115" s="163"/>
      <c r="E115" s="163"/>
      <c r="F115" s="163"/>
      <c r="G115" s="163"/>
    </row>
    <row r="116" spans="1:7" x14ac:dyDescent="0.25">
      <c r="A116" s="158"/>
      <c r="B116" s="163"/>
      <c r="C116" s="163"/>
    </row>
    <row r="117" spans="1:7" x14ac:dyDescent="0.25">
      <c r="A117" s="158"/>
      <c r="B117" s="163"/>
      <c r="C117" s="163"/>
      <c r="D117" s="163"/>
      <c r="E117" s="163"/>
      <c r="F117" s="163"/>
      <c r="G117" s="163"/>
    </row>
    <row r="118" spans="1:7" x14ac:dyDescent="0.25">
      <c r="A118" s="158"/>
      <c r="B118" s="163"/>
      <c r="C118" s="163"/>
      <c r="D118" s="163"/>
      <c r="E118" s="163"/>
      <c r="F118" s="163"/>
      <c r="G118" s="163"/>
    </row>
    <row r="119" spans="1:7" x14ac:dyDescent="0.25">
      <c r="A119" s="158"/>
      <c r="B119" s="163"/>
      <c r="C119" s="163"/>
      <c r="D119" s="163"/>
      <c r="E119" s="163"/>
      <c r="F119" s="163"/>
      <c r="G119" s="163"/>
    </row>
    <row r="120" spans="1:7" x14ac:dyDescent="0.25">
      <c r="A120" s="158"/>
      <c r="B120" s="163"/>
      <c r="C120" s="163"/>
      <c r="D120" s="163"/>
      <c r="E120" s="163"/>
      <c r="F120" s="163"/>
      <c r="G120" s="163"/>
    </row>
    <row r="121" spans="1:7" x14ac:dyDescent="0.25">
      <c r="A121" s="158"/>
      <c r="B121" s="163"/>
      <c r="C121" s="163"/>
      <c r="D121" s="163"/>
      <c r="E121" s="163"/>
      <c r="F121" s="163"/>
      <c r="G121" s="163"/>
    </row>
    <row r="122" spans="1:7" x14ac:dyDescent="0.25">
      <c r="A122" s="158"/>
      <c r="B122" s="163"/>
      <c r="C122" s="163"/>
      <c r="D122" s="163"/>
      <c r="E122" s="163"/>
      <c r="F122" s="163"/>
      <c r="G122" s="163"/>
    </row>
    <row r="123" spans="1:7" x14ac:dyDescent="0.25">
      <c r="A123" s="158"/>
      <c r="B123" s="163"/>
      <c r="C123" s="163"/>
      <c r="D123" s="163"/>
      <c r="E123" s="163"/>
      <c r="F123" s="163"/>
      <c r="G123" s="163"/>
    </row>
    <row r="124" spans="1:7" x14ac:dyDescent="0.25">
      <c r="A124" s="158"/>
      <c r="B124" s="163"/>
      <c r="C124" s="163"/>
      <c r="D124" s="163"/>
      <c r="E124" s="163"/>
      <c r="F124" s="163"/>
      <c r="G124" s="163"/>
    </row>
    <row r="125" spans="1:7" x14ac:dyDescent="0.25">
      <c r="A125" s="158"/>
      <c r="B125" s="163"/>
      <c r="C125" s="163"/>
      <c r="D125" s="163"/>
      <c r="E125" s="163"/>
      <c r="F125" s="163"/>
      <c r="G125" s="163"/>
    </row>
    <row r="126" spans="1:7" x14ac:dyDescent="0.25">
      <c r="A126" s="158"/>
      <c r="B126" s="163"/>
      <c r="C126" s="163"/>
      <c r="D126" s="163"/>
      <c r="E126" s="163"/>
      <c r="F126" s="163"/>
      <c r="G126" s="163"/>
    </row>
    <row r="127" spans="1:7" x14ac:dyDescent="0.25">
      <c r="A127" s="158"/>
      <c r="B127" s="163"/>
      <c r="C127" s="163"/>
      <c r="D127" s="163"/>
      <c r="E127" s="163"/>
      <c r="F127" s="163"/>
      <c r="G127" s="163"/>
    </row>
    <row r="128" spans="1:7" x14ac:dyDescent="0.25">
      <c r="A128" s="158"/>
      <c r="B128" s="163"/>
      <c r="C128" s="163"/>
    </row>
    <row r="129" spans="1:7" x14ac:dyDescent="0.25">
      <c r="A129" s="158"/>
      <c r="B129" s="163"/>
      <c r="C129" s="163"/>
      <c r="D129" s="163"/>
      <c r="E129" s="163"/>
      <c r="F129" s="163"/>
      <c r="G129" s="163"/>
    </row>
    <row r="130" spans="1:7" x14ac:dyDescent="0.25">
      <c r="A130" s="158"/>
      <c r="B130" s="163"/>
      <c r="C130" s="163"/>
      <c r="D130" s="163"/>
    </row>
    <row r="131" spans="1:7" x14ac:dyDescent="0.25">
      <c r="A131" s="158"/>
    </row>
    <row r="132" spans="1:7" x14ac:dyDescent="0.25">
      <c r="A132" s="158"/>
      <c r="B132" s="163"/>
      <c r="C132" s="163"/>
    </row>
    <row r="133" spans="1:7" x14ac:dyDescent="0.25">
      <c r="A133" s="158"/>
      <c r="B133" s="163"/>
      <c r="C133" s="163"/>
      <c r="D133" s="163"/>
      <c r="E133" s="163"/>
      <c r="F133" s="163"/>
      <c r="G133" s="163"/>
    </row>
    <row r="134" spans="1:7" x14ac:dyDescent="0.25">
      <c r="A134" s="158"/>
      <c r="B134" s="163"/>
      <c r="C134" s="163"/>
    </row>
    <row r="135" spans="1:7" x14ac:dyDescent="0.25">
      <c r="A135" s="158"/>
      <c r="B135" s="163"/>
      <c r="C135" s="163"/>
      <c r="D135" s="163"/>
      <c r="E135" s="163"/>
      <c r="F135" s="163"/>
      <c r="G135" s="163"/>
    </row>
    <row r="136" spans="1:7" x14ac:dyDescent="0.25">
      <c r="A136" s="158"/>
      <c r="B136" s="163"/>
      <c r="C136" s="163"/>
      <c r="D136" s="163"/>
      <c r="E136" s="163"/>
      <c r="F136" s="163"/>
      <c r="G136" s="163"/>
    </row>
    <row r="137" spans="1:7" x14ac:dyDescent="0.25">
      <c r="A137" s="158"/>
      <c r="B137" s="163"/>
      <c r="C137" s="163"/>
      <c r="D137" s="163"/>
      <c r="E137" s="163"/>
      <c r="F137" s="163"/>
      <c r="G137" s="163"/>
    </row>
    <row r="138" spans="1:7" x14ac:dyDescent="0.25">
      <c r="A138" s="158"/>
      <c r="B138" s="163"/>
      <c r="C138" s="163"/>
      <c r="D138" s="163"/>
      <c r="E138" s="163"/>
      <c r="F138" s="163"/>
      <c r="G138" s="163"/>
    </row>
    <row r="139" spans="1:7" x14ac:dyDescent="0.25">
      <c r="A139" s="158"/>
      <c r="B139" s="163"/>
      <c r="C139" s="163"/>
      <c r="D139" s="163"/>
      <c r="E139" s="163"/>
      <c r="F139" s="163"/>
      <c r="G139" s="163"/>
    </row>
    <row r="140" spans="1:7" x14ac:dyDescent="0.25">
      <c r="A140" s="158"/>
      <c r="B140" s="163"/>
      <c r="C140" s="163"/>
      <c r="D140" s="163"/>
      <c r="E140" s="163"/>
      <c r="F140" s="163"/>
      <c r="G140" s="163"/>
    </row>
    <row r="141" spans="1:7" x14ac:dyDescent="0.25">
      <c r="A141" s="158"/>
      <c r="B141" s="163"/>
      <c r="C141" s="163"/>
      <c r="D141" s="163"/>
      <c r="E141" s="163"/>
      <c r="F141" s="163"/>
      <c r="G141" s="163"/>
    </row>
    <row r="142" spans="1:7" x14ac:dyDescent="0.25">
      <c r="A142" s="158"/>
      <c r="B142" s="163"/>
      <c r="C142" s="163"/>
      <c r="D142" s="163"/>
      <c r="E142" s="163"/>
      <c r="F142" s="163"/>
      <c r="G142" s="163"/>
    </row>
    <row r="143" spans="1:7" x14ac:dyDescent="0.25">
      <c r="A143" s="158"/>
      <c r="B143" s="163"/>
      <c r="C143" s="163"/>
      <c r="D143" s="163"/>
      <c r="E143" s="163"/>
      <c r="F143" s="163"/>
      <c r="G143" s="163"/>
    </row>
    <row r="144" spans="1:7" x14ac:dyDescent="0.25">
      <c r="A144" s="158"/>
      <c r="B144" s="163"/>
      <c r="C144" s="163"/>
      <c r="D144" s="163"/>
      <c r="E144" s="163"/>
      <c r="F144" s="163"/>
      <c r="G144" s="163"/>
    </row>
    <row r="145" spans="1:7" x14ac:dyDescent="0.25">
      <c r="A145" s="158"/>
      <c r="B145" s="163"/>
      <c r="C145" s="163"/>
      <c r="D145" s="163"/>
      <c r="E145" s="163"/>
      <c r="F145" s="163"/>
      <c r="G145" s="163"/>
    </row>
    <row r="146" spans="1:7" x14ac:dyDescent="0.25">
      <c r="A146" s="158"/>
      <c r="B146" s="163"/>
      <c r="C146" s="163"/>
      <c r="D146" s="163"/>
      <c r="E146" s="163"/>
      <c r="F146" s="163"/>
      <c r="G146" s="163"/>
    </row>
    <row r="147" spans="1:7" x14ac:dyDescent="0.25">
      <c r="A147" s="158"/>
      <c r="B147" s="163"/>
      <c r="C147" s="163"/>
      <c r="D147" s="163"/>
      <c r="E147" s="163"/>
      <c r="F147" s="163"/>
      <c r="G147" s="163"/>
    </row>
    <row r="148" spans="1:7" x14ac:dyDescent="0.25">
      <c r="A148" s="158"/>
      <c r="B148" s="163"/>
      <c r="C148" s="163"/>
      <c r="D148" s="163"/>
      <c r="E148" s="163"/>
      <c r="F148" s="163"/>
      <c r="G148" s="163"/>
    </row>
    <row r="149" spans="1:7" x14ac:dyDescent="0.25">
      <c r="A149" s="158"/>
      <c r="B149" s="163"/>
      <c r="C149" s="163"/>
      <c r="D149" s="163"/>
      <c r="E149" s="163"/>
      <c r="F149" s="163"/>
      <c r="G149" s="163"/>
    </row>
    <row r="150" spans="1:7" x14ac:dyDescent="0.25">
      <c r="A150" s="158"/>
      <c r="B150" s="163"/>
      <c r="C150" s="163"/>
      <c r="D150" s="163"/>
      <c r="E150" s="163"/>
      <c r="F150" s="163"/>
      <c r="G150" s="163"/>
    </row>
    <row r="151" spans="1:7" x14ac:dyDescent="0.25">
      <c r="A151" s="158"/>
      <c r="B151" s="163"/>
      <c r="C151" s="163"/>
      <c r="D151" s="163"/>
      <c r="E151" s="163"/>
      <c r="F151" s="163"/>
      <c r="G151" s="163"/>
    </row>
    <row r="152" spans="1:7" x14ac:dyDescent="0.25">
      <c r="A152" s="158"/>
      <c r="B152" s="163"/>
      <c r="C152" s="163"/>
      <c r="D152" s="163"/>
      <c r="E152" s="163"/>
      <c r="F152" s="163"/>
      <c r="G152" s="163"/>
    </row>
    <row r="153" spans="1:7" x14ac:dyDescent="0.25">
      <c r="A153" s="158"/>
      <c r="B153" s="163"/>
      <c r="C153" s="163"/>
      <c r="D153" s="163"/>
      <c r="E153" s="163"/>
      <c r="F153" s="163"/>
      <c r="G153" s="163"/>
    </row>
    <row r="154" spans="1:7" x14ac:dyDescent="0.25">
      <c r="A154" s="158"/>
      <c r="B154" s="163"/>
      <c r="C154" s="163"/>
      <c r="D154" s="163"/>
      <c r="E154" s="163"/>
      <c r="F154" s="163"/>
      <c r="G154" s="163"/>
    </row>
    <row r="155" spans="1:7" x14ac:dyDescent="0.25">
      <c r="A155" s="158"/>
      <c r="B155" s="163"/>
      <c r="C155" s="163"/>
      <c r="D155" s="163"/>
      <c r="E155" s="163"/>
      <c r="F155" s="163"/>
      <c r="G155" s="163"/>
    </row>
    <row r="156" spans="1:7" x14ac:dyDescent="0.25">
      <c r="A156" s="158"/>
      <c r="B156" s="163"/>
      <c r="C156" s="163"/>
      <c r="D156" s="163"/>
      <c r="E156" s="163"/>
      <c r="F156" s="163"/>
      <c r="G156" s="163"/>
    </row>
    <row r="157" spans="1:7" x14ac:dyDescent="0.25">
      <c r="A157" s="158"/>
      <c r="B157" s="163"/>
      <c r="C157" s="163"/>
      <c r="D157" s="163"/>
      <c r="E157" s="163"/>
      <c r="F157" s="163"/>
      <c r="G157" s="163"/>
    </row>
    <row r="158" spans="1:7" x14ac:dyDescent="0.25">
      <c r="A158" s="158"/>
      <c r="B158" s="163"/>
      <c r="C158" s="163"/>
      <c r="D158" s="163"/>
      <c r="E158" s="163"/>
      <c r="F158" s="163"/>
      <c r="G158" s="163"/>
    </row>
    <row r="159" spans="1:7" x14ac:dyDescent="0.25">
      <c r="A159" s="158"/>
      <c r="B159" s="163"/>
      <c r="C159" s="163"/>
      <c r="D159" s="163"/>
      <c r="E159" s="163"/>
      <c r="F159" s="163"/>
      <c r="G159" s="163"/>
    </row>
    <row r="160" spans="1:7" x14ac:dyDescent="0.25">
      <c r="A160" s="158"/>
      <c r="B160" s="163"/>
      <c r="C160" s="163"/>
      <c r="D160" s="163"/>
      <c r="E160" s="163"/>
      <c r="F160" s="163"/>
      <c r="G160" s="163"/>
    </row>
    <row r="161" spans="1:7" x14ac:dyDescent="0.25">
      <c r="A161" s="158"/>
      <c r="B161" s="163"/>
      <c r="C161" s="163"/>
      <c r="D161" s="163"/>
      <c r="E161" s="163"/>
      <c r="F161" s="163"/>
      <c r="G161" s="163"/>
    </row>
    <row r="162" spans="1:7" x14ac:dyDescent="0.25">
      <c r="A162" s="158"/>
      <c r="B162" s="163"/>
      <c r="C162" s="163"/>
      <c r="D162" s="163"/>
      <c r="E162" s="163"/>
      <c r="F162" s="163"/>
      <c r="G162" s="163"/>
    </row>
    <row r="163" spans="1:7" x14ac:dyDescent="0.25">
      <c r="A163" s="158"/>
      <c r="B163" s="163"/>
      <c r="C163" s="163"/>
      <c r="D163" s="163"/>
      <c r="E163" s="163"/>
      <c r="F163" s="163"/>
      <c r="G163" s="163"/>
    </row>
    <row r="164" spans="1:7" x14ac:dyDescent="0.25">
      <c r="A164" s="158"/>
      <c r="B164" s="163"/>
      <c r="C164" s="163"/>
      <c r="D164" s="163"/>
      <c r="E164" s="163"/>
      <c r="F164" s="163"/>
      <c r="G164" s="163"/>
    </row>
    <row r="165" spans="1:7" x14ac:dyDescent="0.25">
      <c r="A165" s="158"/>
      <c r="B165" s="163"/>
      <c r="C165" s="163"/>
      <c r="D165" s="163"/>
      <c r="E165" s="163"/>
      <c r="F165" s="163"/>
      <c r="G165" s="163"/>
    </row>
    <row r="166" spans="1:7" x14ac:dyDescent="0.25">
      <c r="A166" s="158"/>
      <c r="B166" s="163"/>
      <c r="C166" s="163"/>
      <c r="D166" s="163"/>
      <c r="E166" s="163"/>
      <c r="F166" s="163"/>
      <c r="G166" s="163"/>
    </row>
    <row r="167" spans="1:7" x14ac:dyDescent="0.25">
      <c r="A167" s="158"/>
      <c r="B167" s="163"/>
      <c r="C167" s="163"/>
      <c r="D167" s="163"/>
      <c r="E167" s="163"/>
      <c r="F167" s="163"/>
      <c r="G167" s="163"/>
    </row>
    <row r="168" spans="1:7" x14ac:dyDescent="0.25">
      <c r="A168" s="158"/>
      <c r="B168" s="163"/>
      <c r="C168" s="163"/>
      <c r="D168" s="163"/>
      <c r="E168" s="163"/>
      <c r="F168" s="163"/>
      <c r="G168" s="163"/>
    </row>
    <row r="169" spans="1:7" x14ac:dyDescent="0.25">
      <c r="A169" s="158"/>
      <c r="B169" s="163"/>
      <c r="C169" s="163"/>
      <c r="D169" s="163"/>
      <c r="E169" s="163"/>
      <c r="F169" s="163"/>
      <c r="G169" s="163"/>
    </row>
    <row r="170" spans="1:7" x14ac:dyDescent="0.25">
      <c r="A170" s="158"/>
      <c r="B170" s="163"/>
      <c r="C170" s="163"/>
      <c r="D170" s="163"/>
      <c r="E170" s="163"/>
      <c r="F170" s="163"/>
      <c r="G170" s="163"/>
    </row>
    <row r="171" spans="1:7" x14ac:dyDescent="0.25">
      <c r="A171" s="158"/>
      <c r="B171" s="163"/>
      <c r="C171" s="163"/>
      <c r="D171" s="163"/>
      <c r="E171" s="163"/>
      <c r="F171" s="163"/>
      <c r="G171" s="163"/>
    </row>
    <row r="172" spans="1:7" x14ac:dyDescent="0.25">
      <c r="A172" s="158"/>
      <c r="B172" s="163"/>
      <c r="C172" s="163"/>
      <c r="D172" s="163"/>
      <c r="E172" s="163"/>
      <c r="F172" s="163"/>
      <c r="G172" s="163"/>
    </row>
    <row r="173" spans="1:7" x14ac:dyDescent="0.25">
      <c r="A173" s="158"/>
      <c r="B173" s="163"/>
      <c r="C173" s="163"/>
      <c r="D173" s="163"/>
      <c r="E173" s="163"/>
      <c r="F173" s="163"/>
      <c r="G173" s="163"/>
    </row>
    <row r="174" spans="1:7" x14ac:dyDescent="0.25">
      <c r="A174" s="158"/>
      <c r="B174" s="163"/>
      <c r="C174" s="163"/>
      <c r="D174" s="163"/>
      <c r="E174" s="163"/>
      <c r="F174" s="163"/>
      <c r="G174" s="163"/>
    </row>
    <row r="175" spans="1:7" x14ac:dyDescent="0.25">
      <c r="A175" s="158"/>
      <c r="B175" s="163"/>
      <c r="C175" s="163"/>
      <c r="D175" s="163"/>
      <c r="E175" s="163"/>
      <c r="F175" s="163"/>
      <c r="G175" s="163"/>
    </row>
    <row r="176" spans="1:7" x14ac:dyDescent="0.25">
      <c r="A176" s="158"/>
      <c r="B176" s="163"/>
      <c r="C176" s="163"/>
      <c r="D176" s="163"/>
      <c r="E176" s="163"/>
      <c r="F176" s="163"/>
      <c r="G176" s="163"/>
    </row>
    <row r="177" spans="1:7" x14ac:dyDescent="0.25">
      <c r="A177" s="158"/>
      <c r="B177" s="163"/>
      <c r="C177" s="163"/>
      <c r="D177" s="163"/>
      <c r="E177" s="163"/>
      <c r="F177" s="163"/>
      <c r="G177" s="163"/>
    </row>
    <row r="178" spans="1:7" x14ac:dyDescent="0.25">
      <c r="A178" s="158"/>
      <c r="B178" s="163"/>
      <c r="C178" s="163"/>
      <c r="D178" s="163"/>
      <c r="E178" s="163"/>
      <c r="F178" s="163"/>
      <c r="G178" s="163"/>
    </row>
    <row r="179" spans="1:7" x14ac:dyDescent="0.25">
      <c r="A179" s="158"/>
      <c r="B179" s="163"/>
      <c r="C179" s="163"/>
      <c r="D179" s="163"/>
      <c r="E179" s="163"/>
      <c r="F179" s="163"/>
      <c r="G179" s="163"/>
    </row>
    <row r="180" spans="1:7" x14ac:dyDescent="0.25">
      <c r="A180" s="158"/>
      <c r="B180" s="163"/>
      <c r="C180" s="163"/>
      <c r="D180" s="163"/>
      <c r="E180" s="163"/>
      <c r="F180" s="163"/>
      <c r="G180" s="163"/>
    </row>
    <row r="181" spans="1:7" x14ac:dyDescent="0.25">
      <c r="A181" s="158"/>
      <c r="B181" s="163"/>
      <c r="C181" s="163"/>
      <c r="D181" s="163"/>
      <c r="E181" s="163"/>
      <c r="F181" s="163"/>
      <c r="G181" s="163"/>
    </row>
    <row r="182" spans="1:7" x14ac:dyDescent="0.25">
      <c r="A182" s="158"/>
      <c r="B182" s="163"/>
      <c r="C182" s="163"/>
      <c r="D182" s="163"/>
      <c r="E182" s="163"/>
      <c r="F182" s="163"/>
      <c r="G182" s="163"/>
    </row>
    <row r="183" spans="1:7" x14ac:dyDescent="0.25">
      <c r="A183" s="158"/>
      <c r="B183" s="163"/>
      <c r="C183" s="163"/>
      <c r="D183" s="163"/>
      <c r="E183" s="163"/>
      <c r="F183" s="163"/>
      <c r="G183" s="163"/>
    </row>
    <row r="184" spans="1:7" x14ac:dyDescent="0.25">
      <c r="A184" s="158"/>
      <c r="B184" s="163"/>
      <c r="C184" s="163"/>
      <c r="D184" s="163"/>
      <c r="E184" s="163"/>
      <c r="F184" s="163"/>
      <c r="G184" s="163"/>
    </row>
    <row r="185" spans="1:7" x14ac:dyDescent="0.25">
      <c r="A185" s="158"/>
      <c r="B185" s="163"/>
      <c r="C185" s="163"/>
      <c r="D185" s="163"/>
      <c r="E185" s="163"/>
      <c r="F185" s="163"/>
      <c r="G185" s="163"/>
    </row>
    <row r="186" spans="1:7" x14ac:dyDescent="0.25">
      <c r="A186" s="158"/>
      <c r="B186" s="163"/>
      <c r="C186" s="163"/>
      <c r="D186" s="163"/>
      <c r="E186" s="163"/>
      <c r="F186" s="163"/>
      <c r="G186" s="163"/>
    </row>
    <row r="187" spans="1:7" x14ac:dyDescent="0.25">
      <c r="A187" s="158"/>
      <c r="B187" s="163"/>
      <c r="C187" s="163"/>
    </row>
    <row r="188" spans="1:7" x14ac:dyDescent="0.25">
      <c r="A188" s="158"/>
      <c r="B188" s="163"/>
      <c r="C188" s="163"/>
      <c r="D188" s="163"/>
      <c r="E188" s="163"/>
      <c r="F188" s="163"/>
      <c r="G188" s="163"/>
    </row>
    <row r="189" spans="1:7" x14ac:dyDescent="0.25">
      <c r="A189" s="158"/>
      <c r="B189" s="163"/>
      <c r="C189" s="163"/>
      <c r="D189" s="163"/>
    </row>
    <row r="190" spans="1:7" x14ac:dyDescent="0.25">
      <c r="A190" s="158"/>
    </row>
    <row r="191" spans="1:7" x14ac:dyDescent="0.25">
      <c r="A191" s="158"/>
      <c r="B191" s="163"/>
      <c r="C191" s="163"/>
    </row>
    <row r="192" spans="1:7" x14ac:dyDescent="0.25">
      <c r="A192" s="158"/>
      <c r="B192" s="163"/>
      <c r="C192" s="163"/>
      <c r="D192" s="163"/>
      <c r="E192" s="163"/>
      <c r="F192" s="163"/>
      <c r="G192" s="163"/>
    </row>
    <row r="193" spans="1:7" x14ac:dyDescent="0.25">
      <c r="A193" s="158"/>
      <c r="B193" s="163"/>
      <c r="C193" s="163"/>
    </row>
    <row r="194" spans="1:7" x14ac:dyDescent="0.25">
      <c r="A194" s="158"/>
      <c r="B194" s="163"/>
      <c r="C194" s="163"/>
      <c r="D194" s="163"/>
      <c r="E194" s="163"/>
      <c r="F194" s="163"/>
      <c r="G194" s="163"/>
    </row>
    <row r="195" spans="1:7" x14ac:dyDescent="0.25">
      <c r="A195" s="158"/>
      <c r="B195" s="163"/>
      <c r="C195" s="163"/>
      <c r="D195" s="163"/>
      <c r="E195" s="163"/>
      <c r="F195" s="163"/>
      <c r="G195" s="163"/>
    </row>
    <row r="196" spans="1:7" x14ac:dyDescent="0.25">
      <c r="A196" s="158"/>
      <c r="B196" s="163"/>
      <c r="C196" s="163"/>
      <c r="D196" s="163"/>
      <c r="E196" s="163"/>
      <c r="F196" s="163"/>
      <c r="G196" s="163"/>
    </row>
    <row r="197" spans="1:7" x14ac:dyDescent="0.25">
      <c r="A197" s="158"/>
      <c r="B197" s="163"/>
      <c r="C197" s="163"/>
      <c r="D197" s="163"/>
      <c r="E197" s="163"/>
      <c r="F197" s="163"/>
      <c r="G197" s="163"/>
    </row>
    <row r="198" spans="1:7" x14ac:dyDescent="0.25">
      <c r="A198" s="158"/>
      <c r="B198" s="163"/>
      <c r="C198" s="163"/>
      <c r="D198" s="163"/>
      <c r="E198" s="163"/>
      <c r="F198" s="163"/>
      <c r="G198" s="163"/>
    </row>
    <row r="199" spans="1:7" x14ac:dyDescent="0.25">
      <c r="A199" s="158"/>
      <c r="B199" s="163"/>
      <c r="C199" s="163"/>
      <c r="D199" s="163"/>
      <c r="E199" s="163"/>
      <c r="F199" s="163"/>
      <c r="G199" s="163"/>
    </row>
    <row r="200" spans="1:7" x14ac:dyDescent="0.25">
      <c r="A200" s="158"/>
      <c r="B200" s="163"/>
      <c r="C200" s="163"/>
      <c r="D200" s="163"/>
      <c r="E200" s="163"/>
      <c r="F200" s="163"/>
      <c r="G200" s="163"/>
    </row>
    <row r="201" spans="1:7" x14ac:dyDescent="0.25">
      <c r="A201" s="158"/>
      <c r="B201" s="163"/>
      <c r="C201" s="163"/>
      <c r="D201" s="163"/>
      <c r="E201" s="163"/>
      <c r="F201" s="163"/>
      <c r="G201" s="163"/>
    </row>
    <row r="202" spans="1:7" x14ac:dyDescent="0.25">
      <c r="A202" s="158"/>
      <c r="B202" s="163"/>
      <c r="C202" s="163"/>
      <c r="D202" s="163"/>
      <c r="E202" s="163"/>
      <c r="F202" s="163"/>
      <c r="G202" s="163"/>
    </row>
    <row r="203" spans="1:7" x14ac:dyDescent="0.25">
      <c r="A203" s="158"/>
      <c r="B203" s="163"/>
      <c r="C203" s="163"/>
      <c r="D203" s="163"/>
      <c r="E203" s="163"/>
      <c r="F203" s="163"/>
      <c r="G203" s="163"/>
    </row>
    <row r="204" spans="1:7" x14ac:dyDescent="0.25">
      <c r="A204" s="158"/>
      <c r="B204" s="163"/>
      <c r="C204" s="163"/>
      <c r="D204" s="163"/>
      <c r="E204" s="163"/>
      <c r="F204" s="163"/>
      <c r="G204" s="163"/>
    </row>
    <row r="205" spans="1:7" x14ac:dyDescent="0.25">
      <c r="A205" s="158"/>
      <c r="B205" s="163"/>
      <c r="C205" s="163"/>
      <c r="D205" s="163"/>
      <c r="E205" s="163"/>
      <c r="F205" s="163"/>
      <c r="G205" s="163"/>
    </row>
    <row r="206" spans="1:7" x14ac:dyDescent="0.25">
      <c r="A206" s="158"/>
      <c r="B206" s="163"/>
      <c r="C206" s="163"/>
    </row>
    <row r="207" spans="1:7" x14ac:dyDescent="0.25">
      <c r="A207" s="158"/>
      <c r="B207" s="163"/>
      <c r="C207" s="163"/>
      <c r="D207" s="163"/>
      <c r="E207" s="163"/>
      <c r="F207" s="163"/>
      <c r="G207" s="163"/>
    </row>
    <row r="208" spans="1:7" x14ac:dyDescent="0.25">
      <c r="A208" s="158"/>
      <c r="B208" s="163"/>
      <c r="C208" s="163"/>
      <c r="D208" s="163"/>
    </row>
    <row r="209" spans="1:7" x14ac:dyDescent="0.25">
      <c r="A209" s="158"/>
    </row>
    <row r="210" spans="1:7" x14ac:dyDescent="0.25">
      <c r="A210" s="158"/>
      <c r="B210" s="163"/>
      <c r="C210" s="163"/>
    </row>
    <row r="211" spans="1:7" x14ac:dyDescent="0.25">
      <c r="A211" s="158"/>
      <c r="B211" s="163"/>
      <c r="C211" s="163"/>
      <c r="D211" s="163"/>
      <c r="E211" s="163"/>
      <c r="F211" s="163"/>
      <c r="G211" s="163"/>
    </row>
    <row r="212" spans="1:7" x14ac:dyDescent="0.25">
      <c r="A212" s="158"/>
      <c r="B212" s="163"/>
      <c r="C212" s="163"/>
    </row>
    <row r="213" spans="1:7" x14ac:dyDescent="0.25">
      <c r="A213" s="158"/>
      <c r="B213" s="163"/>
      <c r="C213" s="163"/>
      <c r="D213" s="163"/>
      <c r="E213" s="163"/>
      <c r="F213" s="163"/>
      <c r="G213" s="163"/>
    </row>
    <row r="214" spans="1:7" x14ac:dyDescent="0.25">
      <c r="A214" s="158"/>
      <c r="B214" s="163"/>
      <c r="C214" s="163"/>
      <c r="D214" s="163"/>
      <c r="E214" s="163"/>
      <c r="F214" s="163"/>
      <c r="G214" s="163"/>
    </row>
    <row r="215" spans="1:7" x14ac:dyDescent="0.25">
      <c r="A215" s="158"/>
      <c r="B215" s="163"/>
      <c r="C215" s="163"/>
      <c r="D215" s="163"/>
      <c r="E215" s="163"/>
      <c r="F215" s="163"/>
      <c r="G215" s="163"/>
    </row>
    <row r="216" spans="1:7" x14ac:dyDescent="0.25">
      <c r="A216" s="158"/>
      <c r="B216" s="163"/>
      <c r="C216" s="163"/>
      <c r="D216" s="163"/>
      <c r="E216" s="163"/>
      <c r="F216" s="163"/>
      <c r="G216" s="163"/>
    </row>
    <row r="217" spans="1:7" x14ac:dyDescent="0.25">
      <c r="A217" s="158"/>
      <c r="B217" s="163"/>
      <c r="C217" s="163"/>
    </row>
    <row r="218" spans="1:7" x14ac:dyDescent="0.25">
      <c r="A218" s="158"/>
      <c r="B218" s="163"/>
      <c r="C218" s="163"/>
      <c r="D218" s="163"/>
      <c r="E218" s="163"/>
      <c r="F218" s="163"/>
      <c r="G218" s="163"/>
    </row>
    <row r="219" spans="1:7" x14ac:dyDescent="0.25">
      <c r="A219" s="158"/>
      <c r="B219" s="163"/>
      <c r="C219" s="163"/>
      <c r="D219" s="163"/>
    </row>
    <row r="220" spans="1:7" x14ac:dyDescent="0.25">
      <c r="A220" s="158"/>
    </row>
    <row r="221" spans="1:7" x14ac:dyDescent="0.25">
      <c r="A221" s="158"/>
      <c r="B221" s="163"/>
      <c r="C221" s="163"/>
    </row>
    <row r="222" spans="1:7" x14ac:dyDescent="0.25">
      <c r="A222" s="158"/>
      <c r="B222" s="163"/>
      <c r="C222" s="163"/>
      <c r="D222" s="163"/>
      <c r="E222" s="163"/>
      <c r="F222" s="163"/>
      <c r="G222" s="163"/>
    </row>
    <row r="223" spans="1:7" x14ac:dyDescent="0.25">
      <c r="A223" s="158"/>
      <c r="B223" s="163"/>
      <c r="C223" s="163"/>
    </row>
    <row r="224" spans="1:7" x14ac:dyDescent="0.25">
      <c r="A224" s="158"/>
      <c r="B224" s="163"/>
      <c r="C224" s="163"/>
      <c r="D224" s="163"/>
      <c r="E224" s="163"/>
      <c r="F224" s="163"/>
      <c r="G224" s="163"/>
    </row>
    <row r="225" spans="1:7" x14ac:dyDescent="0.25">
      <c r="A225" s="158"/>
      <c r="B225" s="163"/>
      <c r="C225" s="163"/>
      <c r="D225" s="163"/>
      <c r="E225" s="163"/>
      <c r="F225" s="163"/>
      <c r="G225" s="163"/>
    </row>
    <row r="226" spans="1:7" x14ac:dyDescent="0.25">
      <c r="A226" s="158"/>
      <c r="B226" s="163"/>
      <c r="C226" s="163"/>
      <c r="D226" s="163"/>
      <c r="E226" s="163"/>
      <c r="F226" s="163"/>
      <c r="G226" s="163"/>
    </row>
    <row r="227" spans="1:7" x14ac:dyDescent="0.25">
      <c r="A227" s="158"/>
      <c r="B227" s="163"/>
      <c r="C227" s="163"/>
      <c r="D227" s="163"/>
      <c r="E227" s="163"/>
      <c r="F227" s="163"/>
      <c r="G227" s="163"/>
    </row>
    <row r="228" spans="1:7" x14ac:dyDescent="0.25">
      <c r="A228" s="158"/>
      <c r="B228" s="163"/>
      <c r="C228" s="163"/>
      <c r="D228" s="163"/>
      <c r="E228" s="163"/>
      <c r="F228" s="163"/>
      <c r="G228" s="163"/>
    </row>
    <row r="229" spans="1:7" x14ac:dyDescent="0.25">
      <c r="A229" s="158"/>
      <c r="B229" s="163"/>
      <c r="C229" s="163"/>
      <c r="D229" s="163"/>
      <c r="E229" s="163"/>
      <c r="F229" s="163"/>
      <c r="G229" s="163"/>
    </row>
    <row r="230" spans="1:7" x14ac:dyDescent="0.25">
      <c r="A230" s="158"/>
      <c r="B230" s="163"/>
      <c r="C230" s="163"/>
      <c r="D230" s="163"/>
      <c r="E230" s="163"/>
      <c r="F230" s="163"/>
      <c r="G230" s="163"/>
    </row>
    <row r="231" spans="1:7" x14ac:dyDescent="0.25">
      <c r="A231" s="158"/>
      <c r="B231" s="163"/>
      <c r="C231" s="163"/>
      <c r="D231" s="163"/>
      <c r="E231" s="163"/>
      <c r="F231" s="163"/>
      <c r="G231" s="163"/>
    </row>
    <row r="232" spans="1:7" x14ac:dyDescent="0.25">
      <c r="A232" s="158"/>
      <c r="B232" s="163"/>
      <c r="C232" s="163"/>
      <c r="D232" s="163"/>
      <c r="E232" s="163"/>
      <c r="F232" s="163"/>
      <c r="G232" s="163"/>
    </row>
    <row r="233" spans="1:7" x14ac:dyDescent="0.25">
      <c r="A233" s="158"/>
      <c r="B233" s="163"/>
      <c r="C233" s="163"/>
      <c r="D233" s="163"/>
      <c r="E233" s="163"/>
      <c r="F233" s="163"/>
      <c r="G233" s="163"/>
    </row>
    <row r="234" spans="1:7" x14ac:dyDescent="0.25">
      <c r="A234" s="158"/>
      <c r="B234" s="163"/>
      <c r="C234" s="163"/>
      <c r="D234" s="163"/>
      <c r="E234" s="163"/>
      <c r="F234" s="163"/>
      <c r="G234" s="163"/>
    </row>
    <row r="235" spans="1:7" x14ac:dyDescent="0.25">
      <c r="A235" s="158"/>
      <c r="B235" s="163"/>
      <c r="C235" s="163"/>
      <c r="D235" s="163"/>
      <c r="E235" s="163"/>
      <c r="F235" s="163"/>
      <c r="G235" s="163"/>
    </row>
    <row r="236" spans="1:7" x14ac:dyDescent="0.25">
      <c r="A236" s="158"/>
      <c r="B236" s="163"/>
      <c r="C236" s="163"/>
      <c r="D236" s="163"/>
      <c r="E236" s="163"/>
      <c r="F236" s="163"/>
      <c r="G236" s="163"/>
    </row>
    <row r="237" spans="1:7" x14ac:dyDescent="0.25">
      <c r="A237" s="158"/>
      <c r="B237" s="163"/>
      <c r="C237" s="163"/>
      <c r="D237" s="163"/>
      <c r="E237" s="163"/>
      <c r="F237" s="163"/>
      <c r="G237" s="163"/>
    </row>
    <row r="238" spans="1:7" x14ac:dyDescent="0.25">
      <c r="A238" s="158"/>
      <c r="B238" s="163"/>
      <c r="C238" s="163"/>
      <c r="D238" s="163"/>
      <c r="E238" s="163"/>
      <c r="F238" s="163"/>
      <c r="G238" s="163"/>
    </row>
    <row r="239" spans="1:7" x14ac:dyDescent="0.25">
      <c r="A239" s="158"/>
      <c r="B239" s="163"/>
      <c r="C239" s="163"/>
      <c r="D239" s="163"/>
      <c r="E239" s="163"/>
      <c r="F239" s="163"/>
      <c r="G239" s="163"/>
    </row>
    <row r="240" spans="1:7" x14ac:dyDescent="0.25">
      <c r="A240" s="158"/>
      <c r="B240" s="163"/>
      <c r="C240" s="163"/>
      <c r="D240" s="163"/>
      <c r="E240" s="163"/>
      <c r="F240" s="163"/>
      <c r="G240" s="163"/>
    </row>
    <row r="241" spans="1:7" x14ac:dyDescent="0.25">
      <c r="A241" s="158"/>
      <c r="B241" s="163"/>
      <c r="C241" s="163"/>
      <c r="D241" s="163"/>
      <c r="E241" s="163"/>
      <c r="F241" s="163"/>
      <c r="G241" s="163"/>
    </row>
    <row r="242" spans="1:7" x14ac:dyDescent="0.25">
      <c r="A242" s="158"/>
      <c r="B242" s="163"/>
      <c r="C242" s="163"/>
      <c r="D242" s="163"/>
      <c r="E242" s="163"/>
      <c r="F242" s="163"/>
      <c r="G242" s="163"/>
    </row>
    <row r="243" spans="1:7" x14ac:dyDescent="0.25">
      <c r="A243" s="158"/>
      <c r="B243" s="163"/>
      <c r="C243" s="163"/>
      <c r="D243" s="163"/>
      <c r="E243" s="163"/>
      <c r="F243" s="163"/>
      <c r="G243" s="163"/>
    </row>
    <row r="244" spans="1:7" x14ac:dyDescent="0.25">
      <c r="A244" s="158"/>
      <c r="B244" s="163"/>
      <c r="C244" s="163"/>
      <c r="D244" s="163"/>
      <c r="E244" s="163"/>
      <c r="F244" s="163"/>
      <c r="G244" s="163"/>
    </row>
    <row r="245" spans="1:7" x14ac:dyDescent="0.25">
      <c r="A245" s="158"/>
      <c r="B245" s="163"/>
      <c r="C245" s="163"/>
    </row>
    <row r="246" spans="1:7" x14ac:dyDescent="0.25">
      <c r="A246" s="158"/>
      <c r="B246" s="163"/>
      <c r="C246" s="163"/>
      <c r="D246" s="163"/>
      <c r="E246" s="163"/>
      <c r="F246" s="163"/>
      <c r="G246" s="163"/>
    </row>
  </sheetData>
  <mergeCells count="10">
    <mergeCell ref="B59:F59"/>
    <mergeCell ref="A59:A60"/>
    <mergeCell ref="B10:F10"/>
    <mergeCell ref="H10:I10"/>
    <mergeCell ref="J10:O10"/>
    <mergeCell ref="A10:A11"/>
    <mergeCell ref="A35:A36"/>
    <mergeCell ref="B35:F35"/>
    <mergeCell ref="H35:I35"/>
    <mergeCell ref="J35:O35"/>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BD74C-AA27-43F6-BE6E-4E3DC91C37EF}">
  <sheetPr>
    <tabColor rgb="FF00B0F0"/>
  </sheetPr>
  <dimension ref="A2:G459"/>
  <sheetViews>
    <sheetView workbookViewId="0"/>
  </sheetViews>
  <sheetFormatPr baseColWidth="10" defaultRowHeight="15" x14ac:dyDescent="0.25"/>
  <cols>
    <col min="1" max="1" width="18.28515625" customWidth="1"/>
    <col min="2" max="2" width="11.85546875" customWidth="1"/>
  </cols>
  <sheetData>
    <row r="2" spans="1:7" ht="18.75" x14ac:dyDescent="0.3">
      <c r="A2" s="2" t="s">
        <v>533</v>
      </c>
    </row>
    <row r="3" spans="1:7" x14ac:dyDescent="0.25">
      <c r="A3" s="6" t="s">
        <v>8</v>
      </c>
    </row>
    <row r="5" spans="1:7" x14ac:dyDescent="0.25">
      <c r="A5" s="187" t="s">
        <v>505</v>
      </c>
    </row>
    <row r="6" spans="1:7" x14ac:dyDescent="0.25">
      <c r="A6" s="90"/>
      <c r="B6" s="414" t="s">
        <v>487</v>
      </c>
      <c r="C6" s="414"/>
      <c r="D6" s="414"/>
      <c r="E6" s="414"/>
      <c r="F6" s="414"/>
      <c r="G6" s="91"/>
    </row>
    <row r="7" spans="1:7" x14ac:dyDescent="0.25">
      <c r="A7" s="160" t="s">
        <v>532</v>
      </c>
      <c r="B7" s="201" t="s">
        <v>127</v>
      </c>
      <c r="C7" s="162" t="s">
        <v>128</v>
      </c>
      <c r="D7" s="202" t="s">
        <v>129</v>
      </c>
      <c r="E7" s="162" t="s">
        <v>9</v>
      </c>
      <c r="F7" s="186" t="s">
        <v>130</v>
      </c>
      <c r="G7" s="161" t="s">
        <v>25</v>
      </c>
    </row>
    <row r="8" spans="1:7" x14ac:dyDescent="0.25">
      <c r="A8" s="157" t="s">
        <v>131</v>
      </c>
      <c r="B8" s="137">
        <v>1424</v>
      </c>
      <c r="C8" s="137">
        <v>1114</v>
      </c>
      <c r="D8" s="137">
        <v>4984</v>
      </c>
      <c r="E8" s="137">
        <v>463</v>
      </c>
      <c r="F8" s="137">
        <v>646</v>
      </c>
      <c r="G8" s="183">
        <v>8631</v>
      </c>
    </row>
    <row r="9" spans="1:7" x14ac:dyDescent="0.25">
      <c r="A9" s="136" t="s">
        <v>137</v>
      </c>
      <c r="B9" s="137">
        <v>66</v>
      </c>
      <c r="C9" s="137">
        <v>23</v>
      </c>
      <c r="D9" s="137">
        <v>92</v>
      </c>
      <c r="E9" s="137">
        <v>1</v>
      </c>
      <c r="F9" s="137">
        <v>10</v>
      </c>
      <c r="G9" s="137">
        <v>192</v>
      </c>
    </row>
    <row r="10" spans="1:7" x14ac:dyDescent="0.25">
      <c r="A10" s="136" t="s">
        <v>132</v>
      </c>
      <c r="B10" s="137">
        <v>63</v>
      </c>
      <c r="C10" s="137">
        <v>21</v>
      </c>
      <c r="D10" s="137">
        <v>47</v>
      </c>
      <c r="E10" s="137">
        <v>1</v>
      </c>
      <c r="F10" s="137">
        <v>5</v>
      </c>
      <c r="G10" s="137">
        <v>137</v>
      </c>
    </row>
    <row r="11" spans="1:7" x14ac:dyDescent="0.25">
      <c r="A11" s="136" t="s">
        <v>133</v>
      </c>
      <c r="B11" s="137">
        <v>122</v>
      </c>
      <c r="C11" s="137">
        <v>49</v>
      </c>
      <c r="D11" s="137">
        <v>254</v>
      </c>
      <c r="E11" s="137">
        <v>25</v>
      </c>
      <c r="F11" s="137">
        <v>26</v>
      </c>
      <c r="G11" s="137">
        <v>476</v>
      </c>
    </row>
    <row r="12" spans="1:7" x14ac:dyDescent="0.25">
      <c r="A12" s="156" t="s">
        <v>134</v>
      </c>
      <c r="B12" s="182">
        <v>4488</v>
      </c>
      <c r="C12" s="182">
        <v>1820</v>
      </c>
      <c r="D12" s="182">
        <v>17191</v>
      </c>
      <c r="E12" s="182">
        <v>1998</v>
      </c>
      <c r="F12" s="182">
        <v>1151</v>
      </c>
      <c r="G12" s="182">
        <v>26648</v>
      </c>
    </row>
    <row r="13" spans="1:7" x14ac:dyDescent="0.25">
      <c r="A13" s="159" t="s">
        <v>135</v>
      </c>
      <c r="B13" s="174">
        <v>178</v>
      </c>
      <c r="C13" s="174">
        <v>70</v>
      </c>
      <c r="D13" s="174">
        <v>564</v>
      </c>
      <c r="E13" s="174">
        <v>39</v>
      </c>
      <c r="F13" s="174">
        <v>25</v>
      </c>
      <c r="G13" s="174">
        <v>876</v>
      </c>
    </row>
    <row r="14" spans="1:7" x14ac:dyDescent="0.25">
      <c r="A14" s="159" t="s">
        <v>136</v>
      </c>
      <c r="B14" s="174">
        <v>321</v>
      </c>
      <c r="C14" s="174">
        <v>120</v>
      </c>
      <c r="D14" s="174">
        <v>972</v>
      </c>
      <c r="E14" s="174">
        <v>103</v>
      </c>
      <c r="F14" s="174">
        <v>73</v>
      </c>
      <c r="G14" s="174">
        <v>1589</v>
      </c>
    </row>
    <row r="15" spans="1:7" x14ac:dyDescent="0.25">
      <c r="A15" s="184" t="s">
        <v>25</v>
      </c>
      <c r="B15" s="185">
        <v>6662</v>
      </c>
      <c r="C15" s="185">
        <v>3217</v>
      </c>
      <c r="D15" s="185">
        <v>24104</v>
      </c>
      <c r="E15" s="185">
        <v>2630</v>
      </c>
      <c r="F15" s="185">
        <v>1936</v>
      </c>
      <c r="G15" s="185">
        <v>38549</v>
      </c>
    </row>
    <row r="16" spans="1:7" x14ac:dyDescent="0.25">
      <c r="A16" s="158"/>
      <c r="B16" s="158"/>
      <c r="C16" s="158"/>
      <c r="D16" s="158"/>
      <c r="E16" s="158"/>
      <c r="F16" s="158"/>
      <c r="G16" s="158"/>
    </row>
    <row r="17" spans="1:7" x14ac:dyDescent="0.25">
      <c r="A17" s="158"/>
      <c r="B17" s="158"/>
      <c r="C17" s="158"/>
      <c r="D17" s="158"/>
      <c r="E17" s="158"/>
      <c r="F17" s="158"/>
      <c r="G17" s="158"/>
    </row>
    <row r="18" spans="1:7" x14ac:dyDescent="0.25">
      <c r="A18" s="158"/>
      <c r="B18" s="158"/>
      <c r="C18" s="158"/>
      <c r="D18" s="158"/>
    </row>
    <row r="19" spans="1:7" x14ac:dyDescent="0.25">
      <c r="A19" s="187" t="s">
        <v>506</v>
      </c>
    </row>
    <row r="20" spans="1:7" x14ac:dyDescent="0.25">
      <c r="A20" s="90"/>
      <c r="B20" s="414" t="s">
        <v>487</v>
      </c>
      <c r="C20" s="414"/>
      <c r="D20" s="414"/>
      <c r="E20" s="414"/>
      <c r="F20" s="414"/>
      <c r="G20" s="91"/>
    </row>
    <row r="21" spans="1:7" x14ac:dyDescent="0.25">
      <c r="A21" s="160" t="s">
        <v>532</v>
      </c>
      <c r="B21" s="161" t="s">
        <v>127</v>
      </c>
      <c r="C21" s="161" t="s">
        <v>128</v>
      </c>
      <c r="D21" s="161" t="s">
        <v>129</v>
      </c>
      <c r="E21" s="161" t="s">
        <v>9</v>
      </c>
      <c r="F21" s="161" t="s">
        <v>130</v>
      </c>
      <c r="G21" s="161" t="s">
        <v>25</v>
      </c>
    </row>
    <row r="22" spans="1:7" x14ac:dyDescent="0.25">
      <c r="A22" s="157" t="s">
        <v>139</v>
      </c>
      <c r="B22" s="183">
        <v>7570</v>
      </c>
      <c r="C22" s="183">
        <v>2615</v>
      </c>
      <c r="D22" s="183">
        <v>27432</v>
      </c>
      <c r="E22" s="183">
        <v>2782</v>
      </c>
      <c r="F22" s="183">
        <v>1460</v>
      </c>
      <c r="G22" s="183">
        <v>41859</v>
      </c>
    </row>
    <row r="23" spans="1:7" x14ac:dyDescent="0.25">
      <c r="A23" s="136" t="s">
        <v>140</v>
      </c>
      <c r="B23" s="137">
        <v>3138</v>
      </c>
      <c r="C23" s="137">
        <v>877</v>
      </c>
      <c r="D23" s="137">
        <v>9397</v>
      </c>
      <c r="E23" s="137">
        <v>832</v>
      </c>
      <c r="F23" s="137">
        <v>426</v>
      </c>
      <c r="G23" s="137">
        <v>14670</v>
      </c>
    </row>
    <row r="24" spans="1:7" x14ac:dyDescent="0.25">
      <c r="A24" s="136" t="s">
        <v>141</v>
      </c>
      <c r="B24" s="137">
        <v>80</v>
      </c>
      <c r="C24" s="137">
        <v>19</v>
      </c>
      <c r="D24" s="137">
        <v>272</v>
      </c>
      <c r="E24" s="137">
        <v>32</v>
      </c>
      <c r="F24" s="137">
        <v>11</v>
      </c>
      <c r="G24" s="137">
        <v>414</v>
      </c>
    </row>
    <row r="25" spans="1:7" x14ac:dyDescent="0.25">
      <c r="A25" s="136" t="s">
        <v>142</v>
      </c>
      <c r="B25" s="137">
        <v>222</v>
      </c>
      <c r="C25" s="137">
        <v>59</v>
      </c>
      <c r="D25" s="137">
        <v>761</v>
      </c>
      <c r="E25" s="137">
        <v>89</v>
      </c>
      <c r="F25" s="137">
        <v>34</v>
      </c>
      <c r="G25" s="137">
        <v>1165</v>
      </c>
    </row>
    <row r="26" spans="1:7" x14ac:dyDescent="0.25">
      <c r="A26" s="136" t="s">
        <v>143</v>
      </c>
      <c r="B26" s="137">
        <v>15</v>
      </c>
      <c r="C26" s="137">
        <v>1</v>
      </c>
      <c r="D26" s="137">
        <v>19</v>
      </c>
      <c r="E26" s="137">
        <v>1</v>
      </c>
      <c r="F26" s="137">
        <v>1</v>
      </c>
      <c r="G26" s="137">
        <v>37</v>
      </c>
    </row>
    <row r="27" spans="1:7" ht="30" x14ac:dyDescent="0.25">
      <c r="A27" s="136" t="s">
        <v>144</v>
      </c>
      <c r="B27" s="137">
        <v>179</v>
      </c>
      <c r="C27" s="137">
        <v>36</v>
      </c>
      <c r="D27" s="137">
        <v>417</v>
      </c>
      <c r="E27" s="137">
        <v>33</v>
      </c>
      <c r="F27" s="137">
        <v>15</v>
      </c>
      <c r="G27" s="137">
        <v>680</v>
      </c>
    </row>
    <row r="28" spans="1:7" x14ac:dyDescent="0.25">
      <c r="A28" s="136" t="s">
        <v>145</v>
      </c>
      <c r="B28" s="137">
        <v>23</v>
      </c>
      <c r="C28" s="137">
        <v>8</v>
      </c>
      <c r="D28" s="137">
        <v>55</v>
      </c>
      <c r="E28" s="137">
        <v>8</v>
      </c>
      <c r="F28" s="137">
        <v>4</v>
      </c>
      <c r="G28" s="137">
        <v>98</v>
      </c>
    </row>
    <row r="29" spans="1:7" x14ac:dyDescent="0.25">
      <c r="A29" s="136" t="s">
        <v>146</v>
      </c>
      <c r="B29" s="137">
        <v>378</v>
      </c>
      <c r="C29" s="137">
        <v>161</v>
      </c>
      <c r="D29" s="137">
        <v>1187</v>
      </c>
      <c r="E29" s="137">
        <v>102</v>
      </c>
      <c r="F29" s="137">
        <v>57</v>
      </c>
      <c r="G29" s="137">
        <v>1885</v>
      </c>
    </row>
    <row r="30" spans="1:7" x14ac:dyDescent="0.25">
      <c r="A30" s="156" t="s">
        <v>147</v>
      </c>
      <c r="B30" s="182">
        <v>838</v>
      </c>
      <c r="C30" s="182">
        <v>316</v>
      </c>
      <c r="D30" s="182">
        <v>2693</v>
      </c>
      <c r="E30" s="182">
        <v>243</v>
      </c>
      <c r="F30" s="182">
        <v>133</v>
      </c>
      <c r="G30" s="182">
        <v>4223</v>
      </c>
    </row>
    <row r="31" spans="1:7" x14ac:dyDescent="0.25">
      <c r="A31" s="184" t="s">
        <v>25</v>
      </c>
      <c r="B31" s="185">
        <v>12443</v>
      </c>
      <c r="C31" s="185">
        <v>4092</v>
      </c>
      <c r="D31" s="185">
        <v>42233</v>
      </c>
      <c r="E31" s="185">
        <v>4122</v>
      </c>
      <c r="F31" s="185">
        <v>2141</v>
      </c>
      <c r="G31" s="185">
        <v>65031</v>
      </c>
    </row>
    <row r="32" spans="1:7" x14ac:dyDescent="0.25">
      <c r="A32" s="158"/>
      <c r="B32" s="158"/>
      <c r="C32" s="158"/>
      <c r="D32" s="158"/>
      <c r="E32" s="158"/>
      <c r="F32" s="158"/>
      <c r="G32" s="158"/>
    </row>
    <row r="33" spans="1:7" x14ac:dyDescent="0.25">
      <c r="A33" s="158"/>
      <c r="B33" s="158"/>
      <c r="C33" s="158"/>
      <c r="D33" s="158"/>
    </row>
    <row r="34" spans="1:7" x14ac:dyDescent="0.25">
      <c r="A34" s="187" t="s">
        <v>507</v>
      </c>
    </row>
    <row r="35" spans="1:7" x14ac:dyDescent="0.25">
      <c r="A35" s="158"/>
      <c r="B35" s="414" t="s">
        <v>487</v>
      </c>
      <c r="C35" s="414"/>
      <c r="D35" s="414"/>
      <c r="E35" s="414"/>
      <c r="F35" s="414"/>
      <c r="G35" s="91"/>
    </row>
    <row r="36" spans="1:7" x14ac:dyDescent="0.25">
      <c r="A36" s="160" t="s">
        <v>532</v>
      </c>
      <c r="B36" s="161" t="s">
        <v>127</v>
      </c>
      <c r="C36" s="161" t="s">
        <v>128</v>
      </c>
      <c r="D36" s="161" t="s">
        <v>129</v>
      </c>
      <c r="E36" s="161" t="s">
        <v>9</v>
      </c>
      <c r="F36" s="161" t="s">
        <v>130</v>
      </c>
      <c r="G36" s="161" t="s">
        <v>25</v>
      </c>
    </row>
    <row r="37" spans="1:7" x14ac:dyDescent="0.25">
      <c r="A37" s="136" t="s">
        <v>148</v>
      </c>
      <c r="B37" s="137">
        <v>239</v>
      </c>
      <c r="C37" s="137">
        <v>67</v>
      </c>
      <c r="D37" s="137">
        <v>612</v>
      </c>
      <c r="E37" s="137">
        <v>17</v>
      </c>
      <c r="F37" s="137">
        <v>27</v>
      </c>
      <c r="G37" s="137">
        <v>962</v>
      </c>
    </row>
    <row r="38" spans="1:7" x14ac:dyDescent="0.25">
      <c r="A38" s="136" t="s">
        <v>149</v>
      </c>
      <c r="B38" s="137">
        <v>458</v>
      </c>
      <c r="C38" s="137">
        <v>158</v>
      </c>
      <c r="D38" s="137">
        <v>1668</v>
      </c>
      <c r="E38" s="137">
        <v>148</v>
      </c>
      <c r="F38" s="137">
        <v>92</v>
      </c>
      <c r="G38" s="137">
        <v>2524</v>
      </c>
    </row>
    <row r="39" spans="1:7" x14ac:dyDescent="0.25">
      <c r="A39" s="136" t="s">
        <v>490</v>
      </c>
      <c r="B39" s="137">
        <v>525</v>
      </c>
      <c r="C39" s="137">
        <v>152</v>
      </c>
      <c r="D39" s="137">
        <v>1396</v>
      </c>
      <c r="E39" s="137">
        <v>115</v>
      </c>
      <c r="F39" s="137">
        <v>58</v>
      </c>
      <c r="G39" s="137">
        <v>2246</v>
      </c>
    </row>
    <row r="40" spans="1:7" x14ac:dyDescent="0.25">
      <c r="A40" s="136" t="s">
        <v>150</v>
      </c>
      <c r="B40" s="137">
        <v>3599</v>
      </c>
      <c r="C40" s="137">
        <v>1258</v>
      </c>
      <c r="D40" s="137">
        <v>13406</v>
      </c>
      <c r="E40" s="137">
        <v>1276</v>
      </c>
      <c r="F40" s="137">
        <v>790</v>
      </c>
      <c r="G40" s="137">
        <v>20329</v>
      </c>
    </row>
    <row r="41" spans="1:7" ht="30" x14ac:dyDescent="0.25">
      <c r="A41" s="136" t="s">
        <v>151</v>
      </c>
      <c r="B41" s="137">
        <v>291</v>
      </c>
      <c r="C41" s="137">
        <v>140</v>
      </c>
      <c r="D41" s="137">
        <v>859</v>
      </c>
      <c r="E41" s="137">
        <v>62</v>
      </c>
      <c r="F41" s="137">
        <v>47</v>
      </c>
      <c r="G41" s="137">
        <v>1399</v>
      </c>
    </row>
    <row r="42" spans="1:7" x14ac:dyDescent="0.25">
      <c r="A42" s="136" t="s">
        <v>152</v>
      </c>
      <c r="B42" s="137">
        <v>250</v>
      </c>
      <c r="C42" s="137">
        <v>88</v>
      </c>
      <c r="D42" s="137">
        <v>756</v>
      </c>
      <c r="E42" s="137">
        <v>47</v>
      </c>
      <c r="F42" s="137">
        <v>28</v>
      </c>
      <c r="G42" s="137">
        <v>1169</v>
      </c>
    </row>
    <row r="43" spans="1:7" x14ac:dyDescent="0.25">
      <c r="A43" s="136" t="s">
        <v>153</v>
      </c>
      <c r="B43" s="137">
        <v>373</v>
      </c>
      <c r="C43" s="137">
        <v>95</v>
      </c>
      <c r="D43" s="137">
        <v>1098</v>
      </c>
      <c r="E43" s="137">
        <v>68</v>
      </c>
      <c r="F43" s="137">
        <v>53</v>
      </c>
      <c r="G43" s="137">
        <v>1687</v>
      </c>
    </row>
    <row r="44" spans="1:7" x14ac:dyDescent="0.25">
      <c r="A44" s="136" t="s">
        <v>154</v>
      </c>
      <c r="B44" s="137">
        <v>274</v>
      </c>
      <c r="C44" s="137">
        <v>122</v>
      </c>
      <c r="D44" s="137">
        <v>1013</v>
      </c>
      <c r="E44" s="137">
        <v>90</v>
      </c>
      <c r="F44" s="137">
        <v>66</v>
      </c>
      <c r="G44" s="137">
        <v>1565</v>
      </c>
    </row>
    <row r="45" spans="1:7" x14ac:dyDescent="0.25">
      <c r="A45" s="156" t="s">
        <v>155</v>
      </c>
      <c r="B45" s="182">
        <v>1979</v>
      </c>
      <c r="C45" s="182">
        <v>642</v>
      </c>
      <c r="D45" s="182">
        <v>6424</v>
      </c>
      <c r="E45" s="182">
        <v>573</v>
      </c>
      <c r="F45" s="182">
        <v>287</v>
      </c>
      <c r="G45" s="182">
        <v>9905</v>
      </c>
    </row>
    <row r="46" spans="1:7" x14ac:dyDescent="0.25">
      <c r="A46" s="184" t="s">
        <v>25</v>
      </c>
      <c r="B46" s="185">
        <v>7988</v>
      </c>
      <c r="C46" s="185">
        <v>2722</v>
      </c>
      <c r="D46" s="185">
        <v>27232</v>
      </c>
      <c r="E46" s="185">
        <v>2396</v>
      </c>
      <c r="F46" s="185">
        <v>1448</v>
      </c>
      <c r="G46" s="185">
        <v>41786</v>
      </c>
    </row>
    <row r="47" spans="1:7" x14ac:dyDescent="0.25">
      <c r="A47" s="158"/>
      <c r="B47" s="190"/>
      <c r="C47" s="190"/>
      <c r="D47" s="190"/>
      <c r="E47" s="190"/>
      <c r="F47" s="190"/>
      <c r="G47" s="190"/>
    </row>
    <row r="48" spans="1:7" x14ac:dyDescent="0.25">
      <c r="A48" s="158"/>
      <c r="B48" s="158"/>
      <c r="C48" s="158"/>
      <c r="D48" s="158"/>
    </row>
    <row r="49" spans="1:7" x14ac:dyDescent="0.25">
      <c r="A49" s="187" t="s">
        <v>508</v>
      </c>
    </row>
    <row r="50" spans="1:7" x14ac:dyDescent="0.25">
      <c r="A50" s="158"/>
      <c r="B50" s="414" t="s">
        <v>487</v>
      </c>
      <c r="C50" s="414"/>
      <c r="D50" s="414"/>
      <c r="E50" s="414"/>
      <c r="F50" s="414"/>
      <c r="G50" s="91"/>
    </row>
    <row r="51" spans="1:7" x14ac:dyDescent="0.25">
      <c r="A51" s="160" t="s">
        <v>532</v>
      </c>
      <c r="B51" s="161" t="s">
        <v>127</v>
      </c>
      <c r="C51" s="161" t="s">
        <v>128</v>
      </c>
      <c r="D51" s="161" t="s">
        <v>129</v>
      </c>
      <c r="E51" s="161" t="s">
        <v>9</v>
      </c>
      <c r="F51" s="161" t="s">
        <v>130</v>
      </c>
      <c r="G51" s="161" t="s">
        <v>25</v>
      </c>
    </row>
    <row r="52" spans="1:7" x14ac:dyDescent="0.25">
      <c r="A52" s="157" t="s">
        <v>156</v>
      </c>
      <c r="B52" s="183">
        <v>408</v>
      </c>
      <c r="C52" s="183">
        <v>130</v>
      </c>
      <c r="D52" s="183">
        <v>1422</v>
      </c>
      <c r="E52" s="183">
        <v>104</v>
      </c>
      <c r="F52" s="183">
        <v>67</v>
      </c>
      <c r="G52" s="183">
        <v>2131</v>
      </c>
    </row>
    <row r="53" spans="1:7" x14ac:dyDescent="0.25">
      <c r="A53" s="136" t="s">
        <v>157</v>
      </c>
      <c r="B53" s="137">
        <v>542</v>
      </c>
      <c r="C53" s="137">
        <v>135</v>
      </c>
      <c r="D53" s="137">
        <v>1032</v>
      </c>
      <c r="E53" s="137">
        <v>44</v>
      </c>
      <c r="F53" s="137">
        <v>61</v>
      </c>
      <c r="G53" s="137">
        <v>1814</v>
      </c>
    </row>
    <row r="54" spans="1:7" x14ac:dyDescent="0.25">
      <c r="A54" s="136" t="s">
        <v>158</v>
      </c>
      <c r="B54" s="137">
        <v>671</v>
      </c>
      <c r="C54" s="137">
        <v>182</v>
      </c>
      <c r="D54" s="137">
        <v>2043</v>
      </c>
      <c r="E54" s="137">
        <v>146</v>
      </c>
      <c r="F54" s="137">
        <v>90</v>
      </c>
      <c r="G54" s="137">
        <v>3132</v>
      </c>
    </row>
    <row r="55" spans="1:7" x14ac:dyDescent="0.25">
      <c r="A55" s="136" t="s">
        <v>159</v>
      </c>
      <c r="B55" s="137">
        <v>6548</v>
      </c>
      <c r="C55" s="137">
        <v>2215</v>
      </c>
      <c r="D55" s="137">
        <v>23107</v>
      </c>
      <c r="E55" s="137">
        <v>2367</v>
      </c>
      <c r="F55" s="137">
        <v>1325</v>
      </c>
      <c r="G55" s="137">
        <v>35562</v>
      </c>
    </row>
    <row r="56" spans="1:7" x14ac:dyDescent="0.25">
      <c r="A56" s="136" t="s">
        <v>160</v>
      </c>
      <c r="B56" s="137">
        <v>1376</v>
      </c>
      <c r="C56" s="137">
        <v>368</v>
      </c>
      <c r="D56" s="137">
        <v>4048</v>
      </c>
      <c r="E56" s="137">
        <v>313</v>
      </c>
      <c r="F56" s="137">
        <v>219</v>
      </c>
      <c r="G56" s="137">
        <v>6324</v>
      </c>
    </row>
    <row r="57" spans="1:7" x14ac:dyDescent="0.25">
      <c r="A57" s="136" t="s">
        <v>161</v>
      </c>
      <c r="B57" s="137">
        <v>187</v>
      </c>
      <c r="C57" s="137">
        <v>53</v>
      </c>
      <c r="D57" s="137">
        <v>433</v>
      </c>
      <c r="E57" s="137">
        <v>26</v>
      </c>
      <c r="F57" s="137">
        <v>32</v>
      </c>
      <c r="G57" s="137">
        <v>731</v>
      </c>
    </row>
    <row r="58" spans="1:7" x14ac:dyDescent="0.25">
      <c r="A58" s="136" t="s">
        <v>162</v>
      </c>
      <c r="B58" s="137">
        <v>5671</v>
      </c>
      <c r="C58" s="137">
        <v>2073</v>
      </c>
      <c r="D58" s="137">
        <v>21508</v>
      </c>
      <c r="E58" s="137">
        <v>2219</v>
      </c>
      <c r="F58" s="137">
        <v>1263</v>
      </c>
      <c r="G58" s="137">
        <v>32734</v>
      </c>
    </row>
    <row r="59" spans="1:7" x14ac:dyDescent="0.25">
      <c r="A59" s="136" t="s">
        <v>163</v>
      </c>
      <c r="B59" s="137">
        <v>826</v>
      </c>
      <c r="C59" s="137">
        <v>229</v>
      </c>
      <c r="D59" s="137">
        <v>2497</v>
      </c>
      <c r="E59" s="137">
        <v>169</v>
      </c>
      <c r="F59" s="137">
        <v>128</v>
      </c>
      <c r="G59" s="137">
        <v>3849</v>
      </c>
    </row>
    <row r="60" spans="1:7" x14ac:dyDescent="0.25">
      <c r="A60" s="136" t="s">
        <v>164</v>
      </c>
      <c r="B60" s="137">
        <v>1123</v>
      </c>
      <c r="C60" s="137">
        <v>382</v>
      </c>
      <c r="D60" s="137">
        <v>3237</v>
      </c>
      <c r="E60" s="137">
        <v>145</v>
      </c>
      <c r="F60" s="137">
        <v>224</v>
      </c>
      <c r="G60" s="137">
        <v>5111</v>
      </c>
    </row>
    <row r="61" spans="1:7" x14ac:dyDescent="0.25">
      <c r="A61" s="136" t="s">
        <v>165</v>
      </c>
      <c r="B61" s="137">
        <v>4359</v>
      </c>
      <c r="C61" s="137">
        <v>1294</v>
      </c>
      <c r="D61" s="137">
        <v>12231</v>
      </c>
      <c r="E61" s="137">
        <v>921</v>
      </c>
      <c r="F61" s="137">
        <v>691</v>
      </c>
      <c r="G61" s="137">
        <v>19496</v>
      </c>
    </row>
    <row r="62" spans="1:7" x14ac:dyDescent="0.25">
      <c r="A62" s="136" t="s">
        <v>166</v>
      </c>
      <c r="B62" s="137">
        <v>146</v>
      </c>
      <c r="C62" s="137">
        <v>40</v>
      </c>
      <c r="D62" s="137">
        <v>577</v>
      </c>
      <c r="E62" s="137">
        <v>51</v>
      </c>
      <c r="F62" s="137">
        <v>23</v>
      </c>
      <c r="G62" s="137">
        <v>837</v>
      </c>
    </row>
    <row r="63" spans="1:7" x14ac:dyDescent="0.25">
      <c r="A63" s="136" t="s">
        <v>167</v>
      </c>
      <c r="B63" s="137">
        <v>451</v>
      </c>
      <c r="C63" s="137">
        <v>185</v>
      </c>
      <c r="D63" s="137">
        <v>1254</v>
      </c>
      <c r="E63" s="137">
        <v>54</v>
      </c>
      <c r="F63" s="137">
        <v>80</v>
      </c>
      <c r="G63" s="137">
        <v>2024</v>
      </c>
    </row>
    <row r="64" spans="1:7" x14ac:dyDescent="0.25">
      <c r="A64" s="136" t="s">
        <v>168</v>
      </c>
      <c r="B64" s="137">
        <v>279</v>
      </c>
      <c r="C64" s="137">
        <v>54</v>
      </c>
      <c r="D64" s="137">
        <v>547</v>
      </c>
      <c r="E64" s="137">
        <v>23</v>
      </c>
      <c r="F64" s="137">
        <v>24</v>
      </c>
      <c r="G64" s="137">
        <v>927</v>
      </c>
    </row>
    <row r="65" spans="1:7" x14ac:dyDescent="0.25">
      <c r="A65" s="156" t="s">
        <v>169</v>
      </c>
      <c r="B65" s="182">
        <v>1206</v>
      </c>
      <c r="C65" s="182">
        <v>332</v>
      </c>
      <c r="D65" s="182">
        <v>3347</v>
      </c>
      <c r="E65" s="182">
        <v>179</v>
      </c>
      <c r="F65" s="182">
        <v>148</v>
      </c>
      <c r="G65" s="182">
        <v>5212</v>
      </c>
    </row>
    <row r="66" spans="1:7" x14ac:dyDescent="0.25">
      <c r="A66" s="159" t="s">
        <v>491</v>
      </c>
      <c r="B66" s="174">
        <v>724</v>
      </c>
      <c r="C66" s="174">
        <v>272</v>
      </c>
      <c r="D66" s="174">
        <v>3293</v>
      </c>
      <c r="E66" s="174">
        <v>245</v>
      </c>
      <c r="F66" s="174">
        <v>201</v>
      </c>
      <c r="G66" s="174">
        <v>4735</v>
      </c>
    </row>
    <row r="67" spans="1:7" x14ac:dyDescent="0.25">
      <c r="A67" s="184" t="s">
        <v>25</v>
      </c>
      <c r="B67" s="185">
        <v>24517</v>
      </c>
      <c r="C67" s="185">
        <v>7944</v>
      </c>
      <c r="D67" s="185">
        <v>80576</v>
      </c>
      <c r="E67" s="185">
        <v>7006</v>
      </c>
      <c r="F67" s="185">
        <v>4576</v>
      </c>
      <c r="G67" s="185">
        <v>124619</v>
      </c>
    </row>
    <row r="68" spans="1:7" x14ac:dyDescent="0.25">
      <c r="A68" s="158"/>
      <c r="B68" s="190"/>
      <c r="C68" s="190"/>
      <c r="D68" s="190"/>
      <c r="E68" s="190"/>
      <c r="F68" s="190"/>
      <c r="G68" s="190"/>
    </row>
    <row r="69" spans="1:7" x14ac:dyDescent="0.25">
      <c r="A69" s="158"/>
      <c r="B69" s="190"/>
      <c r="C69" s="190"/>
      <c r="D69" s="190"/>
      <c r="E69" s="190"/>
      <c r="F69" s="190"/>
      <c r="G69" s="190"/>
    </row>
    <row r="70" spans="1:7" x14ac:dyDescent="0.25">
      <c r="A70" s="158"/>
      <c r="B70" s="158"/>
      <c r="C70" s="158"/>
      <c r="D70" s="158"/>
    </row>
    <row r="71" spans="1:7" x14ac:dyDescent="0.25">
      <c r="A71" s="188" t="s">
        <v>509</v>
      </c>
    </row>
    <row r="72" spans="1:7" x14ac:dyDescent="0.25">
      <c r="A72" s="158"/>
      <c r="B72" s="414" t="s">
        <v>487</v>
      </c>
      <c r="C72" s="414"/>
      <c r="D72" s="414"/>
      <c r="E72" s="414"/>
      <c r="F72" s="414"/>
      <c r="G72" s="91"/>
    </row>
    <row r="73" spans="1:7" x14ac:dyDescent="0.25">
      <c r="A73" s="160" t="s">
        <v>532</v>
      </c>
      <c r="B73" s="161" t="s">
        <v>127</v>
      </c>
      <c r="C73" s="161" t="s">
        <v>128</v>
      </c>
      <c r="D73" s="161" t="s">
        <v>129</v>
      </c>
      <c r="E73" s="161" t="s">
        <v>9</v>
      </c>
      <c r="F73" s="161" t="s">
        <v>130</v>
      </c>
      <c r="G73" s="161" t="s">
        <v>25</v>
      </c>
    </row>
    <row r="74" spans="1:7" x14ac:dyDescent="0.25">
      <c r="A74" s="136" t="s">
        <v>170</v>
      </c>
      <c r="B74" s="137">
        <v>660</v>
      </c>
      <c r="C74" s="137">
        <v>120</v>
      </c>
      <c r="D74" s="137">
        <v>1917</v>
      </c>
      <c r="E74" s="137">
        <v>161</v>
      </c>
      <c r="F74" s="137">
        <v>72</v>
      </c>
      <c r="G74" s="137">
        <v>2930</v>
      </c>
    </row>
    <row r="75" spans="1:7" x14ac:dyDescent="0.25">
      <c r="A75" s="136" t="s">
        <v>171</v>
      </c>
      <c r="B75" s="137">
        <v>796</v>
      </c>
      <c r="C75" s="137">
        <v>335</v>
      </c>
      <c r="D75" s="137">
        <v>2468</v>
      </c>
      <c r="E75" s="137">
        <v>162</v>
      </c>
      <c r="F75" s="137">
        <v>140</v>
      </c>
      <c r="G75" s="137">
        <v>3901</v>
      </c>
    </row>
    <row r="76" spans="1:7" x14ac:dyDescent="0.25">
      <c r="A76" s="136" t="s">
        <v>172</v>
      </c>
      <c r="B76" s="137">
        <v>293</v>
      </c>
      <c r="C76" s="137">
        <v>100</v>
      </c>
      <c r="D76" s="137">
        <v>1394</v>
      </c>
      <c r="E76" s="137">
        <v>128</v>
      </c>
      <c r="F76" s="137">
        <v>89</v>
      </c>
      <c r="G76" s="137">
        <v>2004</v>
      </c>
    </row>
    <row r="77" spans="1:7" x14ac:dyDescent="0.25">
      <c r="A77" s="136" t="s">
        <v>173</v>
      </c>
      <c r="B77" s="137">
        <v>1179</v>
      </c>
      <c r="C77" s="137">
        <v>323</v>
      </c>
      <c r="D77" s="137">
        <v>3039</v>
      </c>
      <c r="E77" s="137">
        <v>262</v>
      </c>
      <c r="F77" s="137">
        <v>231</v>
      </c>
      <c r="G77" s="137">
        <v>5034</v>
      </c>
    </row>
    <row r="78" spans="1:7" x14ac:dyDescent="0.25">
      <c r="A78" s="136" t="s">
        <v>174</v>
      </c>
      <c r="B78" s="137">
        <v>946</v>
      </c>
      <c r="C78" s="137">
        <v>244</v>
      </c>
      <c r="D78" s="137">
        <v>2931</v>
      </c>
      <c r="E78" s="137">
        <v>262</v>
      </c>
      <c r="F78" s="137">
        <v>138</v>
      </c>
      <c r="G78" s="137">
        <v>4521</v>
      </c>
    </row>
    <row r="79" spans="1:7" x14ac:dyDescent="0.25">
      <c r="A79" s="136" t="s">
        <v>175</v>
      </c>
      <c r="B79" s="137">
        <v>525</v>
      </c>
      <c r="C79" s="137">
        <v>163</v>
      </c>
      <c r="D79" s="137">
        <v>1783</v>
      </c>
      <c r="E79" s="137">
        <v>129</v>
      </c>
      <c r="F79" s="137">
        <v>76</v>
      </c>
      <c r="G79" s="137">
        <v>2676</v>
      </c>
    </row>
    <row r="80" spans="1:7" x14ac:dyDescent="0.25">
      <c r="A80" s="136" t="s">
        <v>176</v>
      </c>
      <c r="B80" s="137">
        <v>1130</v>
      </c>
      <c r="C80" s="137">
        <v>361</v>
      </c>
      <c r="D80" s="137">
        <v>3806</v>
      </c>
      <c r="E80" s="137">
        <v>399</v>
      </c>
      <c r="F80" s="137">
        <v>191</v>
      </c>
      <c r="G80" s="137">
        <v>5887</v>
      </c>
    </row>
    <row r="81" spans="1:7" x14ac:dyDescent="0.25">
      <c r="A81" s="136" t="s">
        <v>177</v>
      </c>
      <c r="B81" s="137">
        <v>792</v>
      </c>
      <c r="C81" s="137">
        <v>167</v>
      </c>
      <c r="D81" s="137">
        <v>2520</v>
      </c>
      <c r="E81" s="137">
        <v>293</v>
      </c>
      <c r="F81" s="137">
        <v>106</v>
      </c>
      <c r="G81" s="137">
        <v>3878</v>
      </c>
    </row>
    <row r="82" spans="1:7" x14ac:dyDescent="0.25">
      <c r="A82" s="136" t="s">
        <v>178</v>
      </c>
      <c r="B82" s="137">
        <v>679</v>
      </c>
      <c r="C82" s="137">
        <v>160</v>
      </c>
      <c r="D82" s="137">
        <v>2197</v>
      </c>
      <c r="E82" s="137">
        <v>238</v>
      </c>
      <c r="F82" s="137">
        <v>116</v>
      </c>
      <c r="G82" s="137">
        <v>3390</v>
      </c>
    </row>
    <row r="83" spans="1:7" x14ac:dyDescent="0.25">
      <c r="A83" s="136" t="s">
        <v>179</v>
      </c>
      <c r="B83" s="137">
        <v>784</v>
      </c>
      <c r="C83" s="137">
        <v>288</v>
      </c>
      <c r="D83" s="137">
        <v>1961</v>
      </c>
      <c r="E83" s="137">
        <v>122</v>
      </c>
      <c r="F83" s="137">
        <v>190</v>
      </c>
      <c r="G83" s="137">
        <v>3345</v>
      </c>
    </row>
    <row r="84" spans="1:7" x14ac:dyDescent="0.25">
      <c r="A84" s="136" t="s">
        <v>180</v>
      </c>
      <c r="B84" s="137">
        <v>139</v>
      </c>
      <c r="C84" s="137">
        <v>54</v>
      </c>
      <c r="D84" s="137">
        <v>412</v>
      </c>
      <c r="E84" s="137">
        <v>29</v>
      </c>
      <c r="F84" s="137">
        <v>34</v>
      </c>
      <c r="G84" s="137">
        <v>668</v>
      </c>
    </row>
    <row r="85" spans="1:7" x14ac:dyDescent="0.25">
      <c r="A85" s="136" t="s">
        <v>181</v>
      </c>
      <c r="B85" s="137">
        <v>45</v>
      </c>
      <c r="C85" s="137">
        <v>3</v>
      </c>
      <c r="D85" s="137">
        <v>87</v>
      </c>
      <c r="E85" s="137">
        <v>4</v>
      </c>
      <c r="F85" s="137">
        <v>2</v>
      </c>
      <c r="G85" s="137">
        <v>141</v>
      </c>
    </row>
    <row r="86" spans="1:7" x14ac:dyDescent="0.25">
      <c r="A86" s="136" t="s">
        <v>182</v>
      </c>
      <c r="B86" s="137">
        <v>2122</v>
      </c>
      <c r="C86" s="137">
        <v>739</v>
      </c>
      <c r="D86" s="137">
        <v>6698</v>
      </c>
      <c r="E86" s="137">
        <v>630</v>
      </c>
      <c r="F86" s="137">
        <v>465</v>
      </c>
      <c r="G86" s="137">
        <v>10654</v>
      </c>
    </row>
    <row r="87" spans="1:7" x14ac:dyDescent="0.25">
      <c r="A87" s="136" t="s">
        <v>183</v>
      </c>
      <c r="B87" s="137">
        <v>465</v>
      </c>
      <c r="C87" s="137">
        <v>144</v>
      </c>
      <c r="D87" s="137">
        <v>1776</v>
      </c>
      <c r="E87" s="137">
        <v>149</v>
      </c>
      <c r="F87" s="137">
        <v>125</v>
      </c>
      <c r="G87" s="137">
        <v>2659</v>
      </c>
    </row>
    <row r="88" spans="1:7" x14ac:dyDescent="0.25">
      <c r="A88" s="136" t="s">
        <v>184</v>
      </c>
      <c r="B88" s="137">
        <v>1716</v>
      </c>
      <c r="C88" s="137">
        <v>540</v>
      </c>
      <c r="D88" s="137">
        <v>4385</v>
      </c>
      <c r="E88" s="137">
        <v>300</v>
      </c>
      <c r="F88" s="137">
        <v>281</v>
      </c>
      <c r="G88" s="137">
        <v>7222</v>
      </c>
    </row>
    <row r="89" spans="1:7" x14ac:dyDescent="0.25">
      <c r="A89" s="136" t="s">
        <v>185</v>
      </c>
      <c r="B89" s="137">
        <v>1607</v>
      </c>
      <c r="C89" s="137">
        <v>569</v>
      </c>
      <c r="D89" s="137">
        <v>5841</v>
      </c>
      <c r="E89" s="137">
        <v>544</v>
      </c>
      <c r="F89" s="137">
        <v>355</v>
      </c>
      <c r="G89" s="137">
        <v>8916</v>
      </c>
    </row>
    <row r="90" spans="1:7" x14ac:dyDescent="0.25">
      <c r="A90" s="136" t="s">
        <v>186</v>
      </c>
      <c r="B90" s="137">
        <v>792</v>
      </c>
      <c r="C90" s="137">
        <v>255</v>
      </c>
      <c r="D90" s="137">
        <v>3218</v>
      </c>
      <c r="E90" s="137">
        <v>289</v>
      </c>
      <c r="F90" s="137">
        <v>190</v>
      </c>
      <c r="G90" s="137">
        <v>4744</v>
      </c>
    </row>
    <row r="91" spans="1:7" x14ac:dyDescent="0.25">
      <c r="A91" s="136" t="s">
        <v>187</v>
      </c>
      <c r="B91" s="137">
        <v>1798</v>
      </c>
      <c r="C91" s="137">
        <v>526</v>
      </c>
      <c r="D91" s="137">
        <v>7944</v>
      </c>
      <c r="E91" s="137">
        <v>818</v>
      </c>
      <c r="F91" s="137">
        <v>471</v>
      </c>
      <c r="G91" s="137">
        <v>11557</v>
      </c>
    </row>
    <row r="92" spans="1:7" x14ac:dyDescent="0.25">
      <c r="A92" s="136" t="s">
        <v>188</v>
      </c>
      <c r="B92" s="137">
        <v>838</v>
      </c>
      <c r="C92" s="137">
        <v>290</v>
      </c>
      <c r="D92" s="137">
        <v>2804</v>
      </c>
      <c r="E92" s="137">
        <v>193</v>
      </c>
      <c r="F92" s="137">
        <v>175</v>
      </c>
      <c r="G92" s="137">
        <v>4300</v>
      </c>
    </row>
    <row r="93" spans="1:7" x14ac:dyDescent="0.25">
      <c r="A93" s="136" t="s">
        <v>189</v>
      </c>
      <c r="B93" s="137">
        <v>701</v>
      </c>
      <c r="C93" s="137">
        <v>252</v>
      </c>
      <c r="D93" s="137">
        <v>2114</v>
      </c>
      <c r="E93" s="137">
        <v>185</v>
      </c>
      <c r="F93" s="137">
        <v>147</v>
      </c>
      <c r="G93" s="137">
        <v>3399</v>
      </c>
    </row>
    <row r="94" spans="1:7" x14ac:dyDescent="0.25">
      <c r="A94" s="136" t="s">
        <v>190</v>
      </c>
      <c r="B94" s="137">
        <v>182</v>
      </c>
      <c r="C94" s="137">
        <v>72</v>
      </c>
      <c r="D94" s="137">
        <v>858</v>
      </c>
      <c r="E94" s="137">
        <v>81</v>
      </c>
      <c r="F94" s="137">
        <v>60</v>
      </c>
      <c r="G94" s="137">
        <v>1253</v>
      </c>
    </row>
    <row r="95" spans="1:7" x14ac:dyDescent="0.25">
      <c r="A95" s="136" t="s">
        <v>191</v>
      </c>
      <c r="B95" s="137">
        <v>239</v>
      </c>
      <c r="C95" s="137">
        <v>75</v>
      </c>
      <c r="D95" s="137">
        <v>650</v>
      </c>
      <c r="E95" s="137">
        <v>61</v>
      </c>
      <c r="F95" s="137">
        <v>43</v>
      </c>
      <c r="G95" s="137">
        <v>1068</v>
      </c>
    </row>
    <row r="96" spans="1:7" x14ac:dyDescent="0.25">
      <c r="A96" s="136" t="s">
        <v>192</v>
      </c>
      <c r="B96" s="137">
        <v>358</v>
      </c>
      <c r="C96" s="137">
        <v>139</v>
      </c>
      <c r="D96" s="137">
        <v>1244</v>
      </c>
      <c r="E96" s="137">
        <v>83</v>
      </c>
      <c r="F96" s="137">
        <v>66</v>
      </c>
      <c r="G96" s="137">
        <v>1890</v>
      </c>
    </row>
    <row r="97" spans="1:7" x14ac:dyDescent="0.25">
      <c r="A97" s="136" t="s">
        <v>193</v>
      </c>
      <c r="B97" s="137">
        <v>793</v>
      </c>
      <c r="C97" s="137">
        <v>172</v>
      </c>
      <c r="D97" s="137">
        <v>2314</v>
      </c>
      <c r="E97" s="137">
        <v>187</v>
      </c>
      <c r="F97" s="137">
        <v>102</v>
      </c>
      <c r="G97" s="137">
        <v>3568</v>
      </c>
    </row>
    <row r="98" spans="1:7" x14ac:dyDescent="0.25">
      <c r="A98" s="136" t="s">
        <v>194</v>
      </c>
      <c r="B98" s="137">
        <v>557</v>
      </c>
      <c r="C98" s="137">
        <v>280</v>
      </c>
      <c r="D98" s="137">
        <v>2196</v>
      </c>
      <c r="E98" s="137">
        <v>148</v>
      </c>
      <c r="F98" s="137">
        <v>147</v>
      </c>
      <c r="G98" s="137">
        <v>3328</v>
      </c>
    </row>
    <row r="99" spans="1:7" x14ac:dyDescent="0.25">
      <c r="A99" s="136" t="s">
        <v>195</v>
      </c>
      <c r="B99" s="137">
        <v>3017</v>
      </c>
      <c r="C99" s="137">
        <v>986</v>
      </c>
      <c r="D99" s="137">
        <v>11383</v>
      </c>
      <c r="E99" s="137">
        <v>1074</v>
      </c>
      <c r="F99" s="137">
        <v>671</v>
      </c>
      <c r="G99" s="137">
        <v>17131</v>
      </c>
    </row>
    <row r="100" spans="1:7" x14ac:dyDescent="0.25">
      <c r="A100" s="136" t="s">
        <v>196</v>
      </c>
      <c r="B100" s="137">
        <v>5180</v>
      </c>
      <c r="C100" s="137">
        <v>1571</v>
      </c>
      <c r="D100" s="137">
        <v>18076</v>
      </c>
      <c r="E100" s="137">
        <v>1991</v>
      </c>
      <c r="F100" s="137">
        <v>971</v>
      </c>
      <c r="G100" s="137">
        <v>27789</v>
      </c>
    </row>
    <row r="101" spans="1:7" x14ac:dyDescent="0.25">
      <c r="A101" s="136" t="s">
        <v>197</v>
      </c>
      <c r="B101" s="137">
        <v>1128</v>
      </c>
      <c r="C101" s="137">
        <v>390</v>
      </c>
      <c r="D101" s="137">
        <v>3537</v>
      </c>
      <c r="E101" s="137">
        <v>394</v>
      </c>
      <c r="F101" s="137">
        <v>216</v>
      </c>
      <c r="G101" s="137">
        <v>5665</v>
      </c>
    </row>
    <row r="102" spans="1:7" x14ac:dyDescent="0.25">
      <c r="A102" s="136" t="s">
        <v>198</v>
      </c>
      <c r="B102" s="137">
        <v>214</v>
      </c>
      <c r="C102" s="137">
        <v>74</v>
      </c>
      <c r="D102" s="137">
        <v>1028</v>
      </c>
      <c r="E102" s="137">
        <v>73</v>
      </c>
      <c r="F102" s="137">
        <v>74</v>
      </c>
      <c r="G102" s="137">
        <v>1463</v>
      </c>
    </row>
    <row r="103" spans="1:7" x14ac:dyDescent="0.25">
      <c r="A103" s="136" t="s">
        <v>199</v>
      </c>
      <c r="B103" s="137">
        <v>3383</v>
      </c>
      <c r="C103" s="137">
        <v>1314</v>
      </c>
      <c r="D103" s="137">
        <v>11545</v>
      </c>
      <c r="E103" s="137">
        <v>965</v>
      </c>
      <c r="F103" s="137">
        <v>877</v>
      </c>
      <c r="G103" s="137">
        <v>18084</v>
      </c>
    </row>
    <row r="104" spans="1:7" x14ac:dyDescent="0.25">
      <c r="A104" s="136" t="s">
        <v>200</v>
      </c>
      <c r="B104" s="137">
        <v>460</v>
      </c>
      <c r="C104" s="137">
        <v>148</v>
      </c>
      <c r="D104" s="137">
        <v>2016</v>
      </c>
      <c r="E104" s="137">
        <v>156</v>
      </c>
      <c r="F104" s="137">
        <v>117</v>
      </c>
      <c r="G104" s="137">
        <v>2897</v>
      </c>
    </row>
    <row r="105" spans="1:7" x14ac:dyDescent="0.25">
      <c r="A105" s="136" t="s">
        <v>201</v>
      </c>
      <c r="B105" s="137">
        <v>1829</v>
      </c>
      <c r="C105" s="137">
        <v>681</v>
      </c>
      <c r="D105" s="137">
        <v>9279</v>
      </c>
      <c r="E105" s="137">
        <v>985</v>
      </c>
      <c r="F105" s="137">
        <v>644</v>
      </c>
      <c r="G105" s="137">
        <v>13418</v>
      </c>
    </row>
    <row r="106" spans="1:7" x14ac:dyDescent="0.25">
      <c r="A106" s="136" t="s">
        <v>202</v>
      </c>
      <c r="B106" s="137">
        <v>352</v>
      </c>
      <c r="C106" s="137">
        <v>133</v>
      </c>
      <c r="D106" s="137">
        <v>1870</v>
      </c>
      <c r="E106" s="137">
        <v>156</v>
      </c>
      <c r="F106" s="137">
        <v>92</v>
      </c>
      <c r="G106" s="137">
        <v>2603</v>
      </c>
    </row>
    <row r="107" spans="1:7" x14ac:dyDescent="0.25">
      <c r="A107" s="136" t="s">
        <v>203</v>
      </c>
      <c r="B107" s="137">
        <v>376</v>
      </c>
      <c r="C107" s="137">
        <v>62</v>
      </c>
      <c r="D107" s="137">
        <v>1124</v>
      </c>
      <c r="E107" s="137">
        <v>82</v>
      </c>
      <c r="F107" s="137">
        <v>51</v>
      </c>
      <c r="G107" s="137">
        <v>1695</v>
      </c>
    </row>
    <row r="108" spans="1:7" x14ac:dyDescent="0.25">
      <c r="A108" s="136" t="s">
        <v>204</v>
      </c>
      <c r="B108" s="137">
        <v>10584</v>
      </c>
      <c r="C108" s="137">
        <v>4302</v>
      </c>
      <c r="D108" s="137">
        <v>36006</v>
      </c>
      <c r="E108" s="137">
        <v>3753</v>
      </c>
      <c r="F108" s="137">
        <v>2550</v>
      </c>
      <c r="G108" s="137">
        <v>57195</v>
      </c>
    </row>
    <row r="109" spans="1:7" x14ac:dyDescent="0.25">
      <c r="A109" s="136" t="s">
        <v>205</v>
      </c>
      <c r="B109" s="137">
        <v>3449</v>
      </c>
      <c r="C109" s="137">
        <v>1297</v>
      </c>
      <c r="D109" s="137">
        <v>12627</v>
      </c>
      <c r="E109" s="137">
        <v>1314</v>
      </c>
      <c r="F109" s="137">
        <v>771</v>
      </c>
      <c r="G109" s="137">
        <v>19458</v>
      </c>
    </row>
    <row r="110" spans="1:7" x14ac:dyDescent="0.25">
      <c r="A110" s="156" t="s">
        <v>492</v>
      </c>
      <c r="B110" s="182">
        <v>9670</v>
      </c>
      <c r="C110" s="182">
        <v>3034</v>
      </c>
      <c r="D110" s="182">
        <v>37684</v>
      </c>
      <c r="E110" s="182">
        <v>4154</v>
      </c>
      <c r="F110" s="182">
        <v>1968</v>
      </c>
      <c r="G110" s="182">
        <v>56510</v>
      </c>
    </row>
    <row r="111" spans="1:7" x14ac:dyDescent="0.25">
      <c r="A111" s="159" t="s">
        <v>206</v>
      </c>
      <c r="B111" s="174">
        <v>278</v>
      </c>
      <c r="C111" s="174">
        <v>80</v>
      </c>
      <c r="D111" s="174">
        <v>841</v>
      </c>
      <c r="E111" s="174">
        <v>48</v>
      </c>
      <c r="F111" s="174">
        <v>37</v>
      </c>
      <c r="G111" s="174">
        <v>1284</v>
      </c>
    </row>
    <row r="112" spans="1:7" x14ac:dyDescent="0.25">
      <c r="A112" s="184" t="s">
        <v>25</v>
      </c>
      <c r="B112" s="185">
        <v>60056</v>
      </c>
      <c r="C112" s="185">
        <v>20443</v>
      </c>
      <c r="D112" s="185">
        <v>213573</v>
      </c>
      <c r="E112" s="185">
        <v>21002</v>
      </c>
      <c r="F112" s="185">
        <v>13051</v>
      </c>
      <c r="G112" s="185">
        <v>328125</v>
      </c>
    </row>
    <row r="113" spans="1:7" x14ac:dyDescent="0.25">
      <c r="A113" s="158"/>
      <c r="B113" s="158"/>
      <c r="C113" s="158"/>
      <c r="D113" s="158"/>
      <c r="E113" s="158"/>
      <c r="F113" s="158"/>
      <c r="G113" s="158"/>
    </row>
    <row r="114" spans="1:7" x14ac:dyDescent="0.25">
      <c r="A114" s="158"/>
      <c r="B114" s="158"/>
      <c r="C114" s="158"/>
      <c r="D114" s="158"/>
      <c r="E114" s="158"/>
      <c r="F114" s="158"/>
      <c r="G114" s="158"/>
    </row>
    <row r="115" spans="1:7" x14ac:dyDescent="0.25">
      <c r="A115" s="158"/>
      <c r="B115" s="158"/>
      <c r="C115" s="158"/>
      <c r="D115" s="158"/>
    </row>
    <row r="116" spans="1:7" x14ac:dyDescent="0.25">
      <c r="A116" s="187" t="s">
        <v>510</v>
      </c>
    </row>
    <row r="117" spans="1:7" x14ac:dyDescent="0.25">
      <c r="A117" s="158"/>
      <c r="B117" s="414" t="s">
        <v>487</v>
      </c>
      <c r="C117" s="414"/>
      <c r="D117" s="414"/>
      <c r="E117" s="414"/>
      <c r="F117" s="414"/>
      <c r="G117" s="91"/>
    </row>
    <row r="118" spans="1:7" x14ac:dyDescent="0.25">
      <c r="A118" s="160" t="s">
        <v>532</v>
      </c>
      <c r="B118" s="161" t="s">
        <v>127</v>
      </c>
      <c r="C118" s="161" t="s">
        <v>128</v>
      </c>
      <c r="D118" s="161" t="s">
        <v>129</v>
      </c>
      <c r="E118" s="161" t="s">
        <v>9</v>
      </c>
      <c r="F118" s="161" t="s">
        <v>130</v>
      </c>
      <c r="G118" s="161" t="s">
        <v>25</v>
      </c>
    </row>
    <row r="119" spans="1:7" x14ac:dyDescent="0.25">
      <c r="A119" s="157" t="s">
        <v>207</v>
      </c>
      <c r="B119" s="183">
        <v>681</v>
      </c>
      <c r="C119" s="183">
        <v>219</v>
      </c>
      <c r="D119" s="183">
        <v>2046</v>
      </c>
      <c r="E119" s="183">
        <v>143</v>
      </c>
      <c r="F119" s="183">
        <v>147</v>
      </c>
      <c r="G119" s="183">
        <v>3236</v>
      </c>
    </row>
    <row r="120" spans="1:7" x14ac:dyDescent="0.25">
      <c r="A120" s="136" t="s">
        <v>208</v>
      </c>
      <c r="B120" s="137">
        <v>1234</v>
      </c>
      <c r="C120" s="137">
        <v>471</v>
      </c>
      <c r="D120" s="137">
        <v>4126</v>
      </c>
      <c r="E120" s="137">
        <v>257</v>
      </c>
      <c r="F120" s="137">
        <v>281</v>
      </c>
      <c r="G120" s="137">
        <v>6369</v>
      </c>
    </row>
    <row r="121" spans="1:7" x14ac:dyDescent="0.25">
      <c r="A121" s="136" t="s">
        <v>209</v>
      </c>
      <c r="B121" s="137">
        <v>321</v>
      </c>
      <c r="C121" s="137">
        <v>141</v>
      </c>
      <c r="D121" s="137">
        <v>1407</v>
      </c>
      <c r="E121" s="137">
        <v>122</v>
      </c>
      <c r="F121" s="137">
        <v>120</v>
      </c>
      <c r="G121" s="137">
        <v>2111</v>
      </c>
    </row>
    <row r="122" spans="1:7" x14ac:dyDescent="0.25">
      <c r="A122" s="136" t="s">
        <v>210</v>
      </c>
      <c r="B122" s="137">
        <v>329</v>
      </c>
      <c r="C122" s="137">
        <v>126</v>
      </c>
      <c r="D122" s="137">
        <v>865</v>
      </c>
      <c r="E122" s="137">
        <v>77</v>
      </c>
      <c r="F122" s="137">
        <v>68</v>
      </c>
      <c r="G122" s="137">
        <v>1465</v>
      </c>
    </row>
    <row r="123" spans="1:7" x14ac:dyDescent="0.25">
      <c r="A123" s="136" t="s">
        <v>211</v>
      </c>
      <c r="B123" s="137">
        <v>636</v>
      </c>
      <c r="C123" s="137">
        <v>223</v>
      </c>
      <c r="D123" s="137">
        <v>2365</v>
      </c>
      <c r="E123" s="137">
        <v>188</v>
      </c>
      <c r="F123" s="137">
        <v>164</v>
      </c>
      <c r="G123" s="137">
        <v>3576</v>
      </c>
    </row>
    <row r="124" spans="1:7" x14ac:dyDescent="0.25">
      <c r="A124" s="136" t="s">
        <v>493</v>
      </c>
      <c r="B124" s="137">
        <v>603</v>
      </c>
      <c r="C124" s="137">
        <v>203</v>
      </c>
      <c r="D124" s="137">
        <v>2250</v>
      </c>
      <c r="E124" s="137">
        <v>224</v>
      </c>
      <c r="F124" s="137">
        <v>148</v>
      </c>
      <c r="G124" s="137">
        <v>3428</v>
      </c>
    </row>
    <row r="125" spans="1:7" x14ac:dyDescent="0.25">
      <c r="A125" s="136" t="s">
        <v>212</v>
      </c>
      <c r="B125" s="137">
        <v>791</v>
      </c>
      <c r="C125" s="137">
        <v>292</v>
      </c>
      <c r="D125" s="137">
        <v>3196</v>
      </c>
      <c r="E125" s="137">
        <v>317</v>
      </c>
      <c r="F125" s="137">
        <v>239</v>
      </c>
      <c r="G125" s="137">
        <v>4835</v>
      </c>
    </row>
    <row r="126" spans="1:7" x14ac:dyDescent="0.25">
      <c r="A126" s="136" t="s">
        <v>213</v>
      </c>
      <c r="B126" s="137">
        <v>170</v>
      </c>
      <c r="C126" s="137">
        <v>46</v>
      </c>
      <c r="D126" s="137">
        <v>503</v>
      </c>
      <c r="E126" s="137">
        <v>34</v>
      </c>
      <c r="F126" s="137">
        <v>18</v>
      </c>
      <c r="G126" s="137">
        <v>771</v>
      </c>
    </row>
    <row r="127" spans="1:7" x14ac:dyDescent="0.25">
      <c r="A127" s="136" t="s">
        <v>214</v>
      </c>
      <c r="B127" s="137">
        <v>985</v>
      </c>
      <c r="C127" s="137">
        <v>289</v>
      </c>
      <c r="D127" s="137">
        <v>2933</v>
      </c>
      <c r="E127" s="137">
        <v>246</v>
      </c>
      <c r="F127" s="137">
        <v>160</v>
      </c>
      <c r="G127" s="137">
        <v>4613</v>
      </c>
    </row>
    <row r="128" spans="1:7" x14ac:dyDescent="0.25">
      <c r="A128" s="136" t="s">
        <v>215</v>
      </c>
      <c r="B128" s="137">
        <v>289</v>
      </c>
      <c r="C128" s="137">
        <v>77</v>
      </c>
      <c r="D128" s="137">
        <v>783</v>
      </c>
      <c r="E128" s="137">
        <v>59</v>
      </c>
      <c r="F128" s="137">
        <v>35</v>
      </c>
      <c r="G128" s="137">
        <v>1243</v>
      </c>
    </row>
    <row r="129" spans="1:7" x14ac:dyDescent="0.25">
      <c r="A129" s="136" t="s">
        <v>216</v>
      </c>
      <c r="B129" s="137">
        <v>354</v>
      </c>
      <c r="C129" s="137">
        <v>115</v>
      </c>
      <c r="D129" s="137">
        <v>1017</v>
      </c>
      <c r="E129" s="137">
        <v>64</v>
      </c>
      <c r="F129" s="137">
        <v>54</v>
      </c>
      <c r="G129" s="137">
        <v>1604</v>
      </c>
    </row>
    <row r="130" spans="1:7" x14ac:dyDescent="0.25">
      <c r="A130" s="136" t="s">
        <v>217</v>
      </c>
      <c r="B130" s="137">
        <v>942</v>
      </c>
      <c r="C130" s="137">
        <v>305</v>
      </c>
      <c r="D130" s="137">
        <v>3406</v>
      </c>
      <c r="E130" s="137">
        <v>324</v>
      </c>
      <c r="F130" s="137">
        <v>242</v>
      </c>
      <c r="G130" s="137">
        <v>5219</v>
      </c>
    </row>
    <row r="131" spans="1:7" x14ac:dyDescent="0.25">
      <c r="A131" s="136" t="s">
        <v>218</v>
      </c>
      <c r="B131" s="137">
        <v>562</v>
      </c>
      <c r="C131" s="137">
        <v>204</v>
      </c>
      <c r="D131" s="137">
        <v>1640</v>
      </c>
      <c r="E131" s="137">
        <v>108</v>
      </c>
      <c r="F131" s="137">
        <v>123</v>
      </c>
      <c r="G131" s="137">
        <v>2637</v>
      </c>
    </row>
    <row r="132" spans="1:7" x14ac:dyDescent="0.25">
      <c r="A132" s="136" t="s">
        <v>219</v>
      </c>
      <c r="B132" s="137">
        <v>317</v>
      </c>
      <c r="C132" s="137">
        <v>89</v>
      </c>
      <c r="D132" s="137">
        <v>1104</v>
      </c>
      <c r="E132" s="137">
        <v>77</v>
      </c>
      <c r="F132" s="137">
        <v>37</v>
      </c>
      <c r="G132" s="137">
        <v>1624</v>
      </c>
    </row>
    <row r="133" spans="1:7" x14ac:dyDescent="0.25">
      <c r="A133" s="136" t="s">
        <v>220</v>
      </c>
      <c r="B133" s="137">
        <v>688</v>
      </c>
      <c r="C133" s="137">
        <v>307</v>
      </c>
      <c r="D133" s="137">
        <v>2814</v>
      </c>
      <c r="E133" s="137">
        <v>235</v>
      </c>
      <c r="F133" s="137">
        <v>209</v>
      </c>
      <c r="G133" s="137">
        <v>4253</v>
      </c>
    </row>
    <row r="134" spans="1:7" x14ac:dyDescent="0.25">
      <c r="A134" s="136" t="s">
        <v>221</v>
      </c>
      <c r="B134" s="137">
        <v>466</v>
      </c>
      <c r="C134" s="137">
        <v>199</v>
      </c>
      <c r="D134" s="137">
        <v>2136</v>
      </c>
      <c r="E134" s="137">
        <v>180</v>
      </c>
      <c r="F134" s="137">
        <v>173</v>
      </c>
      <c r="G134" s="137">
        <v>3154</v>
      </c>
    </row>
    <row r="135" spans="1:7" x14ac:dyDescent="0.25">
      <c r="A135" s="136" t="s">
        <v>222</v>
      </c>
      <c r="B135" s="137">
        <v>445</v>
      </c>
      <c r="C135" s="137">
        <v>104</v>
      </c>
      <c r="D135" s="137">
        <v>811</v>
      </c>
      <c r="E135" s="137">
        <v>42</v>
      </c>
      <c r="F135" s="137">
        <v>42</v>
      </c>
      <c r="G135" s="137">
        <v>1444</v>
      </c>
    </row>
    <row r="136" spans="1:7" x14ac:dyDescent="0.25">
      <c r="A136" s="136" t="s">
        <v>223</v>
      </c>
      <c r="B136" s="137">
        <v>332</v>
      </c>
      <c r="C136" s="137">
        <v>113</v>
      </c>
      <c r="D136" s="137">
        <v>1409</v>
      </c>
      <c r="E136" s="137">
        <v>101</v>
      </c>
      <c r="F136" s="137">
        <v>87</v>
      </c>
      <c r="G136" s="137">
        <v>2042</v>
      </c>
    </row>
    <row r="137" spans="1:7" x14ac:dyDescent="0.25">
      <c r="A137" s="136" t="s">
        <v>224</v>
      </c>
      <c r="B137" s="137">
        <v>468</v>
      </c>
      <c r="C137" s="137">
        <v>137</v>
      </c>
      <c r="D137" s="137">
        <v>1542</v>
      </c>
      <c r="E137" s="137">
        <v>89</v>
      </c>
      <c r="F137" s="137">
        <v>128</v>
      </c>
      <c r="G137" s="137">
        <v>2364</v>
      </c>
    </row>
    <row r="138" spans="1:7" x14ac:dyDescent="0.25">
      <c r="A138" s="136" t="s">
        <v>225</v>
      </c>
      <c r="B138" s="137">
        <v>335</v>
      </c>
      <c r="C138" s="137">
        <v>111</v>
      </c>
      <c r="D138" s="137">
        <v>903</v>
      </c>
      <c r="E138" s="137">
        <v>55</v>
      </c>
      <c r="F138" s="137">
        <v>59</v>
      </c>
      <c r="G138" s="137">
        <v>1463</v>
      </c>
    </row>
    <row r="139" spans="1:7" x14ac:dyDescent="0.25">
      <c r="A139" s="136" t="s">
        <v>226</v>
      </c>
      <c r="B139" s="137">
        <v>412</v>
      </c>
      <c r="C139" s="137">
        <v>140</v>
      </c>
      <c r="D139" s="137">
        <v>1500</v>
      </c>
      <c r="E139" s="137">
        <v>105</v>
      </c>
      <c r="F139" s="137">
        <v>66</v>
      </c>
      <c r="G139" s="137">
        <v>2223</v>
      </c>
    </row>
    <row r="140" spans="1:7" x14ac:dyDescent="0.25">
      <c r="A140" s="136" t="s">
        <v>227</v>
      </c>
      <c r="B140" s="137">
        <v>539</v>
      </c>
      <c r="C140" s="137">
        <v>165</v>
      </c>
      <c r="D140" s="137">
        <v>1910</v>
      </c>
      <c r="E140" s="137">
        <v>181</v>
      </c>
      <c r="F140" s="137">
        <v>99</v>
      </c>
      <c r="G140" s="137">
        <v>2894</v>
      </c>
    </row>
    <row r="141" spans="1:7" x14ac:dyDescent="0.25">
      <c r="A141" s="136" t="s">
        <v>228</v>
      </c>
      <c r="B141" s="137">
        <v>856</v>
      </c>
      <c r="C141" s="137">
        <v>262</v>
      </c>
      <c r="D141" s="137">
        <v>2493</v>
      </c>
      <c r="E141" s="137">
        <v>196</v>
      </c>
      <c r="F141" s="137">
        <v>162</v>
      </c>
      <c r="G141" s="137">
        <v>3969</v>
      </c>
    </row>
    <row r="142" spans="1:7" x14ac:dyDescent="0.25">
      <c r="A142" s="136" t="s">
        <v>229</v>
      </c>
      <c r="B142" s="137">
        <v>615</v>
      </c>
      <c r="C142" s="137">
        <v>192</v>
      </c>
      <c r="D142" s="137">
        <v>2071</v>
      </c>
      <c r="E142" s="137">
        <v>211</v>
      </c>
      <c r="F142" s="137">
        <v>144</v>
      </c>
      <c r="G142" s="137">
        <v>3233</v>
      </c>
    </row>
    <row r="143" spans="1:7" x14ac:dyDescent="0.25">
      <c r="A143" s="136" t="s">
        <v>230</v>
      </c>
      <c r="B143" s="137">
        <v>262</v>
      </c>
      <c r="C143" s="137">
        <v>105</v>
      </c>
      <c r="D143" s="137">
        <v>1105</v>
      </c>
      <c r="E143" s="137">
        <v>65</v>
      </c>
      <c r="F143" s="137">
        <v>82</v>
      </c>
      <c r="G143" s="137">
        <v>1619</v>
      </c>
    </row>
    <row r="144" spans="1:7" x14ac:dyDescent="0.25">
      <c r="A144" s="136" t="s">
        <v>231</v>
      </c>
      <c r="B144" s="137">
        <v>207</v>
      </c>
      <c r="C144" s="137">
        <v>47</v>
      </c>
      <c r="D144" s="137">
        <v>587</v>
      </c>
      <c r="E144" s="137">
        <v>37</v>
      </c>
      <c r="F144" s="137">
        <v>31</v>
      </c>
      <c r="G144" s="137">
        <v>909</v>
      </c>
    </row>
    <row r="145" spans="1:7" x14ac:dyDescent="0.25">
      <c r="A145" s="136" t="s">
        <v>232</v>
      </c>
      <c r="B145" s="137">
        <v>522</v>
      </c>
      <c r="C145" s="137">
        <v>193</v>
      </c>
      <c r="D145" s="137">
        <v>1548</v>
      </c>
      <c r="E145" s="137">
        <v>115</v>
      </c>
      <c r="F145" s="137">
        <v>113</v>
      </c>
      <c r="G145" s="137">
        <v>2491</v>
      </c>
    </row>
    <row r="146" spans="1:7" x14ac:dyDescent="0.25">
      <c r="A146" s="136" t="s">
        <v>233</v>
      </c>
      <c r="B146" s="137">
        <v>6341</v>
      </c>
      <c r="C146" s="137">
        <v>2492</v>
      </c>
      <c r="D146" s="137">
        <v>24754</v>
      </c>
      <c r="E146" s="137">
        <v>2313</v>
      </c>
      <c r="F146" s="137">
        <v>2192</v>
      </c>
      <c r="G146" s="137">
        <v>38092</v>
      </c>
    </row>
    <row r="147" spans="1:7" x14ac:dyDescent="0.25">
      <c r="A147" s="136" t="s">
        <v>234</v>
      </c>
      <c r="B147" s="137">
        <v>1703</v>
      </c>
      <c r="C147" s="137">
        <v>695</v>
      </c>
      <c r="D147" s="137">
        <v>6855</v>
      </c>
      <c r="E147" s="137">
        <v>605</v>
      </c>
      <c r="F147" s="137">
        <v>522</v>
      </c>
      <c r="G147" s="137">
        <v>10380</v>
      </c>
    </row>
    <row r="148" spans="1:7" x14ac:dyDescent="0.25">
      <c r="A148" s="136" t="s">
        <v>235</v>
      </c>
      <c r="B148" s="137">
        <v>548</v>
      </c>
      <c r="C148" s="137">
        <v>241</v>
      </c>
      <c r="D148" s="137">
        <v>2627</v>
      </c>
      <c r="E148" s="137">
        <v>244</v>
      </c>
      <c r="F148" s="137">
        <v>185</v>
      </c>
      <c r="G148" s="137">
        <v>3845</v>
      </c>
    </row>
    <row r="149" spans="1:7" x14ac:dyDescent="0.25">
      <c r="A149" s="136" t="s">
        <v>236</v>
      </c>
      <c r="B149" s="137">
        <v>2090</v>
      </c>
      <c r="C149" s="137">
        <v>721</v>
      </c>
      <c r="D149" s="137">
        <v>8711</v>
      </c>
      <c r="E149" s="137">
        <v>779</v>
      </c>
      <c r="F149" s="137">
        <v>643</v>
      </c>
      <c r="G149" s="137">
        <v>12944</v>
      </c>
    </row>
    <row r="150" spans="1:7" x14ac:dyDescent="0.25">
      <c r="A150" s="136" t="s">
        <v>237</v>
      </c>
      <c r="B150" s="137">
        <v>1932</v>
      </c>
      <c r="C150" s="137">
        <v>582</v>
      </c>
      <c r="D150" s="137">
        <v>6409</v>
      </c>
      <c r="E150" s="137">
        <v>470</v>
      </c>
      <c r="F150" s="137">
        <v>385</v>
      </c>
      <c r="G150" s="137">
        <v>9778</v>
      </c>
    </row>
    <row r="151" spans="1:7" x14ac:dyDescent="0.25">
      <c r="A151" s="156" t="s">
        <v>238</v>
      </c>
      <c r="B151" s="182">
        <v>1335</v>
      </c>
      <c r="C151" s="182">
        <v>457</v>
      </c>
      <c r="D151" s="182">
        <v>4992</v>
      </c>
      <c r="E151" s="182">
        <v>388</v>
      </c>
      <c r="F151" s="182">
        <v>393</v>
      </c>
      <c r="G151" s="182">
        <v>7565</v>
      </c>
    </row>
    <row r="152" spans="1:7" x14ac:dyDescent="0.25">
      <c r="A152" s="184" t="s">
        <v>25</v>
      </c>
      <c r="B152" s="185">
        <v>28310</v>
      </c>
      <c r="C152" s="185">
        <v>10063</v>
      </c>
      <c r="D152" s="185">
        <v>102818</v>
      </c>
      <c r="E152" s="185">
        <v>8651</v>
      </c>
      <c r="F152" s="185">
        <v>7551</v>
      </c>
      <c r="G152" s="185">
        <v>157393</v>
      </c>
    </row>
    <row r="153" spans="1:7" x14ac:dyDescent="0.25">
      <c r="A153" s="158"/>
      <c r="B153" s="163"/>
      <c r="C153" s="163"/>
      <c r="D153" s="163"/>
      <c r="E153" s="163"/>
      <c r="F153" s="163"/>
      <c r="G153" s="163"/>
    </row>
    <row r="154" spans="1:7" x14ac:dyDescent="0.25">
      <c r="A154" s="158"/>
      <c r="B154" s="163"/>
      <c r="C154" s="163"/>
      <c r="D154" s="163"/>
      <c r="E154" s="163"/>
      <c r="F154" s="163"/>
      <c r="G154" s="163"/>
    </row>
    <row r="155" spans="1:7" x14ac:dyDescent="0.25">
      <c r="A155" s="158"/>
      <c r="B155" s="158"/>
      <c r="C155" s="158"/>
      <c r="D155" s="158"/>
    </row>
    <row r="156" spans="1:7" x14ac:dyDescent="0.25">
      <c r="A156" s="191" t="s">
        <v>511</v>
      </c>
    </row>
    <row r="157" spans="1:7" x14ac:dyDescent="0.25">
      <c r="A157" s="158"/>
      <c r="B157" s="414" t="s">
        <v>487</v>
      </c>
      <c r="C157" s="414"/>
      <c r="D157" s="414"/>
      <c r="E157" s="414"/>
      <c r="F157" s="414"/>
      <c r="G157" s="91"/>
    </row>
    <row r="158" spans="1:7" x14ac:dyDescent="0.25">
      <c r="A158" s="160" t="s">
        <v>532</v>
      </c>
      <c r="B158" s="189" t="s">
        <v>127</v>
      </c>
      <c r="C158" s="189" t="s">
        <v>128</v>
      </c>
      <c r="D158" s="189" t="s">
        <v>129</v>
      </c>
      <c r="E158" s="189" t="s">
        <v>9</v>
      </c>
      <c r="F158" s="189" t="s">
        <v>130</v>
      </c>
      <c r="G158" s="161" t="s">
        <v>25</v>
      </c>
    </row>
    <row r="159" spans="1:7" x14ac:dyDescent="0.25">
      <c r="A159" s="157" t="s">
        <v>239</v>
      </c>
      <c r="B159" s="137">
        <v>2259</v>
      </c>
      <c r="C159" s="137">
        <v>694</v>
      </c>
      <c r="D159" s="137">
        <v>6207</v>
      </c>
      <c r="E159" s="137">
        <v>443</v>
      </c>
      <c r="F159" s="137">
        <v>379</v>
      </c>
      <c r="G159" s="137">
        <v>9982</v>
      </c>
    </row>
    <row r="160" spans="1:7" x14ac:dyDescent="0.25">
      <c r="A160" s="136" t="s">
        <v>240</v>
      </c>
      <c r="B160" s="137">
        <v>516</v>
      </c>
      <c r="C160" s="137">
        <v>194</v>
      </c>
      <c r="D160" s="137">
        <v>1037</v>
      </c>
      <c r="E160" s="137">
        <v>57</v>
      </c>
      <c r="F160" s="137">
        <v>88</v>
      </c>
      <c r="G160" s="137">
        <v>1892</v>
      </c>
    </row>
    <row r="161" spans="1:7" x14ac:dyDescent="0.25">
      <c r="A161" s="136" t="s">
        <v>241</v>
      </c>
      <c r="B161" s="137">
        <v>791</v>
      </c>
      <c r="C161" s="137">
        <v>314</v>
      </c>
      <c r="D161" s="137">
        <v>2396</v>
      </c>
      <c r="E161" s="137">
        <v>120</v>
      </c>
      <c r="F161" s="137">
        <v>152</v>
      </c>
      <c r="G161" s="137">
        <v>3773</v>
      </c>
    </row>
    <row r="162" spans="1:7" x14ac:dyDescent="0.25">
      <c r="A162" s="136" t="s">
        <v>242</v>
      </c>
      <c r="B162" s="137">
        <v>1690</v>
      </c>
      <c r="C162" s="137">
        <v>775</v>
      </c>
      <c r="D162" s="137">
        <v>4827</v>
      </c>
      <c r="E162" s="137">
        <v>366</v>
      </c>
      <c r="F162" s="137">
        <v>349</v>
      </c>
      <c r="G162" s="137">
        <v>8007</v>
      </c>
    </row>
    <row r="163" spans="1:7" x14ac:dyDescent="0.25">
      <c r="A163" s="136" t="s">
        <v>243</v>
      </c>
      <c r="B163" s="137">
        <v>735</v>
      </c>
      <c r="C163" s="137">
        <v>240</v>
      </c>
      <c r="D163" s="137">
        <v>1392</v>
      </c>
      <c r="E163" s="137">
        <v>84</v>
      </c>
      <c r="F163" s="137">
        <v>100</v>
      </c>
      <c r="G163" s="137">
        <v>2551</v>
      </c>
    </row>
    <row r="164" spans="1:7" x14ac:dyDescent="0.25">
      <c r="A164" s="136" t="s">
        <v>244</v>
      </c>
      <c r="B164" s="137">
        <v>4134</v>
      </c>
      <c r="C164" s="137">
        <v>1331</v>
      </c>
      <c r="D164" s="137">
        <v>16771</v>
      </c>
      <c r="E164" s="137">
        <v>1615</v>
      </c>
      <c r="F164" s="137">
        <v>1180</v>
      </c>
      <c r="G164" s="137">
        <v>25031</v>
      </c>
    </row>
    <row r="165" spans="1:7" x14ac:dyDescent="0.25">
      <c r="A165" s="136" t="s">
        <v>245</v>
      </c>
      <c r="B165" s="137">
        <v>215</v>
      </c>
      <c r="C165" s="137">
        <v>92</v>
      </c>
      <c r="D165" s="137">
        <v>351</v>
      </c>
      <c r="E165" s="137">
        <v>15</v>
      </c>
      <c r="F165" s="137">
        <v>33</v>
      </c>
      <c r="G165" s="137">
        <v>706</v>
      </c>
    </row>
    <row r="166" spans="1:7" x14ac:dyDescent="0.25">
      <c r="A166" s="136" t="s">
        <v>494</v>
      </c>
      <c r="B166" s="137">
        <v>586</v>
      </c>
      <c r="C166" s="137">
        <v>161</v>
      </c>
      <c r="D166" s="137">
        <v>1423</v>
      </c>
      <c r="E166" s="137">
        <v>94</v>
      </c>
      <c r="F166" s="137">
        <v>89</v>
      </c>
      <c r="G166" s="137">
        <v>2353</v>
      </c>
    </row>
    <row r="167" spans="1:7" x14ac:dyDescent="0.25">
      <c r="A167" s="136" t="s">
        <v>246</v>
      </c>
      <c r="B167" s="137">
        <v>332</v>
      </c>
      <c r="C167" s="137">
        <v>113</v>
      </c>
      <c r="D167" s="137">
        <v>831</v>
      </c>
      <c r="E167" s="137">
        <v>40</v>
      </c>
      <c r="F167" s="137">
        <v>62</v>
      </c>
      <c r="G167" s="137">
        <v>1378</v>
      </c>
    </row>
    <row r="168" spans="1:7" x14ac:dyDescent="0.25">
      <c r="A168" s="136" t="s">
        <v>247</v>
      </c>
      <c r="B168" s="137">
        <v>3626</v>
      </c>
      <c r="C168" s="137">
        <v>1053</v>
      </c>
      <c r="D168" s="137">
        <v>10943</v>
      </c>
      <c r="E168" s="137">
        <v>954</v>
      </c>
      <c r="F168" s="137">
        <v>684</v>
      </c>
      <c r="G168" s="137">
        <v>17260</v>
      </c>
    </row>
    <row r="169" spans="1:7" x14ac:dyDescent="0.25">
      <c r="A169" s="136" t="s">
        <v>248</v>
      </c>
      <c r="B169" s="137">
        <v>1507</v>
      </c>
      <c r="C169" s="137">
        <v>507</v>
      </c>
      <c r="D169" s="137">
        <v>3425</v>
      </c>
      <c r="E169" s="137">
        <v>134</v>
      </c>
      <c r="F169" s="137">
        <v>245</v>
      </c>
      <c r="G169" s="137">
        <v>5818</v>
      </c>
    </row>
    <row r="170" spans="1:7" x14ac:dyDescent="0.25">
      <c r="A170" s="136" t="s">
        <v>249</v>
      </c>
      <c r="B170" s="137">
        <v>1082</v>
      </c>
      <c r="C170" s="137">
        <v>559</v>
      </c>
      <c r="D170" s="137">
        <v>2903</v>
      </c>
      <c r="E170" s="137">
        <v>264</v>
      </c>
      <c r="F170" s="137">
        <v>307</v>
      </c>
      <c r="G170" s="137">
        <v>5115</v>
      </c>
    </row>
    <row r="171" spans="1:7" x14ac:dyDescent="0.25">
      <c r="A171" s="136" t="s">
        <v>250</v>
      </c>
      <c r="B171" s="137">
        <v>1311</v>
      </c>
      <c r="C171" s="137">
        <v>449</v>
      </c>
      <c r="D171" s="137">
        <v>5427</v>
      </c>
      <c r="E171" s="137">
        <v>465</v>
      </c>
      <c r="F171" s="137">
        <v>310</v>
      </c>
      <c r="G171" s="137">
        <v>7962</v>
      </c>
    </row>
    <row r="172" spans="1:7" x14ac:dyDescent="0.25">
      <c r="A172" s="136" t="s">
        <v>251</v>
      </c>
      <c r="B172" s="137">
        <v>1947</v>
      </c>
      <c r="C172" s="137">
        <v>631</v>
      </c>
      <c r="D172" s="137">
        <v>5322</v>
      </c>
      <c r="E172" s="137">
        <v>390</v>
      </c>
      <c r="F172" s="137">
        <v>404</v>
      </c>
      <c r="G172" s="137">
        <v>8694</v>
      </c>
    </row>
    <row r="173" spans="1:7" x14ac:dyDescent="0.25">
      <c r="A173" s="136" t="s">
        <v>252</v>
      </c>
      <c r="B173" s="137">
        <v>422</v>
      </c>
      <c r="C173" s="137">
        <v>109</v>
      </c>
      <c r="D173" s="137">
        <v>1020</v>
      </c>
      <c r="E173" s="137">
        <v>66</v>
      </c>
      <c r="F173" s="137">
        <v>61</v>
      </c>
      <c r="G173" s="137">
        <v>1678</v>
      </c>
    </row>
    <row r="174" spans="1:7" x14ac:dyDescent="0.25">
      <c r="A174" s="136" t="s">
        <v>253</v>
      </c>
      <c r="B174" s="137">
        <v>458</v>
      </c>
      <c r="C174" s="137">
        <v>139</v>
      </c>
      <c r="D174" s="137">
        <v>744</v>
      </c>
      <c r="E174" s="137">
        <v>51</v>
      </c>
      <c r="F174" s="137">
        <v>41</v>
      </c>
      <c r="G174" s="137">
        <v>1433</v>
      </c>
    </row>
    <row r="175" spans="1:7" x14ac:dyDescent="0.25">
      <c r="A175" s="136" t="s">
        <v>254</v>
      </c>
      <c r="B175" s="137">
        <v>360</v>
      </c>
      <c r="C175" s="137">
        <v>145</v>
      </c>
      <c r="D175" s="137">
        <v>1016</v>
      </c>
      <c r="E175" s="137">
        <v>43</v>
      </c>
      <c r="F175" s="137">
        <v>67</v>
      </c>
      <c r="G175" s="137">
        <v>1631</v>
      </c>
    </row>
    <row r="176" spans="1:7" x14ac:dyDescent="0.25">
      <c r="A176" s="136" t="s">
        <v>255</v>
      </c>
      <c r="B176" s="137">
        <v>387</v>
      </c>
      <c r="C176" s="137">
        <v>112</v>
      </c>
      <c r="D176" s="137">
        <v>1249</v>
      </c>
      <c r="E176" s="137">
        <v>58</v>
      </c>
      <c r="F176" s="137">
        <v>74</v>
      </c>
      <c r="G176" s="137">
        <v>1880</v>
      </c>
    </row>
    <row r="177" spans="1:7" x14ac:dyDescent="0.25">
      <c r="A177" s="136" t="s">
        <v>256</v>
      </c>
      <c r="B177" s="137">
        <v>984</v>
      </c>
      <c r="C177" s="137">
        <v>344</v>
      </c>
      <c r="D177" s="137">
        <v>2384</v>
      </c>
      <c r="E177" s="137">
        <v>138</v>
      </c>
      <c r="F177" s="137">
        <v>152</v>
      </c>
      <c r="G177" s="137">
        <v>4002</v>
      </c>
    </row>
    <row r="178" spans="1:7" x14ac:dyDescent="0.25">
      <c r="A178" s="136" t="s">
        <v>257</v>
      </c>
      <c r="B178" s="137">
        <v>573</v>
      </c>
      <c r="C178" s="137">
        <v>200</v>
      </c>
      <c r="D178" s="137">
        <v>1604</v>
      </c>
      <c r="E178" s="137">
        <v>98</v>
      </c>
      <c r="F178" s="137">
        <v>95</v>
      </c>
      <c r="G178" s="137">
        <v>2570</v>
      </c>
    </row>
    <row r="179" spans="1:7" x14ac:dyDescent="0.25">
      <c r="A179" s="136" t="s">
        <v>258</v>
      </c>
      <c r="B179" s="137">
        <v>436</v>
      </c>
      <c r="C179" s="137">
        <v>147</v>
      </c>
      <c r="D179" s="137">
        <v>1676</v>
      </c>
      <c r="E179" s="137">
        <v>86</v>
      </c>
      <c r="F179" s="137">
        <v>94</v>
      </c>
      <c r="G179" s="137">
        <v>2439</v>
      </c>
    </row>
    <row r="180" spans="1:7" x14ac:dyDescent="0.25">
      <c r="A180" s="136" t="s">
        <v>259</v>
      </c>
      <c r="B180" s="137">
        <v>685</v>
      </c>
      <c r="C180" s="137">
        <v>228</v>
      </c>
      <c r="D180" s="137">
        <v>2182</v>
      </c>
      <c r="E180" s="137">
        <v>139</v>
      </c>
      <c r="F180" s="137">
        <v>133</v>
      </c>
      <c r="G180" s="137">
        <v>3367</v>
      </c>
    </row>
    <row r="181" spans="1:7" x14ac:dyDescent="0.25">
      <c r="A181" s="136" t="s">
        <v>260</v>
      </c>
      <c r="B181" s="137">
        <v>1828</v>
      </c>
      <c r="C181" s="137">
        <v>584</v>
      </c>
      <c r="D181" s="137">
        <v>4476</v>
      </c>
      <c r="E181" s="137">
        <v>291</v>
      </c>
      <c r="F181" s="137">
        <v>328</v>
      </c>
      <c r="G181" s="137">
        <v>7507</v>
      </c>
    </row>
    <row r="182" spans="1:7" x14ac:dyDescent="0.25">
      <c r="A182" s="136" t="s">
        <v>261</v>
      </c>
      <c r="B182" s="137">
        <v>1787</v>
      </c>
      <c r="C182" s="137">
        <v>521</v>
      </c>
      <c r="D182" s="137">
        <v>5593</v>
      </c>
      <c r="E182" s="137">
        <v>423</v>
      </c>
      <c r="F182" s="137">
        <v>289</v>
      </c>
      <c r="G182" s="137">
        <v>8613</v>
      </c>
    </row>
    <row r="183" spans="1:7" x14ac:dyDescent="0.25">
      <c r="A183" s="136" t="s">
        <v>262</v>
      </c>
      <c r="B183" s="137">
        <v>380</v>
      </c>
      <c r="C183" s="137">
        <v>125</v>
      </c>
      <c r="D183" s="137">
        <v>984</v>
      </c>
      <c r="E183" s="137">
        <v>59</v>
      </c>
      <c r="F183" s="137">
        <v>60</v>
      </c>
      <c r="G183" s="137">
        <v>1608</v>
      </c>
    </row>
    <row r="184" spans="1:7" x14ac:dyDescent="0.25">
      <c r="A184" s="136" t="s">
        <v>263</v>
      </c>
      <c r="B184" s="137">
        <v>7680</v>
      </c>
      <c r="C184" s="137">
        <v>2753</v>
      </c>
      <c r="D184" s="137">
        <v>24449</v>
      </c>
      <c r="E184" s="137">
        <v>2642</v>
      </c>
      <c r="F184" s="137">
        <v>1782</v>
      </c>
      <c r="G184" s="137">
        <v>39306</v>
      </c>
    </row>
    <row r="185" spans="1:7" x14ac:dyDescent="0.25">
      <c r="A185" s="136" t="s">
        <v>264</v>
      </c>
      <c r="B185" s="137">
        <v>1092</v>
      </c>
      <c r="C185" s="137">
        <v>393</v>
      </c>
      <c r="D185" s="137">
        <v>3495</v>
      </c>
      <c r="E185" s="137">
        <v>180</v>
      </c>
      <c r="F185" s="137">
        <v>202</v>
      </c>
      <c r="G185" s="137">
        <v>5362</v>
      </c>
    </row>
    <row r="186" spans="1:7" x14ac:dyDescent="0.25">
      <c r="A186" s="136" t="s">
        <v>265</v>
      </c>
      <c r="B186" s="137">
        <v>261</v>
      </c>
      <c r="C186" s="137">
        <v>70</v>
      </c>
      <c r="D186" s="137">
        <v>475</v>
      </c>
      <c r="E186" s="137">
        <v>28</v>
      </c>
      <c r="F186" s="137">
        <v>30</v>
      </c>
      <c r="G186" s="137">
        <v>864</v>
      </c>
    </row>
    <row r="187" spans="1:7" x14ac:dyDescent="0.25">
      <c r="A187" s="136" t="s">
        <v>266</v>
      </c>
      <c r="B187" s="137">
        <v>678</v>
      </c>
      <c r="C187" s="137">
        <v>224</v>
      </c>
      <c r="D187" s="137">
        <v>2050</v>
      </c>
      <c r="E187" s="137">
        <v>164</v>
      </c>
      <c r="F187" s="137">
        <v>114</v>
      </c>
      <c r="G187" s="137">
        <v>3230</v>
      </c>
    </row>
    <row r="188" spans="1:7" x14ac:dyDescent="0.25">
      <c r="A188" s="156" t="s">
        <v>267</v>
      </c>
      <c r="B188" s="182">
        <v>791</v>
      </c>
      <c r="C188" s="182">
        <v>264</v>
      </c>
      <c r="D188" s="182">
        <v>1958</v>
      </c>
      <c r="E188" s="137">
        <v>89</v>
      </c>
      <c r="F188" s="137">
        <v>138</v>
      </c>
      <c r="G188" s="137">
        <v>3240</v>
      </c>
    </row>
    <row r="189" spans="1:7" x14ac:dyDescent="0.25">
      <c r="A189" s="184" t="s">
        <v>25</v>
      </c>
      <c r="B189" s="185">
        <v>39533</v>
      </c>
      <c r="C189" s="185">
        <v>13471</v>
      </c>
      <c r="D189" s="185">
        <v>118610</v>
      </c>
      <c r="E189" s="185">
        <v>9596</v>
      </c>
      <c r="F189" s="185">
        <v>8042</v>
      </c>
      <c r="G189" s="185">
        <v>189252</v>
      </c>
    </row>
    <row r="190" spans="1:7" x14ac:dyDescent="0.25">
      <c r="A190" s="158"/>
      <c r="B190" s="158"/>
      <c r="C190" s="158"/>
      <c r="D190" s="158"/>
      <c r="E190" s="158"/>
      <c r="F190" s="158"/>
      <c r="G190" s="158"/>
    </row>
    <row r="191" spans="1:7" x14ac:dyDescent="0.25">
      <c r="A191" s="158"/>
      <c r="B191" s="158"/>
      <c r="C191" s="158"/>
      <c r="D191" s="158"/>
      <c r="E191" s="158"/>
      <c r="F191" s="158"/>
      <c r="G191" s="158"/>
    </row>
    <row r="192" spans="1:7" x14ac:dyDescent="0.25">
      <c r="A192" s="158"/>
      <c r="B192" s="158"/>
      <c r="C192" s="158"/>
      <c r="D192" s="158"/>
    </row>
    <row r="193" spans="1:7" x14ac:dyDescent="0.25">
      <c r="A193" s="187" t="s">
        <v>512</v>
      </c>
    </row>
    <row r="194" spans="1:7" x14ac:dyDescent="0.25">
      <c r="A194" s="158"/>
      <c r="B194" s="414" t="s">
        <v>487</v>
      </c>
      <c r="C194" s="414"/>
      <c r="D194" s="414"/>
      <c r="E194" s="414"/>
      <c r="F194" s="414"/>
      <c r="G194" s="91"/>
    </row>
    <row r="195" spans="1:7" x14ac:dyDescent="0.25">
      <c r="A195" s="160" t="s">
        <v>532</v>
      </c>
      <c r="B195" s="189" t="s">
        <v>127</v>
      </c>
      <c r="C195" s="189" t="s">
        <v>128</v>
      </c>
      <c r="D195" s="189" t="s">
        <v>129</v>
      </c>
      <c r="E195" s="189" t="s">
        <v>9</v>
      </c>
      <c r="F195" s="189" t="s">
        <v>130</v>
      </c>
      <c r="G195" s="161" t="s">
        <v>25</v>
      </c>
    </row>
    <row r="196" spans="1:7" x14ac:dyDescent="0.25">
      <c r="A196" s="157" t="s">
        <v>269</v>
      </c>
      <c r="B196" s="137">
        <v>184</v>
      </c>
      <c r="C196" s="137">
        <v>211</v>
      </c>
      <c r="D196" s="137">
        <v>328</v>
      </c>
      <c r="E196" s="137">
        <v>6</v>
      </c>
      <c r="F196" s="137">
        <v>86</v>
      </c>
      <c r="G196" s="137">
        <v>815</v>
      </c>
    </row>
    <row r="197" spans="1:7" x14ac:dyDescent="0.25">
      <c r="A197" s="136" t="s">
        <v>270</v>
      </c>
      <c r="B197" s="137">
        <v>213</v>
      </c>
      <c r="C197" s="137">
        <v>86</v>
      </c>
      <c r="D197" s="137">
        <v>477</v>
      </c>
      <c r="E197" s="137">
        <v>50</v>
      </c>
      <c r="F197" s="137">
        <v>37</v>
      </c>
      <c r="G197" s="137">
        <v>863</v>
      </c>
    </row>
    <row r="198" spans="1:7" x14ac:dyDescent="0.25">
      <c r="A198" s="136" t="s">
        <v>271</v>
      </c>
      <c r="B198" s="137">
        <v>1459</v>
      </c>
      <c r="C198" s="137">
        <v>556</v>
      </c>
      <c r="D198" s="137">
        <v>3454</v>
      </c>
      <c r="E198" s="137">
        <v>276</v>
      </c>
      <c r="F198" s="137">
        <v>214</v>
      </c>
      <c r="G198" s="137">
        <v>5959</v>
      </c>
    </row>
    <row r="199" spans="1:7" x14ac:dyDescent="0.25">
      <c r="A199" s="136" t="s">
        <v>272</v>
      </c>
      <c r="B199" s="137">
        <v>1185</v>
      </c>
      <c r="C199" s="137">
        <v>660</v>
      </c>
      <c r="D199" s="137">
        <v>3203</v>
      </c>
      <c r="E199" s="137">
        <v>249</v>
      </c>
      <c r="F199" s="137">
        <v>258</v>
      </c>
      <c r="G199" s="137">
        <v>5555</v>
      </c>
    </row>
    <row r="200" spans="1:7" x14ac:dyDescent="0.25">
      <c r="A200" s="136" t="s">
        <v>495</v>
      </c>
      <c r="B200" s="137">
        <v>1646</v>
      </c>
      <c r="C200" s="137">
        <v>525</v>
      </c>
      <c r="D200" s="137">
        <v>3412</v>
      </c>
      <c r="E200" s="137">
        <v>231</v>
      </c>
      <c r="F200" s="137">
        <v>217</v>
      </c>
      <c r="G200" s="137">
        <v>6031</v>
      </c>
    </row>
    <row r="201" spans="1:7" x14ac:dyDescent="0.25">
      <c r="A201" s="136" t="s">
        <v>273</v>
      </c>
      <c r="B201" s="137">
        <v>2333</v>
      </c>
      <c r="C201" s="137">
        <v>819</v>
      </c>
      <c r="D201" s="137">
        <v>8726</v>
      </c>
      <c r="E201" s="137">
        <v>980</v>
      </c>
      <c r="F201" s="137">
        <v>486</v>
      </c>
      <c r="G201" s="137">
        <v>13344</v>
      </c>
    </row>
    <row r="202" spans="1:7" x14ac:dyDescent="0.25">
      <c r="A202" s="136" t="s">
        <v>274</v>
      </c>
      <c r="B202" s="137">
        <v>6243</v>
      </c>
      <c r="C202" s="137">
        <v>1954</v>
      </c>
      <c r="D202" s="137">
        <v>23553</v>
      </c>
      <c r="E202" s="137">
        <v>2793</v>
      </c>
      <c r="F202" s="137">
        <v>1235</v>
      </c>
      <c r="G202" s="137">
        <v>35778</v>
      </c>
    </row>
    <row r="203" spans="1:7" x14ac:dyDescent="0.25">
      <c r="A203" s="136" t="s">
        <v>275</v>
      </c>
      <c r="B203" s="137">
        <v>312</v>
      </c>
      <c r="C203" s="137">
        <v>122</v>
      </c>
      <c r="D203" s="137">
        <v>643</v>
      </c>
      <c r="E203" s="137">
        <v>41</v>
      </c>
      <c r="F203" s="137">
        <v>53</v>
      </c>
      <c r="G203" s="137">
        <v>1171</v>
      </c>
    </row>
    <row r="204" spans="1:7" x14ac:dyDescent="0.25">
      <c r="A204" s="136" t="s">
        <v>276</v>
      </c>
      <c r="B204" s="137">
        <v>3671</v>
      </c>
      <c r="C204" s="137">
        <v>1344</v>
      </c>
      <c r="D204" s="137">
        <v>11349</v>
      </c>
      <c r="E204" s="137">
        <v>1120</v>
      </c>
      <c r="F204" s="137">
        <v>705</v>
      </c>
      <c r="G204" s="137">
        <v>18189</v>
      </c>
    </row>
    <row r="205" spans="1:7" x14ac:dyDescent="0.25">
      <c r="A205" s="136" t="s">
        <v>277</v>
      </c>
      <c r="B205" s="137">
        <v>1293</v>
      </c>
      <c r="C205" s="137">
        <v>506</v>
      </c>
      <c r="D205" s="137">
        <v>3578</v>
      </c>
      <c r="E205" s="137">
        <v>343</v>
      </c>
      <c r="F205" s="137">
        <v>183</v>
      </c>
      <c r="G205" s="137">
        <v>5903</v>
      </c>
    </row>
    <row r="206" spans="1:7" x14ac:dyDescent="0.25">
      <c r="A206" s="136" t="s">
        <v>278</v>
      </c>
      <c r="B206" s="137">
        <v>585</v>
      </c>
      <c r="C206" s="137">
        <v>187</v>
      </c>
      <c r="D206" s="137">
        <v>1343</v>
      </c>
      <c r="E206" s="137">
        <v>103</v>
      </c>
      <c r="F206" s="137">
        <v>81</v>
      </c>
      <c r="G206" s="137">
        <v>2299</v>
      </c>
    </row>
    <row r="207" spans="1:7" x14ac:dyDescent="0.25">
      <c r="A207" s="136" t="s">
        <v>279</v>
      </c>
      <c r="B207" s="137">
        <v>2673</v>
      </c>
      <c r="C207" s="137">
        <v>936</v>
      </c>
      <c r="D207" s="137">
        <v>9970</v>
      </c>
      <c r="E207" s="137">
        <v>1166</v>
      </c>
      <c r="F207" s="137">
        <v>471</v>
      </c>
      <c r="G207" s="137">
        <v>15216</v>
      </c>
    </row>
    <row r="208" spans="1:7" x14ac:dyDescent="0.25">
      <c r="A208" s="136" t="s">
        <v>280</v>
      </c>
      <c r="B208" s="137">
        <v>902</v>
      </c>
      <c r="C208" s="137">
        <v>375</v>
      </c>
      <c r="D208" s="137">
        <v>2217</v>
      </c>
      <c r="E208" s="137">
        <v>189</v>
      </c>
      <c r="F208" s="137">
        <v>180</v>
      </c>
      <c r="G208" s="137">
        <v>3863</v>
      </c>
    </row>
    <row r="209" spans="1:7" x14ac:dyDescent="0.25">
      <c r="A209" s="136" t="s">
        <v>281</v>
      </c>
      <c r="B209" s="137">
        <v>1242</v>
      </c>
      <c r="C209" s="137">
        <v>616</v>
      </c>
      <c r="D209" s="137">
        <v>2666</v>
      </c>
      <c r="E209" s="137">
        <v>274</v>
      </c>
      <c r="F209" s="137">
        <v>251</v>
      </c>
      <c r="G209" s="137">
        <v>5049</v>
      </c>
    </row>
    <row r="210" spans="1:7" x14ac:dyDescent="0.25">
      <c r="A210" s="136" t="s">
        <v>282</v>
      </c>
      <c r="B210" s="137">
        <v>1051</v>
      </c>
      <c r="C210" s="137">
        <v>437</v>
      </c>
      <c r="D210" s="137">
        <v>2480</v>
      </c>
      <c r="E210" s="137">
        <v>205</v>
      </c>
      <c r="F210" s="137">
        <v>140</v>
      </c>
      <c r="G210" s="137">
        <v>4313</v>
      </c>
    </row>
    <row r="211" spans="1:7" x14ac:dyDescent="0.25">
      <c r="A211" s="136" t="s">
        <v>283</v>
      </c>
      <c r="B211" s="137">
        <v>740</v>
      </c>
      <c r="C211" s="137">
        <v>301</v>
      </c>
      <c r="D211" s="137">
        <v>1937</v>
      </c>
      <c r="E211" s="137">
        <v>164</v>
      </c>
      <c r="F211" s="137">
        <v>145</v>
      </c>
      <c r="G211" s="137">
        <v>3287</v>
      </c>
    </row>
    <row r="212" spans="1:7" x14ac:dyDescent="0.25">
      <c r="A212" s="136" t="s">
        <v>284</v>
      </c>
      <c r="B212" s="137">
        <v>6971</v>
      </c>
      <c r="C212" s="137">
        <v>3282</v>
      </c>
      <c r="D212" s="137">
        <v>19795</v>
      </c>
      <c r="E212" s="137">
        <v>1962</v>
      </c>
      <c r="F212" s="137">
        <v>1873</v>
      </c>
      <c r="G212" s="137">
        <v>33883</v>
      </c>
    </row>
    <row r="213" spans="1:7" x14ac:dyDescent="0.25">
      <c r="A213" s="136" t="s">
        <v>285</v>
      </c>
      <c r="B213" s="137">
        <v>1827</v>
      </c>
      <c r="C213" s="137">
        <v>571</v>
      </c>
      <c r="D213" s="137">
        <v>6178</v>
      </c>
      <c r="E213" s="137">
        <v>516</v>
      </c>
      <c r="F213" s="137">
        <v>306</v>
      </c>
      <c r="G213" s="137">
        <v>9398</v>
      </c>
    </row>
    <row r="214" spans="1:7" x14ac:dyDescent="0.25">
      <c r="A214" s="136" t="s">
        <v>286</v>
      </c>
      <c r="B214" s="137">
        <v>1279</v>
      </c>
      <c r="C214" s="137">
        <v>692</v>
      </c>
      <c r="D214" s="137">
        <v>3433</v>
      </c>
      <c r="E214" s="137">
        <v>323</v>
      </c>
      <c r="F214" s="137">
        <v>363</v>
      </c>
      <c r="G214" s="137">
        <v>6090</v>
      </c>
    </row>
    <row r="215" spans="1:7" x14ac:dyDescent="0.25">
      <c r="A215" s="136" t="s">
        <v>287</v>
      </c>
      <c r="B215" s="137">
        <v>1129</v>
      </c>
      <c r="C215" s="137">
        <v>546</v>
      </c>
      <c r="D215" s="137">
        <v>2880</v>
      </c>
      <c r="E215" s="137">
        <v>190</v>
      </c>
      <c r="F215" s="137">
        <v>311</v>
      </c>
      <c r="G215" s="137">
        <v>5056</v>
      </c>
    </row>
    <row r="216" spans="1:7" x14ac:dyDescent="0.25">
      <c r="A216" s="136" t="s">
        <v>288</v>
      </c>
      <c r="B216" s="137">
        <v>389</v>
      </c>
      <c r="C216" s="137">
        <v>240</v>
      </c>
      <c r="D216" s="137">
        <v>1055</v>
      </c>
      <c r="E216" s="137">
        <v>84</v>
      </c>
      <c r="F216" s="137">
        <v>153</v>
      </c>
      <c r="G216" s="137">
        <v>1921</v>
      </c>
    </row>
    <row r="217" spans="1:7" x14ac:dyDescent="0.25">
      <c r="A217" s="136" t="s">
        <v>289</v>
      </c>
      <c r="B217" s="137">
        <v>1542</v>
      </c>
      <c r="C217" s="137">
        <v>562</v>
      </c>
      <c r="D217" s="137">
        <v>5383</v>
      </c>
      <c r="E217" s="137">
        <v>593</v>
      </c>
      <c r="F217" s="137">
        <v>310</v>
      </c>
      <c r="G217" s="137">
        <v>8390</v>
      </c>
    </row>
    <row r="218" spans="1:7" x14ac:dyDescent="0.25">
      <c r="A218" s="136" t="s">
        <v>290</v>
      </c>
      <c r="B218" s="137">
        <v>271</v>
      </c>
      <c r="C218" s="137">
        <v>101</v>
      </c>
      <c r="D218" s="137">
        <v>537</v>
      </c>
      <c r="E218" s="137">
        <v>27</v>
      </c>
      <c r="F218" s="137">
        <v>39</v>
      </c>
      <c r="G218" s="137">
        <v>975</v>
      </c>
    </row>
    <row r="219" spans="1:7" x14ac:dyDescent="0.25">
      <c r="A219" s="136" t="s">
        <v>291</v>
      </c>
      <c r="B219" s="137">
        <v>554</v>
      </c>
      <c r="C219" s="137">
        <v>251</v>
      </c>
      <c r="D219" s="137">
        <v>1019</v>
      </c>
      <c r="E219" s="137">
        <v>114</v>
      </c>
      <c r="F219" s="137">
        <v>86</v>
      </c>
      <c r="G219" s="137">
        <v>2024</v>
      </c>
    </row>
    <row r="220" spans="1:7" ht="30" x14ac:dyDescent="0.25">
      <c r="A220" s="136" t="s">
        <v>292</v>
      </c>
      <c r="B220" s="137">
        <v>2540</v>
      </c>
      <c r="C220" s="137">
        <v>1016</v>
      </c>
      <c r="D220" s="137">
        <v>9012</v>
      </c>
      <c r="E220" s="137">
        <v>1048</v>
      </c>
      <c r="F220" s="137">
        <v>560</v>
      </c>
      <c r="G220" s="137">
        <v>14176</v>
      </c>
    </row>
    <row r="221" spans="1:7" x14ac:dyDescent="0.25">
      <c r="A221" s="136" t="s">
        <v>293</v>
      </c>
      <c r="B221" s="137">
        <v>178</v>
      </c>
      <c r="C221" s="137">
        <v>94</v>
      </c>
      <c r="D221" s="137">
        <v>441</v>
      </c>
      <c r="E221" s="137">
        <v>40</v>
      </c>
      <c r="F221" s="137">
        <v>38</v>
      </c>
      <c r="G221" s="137">
        <v>791</v>
      </c>
    </row>
    <row r="222" spans="1:7" x14ac:dyDescent="0.25">
      <c r="A222" s="136" t="s">
        <v>294</v>
      </c>
      <c r="B222" s="137">
        <v>677</v>
      </c>
      <c r="C222" s="137">
        <v>295</v>
      </c>
      <c r="D222" s="137">
        <v>1501</v>
      </c>
      <c r="E222" s="137">
        <v>83</v>
      </c>
      <c r="F222" s="137">
        <v>128</v>
      </c>
      <c r="G222" s="137">
        <v>2684</v>
      </c>
    </row>
    <row r="223" spans="1:7" x14ac:dyDescent="0.25">
      <c r="A223" s="136" t="s">
        <v>295</v>
      </c>
      <c r="B223" s="137">
        <v>756</v>
      </c>
      <c r="C223" s="137">
        <v>228</v>
      </c>
      <c r="D223" s="137">
        <v>1424</v>
      </c>
      <c r="E223" s="137">
        <v>107</v>
      </c>
      <c r="F223" s="137">
        <v>101</v>
      </c>
      <c r="G223" s="137">
        <v>2616</v>
      </c>
    </row>
    <row r="224" spans="1:7" x14ac:dyDescent="0.25">
      <c r="A224" s="136" t="s">
        <v>296</v>
      </c>
      <c r="B224" s="137">
        <v>4752</v>
      </c>
      <c r="C224" s="137">
        <v>1750</v>
      </c>
      <c r="D224" s="137">
        <v>16230</v>
      </c>
      <c r="E224" s="137">
        <v>1569</v>
      </c>
      <c r="F224" s="137">
        <v>1015</v>
      </c>
      <c r="G224" s="137">
        <v>25316</v>
      </c>
    </row>
    <row r="225" spans="1:7" x14ac:dyDescent="0.25">
      <c r="A225" s="136" t="s">
        <v>297</v>
      </c>
      <c r="B225" s="137">
        <v>542</v>
      </c>
      <c r="C225" s="137">
        <v>208</v>
      </c>
      <c r="D225" s="137">
        <v>569</v>
      </c>
      <c r="E225" s="137">
        <v>14</v>
      </c>
      <c r="F225" s="137">
        <v>57</v>
      </c>
      <c r="G225" s="137">
        <v>1390</v>
      </c>
    </row>
    <row r="226" spans="1:7" x14ac:dyDescent="0.25">
      <c r="A226" s="136" t="s">
        <v>298</v>
      </c>
      <c r="B226" s="137">
        <v>2051</v>
      </c>
      <c r="C226" s="137">
        <v>657</v>
      </c>
      <c r="D226" s="137">
        <v>7328</v>
      </c>
      <c r="E226" s="137">
        <v>764</v>
      </c>
      <c r="F226" s="137">
        <v>381</v>
      </c>
      <c r="G226" s="137">
        <v>11181</v>
      </c>
    </row>
    <row r="227" spans="1:7" x14ac:dyDescent="0.25">
      <c r="A227" s="156" t="s">
        <v>299</v>
      </c>
      <c r="B227" s="182">
        <v>616</v>
      </c>
      <c r="C227" s="182">
        <v>300</v>
      </c>
      <c r="D227" s="182">
        <v>1819</v>
      </c>
      <c r="E227" s="182">
        <v>157</v>
      </c>
      <c r="F227" s="182">
        <v>158</v>
      </c>
      <c r="G227" s="182">
        <v>3050</v>
      </c>
    </row>
    <row r="228" spans="1:7" x14ac:dyDescent="0.25">
      <c r="A228" s="159" t="s">
        <v>300</v>
      </c>
      <c r="B228" s="174">
        <v>1249</v>
      </c>
      <c r="C228" s="174">
        <v>676</v>
      </c>
      <c r="D228" s="174">
        <v>2884</v>
      </c>
      <c r="E228" s="174">
        <v>229</v>
      </c>
      <c r="F228" s="174">
        <v>258</v>
      </c>
      <c r="G228" s="174">
        <v>5296</v>
      </c>
    </row>
    <row r="229" spans="1:7" x14ac:dyDescent="0.25">
      <c r="A229" s="184" t="s">
        <v>25</v>
      </c>
      <c r="B229" s="185">
        <v>53055</v>
      </c>
      <c r="C229" s="185">
        <v>21104</v>
      </c>
      <c r="D229" s="185">
        <v>160824</v>
      </c>
      <c r="E229" s="185">
        <v>16010</v>
      </c>
      <c r="F229" s="185">
        <v>10879</v>
      </c>
      <c r="G229" s="185">
        <v>261872</v>
      </c>
    </row>
    <row r="230" spans="1:7" x14ac:dyDescent="0.25">
      <c r="A230" s="158"/>
      <c r="B230" s="158"/>
      <c r="C230" s="158"/>
      <c r="D230" s="158"/>
    </row>
    <row r="231" spans="1:7" x14ac:dyDescent="0.25">
      <c r="A231" s="158"/>
      <c r="B231" s="158"/>
      <c r="C231" s="158"/>
      <c r="D231" s="158"/>
    </row>
    <row r="232" spans="1:7" x14ac:dyDescent="0.25">
      <c r="A232" s="158"/>
      <c r="B232" s="158"/>
      <c r="C232" s="158"/>
      <c r="D232" s="158"/>
    </row>
    <row r="233" spans="1:7" x14ac:dyDescent="0.25">
      <c r="A233" s="187" t="s">
        <v>513</v>
      </c>
    </row>
    <row r="234" spans="1:7" x14ac:dyDescent="0.25">
      <c r="A234" s="158"/>
      <c r="B234" s="414" t="s">
        <v>487</v>
      </c>
      <c r="C234" s="414"/>
      <c r="D234" s="414"/>
      <c r="E234" s="414"/>
      <c r="F234" s="414"/>
      <c r="G234" s="91"/>
    </row>
    <row r="235" spans="1:7" x14ac:dyDescent="0.25">
      <c r="A235" s="160" t="s">
        <v>532</v>
      </c>
      <c r="B235" s="189" t="s">
        <v>127</v>
      </c>
      <c r="C235" s="189" t="s">
        <v>128</v>
      </c>
      <c r="D235" s="189" t="s">
        <v>129</v>
      </c>
      <c r="E235" s="189" t="s">
        <v>9</v>
      </c>
      <c r="F235" s="189" t="s">
        <v>130</v>
      </c>
      <c r="G235" s="161" t="s">
        <v>25</v>
      </c>
    </row>
    <row r="236" spans="1:7" x14ac:dyDescent="0.25">
      <c r="A236" s="157" t="s">
        <v>301</v>
      </c>
      <c r="B236" s="183">
        <v>1894</v>
      </c>
      <c r="C236" s="183">
        <v>679</v>
      </c>
      <c r="D236" s="183">
        <v>6178</v>
      </c>
      <c r="E236" s="183">
        <v>475</v>
      </c>
      <c r="F236" s="183">
        <v>440</v>
      </c>
      <c r="G236" s="183">
        <v>9666</v>
      </c>
    </row>
    <row r="237" spans="1:7" x14ac:dyDescent="0.25">
      <c r="A237" s="136" t="s">
        <v>302</v>
      </c>
      <c r="B237" s="137">
        <v>1924</v>
      </c>
      <c r="C237" s="137">
        <v>591</v>
      </c>
      <c r="D237" s="137">
        <v>2142</v>
      </c>
      <c r="E237" s="137">
        <v>96</v>
      </c>
      <c r="F237" s="137">
        <v>186</v>
      </c>
      <c r="G237" s="137">
        <v>4939</v>
      </c>
    </row>
    <row r="238" spans="1:7" x14ac:dyDescent="0.25">
      <c r="A238" s="136" t="s">
        <v>303</v>
      </c>
      <c r="B238" s="137">
        <v>729</v>
      </c>
      <c r="C238" s="137">
        <v>212</v>
      </c>
      <c r="D238" s="137">
        <v>839</v>
      </c>
      <c r="E238" s="137">
        <v>30</v>
      </c>
      <c r="F238" s="137">
        <v>90</v>
      </c>
      <c r="G238" s="137">
        <v>1900</v>
      </c>
    </row>
    <row r="239" spans="1:7" x14ac:dyDescent="0.25">
      <c r="A239" s="136" t="s">
        <v>304</v>
      </c>
      <c r="B239" s="137">
        <v>959</v>
      </c>
      <c r="C239" s="137">
        <v>338</v>
      </c>
      <c r="D239" s="137">
        <v>2436</v>
      </c>
      <c r="E239" s="137">
        <v>186</v>
      </c>
      <c r="F239" s="137">
        <v>175</v>
      </c>
      <c r="G239" s="137">
        <v>4094</v>
      </c>
    </row>
    <row r="240" spans="1:7" x14ac:dyDescent="0.25">
      <c r="A240" s="136" t="s">
        <v>305</v>
      </c>
      <c r="B240" s="137">
        <v>1408</v>
      </c>
      <c r="C240" s="137">
        <v>326</v>
      </c>
      <c r="D240" s="137">
        <v>2068</v>
      </c>
      <c r="E240" s="137">
        <v>132</v>
      </c>
      <c r="F240" s="137">
        <v>124</v>
      </c>
      <c r="G240" s="137">
        <v>4058</v>
      </c>
    </row>
    <row r="241" spans="1:7" x14ac:dyDescent="0.25">
      <c r="A241" s="136" t="s">
        <v>306</v>
      </c>
      <c r="B241" s="137">
        <v>1068</v>
      </c>
      <c r="C241" s="137">
        <v>252</v>
      </c>
      <c r="D241" s="137">
        <v>2264</v>
      </c>
      <c r="E241" s="137">
        <v>271</v>
      </c>
      <c r="F241" s="137">
        <v>98</v>
      </c>
      <c r="G241" s="137">
        <v>3953</v>
      </c>
    </row>
    <row r="242" spans="1:7" x14ac:dyDescent="0.25">
      <c r="A242" s="136" t="s">
        <v>307</v>
      </c>
      <c r="B242" s="137">
        <v>671</v>
      </c>
      <c r="C242" s="137">
        <v>124</v>
      </c>
      <c r="D242" s="137">
        <v>504</v>
      </c>
      <c r="E242" s="137">
        <v>20</v>
      </c>
      <c r="F242" s="137">
        <v>29</v>
      </c>
      <c r="G242" s="137">
        <v>1348</v>
      </c>
    </row>
    <row r="243" spans="1:7" x14ac:dyDescent="0.25">
      <c r="A243" s="136" t="s">
        <v>308</v>
      </c>
      <c r="B243" s="137">
        <v>328</v>
      </c>
      <c r="C243" s="137">
        <v>131</v>
      </c>
      <c r="D243" s="137">
        <v>770</v>
      </c>
      <c r="E243" s="137">
        <v>37</v>
      </c>
      <c r="F243" s="137">
        <v>43</v>
      </c>
      <c r="G243" s="137">
        <v>1309</v>
      </c>
    </row>
    <row r="244" spans="1:7" x14ac:dyDescent="0.25">
      <c r="A244" s="136" t="s">
        <v>309</v>
      </c>
      <c r="B244" s="137">
        <v>1329</v>
      </c>
      <c r="C244" s="137">
        <v>363</v>
      </c>
      <c r="D244" s="137">
        <v>2444</v>
      </c>
      <c r="E244" s="137">
        <v>145</v>
      </c>
      <c r="F244" s="137">
        <v>182</v>
      </c>
      <c r="G244" s="137">
        <v>4463</v>
      </c>
    </row>
    <row r="245" spans="1:7" x14ac:dyDescent="0.25">
      <c r="A245" s="136" t="s">
        <v>310</v>
      </c>
      <c r="B245" s="137">
        <v>754</v>
      </c>
      <c r="C245" s="137">
        <v>301</v>
      </c>
      <c r="D245" s="137">
        <v>984</v>
      </c>
      <c r="E245" s="137">
        <v>46</v>
      </c>
      <c r="F245" s="137">
        <v>106</v>
      </c>
      <c r="G245" s="137">
        <v>2191</v>
      </c>
    </row>
    <row r="246" spans="1:7" x14ac:dyDescent="0.25">
      <c r="A246" s="136" t="s">
        <v>311</v>
      </c>
      <c r="B246" s="137">
        <v>854</v>
      </c>
      <c r="C246" s="137">
        <v>268</v>
      </c>
      <c r="D246" s="137">
        <v>2025</v>
      </c>
      <c r="E246" s="137">
        <v>156</v>
      </c>
      <c r="F246" s="137">
        <v>146</v>
      </c>
      <c r="G246" s="137">
        <v>3449</v>
      </c>
    </row>
    <row r="247" spans="1:7" x14ac:dyDescent="0.25">
      <c r="A247" s="136" t="s">
        <v>312</v>
      </c>
      <c r="B247" s="137">
        <v>1575</v>
      </c>
      <c r="C247" s="137">
        <v>494</v>
      </c>
      <c r="D247" s="137">
        <v>3362</v>
      </c>
      <c r="E247" s="137">
        <v>282</v>
      </c>
      <c r="F247" s="137">
        <v>250</v>
      </c>
      <c r="G247" s="137">
        <v>5963</v>
      </c>
    </row>
    <row r="248" spans="1:7" x14ac:dyDescent="0.25">
      <c r="A248" s="136" t="s">
        <v>313</v>
      </c>
      <c r="B248" s="137">
        <v>1107</v>
      </c>
      <c r="C248" s="137">
        <v>338</v>
      </c>
      <c r="D248" s="137">
        <v>2680</v>
      </c>
      <c r="E248" s="137">
        <v>241</v>
      </c>
      <c r="F248" s="137">
        <v>202</v>
      </c>
      <c r="G248" s="137">
        <v>4568</v>
      </c>
    </row>
    <row r="249" spans="1:7" x14ac:dyDescent="0.25">
      <c r="A249" s="136" t="s">
        <v>314</v>
      </c>
      <c r="B249" s="137">
        <v>617</v>
      </c>
      <c r="C249" s="137">
        <v>210</v>
      </c>
      <c r="D249" s="137">
        <v>737</v>
      </c>
      <c r="E249" s="137">
        <v>29</v>
      </c>
      <c r="F249" s="137">
        <v>54</v>
      </c>
      <c r="G249" s="137">
        <v>1647</v>
      </c>
    </row>
    <row r="250" spans="1:7" x14ac:dyDescent="0.25">
      <c r="A250" s="136" t="s">
        <v>315</v>
      </c>
      <c r="B250" s="137">
        <v>415</v>
      </c>
      <c r="C250" s="137">
        <v>115</v>
      </c>
      <c r="D250" s="137">
        <v>801</v>
      </c>
      <c r="E250" s="137">
        <v>37</v>
      </c>
      <c r="F250" s="137">
        <v>52</v>
      </c>
      <c r="G250" s="137">
        <v>1420</v>
      </c>
    </row>
    <row r="251" spans="1:7" x14ac:dyDescent="0.25">
      <c r="A251" s="136" t="s">
        <v>316</v>
      </c>
      <c r="B251" s="137">
        <v>530</v>
      </c>
      <c r="C251" s="137">
        <v>215</v>
      </c>
      <c r="D251" s="137">
        <v>699</v>
      </c>
      <c r="E251" s="137">
        <v>30</v>
      </c>
      <c r="F251" s="137">
        <v>73</v>
      </c>
      <c r="G251" s="137">
        <v>1547</v>
      </c>
    </row>
    <row r="252" spans="1:7" x14ac:dyDescent="0.25">
      <c r="A252" s="136" t="s">
        <v>317</v>
      </c>
      <c r="B252" s="137">
        <v>658</v>
      </c>
      <c r="C252" s="137">
        <v>134</v>
      </c>
      <c r="D252" s="137">
        <v>546</v>
      </c>
      <c r="E252" s="137">
        <v>34</v>
      </c>
      <c r="F252" s="137">
        <v>47</v>
      </c>
      <c r="G252" s="137">
        <v>1419</v>
      </c>
    </row>
    <row r="253" spans="1:7" x14ac:dyDescent="0.25">
      <c r="A253" s="136" t="s">
        <v>318</v>
      </c>
      <c r="B253" s="137">
        <v>1917</v>
      </c>
      <c r="C253" s="137">
        <v>599</v>
      </c>
      <c r="D253" s="137">
        <v>3069</v>
      </c>
      <c r="E253" s="137">
        <v>215</v>
      </c>
      <c r="F253" s="137">
        <v>225</v>
      </c>
      <c r="G253" s="137">
        <v>6025</v>
      </c>
    </row>
    <row r="254" spans="1:7" x14ac:dyDescent="0.25">
      <c r="A254" s="136" t="s">
        <v>319</v>
      </c>
      <c r="B254" s="137">
        <v>2797</v>
      </c>
      <c r="C254" s="137">
        <v>1052</v>
      </c>
      <c r="D254" s="137">
        <v>5126</v>
      </c>
      <c r="E254" s="137">
        <v>460</v>
      </c>
      <c r="F254" s="137">
        <v>526</v>
      </c>
      <c r="G254" s="137">
        <v>9961</v>
      </c>
    </row>
    <row r="255" spans="1:7" x14ac:dyDescent="0.25">
      <c r="A255" s="136" t="s">
        <v>320</v>
      </c>
      <c r="B255" s="137">
        <v>287</v>
      </c>
      <c r="C255" s="137">
        <v>103</v>
      </c>
      <c r="D255" s="137">
        <v>617</v>
      </c>
      <c r="E255" s="137">
        <v>36</v>
      </c>
      <c r="F255" s="137">
        <v>42</v>
      </c>
      <c r="G255" s="137">
        <v>1085</v>
      </c>
    </row>
    <row r="256" spans="1:7" x14ac:dyDescent="0.25">
      <c r="A256" s="136" t="s">
        <v>321</v>
      </c>
      <c r="B256" s="137">
        <v>1354</v>
      </c>
      <c r="C256" s="137">
        <v>392</v>
      </c>
      <c r="D256" s="137">
        <v>2684</v>
      </c>
      <c r="E256" s="137">
        <v>245</v>
      </c>
      <c r="F256" s="137">
        <v>199</v>
      </c>
      <c r="G256" s="137">
        <v>4874</v>
      </c>
    </row>
    <row r="257" spans="1:7" x14ac:dyDescent="0.25">
      <c r="A257" s="136" t="s">
        <v>322</v>
      </c>
      <c r="B257" s="137">
        <v>1013</v>
      </c>
      <c r="C257" s="137">
        <v>211</v>
      </c>
      <c r="D257" s="137">
        <v>2154</v>
      </c>
      <c r="E257" s="137">
        <v>160</v>
      </c>
      <c r="F257" s="137">
        <v>125</v>
      </c>
      <c r="G257" s="137">
        <v>3663</v>
      </c>
    </row>
    <row r="258" spans="1:7" x14ac:dyDescent="0.25">
      <c r="A258" s="136" t="s">
        <v>323</v>
      </c>
      <c r="B258" s="137">
        <v>741</v>
      </c>
      <c r="C258" s="137">
        <v>304</v>
      </c>
      <c r="D258" s="137">
        <v>1200</v>
      </c>
      <c r="E258" s="137">
        <v>66</v>
      </c>
      <c r="F258" s="137">
        <v>92</v>
      </c>
      <c r="G258" s="137">
        <v>2403</v>
      </c>
    </row>
    <row r="259" spans="1:7" x14ac:dyDescent="0.25">
      <c r="A259" s="136" t="s">
        <v>324</v>
      </c>
      <c r="B259" s="137">
        <v>407</v>
      </c>
      <c r="C259" s="137">
        <v>167</v>
      </c>
      <c r="D259" s="137">
        <v>1132</v>
      </c>
      <c r="E259" s="137">
        <v>60</v>
      </c>
      <c r="F259" s="137">
        <v>91</v>
      </c>
      <c r="G259" s="137">
        <v>1857</v>
      </c>
    </row>
    <row r="260" spans="1:7" x14ac:dyDescent="0.25">
      <c r="A260" s="136" t="s">
        <v>325</v>
      </c>
      <c r="B260" s="137">
        <v>895</v>
      </c>
      <c r="C260" s="137">
        <v>317</v>
      </c>
      <c r="D260" s="137">
        <v>939</v>
      </c>
      <c r="E260" s="137">
        <v>56</v>
      </c>
      <c r="F260" s="137">
        <v>118</v>
      </c>
      <c r="G260" s="137">
        <v>2325</v>
      </c>
    </row>
    <row r="261" spans="1:7" x14ac:dyDescent="0.25">
      <c r="A261" s="136" t="s">
        <v>326</v>
      </c>
      <c r="B261" s="137">
        <v>9094</v>
      </c>
      <c r="C261" s="137">
        <v>2949</v>
      </c>
      <c r="D261" s="137">
        <v>25921</v>
      </c>
      <c r="E261" s="137">
        <v>2940</v>
      </c>
      <c r="F261" s="137">
        <v>1770</v>
      </c>
      <c r="G261" s="137">
        <v>42674</v>
      </c>
    </row>
    <row r="262" spans="1:7" x14ac:dyDescent="0.25">
      <c r="A262" s="136" t="s">
        <v>327</v>
      </c>
      <c r="B262" s="137">
        <v>1212</v>
      </c>
      <c r="C262" s="137">
        <v>326</v>
      </c>
      <c r="D262" s="137">
        <v>1166</v>
      </c>
      <c r="E262" s="137">
        <v>63</v>
      </c>
      <c r="F262" s="137">
        <v>98</v>
      </c>
      <c r="G262" s="137">
        <v>2865</v>
      </c>
    </row>
    <row r="263" spans="1:7" x14ac:dyDescent="0.25">
      <c r="A263" s="136" t="s">
        <v>328</v>
      </c>
      <c r="B263" s="137">
        <v>716</v>
      </c>
      <c r="C263" s="137">
        <v>221</v>
      </c>
      <c r="D263" s="137">
        <v>847</v>
      </c>
      <c r="E263" s="137">
        <v>45</v>
      </c>
      <c r="F263" s="137">
        <v>82</v>
      </c>
      <c r="G263" s="137">
        <v>1911</v>
      </c>
    </row>
    <row r="264" spans="1:7" x14ac:dyDescent="0.25">
      <c r="A264" s="136" t="s">
        <v>329</v>
      </c>
      <c r="B264" s="137">
        <v>994</v>
      </c>
      <c r="C264" s="137">
        <v>380</v>
      </c>
      <c r="D264" s="137">
        <v>2543</v>
      </c>
      <c r="E264" s="137">
        <v>169</v>
      </c>
      <c r="F264" s="137">
        <v>141</v>
      </c>
      <c r="G264" s="137">
        <v>4227</v>
      </c>
    </row>
    <row r="265" spans="1:7" x14ac:dyDescent="0.25">
      <c r="A265" s="136" t="s">
        <v>330</v>
      </c>
      <c r="B265" s="137">
        <v>1629</v>
      </c>
      <c r="C265" s="137">
        <v>547</v>
      </c>
      <c r="D265" s="137">
        <v>4478</v>
      </c>
      <c r="E265" s="137">
        <v>334</v>
      </c>
      <c r="F265" s="137">
        <v>258</v>
      </c>
      <c r="G265" s="137">
        <v>7246</v>
      </c>
    </row>
    <row r="266" spans="1:7" x14ac:dyDescent="0.25">
      <c r="A266" s="136" t="s">
        <v>331</v>
      </c>
      <c r="B266" s="137">
        <v>1181</v>
      </c>
      <c r="C266" s="137">
        <v>405</v>
      </c>
      <c r="D266" s="137">
        <v>2381</v>
      </c>
      <c r="E266" s="137">
        <v>182</v>
      </c>
      <c r="F266" s="137">
        <v>169</v>
      </c>
      <c r="G266" s="137">
        <v>4318</v>
      </c>
    </row>
    <row r="267" spans="1:7" x14ac:dyDescent="0.25">
      <c r="A267" s="136" t="s">
        <v>332</v>
      </c>
      <c r="B267" s="137">
        <v>2534</v>
      </c>
      <c r="C267" s="137">
        <v>680</v>
      </c>
      <c r="D267" s="137">
        <v>6166</v>
      </c>
      <c r="E267" s="137">
        <v>480</v>
      </c>
      <c r="F267" s="137">
        <v>404</v>
      </c>
      <c r="G267" s="137">
        <v>10264</v>
      </c>
    </row>
    <row r="268" spans="1:7" x14ac:dyDescent="0.25">
      <c r="A268" s="184" t="s">
        <v>25</v>
      </c>
      <c r="B268" s="185">
        <v>43591</v>
      </c>
      <c r="C268" s="185">
        <v>13744</v>
      </c>
      <c r="D268" s="185">
        <v>91902</v>
      </c>
      <c r="E268" s="185">
        <v>7758</v>
      </c>
      <c r="F268" s="185">
        <v>6637</v>
      </c>
      <c r="G268" s="185">
        <v>163632</v>
      </c>
    </row>
    <row r="269" spans="1:7" x14ac:dyDescent="0.25">
      <c r="A269" s="158"/>
      <c r="B269" s="158"/>
      <c r="C269" s="158"/>
      <c r="D269" s="158"/>
    </row>
    <row r="270" spans="1:7" x14ac:dyDescent="0.25">
      <c r="A270" s="158"/>
      <c r="B270" s="158"/>
      <c r="C270" s="158"/>
      <c r="D270" s="158"/>
    </row>
    <row r="271" spans="1:7" x14ac:dyDescent="0.25">
      <c r="A271" s="158"/>
      <c r="B271" s="158"/>
      <c r="C271" s="158"/>
      <c r="D271" s="158"/>
    </row>
    <row r="272" spans="1:7" x14ac:dyDescent="0.25">
      <c r="A272" s="158"/>
      <c r="B272" s="158"/>
      <c r="C272" s="158"/>
      <c r="D272" s="158"/>
    </row>
    <row r="273" spans="1:7" x14ac:dyDescent="0.25">
      <c r="A273" s="187" t="s">
        <v>514</v>
      </c>
    </row>
    <row r="274" spans="1:7" x14ac:dyDescent="0.25">
      <c r="A274" s="158"/>
      <c r="B274" s="414" t="s">
        <v>487</v>
      </c>
      <c r="C274" s="414"/>
      <c r="D274" s="414"/>
      <c r="E274" s="414"/>
      <c r="F274" s="414"/>
      <c r="G274" s="91"/>
    </row>
    <row r="275" spans="1:7" x14ac:dyDescent="0.25">
      <c r="A275" s="160" t="s">
        <v>532</v>
      </c>
      <c r="B275" s="189" t="s">
        <v>127</v>
      </c>
      <c r="C275" s="189" t="s">
        <v>128</v>
      </c>
      <c r="D275" s="189" t="s">
        <v>129</v>
      </c>
      <c r="E275" s="189" t="s">
        <v>9</v>
      </c>
      <c r="F275" s="189" t="s">
        <v>130</v>
      </c>
      <c r="G275" s="161" t="s">
        <v>25</v>
      </c>
    </row>
    <row r="276" spans="1:7" x14ac:dyDescent="0.25">
      <c r="A276" s="157" t="s">
        <v>334</v>
      </c>
      <c r="B276" s="183">
        <v>1507</v>
      </c>
      <c r="C276" s="183">
        <v>547</v>
      </c>
      <c r="D276" s="183">
        <v>4869</v>
      </c>
      <c r="E276" s="183">
        <v>370</v>
      </c>
      <c r="F276" s="183">
        <v>324</v>
      </c>
      <c r="G276" s="183">
        <v>7617</v>
      </c>
    </row>
    <row r="277" spans="1:7" x14ac:dyDescent="0.25">
      <c r="A277" s="136" t="s">
        <v>335</v>
      </c>
      <c r="B277" s="137">
        <v>1888</v>
      </c>
      <c r="C277" s="137">
        <v>462</v>
      </c>
      <c r="D277" s="137">
        <v>2480</v>
      </c>
      <c r="E277" s="137">
        <v>130</v>
      </c>
      <c r="F277" s="137">
        <v>214</v>
      </c>
      <c r="G277" s="137">
        <v>5174</v>
      </c>
    </row>
    <row r="278" spans="1:7" x14ac:dyDescent="0.25">
      <c r="A278" s="136" t="s">
        <v>336</v>
      </c>
      <c r="B278" s="137">
        <v>1431</v>
      </c>
      <c r="C278" s="137">
        <v>604</v>
      </c>
      <c r="D278" s="137">
        <v>4340</v>
      </c>
      <c r="E278" s="137">
        <v>391</v>
      </c>
      <c r="F278" s="137">
        <v>422</v>
      </c>
      <c r="G278" s="137">
        <v>7188</v>
      </c>
    </row>
    <row r="279" spans="1:7" x14ac:dyDescent="0.25">
      <c r="A279" s="136" t="s">
        <v>337</v>
      </c>
      <c r="B279" s="137">
        <v>193</v>
      </c>
      <c r="C279" s="137">
        <v>41</v>
      </c>
      <c r="D279" s="137">
        <v>287</v>
      </c>
      <c r="E279" s="137">
        <v>9</v>
      </c>
      <c r="F279" s="137">
        <v>10</v>
      </c>
      <c r="G279" s="137">
        <v>540</v>
      </c>
    </row>
    <row r="280" spans="1:7" x14ac:dyDescent="0.25">
      <c r="A280" s="136" t="s">
        <v>338</v>
      </c>
      <c r="B280" s="137">
        <v>541</v>
      </c>
      <c r="C280" s="137">
        <v>200</v>
      </c>
      <c r="D280" s="137">
        <v>1388</v>
      </c>
      <c r="E280" s="137">
        <v>79</v>
      </c>
      <c r="F280" s="137">
        <v>123</v>
      </c>
      <c r="G280" s="137">
        <v>2331</v>
      </c>
    </row>
    <row r="281" spans="1:7" x14ac:dyDescent="0.25">
      <c r="A281" s="136" t="s">
        <v>339</v>
      </c>
      <c r="B281" s="137">
        <v>302</v>
      </c>
      <c r="C281" s="137">
        <v>59</v>
      </c>
      <c r="D281" s="137">
        <v>316</v>
      </c>
      <c r="E281" s="137">
        <v>11</v>
      </c>
      <c r="F281" s="137">
        <v>23</v>
      </c>
      <c r="G281" s="137">
        <v>711</v>
      </c>
    </row>
    <row r="282" spans="1:7" x14ac:dyDescent="0.25">
      <c r="A282" s="136" t="s">
        <v>340</v>
      </c>
      <c r="B282" s="137">
        <v>178</v>
      </c>
      <c r="C282" s="137">
        <v>55</v>
      </c>
      <c r="D282" s="137">
        <v>392</v>
      </c>
      <c r="E282" s="137">
        <v>16</v>
      </c>
      <c r="F282" s="137">
        <v>34</v>
      </c>
      <c r="G282" s="137">
        <v>675</v>
      </c>
    </row>
    <row r="283" spans="1:7" x14ac:dyDescent="0.25">
      <c r="A283" s="136" t="s">
        <v>341</v>
      </c>
      <c r="B283" s="137">
        <v>579</v>
      </c>
      <c r="C283" s="137">
        <v>162</v>
      </c>
      <c r="D283" s="137">
        <v>1010</v>
      </c>
      <c r="E283" s="137">
        <v>55</v>
      </c>
      <c r="F283" s="137">
        <v>117</v>
      </c>
      <c r="G283" s="137">
        <v>1923</v>
      </c>
    </row>
    <row r="284" spans="1:7" x14ac:dyDescent="0.25">
      <c r="A284" s="136" t="s">
        <v>342</v>
      </c>
      <c r="B284" s="137">
        <v>749</v>
      </c>
      <c r="C284" s="137">
        <v>209</v>
      </c>
      <c r="D284" s="137">
        <v>1214</v>
      </c>
      <c r="E284" s="137">
        <v>93</v>
      </c>
      <c r="F284" s="137">
        <v>82</v>
      </c>
      <c r="G284" s="137">
        <v>2347</v>
      </c>
    </row>
    <row r="285" spans="1:7" x14ac:dyDescent="0.25">
      <c r="A285" s="136" t="s">
        <v>343</v>
      </c>
      <c r="B285" s="137">
        <v>695</v>
      </c>
      <c r="C285" s="137">
        <v>218</v>
      </c>
      <c r="D285" s="137">
        <v>1934</v>
      </c>
      <c r="E285" s="137">
        <v>168</v>
      </c>
      <c r="F285" s="137">
        <v>110</v>
      </c>
      <c r="G285" s="137">
        <v>3125</v>
      </c>
    </row>
    <row r="286" spans="1:7" x14ac:dyDescent="0.25">
      <c r="A286" s="136" t="s">
        <v>344</v>
      </c>
      <c r="B286" s="137">
        <v>144</v>
      </c>
      <c r="C286" s="137">
        <v>21</v>
      </c>
      <c r="D286" s="137">
        <v>232</v>
      </c>
      <c r="E286" s="137">
        <v>6</v>
      </c>
      <c r="F286" s="137">
        <v>7</v>
      </c>
      <c r="G286" s="137">
        <v>410</v>
      </c>
    </row>
    <row r="287" spans="1:7" x14ac:dyDescent="0.25">
      <c r="A287" s="136" t="s">
        <v>345</v>
      </c>
      <c r="B287" s="137">
        <v>417</v>
      </c>
      <c r="C287" s="137">
        <v>138</v>
      </c>
      <c r="D287" s="137">
        <v>588</v>
      </c>
      <c r="E287" s="137">
        <v>38</v>
      </c>
      <c r="F287" s="137">
        <v>53</v>
      </c>
      <c r="G287" s="137">
        <v>1234</v>
      </c>
    </row>
    <row r="288" spans="1:7" x14ac:dyDescent="0.25">
      <c r="A288" s="136" t="s">
        <v>346</v>
      </c>
      <c r="B288" s="137">
        <v>628</v>
      </c>
      <c r="C288" s="137">
        <v>214</v>
      </c>
      <c r="D288" s="137">
        <v>1878</v>
      </c>
      <c r="E288" s="137">
        <v>201</v>
      </c>
      <c r="F288" s="137">
        <v>123</v>
      </c>
      <c r="G288" s="137">
        <v>3044</v>
      </c>
    </row>
    <row r="289" spans="1:7" x14ac:dyDescent="0.25">
      <c r="A289" s="136" t="s">
        <v>347</v>
      </c>
      <c r="B289" s="137">
        <v>1270</v>
      </c>
      <c r="C289" s="137">
        <v>361</v>
      </c>
      <c r="D289" s="137">
        <v>1467</v>
      </c>
      <c r="E289" s="137">
        <v>74</v>
      </c>
      <c r="F289" s="137">
        <v>113</v>
      </c>
      <c r="G289" s="137">
        <v>3285</v>
      </c>
    </row>
    <row r="290" spans="1:7" x14ac:dyDescent="0.25">
      <c r="A290" s="136" t="s">
        <v>348</v>
      </c>
      <c r="B290" s="137">
        <v>1228</v>
      </c>
      <c r="C290" s="137">
        <v>333</v>
      </c>
      <c r="D290" s="137">
        <v>1189</v>
      </c>
      <c r="E290" s="137">
        <v>63</v>
      </c>
      <c r="F290" s="137">
        <v>96</v>
      </c>
      <c r="G290" s="137">
        <v>2909</v>
      </c>
    </row>
    <row r="291" spans="1:7" x14ac:dyDescent="0.25">
      <c r="A291" s="136" t="s">
        <v>349</v>
      </c>
      <c r="B291" s="137">
        <v>5455</v>
      </c>
      <c r="C291" s="137">
        <v>2892</v>
      </c>
      <c r="D291" s="137">
        <v>17096</v>
      </c>
      <c r="E291" s="137">
        <v>2220</v>
      </c>
      <c r="F291" s="137">
        <v>1838</v>
      </c>
      <c r="G291" s="137">
        <v>29501</v>
      </c>
    </row>
    <row r="292" spans="1:7" x14ac:dyDescent="0.25">
      <c r="A292" s="136" t="s">
        <v>350</v>
      </c>
      <c r="B292" s="137">
        <v>118</v>
      </c>
      <c r="C292" s="137">
        <v>15</v>
      </c>
      <c r="D292" s="137">
        <v>244</v>
      </c>
      <c r="E292" s="137">
        <v>19</v>
      </c>
      <c r="F292" s="137">
        <v>9</v>
      </c>
      <c r="G292" s="137">
        <v>405</v>
      </c>
    </row>
    <row r="293" spans="1:7" x14ac:dyDescent="0.25">
      <c r="A293" s="136" t="s">
        <v>351</v>
      </c>
      <c r="B293" s="137">
        <v>6448</v>
      </c>
      <c r="C293" s="137">
        <v>2241</v>
      </c>
      <c r="D293" s="137">
        <v>17969</v>
      </c>
      <c r="E293" s="137">
        <v>1841</v>
      </c>
      <c r="F293" s="137">
        <v>1545</v>
      </c>
      <c r="G293" s="137">
        <v>30044</v>
      </c>
    </row>
    <row r="294" spans="1:7" x14ac:dyDescent="0.25">
      <c r="A294" s="136" t="s">
        <v>352</v>
      </c>
      <c r="B294" s="137">
        <v>348</v>
      </c>
      <c r="C294" s="137">
        <v>187</v>
      </c>
      <c r="D294" s="137">
        <v>791</v>
      </c>
      <c r="E294" s="137">
        <v>60</v>
      </c>
      <c r="F294" s="137">
        <v>91</v>
      </c>
      <c r="G294" s="137">
        <v>1477</v>
      </c>
    </row>
    <row r="295" spans="1:7" x14ac:dyDescent="0.25">
      <c r="A295" s="136" t="s">
        <v>353</v>
      </c>
      <c r="B295" s="137">
        <v>1076</v>
      </c>
      <c r="C295" s="137">
        <v>319</v>
      </c>
      <c r="D295" s="137">
        <v>3548</v>
      </c>
      <c r="E295" s="137">
        <v>370</v>
      </c>
      <c r="F295" s="137">
        <v>180</v>
      </c>
      <c r="G295" s="137">
        <v>5493</v>
      </c>
    </row>
    <row r="296" spans="1:7" x14ac:dyDescent="0.25">
      <c r="A296" s="136" t="s">
        <v>354</v>
      </c>
      <c r="B296" s="137">
        <v>250</v>
      </c>
      <c r="C296" s="137">
        <v>69</v>
      </c>
      <c r="D296" s="137">
        <v>348</v>
      </c>
      <c r="E296" s="137">
        <v>13</v>
      </c>
      <c r="F296" s="137">
        <v>37</v>
      </c>
      <c r="G296" s="137">
        <v>717</v>
      </c>
    </row>
    <row r="297" spans="1:7" x14ac:dyDescent="0.25">
      <c r="A297" s="136" t="s">
        <v>355</v>
      </c>
      <c r="B297" s="137">
        <v>980</v>
      </c>
      <c r="C297" s="137">
        <v>448</v>
      </c>
      <c r="D297" s="137">
        <v>2660</v>
      </c>
      <c r="E297" s="137">
        <v>256</v>
      </c>
      <c r="F297" s="137">
        <v>244</v>
      </c>
      <c r="G297" s="137">
        <v>4588</v>
      </c>
    </row>
    <row r="298" spans="1:7" x14ac:dyDescent="0.25">
      <c r="A298" s="136" t="s">
        <v>356</v>
      </c>
      <c r="B298" s="137">
        <v>485</v>
      </c>
      <c r="C298" s="137">
        <v>283</v>
      </c>
      <c r="D298" s="137">
        <v>1180</v>
      </c>
      <c r="E298" s="137">
        <v>87</v>
      </c>
      <c r="F298" s="137">
        <v>131</v>
      </c>
      <c r="G298" s="137">
        <v>2166</v>
      </c>
    </row>
    <row r="299" spans="1:7" x14ac:dyDescent="0.25">
      <c r="A299" s="136" t="s">
        <v>357</v>
      </c>
      <c r="B299" s="137">
        <v>252</v>
      </c>
      <c r="C299" s="137">
        <v>100</v>
      </c>
      <c r="D299" s="137">
        <v>462</v>
      </c>
      <c r="E299" s="137">
        <v>27</v>
      </c>
      <c r="F299" s="137">
        <v>43</v>
      </c>
      <c r="G299" s="137">
        <v>884</v>
      </c>
    </row>
    <row r="300" spans="1:7" x14ac:dyDescent="0.25">
      <c r="A300" s="136" t="s">
        <v>358</v>
      </c>
      <c r="B300" s="137">
        <v>795</v>
      </c>
      <c r="C300" s="137">
        <v>300</v>
      </c>
      <c r="D300" s="137">
        <v>1691</v>
      </c>
      <c r="E300" s="137">
        <v>77</v>
      </c>
      <c r="F300" s="137">
        <v>207</v>
      </c>
      <c r="G300" s="137">
        <v>3070</v>
      </c>
    </row>
    <row r="301" spans="1:7" x14ac:dyDescent="0.25">
      <c r="A301" s="136" t="s">
        <v>359</v>
      </c>
      <c r="B301" s="137">
        <v>522</v>
      </c>
      <c r="C301" s="137">
        <v>121</v>
      </c>
      <c r="D301" s="137">
        <v>656</v>
      </c>
      <c r="E301" s="137">
        <v>36</v>
      </c>
      <c r="F301" s="137">
        <v>53</v>
      </c>
      <c r="G301" s="137">
        <v>1388</v>
      </c>
    </row>
    <row r="302" spans="1:7" x14ac:dyDescent="0.25">
      <c r="A302" s="136" t="s">
        <v>360</v>
      </c>
      <c r="B302" s="137">
        <v>553</v>
      </c>
      <c r="C302" s="137">
        <v>156</v>
      </c>
      <c r="D302" s="137">
        <v>645</v>
      </c>
      <c r="E302" s="137">
        <v>38</v>
      </c>
      <c r="F302" s="137">
        <v>66</v>
      </c>
      <c r="G302" s="137">
        <v>1458</v>
      </c>
    </row>
    <row r="303" spans="1:7" x14ac:dyDescent="0.25">
      <c r="A303" s="136" t="s">
        <v>361</v>
      </c>
      <c r="B303" s="137">
        <v>679</v>
      </c>
      <c r="C303" s="137">
        <v>385</v>
      </c>
      <c r="D303" s="137">
        <v>1555</v>
      </c>
      <c r="E303" s="137">
        <v>136</v>
      </c>
      <c r="F303" s="137">
        <v>204</v>
      </c>
      <c r="G303" s="137">
        <v>2959</v>
      </c>
    </row>
    <row r="304" spans="1:7" ht="30" x14ac:dyDescent="0.25">
      <c r="A304" s="136" t="s">
        <v>362</v>
      </c>
      <c r="B304" s="137">
        <v>679</v>
      </c>
      <c r="C304" s="137">
        <v>329</v>
      </c>
      <c r="D304" s="137">
        <v>575</v>
      </c>
      <c r="E304" s="137">
        <v>28</v>
      </c>
      <c r="F304" s="137">
        <v>86</v>
      </c>
      <c r="G304" s="137">
        <v>1697</v>
      </c>
    </row>
    <row r="305" spans="1:7" x14ac:dyDescent="0.25">
      <c r="A305" s="136" t="s">
        <v>363</v>
      </c>
      <c r="B305" s="137">
        <v>572</v>
      </c>
      <c r="C305" s="137">
        <v>310</v>
      </c>
      <c r="D305" s="137">
        <v>1138</v>
      </c>
      <c r="E305" s="137">
        <v>82</v>
      </c>
      <c r="F305" s="137">
        <v>145</v>
      </c>
      <c r="G305" s="137">
        <v>2247</v>
      </c>
    </row>
    <row r="306" spans="1:7" x14ac:dyDescent="0.25">
      <c r="A306" s="184" t="s">
        <v>25</v>
      </c>
      <c r="B306" s="185">
        <v>30962</v>
      </c>
      <c r="C306" s="185">
        <v>11779</v>
      </c>
      <c r="D306" s="185">
        <v>74142</v>
      </c>
      <c r="E306" s="185">
        <v>6994</v>
      </c>
      <c r="F306" s="185">
        <v>6730</v>
      </c>
      <c r="G306" s="185">
        <v>130607</v>
      </c>
    </row>
    <row r="307" spans="1:7" x14ac:dyDescent="0.25">
      <c r="A307" s="158"/>
      <c r="B307" s="158"/>
      <c r="C307" s="158"/>
      <c r="D307" s="158"/>
      <c r="E307" s="158"/>
      <c r="F307" s="158"/>
      <c r="G307" s="158"/>
    </row>
    <row r="308" spans="1:7" x14ac:dyDescent="0.25">
      <c r="A308" s="158"/>
      <c r="B308" s="158"/>
      <c r="C308" s="158"/>
      <c r="D308" s="158"/>
      <c r="E308" s="158"/>
      <c r="F308" s="158"/>
      <c r="G308" s="158"/>
    </row>
    <row r="309" spans="1:7" x14ac:dyDescent="0.25">
      <c r="A309" s="158"/>
      <c r="B309" s="158"/>
      <c r="C309" s="158"/>
      <c r="D309" s="158"/>
      <c r="E309" s="158"/>
      <c r="F309" s="158"/>
      <c r="G309" s="158"/>
    </row>
    <row r="310" spans="1:7" x14ac:dyDescent="0.25">
      <c r="A310" s="158"/>
      <c r="B310" s="158"/>
      <c r="C310" s="158"/>
      <c r="D310" s="158"/>
    </row>
    <row r="311" spans="1:7" x14ac:dyDescent="0.25">
      <c r="A311" s="187" t="s">
        <v>515</v>
      </c>
    </row>
    <row r="312" spans="1:7" x14ac:dyDescent="0.25">
      <c r="A312" s="158"/>
      <c r="B312" s="414" t="s">
        <v>487</v>
      </c>
      <c r="C312" s="414"/>
      <c r="D312" s="414"/>
      <c r="E312" s="414"/>
      <c r="F312" s="414"/>
      <c r="G312" s="91"/>
    </row>
    <row r="313" spans="1:7" x14ac:dyDescent="0.25">
      <c r="A313" s="160" t="s">
        <v>532</v>
      </c>
      <c r="B313" s="189" t="s">
        <v>127</v>
      </c>
      <c r="C313" s="189" t="s">
        <v>128</v>
      </c>
      <c r="D313" s="189" t="s">
        <v>129</v>
      </c>
      <c r="E313" s="189" t="s">
        <v>9</v>
      </c>
      <c r="F313" s="189" t="s">
        <v>130</v>
      </c>
      <c r="G313" s="161" t="s">
        <v>25</v>
      </c>
    </row>
    <row r="314" spans="1:7" x14ac:dyDescent="0.25">
      <c r="A314" s="157" t="s">
        <v>364</v>
      </c>
      <c r="B314" s="183">
        <v>449</v>
      </c>
      <c r="C314" s="183">
        <v>69</v>
      </c>
      <c r="D314" s="183">
        <v>583</v>
      </c>
      <c r="E314" s="183">
        <v>21</v>
      </c>
      <c r="F314" s="183">
        <v>37</v>
      </c>
      <c r="G314" s="183">
        <v>1159</v>
      </c>
    </row>
    <row r="315" spans="1:7" x14ac:dyDescent="0.25">
      <c r="A315" s="136" t="s">
        <v>365</v>
      </c>
      <c r="B315" s="137">
        <v>139</v>
      </c>
      <c r="C315" s="137">
        <v>37</v>
      </c>
      <c r="D315" s="137">
        <v>434</v>
      </c>
      <c r="E315" s="137">
        <v>11</v>
      </c>
      <c r="F315" s="137">
        <v>23</v>
      </c>
      <c r="G315" s="137">
        <v>644</v>
      </c>
    </row>
    <row r="316" spans="1:7" x14ac:dyDescent="0.25">
      <c r="A316" s="136" t="s">
        <v>366</v>
      </c>
      <c r="B316" s="137">
        <v>163</v>
      </c>
      <c r="C316" s="137">
        <v>30</v>
      </c>
      <c r="D316" s="137">
        <v>257</v>
      </c>
      <c r="E316" s="137">
        <v>15</v>
      </c>
      <c r="F316" s="137">
        <v>8</v>
      </c>
      <c r="G316" s="137">
        <v>473</v>
      </c>
    </row>
    <row r="317" spans="1:7" x14ac:dyDescent="0.25">
      <c r="A317" s="136" t="s">
        <v>367</v>
      </c>
      <c r="B317" s="137">
        <v>1401</v>
      </c>
      <c r="C317" s="137">
        <v>479</v>
      </c>
      <c r="D317" s="137">
        <v>4698</v>
      </c>
      <c r="E317" s="137">
        <v>407</v>
      </c>
      <c r="F317" s="137">
        <v>418</v>
      </c>
      <c r="G317" s="137">
        <v>7403</v>
      </c>
    </row>
    <row r="318" spans="1:7" x14ac:dyDescent="0.25">
      <c r="A318" s="136" t="s">
        <v>368</v>
      </c>
      <c r="B318" s="137">
        <v>50</v>
      </c>
      <c r="C318" s="137">
        <v>11</v>
      </c>
      <c r="D318" s="137">
        <v>83</v>
      </c>
      <c r="E318" s="137">
        <v>2</v>
      </c>
      <c r="F318" s="137">
        <v>7</v>
      </c>
      <c r="G318" s="137">
        <v>153</v>
      </c>
    </row>
    <row r="319" spans="1:7" x14ac:dyDescent="0.25">
      <c r="A319" s="136" t="s">
        <v>369</v>
      </c>
      <c r="B319" s="137">
        <v>50</v>
      </c>
      <c r="C319" s="137">
        <v>4</v>
      </c>
      <c r="D319" s="137">
        <v>99</v>
      </c>
      <c r="E319" s="137">
        <v>2</v>
      </c>
      <c r="F319" s="137">
        <v>3</v>
      </c>
      <c r="G319" s="137">
        <v>158</v>
      </c>
    </row>
    <row r="320" spans="1:7" x14ac:dyDescent="0.25">
      <c r="A320" s="136" t="s">
        <v>370</v>
      </c>
      <c r="B320" s="137">
        <v>15</v>
      </c>
      <c r="C320" s="137">
        <v>1</v>
      </c>
      <c r="D320" s="137">
        <v>27</v>
      </c>
      <c r="E320" s="137">
        <v>0</v>
      </c>
      <c r="F320" s="137">
        <v>1</v>
      </c>
      <c r="G320" s="137">
        <v>44</v>
      </c>
    </row>
    <row r="321" spans="1:7" x14ac:dyDescent="0.25">
      <c r="A321" s="136" t="s">
        <v>371</v>
      </c>
      <c r="B321" s="137">
        <v>575</v>
      </c>
      <c r="C321" s="137">
        <v>190</v>
      </c>
      <c r="D321" s="137">
        <v>2000</v>
      </c>
      <c r="E321" s="137">
        <v>109</v>
      </c>
      <c r="F321" s="137">
        <v>139</v>
      </c>
      <c r="G321" s="137">
        <v>3013</v>
      </c>
    </row>
    <row r="322" spans="1:7" x14ac:dyDescent="0.25">
      <c r="A322" s="136" t="s">
        <v>496</v>
      </c>
      <c r="B322" s="137">
        <v>124</v>
      </c>
      <c r="C322" s="137">
        <v>23</v>
      </c>
      <c r="D322" s="137">
        <v>299</v>
      </c>
      <c r="E322" s="137">
        <v>7</v>
      </c>
      <c r="F322" s="137">
        <v>16</v>
      </c>
      <c r="G322" s="137">
        <v>469</v>
      </c>
    </row>
    <row r="323" spans="1:7" x14ac:dyDescent="0.25">
      <c r="A323" s="136" t="s">
        <v>372</v>
      </c>
      <c r="B323" s="137">
        <v>12</v>
      </c>
      <c r="C323" s="137">
        <v>1</v>
      </c>
      <c r="D323" s="137">
        <v>25</v>
      </c>
      <c r="E323" s="137">
        <v>0</v>
      </c>
      <c r="F323" s="137">
        <v>3</v>
      </c>
      <c r="G323" s="137">
        <v>41</v>
      </c>
    </row>
    <row r="324" spans="1:7" x14ac:dyDescent="0.25">
      <c r="A324" s="184" t="s">
        <v>25</v>
      </c>
      <c r="B324" s="185">
        <v>2978</v>
      </c>
      <c r="C324" s="185">
        <v>845</v>
      </c>
      <c r="D324" s="185">
        <v>8505</v>
      </c>
      <c r="E324" s="185">
        <v>574</v>
      </c>
      <c r="F324" s="185">
        <v>655</v>
      </c>
      <c r="G324" s="185">
        <v>13557</v>
      </c>
    </row>
    <row r="325" spans="1:7" x14ac:dyDescent="0.25">
      <c r="A325" s="158"/>
      <c r="B325" s="158"/>
      <c r="C325" s="158"/>
      <c r="D325" s="158"/>
    </row>
    <row r="326" spans="1:7" x14ac:dyDescent="0.25">
      <c r="A326" s="158"/>
      <c r="B326" s="158"/>
      <c r="C326" s="158"/>
      <c r="D326" s="158"/>
    </row>
    <row r="327" spans="1:7" x14ac:dyDescent="0.25">
      <c r="A327" s="158"/>
      <c r="B327" s="158"/>
      <c r="C327" s="158"/>
      <c r="D327" s="158"/>
    </row>
    <row r="328" spans="1:7" x14ac:dyDescent="0.25">
      <c r="A328" s="187" t="s">
        <v>516</v>
      </c>
    </row>
    <row r="329" spans="1:7" x14ac:dyDescent="0.25">
      <c r="A329" s="158"/>
      <c r="B329" s="414" t="s">
        <v>487</v>
      </c>
      <c r="C329" s="414"/>
      <c r="D329" s="414"/>
      <c r="E329" s="414"/>
      <c r="F329" s="414"/>
      <c r="G329" s="91"/>
    </row>
    <row r="330" spans="1:7" x14ac:dyDescent="0.25">
      <c r="A330" s="160" t="s">
        <v>532</v>
      </c>
      <c r="B330" s="189" t="s">
        <v>127</v>
      </c>
      <c r="C330" s="189" t="s">
        <v>128</v>
      </c>
      <c r="D330" s="189" t="s">
        <v>129</v>
      </c>
      <c r="E330" s="189" t="s">
        <v>9</v>
      </c>
      <c r="F330" s="189" t="s">
        <v>130</v>
      </c>
      <c r="G330" s="161" t="s">
        <v>25</v>
      </c>
    </row>
    <row r="331" spans="1:7" x14ac:dyDescent="0.25">
      <c r="A331" s="157" t="s">
        <v>373</v>
      </c>
      <c r="B331" s="183">
        <v>17</v>
      </c>
      <c r="C331" s="183">
        <v>7</v>
      </c>
      <c r="D331" s="183">
        <v>71</v>
      </c>
      <c r="E331" s="183">
        <v>2</v>
      </c>
      <c r="F331" s="183">
        <v>4</v>
      </c>
      <c r="G331" s="183">
        <v>101</v>
      </c>
    </row>
    <row r="332" spans="1:7" x14ac:dyDescent="0.25">
      <c r="A332" s="136" t="s">
        <v>374</v>
      </c>
      <c r="B332" s="137">
        <v>0</v>
      </c>
      <c r="C332" s="137">
        <v>0</v>
      </c>
      <c r="D332" s="137">
        <v>4</v>
      </c>
      <c r="E332" s="137">
        <v>0</v>
      </c>
      <c r="F332" s="137">
        <v>0</v>
      </c>
      <c r="G332" s="137">
        <v>4</v>
      </c>
    </row>
    <row r="333" spans="1:7" x14ac:dyDescent="0.25">
      <c r="A333" s="136" t="s">
        <v>375</v>
      </c>
      <c r="B333" s="137">
        <v>3</v>
      </c>
      <c r="C333" s="137">
        <v>0</v>
      </c>
      <c r="D333" s="137">
        <v>15</v>
      </c>
      <c r="E333" s="137">
        <v>0</v>
      </c>
      <c r="F333" s="137">
        <v>1</v>
      </c>
      <c r="G333" s="137">
        <v>19</v>
      </c>
    </row>
    <row r="334" spans="1:7" x14ac:dyDescent="0.25">
      <c r="A334" s="136" t="s">
        <v>376</v>
      </c>
      <c r="B334" s="137">
        <v>1221</v>
      </c>
      <c r="C334" s="137">
        <v>273</v>
      </c>
      <c r="D334" s="137">
        <v>2526</v>
      </c>
      <c r="E334" s="137">
        <v>191</v>
      </c>
      <c r="F334" s="137">
        <v>111</v>
      </c>
      <c r="G334" s="137">
        <v>4322</v>
      </c>
    </row>
    <row r="335" spans="1:7" x14ac:dyDescent="0.25">
      <c r="A335" s="136" t="s">
        <v>377</v>
      </c>
      <c r="B335" s="137">
        <v>173</v>
      </c>
      <c r="C335" s="137">
        <v>43</v>
      </c>
      <c r="D335" s="137">
        <v>628</v>
      </c>
      <c r="E335" s="137">
        <v>44</v>
      </c>
      <c r="F335" s="137">
        <v>30</v>
      </c>
      <c r="G335" s="137">
        <v>918</v>
      </c>
    </row>
    <row r="336" spans="1:7" x14ac:dyDescent="0.25">
      <c r="A336" s="136" t="s">
        <v>378</v>
      </c>
      <c r="B336" s="137">
        <v>7</v>
      </c>
      <c r="C336" s="137">
        <v>5</v>
      </c>
      <c r="D336" s="137">
        <v>49</v>
      </c>
      <c r="E336" s="137">
        <v>3</v>
      </c>
      <c r="F336" s="137">
        <v>1</v>
      </c>
      <c r="G336" s="137">
        <v>65</v>
      </c>
    </row>
    <row r="337" spans="1:7" x14ac:dyDescent="0.25">
      <c r="A337" s="136" t="s">
        <v>379</v>
      </c>
      <c r="B337" s="137">
        <v>3349</v>
      </c>
      <c r="C337" s="137">
        <v>1081</v>
      </c>
      <c r="D337" s="137">
        <v>13090</v>
      </c>
      <c r="E337" s="137">
        <v>1682</v>
      </c>
      <c r="F337" s="137">
        <v>777</v>
      </c>
      <c r="G337" s="137">
        <v>19979</v>
      </c>
    </row>
    <row r="338" spans="1:7" x14ac:dyDescent="0.25">
      <c r="A338" s="136" t="s">
        <v>380</v>
      </c>
      <c r="B338" s="137">
        <v>3</v>
      </c>
      <c r="C338" s="137">
        <v>0</v>
      </c>
      <c r="D338" s="137">
        <v>10</v>
      </c>
      <c r="E338" s="137">
        <v>0</v>
      </c>
      <c r="F338" s="137">
        <v>2</v>
      </c>
      <c r="G338" s="137">
        <v>15</v>
      </c>
    </row>
    <row r="339" spans="1:7" x14ac:dyDescent="0.25">
      <c r="A339" s="136" t="s">
        <v>381</v>
      </c>
      <c r="B339" s="137">
        <v>5</v>
      </c>
      <c r="C339" s="137">
        <v>0</v>
      </c>
      <c r="D339" s="137">
        <v>22</v>
      </c>
      <c r="E339" s="137">
        <v>1</v>
      </c>
      <c r="F339" s="137">
        <v>0</v>
      </c>
      <c r="G339" s="137">
        <v>28</v>
      </c>
    </row>
    <row r="340" spans="1:7" x14ac:dyDescent="0.25">
      <c r="A340" s="136" t="s">
        <v>382</v>
      </c>
      <c r="B340" s="137">
        <v>2</v>
      </c>
      <c r="C340" s="137">
        <v>0</v>
      </c>
      <c r="D340" s="137">
        <v>1</v>
      </c>
      <c r="E340" s="137">
        <v>0</v>
      </c>
      <c r="F340" s="137">
        <v>0</v>
      </c>
      <c r="G340" s="137">
        <v>3</v>
      </c>
    </row>
    <row r="341" spans="1:7" x14ac:dyDescent="0.25">
      <c r="A341" s="136" t="s">
        <v>383</v>
      </c>
      <c r="B341" s="137">
        <v>1</v>
      </c>
      <c r="C341" s="137">
        <v>0</v>
      </c>
      <c r="D341" s="137">
        <v>2</v>
      </c>
      <c r="E341" s="137">
        <v>1</v>
      </c>
      <c r="F341" s="137">
        <v>0</v>
      </c>
      <c r="G341" s="137">
        <v>4</v>
      </c>
    </row>
    <row r="342" spans="1:7" x14ac:dyDescent="0.25">
      <c r="A342" s="184" t="s">
        <v>25</v>
      </c>
      <c r="B342" s="185">
        <v>4781</v>
      </c>
      <c r="C342" s="185">
        <v>1409</v>
      </c>
      <c r="D342" s="185">
        <v>16418</v>
      </c>
      <c r="E342" s="185">
        <v>1924</v>
      </c>
      <c r="F342" s="185">
        <v>926</v>
      </c>
      <c r="G342" s="185">
        <v>25458</v>
      </c>
    </row>
    <row r="343" spans="1:7" x14ac:dyDescent="0.25">
      <c r="A343" s="158"/>
      <c r="B343" s="158"/>
      <c r="C343" s="158"/>
      <c r="D343" s="158"/>
      <c r="E343" s="158"/>
      <c r="F343" s="158"/>
      <c r="G343" s="158"/>
    </row>
    <row r="344" spans="1:7" x14ac:dyDescent="0.25">
      <c r="A344" s="158"/>
      <c r="B344" s="158"/>
      <c r="C344" s="158"/>
      <c r="D344" s="158"/>
      <c r="E344" s="158"/>
      <c r="F344" s="158"/>
      <c r="G344" s="158"/>
    </row>
    <row r="345" spans="1:7" x14ac:dyDescent="0.25">
      <c r="A345" s="158"/>
      <c r="B345" s="158"/>
      <c r="C345" s="158"/>
      <c r="D345" s="158"/>
    </row>
    <row r="346" spans="1:7" x14ac:dyDescent="0.25">
      <c r="A346" s="187" t="s">
        <v>517</v>
      </c>
    </row>
    <row r="347" spans="1:7" x14ac:dyDescent="0.25">
      <c r="A347" s="158"/>
      <c r="B347" s="414" t="s">
        <v>487</v>
      </c>
      <c r="C347" s="414"/>
      <c r="D347" s="414"/>
      <c r="E347" s="414"/>
      <c r="F347" s="414"/>
      <c r="G347" s="91"/>
    </row>
    <row r="348" spans="1:7" x14ac:dyDescent="0.25">
      <c r="A348" s="160" t="s">
        <v>532</v>
      </c>
      <c r="B348" s="189" t="s">
        <v>127</v>
      </c>
      <c r="C348" s="189" t="s">
        <v>128</v>
      </c>
      <c r="D348" s="189" t="s">
        <v>129</v>
      </c>
      <c r="E348" s="189" t="s">
        <v>9</v>
      </c>
      <c r="F348" s="189" t="s">
        <v>130</v>
      </c>
      <c r="G348" s="161" t="s">
        <v>25</v>
      </c>
    </row>
    <row r="349" spans="1:7" x14ac:dyDescent="0.25">
      <c r="A349" s="157" t="s">
        <v>385</v>
      </c>
      <c r="B349" s="183">
        <v>189</v>
      </c>
      <c r="C349" s="183">
        <v>58</v>
      </c>
      <c r="D349" s="183">
        <v>613</v>
      </c>
      <c r="E349" s="183">
        <v>48</v>
      </c>
      <c r="F349" s="183">
        <v>16</v>
      </c>
      <c r="G349" s="183">
        <v>924</v>
      </c>
    </row>
    <row r="350" spans="1:7" x14ac:dyDescent="0.25">
      <c r="A350" s="136" t="s">
        <v>386</v>
      </c>
      <c r="B350" s="137">
        <v>1936</v>
      </c>
      <c r="C350" s="137">
        <v>669</v>
      </c>
      <c r="D350" s="137">
        <v>8419</v>
      </c>
      <c r="E350" s="137">
        <v>752</v>
      </c>
      <c r="F350" s="137">
        <v>454</v>
      </c>
      <c r="G350" s="137">
        <v>12230</v>
      </c>
    </row>
    <row r="351" spans="1:7" x14ac:dyDescent="0.25">
      <c r="A351" s="136" t="s">
        <v>387</v>
      </c>
      <c r="B351" s="137">
        <v>514</v>
      </c>
      <c r="C351" s="137">
        <v>151</v>
      </c>
      <c r="D351" s="137">
        <v>1959</v>
      </c>
      <c r="E351" s="137">
        <v>179</v>
      </c>
      <c r="F351" s="137">
        <v>114</v>
      </c>
      <c r="G351" s="137">
        <v>2917</v>
      </c>
    </row>
    <row r="352" spans="1:7" x14ac:dyDescent="0.25">
      <c r="A352" s="136" t="s">
        <v>388</v>
      </c>
      <c r="B352" s="137">
        <v>2435</v>
      </c>
      <c r="C352" s="137">
        <v>962</v>
      </c>
      <c r="D352" s="137">
        <v>8397</v>
      </c>
      <c r="E352" s="137">
        <v>977</v>
      </c>
      <c r="F352" s="137">
        <v>408</v>
      </c>
      <c r="G352" s="137">
        <v>13179</v>
      </c>
    </row>
    <row r="353" spans="1:7" x14ac:dyDescent="0.25">
      <c r="A353" s="136" t="s">
        <v>389</v>
      </c>
      <c r="B353" s="137">
        <v>5204</v>
      </c>
      <c r="C353" s="137">
        <v>1816</v>
      </c>
      <c r="D353" s="137">
        <v>16160</v>
      </c>
      <c r="E353" s="137">
        <v>1691</v>
      </c>
      <c r="F353" s="137">
        <v>944</v>
      </c>
      <c r="G353" s="137">
        <v>25815</v>
      </c>
    </row>
    <row r="354" spans="1:7" x14ac:dyDescent="0.25">
      <c r="A354" s="136" t="s">
        <v>390</v>
      </c>
      <c r="B354" s="137">
        <v>2392</v>
      </c>
      <c r="C354" s="137">
        <v>1254</v>
      </c>
      <c r="D354" s="137">
        <v>7857</v>
      </c>
      <c r="E354" s="137">
        <v>618</v>
      </c>
      <c r="F354" s="137">
        <v>527</v>
      </c>
      <c r="G354" s="137">
        <v>12648</v>
      </c>
    </row>
    <row r="355" spans="1:7" x14ac:dyDescent="0.25">
      <c r="A355" s="136" t="s">
        <v>391</v>
      </c>
      <c r="B355" s="137">
        <v>5416</v>
      </c>
      <c r="C355" s="137">
        <v>1321</v>
      </c>
      <c r="D355" s="137">
        <v>16813</v>
      </c>
      <c r="E355" s="137">
        <v>1627</v>
      </c>
      <c r="F355" s="137">
        <v>807</v>
      </c>
      <c r="G355" s="137">
        <v>25984</v>
      </c>
    </row>
    <row r="356" spans="1:7" x14ac:dyDescent="0.25">
      <c r="A356" s="136" t="s">
        <v>392</v>
      </c>
      <c r="B356" s="137">
        <v>1137</v>
      </c>
      <c r="C356" s="137">
        <v>275</v>
      </c>
      <c r="D356" s="137">
        <v>3328</v>
      </c>
      <c r="E356" s="137">
        <v>265</v>
      </c>
      <c r="F356" s="137">
        <v>165</v>
      </c>
      <c r="G356" s="137">
        <v>5170</v>
      </c>
    </row>
    <row r="357" spans="1:7" x14ac:dyDescent="0.25">
      <c r="A357" s="136" t="s">
        <v>393</v>
      </c>
      <c r="B357" s="137">
        <v>6070</v>
      </c>
      <c r="C357" s="137">
        <v>2006</v>
      </c>
      <c r="D357" s="137">
        <v>17795</v>
      </c>
      <c r="E357" s="137">
        <v>1801</v>
      </c>
      <c r="F357" s="137">
        <v>1062</v>
      </c>
      <c r="G357" s="137">
        <v>28734</v>
      </c>
    </row>
    <row r="358" spans="1:7" x14ac:dyDescent="0.25">
      <c r="A358" s="136" t="s">
        <v>394</v>
      </c>
      <c r="B358" s="137">
        <v>1137</v>
      </c>
      <c r="C358" s="137">
        <v>350</v>
      </c>
      <c r="D358" s="137">
        <v>3235</v>
      </c>
      <c r="E358" s="137">
        <v>267</v>
      </c>
      <c r="F358" s="137">
        <v>185</v>
      </c>
      <c r="G358" s="137">
        <v>5174</v>
      </c>
    </row>
    <row r="359" spans="1:7" x14ac:dyDescent="0.25">
      <c r="A359" s="136" t="s">
        <v>395</v>
      </c>
      <c r="B359" s="137">
        <v>4813</v>
      </c>
      <c r="C359" s="137">
        <v>1330</v>
      </c>
      <c r="D359" s="137">
        <v>15709</v>
      </c>
      <c r="E359" s="137">
        <v>1499</v>
      </c>
      <c r="F359" s="137">
        <v>760</v>
      </c>
      <c r="G359" s="137">
        <v>24111</v>
      </c>
    </row>
    <row r="360" spans="1:7" x14ac:dyDescent="0.25">
      <c r="A360" s="136" t="s">
        <v>396</v>
      </c>
      <c r="B360" s="137">
        <v>2557</v>
      </c>
      <c r="C360" s="137">
        <v>911</v>
      </c>
      <c r="D360" s="137">
        <v>7608</v>
      </c>
      <c r="E360" s="137">
        <v>794</v>
      </c>
      <c r="F360" s="137">
        <v>463</v>
      </c>
      <c r="G360" s="137">
        <v>12333</v>
      </c>
    </row>
    <row r="361" spans="1:7" x14ac:dyDescent="0.25">
      <c r="A361" s="136" t="s">
        <v>397</v>
      </c>
      <c r="B361" s="137">
        <v>2707</v>
      </c>
      <c r="C361" s="137">
        <v>599</v>
      </c>
      <c r="D361" s="137">
        <v>9791</v>
      </c>
      <c r="E361" s="137">
        <v>961</v>
      </c>
      <c r="F361" s="137">
        <v>400</v>
      </c>
      <c r="G361" s="137">
        <v>14458</v>
      </c>
    </row>
    <row r="362" spans="1:7" x14ac:dyDescent="0.25">
      <c r="A362" s="136" t="s">
        <v>398</v>
      </c>
      <c r="B362" s="137">
        <v>832</v>
      </c>
      <c r="C362" s="137">
        <v>285</v>
      </c>
      <c r="D362" s="137">
        <v>3591</v>
      </c>
      <c r="E362" s="137">
        <v>335</v>
      </c>
      <c r="F362" s="137">
        <v>224</v>
      </c>
      <c r="G362" s="137">
        <v>5267</v>
      </c>
    </row>
    <row r="363" spans="1:7" x14ac:dyDescent="0.25">
      <c r="A363" s="136" t="s">
        <v>399</v>
      </c>
      <c r="B363" s="137">
        <v>3490</v>
      </c>
      <c r="C363" s="137">
        <v>736</v>
      </c>
      <c r="D363" s="137">
        <v>10404</v>
      </c>
      <c r="E363" s="137">
        <v>1158</v>
      </c>
      <c r="F363" s="137">
        <v>429</v>
      </c>
      <c r="G363" s="137">
        <v>16217</v>
      </c>
    </row>
    <row r="364" spans="1:7" x14ac:dyDescent="0.25">
      <c r="A364" s="136" t="s">
        <v>400</v>
      </c>
      <c r="B364" s="137">
        <v>11334</v>
      </c>
      <c r="C364" s="137">
        <v>2443</v>
      </c>
      <c r="D364" s="137">
        <v>40492</v>
      </c>
      <c r="E364" s="137">
        <v>4673</v>
      </c>
      <c r="F364" s="137">
        <v>1483</v>
      </c>
      <c r="G364" s="137">
        <v>60425</v>
      </c>
    </row>
    <row r="365" spans="1:7" x14ac:dyDescent="0.25">
      <c r="A365" s="136" t="s">
        <v>401</v>
      </c>
      <c r="B365" s="137">
        <v>4629</v>
      </c>
      <c r="C365" s="137">
        <v>1345</v>
      </c>
      <c r="D365" s="137">
        <v>14007</v>
      </c>
      <c r="E365" s="137">
        <v>1457</v>
      </c>
      <c r="F365" s="137">
        <v>716</v>
      </c>
      <c r="G365" s="137">
        <v>22154</v>
      </c>
    </row>
    <row r="366" spans="1:7" x14ac:dyDescent="0.25">
      <c r="A366" s="136" t="s">
        <v>402</v>
      </c>
      <c r="B366" s="137">
        <v>5967</v>
      </c>
      <c r="C366" s="137">
        <v>2477</v>
      </c>
      <c r="D366" s="137">
        <v>17114</v>
      </c>
      <c r="E366" s="137">
        <v>1677</v>
      </c>
      <c r="F366" s="137">
        <v>1235</v>
      </c>
      <c r="G366" s="137">
        <v>28470</v>
      </c>
    </row>
    <row r="367" spans="1:7" x14ac:dyDescent="0.25">
      <c r="A367" s="136" t="s">
        <v>403</v>
      </c>
      <c r="B367" s="137">
        <v>1784</v>
      </c>
      <c r="C367" s="137">
        <v>376</v>
      </c>
      <c r="D367" s="137">
        <v>7428</v>
      </c>
      <c r="E367" s="137">
        <v>769</v>
      </c>
      <c r="F367" s="137">
        <v>224</v>
      </c>
      <c r="G367" s="137">
        <v>10581</v>
      </c>
    </row>
    <row r="368" spans="1:7" x14ac:dyDescent="0.25">
      <c r="A368" s="136" t="s">
        <v>404</v>
      </c>
      <c r="B368" s="137">
        <v>1802</v>
      </c>
      <c r="C368" s="137">
        <v>853</v>
      </c>
      <c r="D368" s="137">
        <v>5223</v>
      </c>
      <c r="E368" s="137">
        <v>384</v>
      </c>
      <c r="F368" s="137">
        <v>339</v>
      </c>
      <c r="G368" s="137">
        <v>8601</v>
      </c>
    </row>
    <row r="369" spans="1:7" x14ac:dyDescent="0.25">
      <c r="A369" s="136" t="s">
        <v>405</v>
      </c>
      <c r="B369" s="137">
        <v>4188</v>
      </c>
      <c r="C369" s="137">
        <v>819</v>
      </c>
      <c r="D369" s="137">
        <v>18575</v>
      </c>
      <c r="E369" s="137">
        <v>1898</v>
      </c>
      <c r="F369" s="137">
        <v>454</v>
      </c>
      <c r="G369" s="137">
        <v>25934</v>
      </c>
    </row>
    <row r="370" spans="1:7" x14ac:dyDescent="0.25">
      <c r="A370" s="136" t="s">
        <v>406</v>
      </c>
      <c r="B370" s="137">
        <v>1073</v>
      </c>
      <c r="C370" s="137">
        <v>296</v>
      </c>
      <c r="D370" s="137">
        <v>4053</v>
      </c>
      <c r="E370" s="137">
        <v>308</v>
      </c>
      <c r="F370" s="137">
        <v>168</v>
      </c>
      <c r="G370" s="137">
        <v>5898</v>
      </c>
    </row>
    <row r="371" spans="1:7" x14ac:dyDescent="0.25">
      <c r="A371" s="136" t="s">
        <v>407</v>
      </c>
      <c r="B371" s="137">
        <v>4167</v>
      </c>
      <c r="C371" s="137">
        <v>1456</v>
      </c>
      <c r="D371" s="137">
        <v>11736</v>
      </c>
      <c r="E371" s="137">
        <v>1148</v>
      </c>
      <c r="F371" s="137">
        <v>725</v>
      </c>
      <c r="G371" s="137">
        <v>19232</v>
      </c>
    </row>
    <row r="372" spans="1:7" x14ac:dyDescent="0.25">
      <c r="A372" s="136" t="s">
        <v>408</v>
      </c>
      <c r="B372" s="137">
        <v>3916</v>
      </c>
      <c r="C372" s="137">
        <v>1050</v>
      </c>
      <c r="D372" s="137">
        <v>12862</v>
      </c>
      <c r="E372" s="137">
        <v>1216</v>
      </c>
      <c r="F372" s="137">
        <v>590</v>
      </c>
      <c r="G372" s="137">
        <v>19634</v>
      </c>
    </row>
    <row r="373" spans="1:7" x14ac:dyDescent="0.25">
      <c r="A373" s="136" t="s">
        <v>409</v>
      </c>
      <c r="B373" s="137">
        <v>3709</v>
      </c>
      <c r="C373" s="137">
        <v>768</v>
      </c>
      <c r="D373" s="137">
        <v>14322</v>
      </c>
      <c r="E373" s="137">
        <v>1582</v>
      </c>
      <c r="F373" s="137">
        <v>518</v>
      </c>
      <c r="G373" s="137">
        <v>20899</v>
      </c>
    </row>
    <row r="374" spans="1:7" x14ac:dyDescent="0.25">
      <c r="A374" s="136" t="s">
        <v>410</v>
      </c>
      <c r="B374" s="137">
        <v>12649</v>
      </c>
      <c r="C374" s="137">
        <v>3551</v>
      </c>
      <c r="D374" s="137">
        <v>48462</v>
      </c>
      <c r="E374" s="137">
        <v>5887</v>
      </c>
      <c r="F374" s="137">
        <v>2068</v>
      </c>
      <c r="G374" s="137">
        <v>72617</v>
      </c>
    </row>
    <row r="375" spans="1:7" x14ac:dyDescent="0.25">
      <c r="A375" s="136" t="s">
        <v>411</v>
      </c>
      <c r="B375" s="137">
        <v>435</v>
      </c>
      <c r="C375" s="137">
        <v>137</v>
      </c>
      <c r="D375" s="137">
        <v>1357</v>
      </c>
      <c r="E375" s="137">
        <v>84</v>
      </c>
      <c r="F375" s="137">
        <v>82</v>
      </c>
      <c r="G375" s="137">
        <v>2095</v>
      </c>
    </row>
    <row r="376" spans="1:7" x14ac:dyDescent="0.25">
      <c r="A376" s="136" t="s">
        <v>412</v>
      </c>
      <c r="B376" s="137">
        <v>4343</v>
      </c>
      <c r="C376" s="137">
        <v>1214</v>
      </c>
      <c r="D376" s="137">
        <v>13649</v>
      </c>
      <c r="E376" s="137">
        <v>1114</v>
      </c>
      <c r="F376" s="137">
        <v>773</v>
      </c>
      <c r="G376" s="137">
        <v>21093</v>
      </c>
    </row>
    <row r="377" spans="1:7" x14ac:dyDescent="0.25">
      <c r="A377" s="136" t="s">
        <v>413</v>
      </c>
      <c r="B377" s="137">
        <v>1456</v>
      </c>
      <c r="C377" s="137">
        <v>472</v>
      </c>
      <c r="D377" s="137">
        <v>5401</v>
      </c>
      <c r="E377" s="137">
        <v>554</v>
      </c>
      <c r="F377" s="137">
        <v>288</v>
      </c>
      <c r="G377" s="137">
        <v>8171</v>
      </c>
    </row>
    <row r="378" spans="1:7" x14ac:dyDescent="0.25">
      <c r="A378" s="136" t="s">
        <v>414</v>
      </c>
      <c r="B378" s="137">
        <v>1723</v>
      </c>
      <c r="C378" s="137">
        <v>601</v>
      </c>
      <c r="D378" s="137">
        <v>6434</v>
      </c>
      <c r="E378" s="137">
        <v>451</v>
      </c>
      <c r="F378" s="137">
        <v>302</v>
      </c>
      <c r="G378" s="137">
        <v>9511</v>
      </c>
    </row>
    <row r="379" spans="1:7" ht="30" x14ac:dyDescent="0.25">
      <c r="A379" s="136" t="s">
        <v>415</v>
      </c>
      <c r="B379" s="137">
        <v>4510</v>
      </c>
      <c r="C379" s="137">
        <v>1296</v>
      </c>
      <c r="D379" s="137">
        <v>14568</v>
      </c>
      <c r="E379" s="137">
        <v>1326</v>
      </c>
      <c r="F379" s="137">
        <v>681</v>
      </c>
      <c r="G379" s="137">
        <v>22381</v>
      </c>
    </row>
    <row r="380" spans="1:7" x14ac:dyDescent="0.25">
      <c r="A380" s="136" t="s">
        <v>497</v>
      </c>
      <c r="B380" s="137">
        <v>2242</v>
      </c>
      <c r="C380" s="137">
        <v>669</v>
      </c>
      <c r="D380" s="137">
        <v>8872</v>
      </c>
      <c r="E380" s="137">
        <v>928</v>
      </c>
      <c r="F380" s="137">
        <v>451</v>
      </c>
      <c r="G380" s="137">
        <v>13162</v>
      </c>
    </row>
    <row r="381" spans="1:7" x14ac:dyDescent="0.25">
      <c r="A381" s="136" t="s">
        <v>498</v>
      </c>
      <c r="B381" s="137">
        <v>6285</v>
      </c>
      <c r="C381" s="137">
        <v>2003</v>
      </c>
      <c r="D381" s="137">
        <v>22365</v>
      </c>
      <c r="E381" s="137">
        <v>2312</v>
      </c>
      <c r="F381" s="137">
        <v>1142</v>
      </c>
      <c r="G381" s="137">
        <v>34107</v>
      </c>
    </row>
    <row r="382" spans="1:7" x14ac:dyDescent="0.25">
      <c r="A382" s="136" t="s">
        <v>416</v>
      </c>
      <c r="B382" s="137">
        <v>647</v>
      </c>
      <c r="C382" s="137">
        <v>180</v>
      </c>
      <c r="D382" s="137">
        <v>2065</v>
      </c>
      <c r="E382" s="137">
        <v>198</v>
      </c>
      <c r="F382" s="137">
        <v>85</v>
      </c>
      <c r="G382" s="137">
        <v>3175</v>
      </c>
    </row>
    <row r="383" spans="1:7" x14ac:dyDescent="0.25">
      <c r="A383" s="136" t="s">
        <v>417</v>
      </c>
      <c r="B383" s="137">
        <v>1824</v>
      </c>
      <c r="C383" s="137">
        <v>289</v>
      </c>
      <c r="D383" s="137">
        <v>9289</v>
      </c>
      <c r="E383" s="137">
        <v>994</v>
      </c>
      <c r="F383" s="137">
        <v>206</v>
      </c>
      <c r="G383" s="137">
        <v>12602</v>
      </c>
    </row>
    <row r="384" spans="1:7" x14ac:dyDescent="0.25">
      <c r="A384" s="136" t="s">
        <v>418</v>
      </c>
      <c r="B384" s="137">
        <v>5775</v>
      </c>
      <c r="C384" s="137">
        <v>2253</v>
      </c>
      <c r="D384" s="137">
        <v>20130</v>
      </c>
      <c r="E384" s="137">
        <v>2091</v>
      </c>
      <c r="F384" s="137">
        <v>1203</v>
      </c>
      <c r="G384" s="137">
        <v>31452</v>
      </c>
    </row>
    <row r="385" spans="1:7" x14ac:dyDescent="0.25">
      <c r="A385" s="136" t="s">
        <v>419</v>
      </c>
      <c r="B385" s="137">
        <v>12897</v>
      </c>
      <c r="C385" s="137">
        <v>4353</v>
      </c>
      <c r="D385" s="137">
        <v>46205</v>
      </c>
      <c r="E385" s="137">
        <v>5224</v>
      </c>
      <c r="F385" s="137">
        <v>2389</v>
      </c>
      <c r="G385" s="137">
        <v>71068</v>
      </c>
    </row>
    <row r="386" spans="1:7" x14ac:dyDescent="0.25">
      <c r="A386" s="136" t="s">
        <v>420</v>
      </c>
      <c r="B386" s="137">
        <v>3179</v>
      </c>
      <c r="C386" s="137">
        <v>1255</v>
      </c>
      <c r="D386" s="137">
        <v>11641</v>
      </c>
      <c r="E386" s="137">
        <v>1315</v>
      </c>
      <c r="F386" s="137">
        <v>753</v>
      </c>
      <c r="G386" s="137">
        <v>18143</v>
      </c>
    </row>
    <row r="387" spans="1:7" x14ac:dyDescent="0.25">
      <c r="A387" s="136" t="s">
        <v>421</v>
      </c>
      <c r="B387" s="137">
        <v>4252</v>
      </c>
      <c r="C387" s="137">
        <v>1005</v>
      </c>
      <c r="D387" s="137">
        <v>13922</v>
      </c>
      <c r="E387" s="137">
        <v>1312</v>
      </c>
      <c r="F387" s="137">
        <v>539</v>
      </c>
      <c r="G387" s="137">
        <v>21030</v>
      </c>
    </row>
    <row r="388" spans="1:7" x14ac:dyDescent="0.25">
      <c r="A388" s="136" t="s">
        <v>422</v>
      </c>
      <c r="B388" s="137">
        <v>5696</v>
      </c>
      <c r="C388" s="137">
        <v>1530</v>
      </c>
      <c r="D388" s="137">
        <v>18116</v>
      </c>
      <c r="E388" s="137">
        <v>1848</v>
      </c>
      <c r="F388" s="137">
        <v>894</v>
      </c>
      <c r="G388" s="137">
        <v>28084</v>
      </c>
    </row>
    <row r="389" spans="1:7" x14ac:dyDescent="0.25">
      <c r="A389" s="136" t="s">
        <v>423</v>
      </c>
      <c r="B389" s="137">
        <v>4561</v>
      </c>
      <c r="C389" s="137">
        <v>1626</v>
      </c>
      <c r="D389" s="137">
        <v>14932</v>
      </c>
      <c r="E389" s="137">
        <v>1534</v>
      </c>
      <c r="F389" s="137">
        <v>864</v>
      </c>
      <c r="G389" s="137">
        <v>23517</v>
      </c>
    </row>
    <row r="390" spans="1:7" x14ac:dyDescent="0.25">
      <c r="A390" s="136" t="s">
        <v>424</v>
      </c>
      <c r="B390" s="137">
        <v>7975</v>
      </c>
      <c r="C390" s="137">
        <v>2903</v>
      </c>
      <c r="D390" s="137">
        <v>25796</v>
      </c>
      <c r="E390" s="137">
        <v>2458</v>
      </c>
      <c r="F390" s="137">
        <v>1749</v>
      </c>
      <c r="G390" s="137">
        <v>40881</v>
      </c>
    </row>
    <row r="391" spans="1:7" x14ac:dyDescent="0.25">
      <c r="A391" s="136" t="s">
        <v>425</v>
      </c>
      <c r="B391" s="137">
        <v>3850</v>
      </c>
      <c r="C391" s="137">
        <v>1002</v>
      </c>
      <c r="D391" s="137">
        <v>13065</v>
      </c>
      <c r="E391" s="137">
        <v>1313</v>
      </c>
      <c r="F391" s="137">
        <v>579</v>
      </c>
      <c r="G391" s="137">
        <v>19809</v>
      </c>
    </row>
    <row r="392" spans="1:7" ht="30" x14ac:dyDescent="0.25">
      <c r="A392" s="136" t="s">
        <v>426</v>
      </c>
      <c r="B392" s="137">
        <v>538</v>
      </c>
      <c r="C392" s="137">
        <v>153</v>
      </c>
      <c r="D392" s="137">
        <v>1484</v>
      </c>
      <c r="E392" s="137">
        <v>156</v>
      </c>
      <c r="F392" s="137">
        <v>52</v>
      </c>
      <c r="G392" s="137">
        <v>2383</v>
      </c>
    </row>
    <row r="393" spans="1:7" x14ac:dyDescent="0.25">
      <c r="A393" s="136" t="s">
        <v>427</v>
      </c>
      <c r="B393" s="137">
        <v>3394</v>
      </c>
      <c r="C393" s="137">
        <v>645</v>
      </c>
      <c r="D393" s="137">
        <v>11065</v>
      </c>
      <c r="E393" s="137">
        <v>1183</v>
      </c>
      <c r="F393" s="137">
        <v>396</v>
      </c>
      <c r="G393" s="137">
        <v>16683</v>
      </c>
    </row>
    <row r="394" spans="1:7" x14ac:dyDescent="0.25">
      <c r="A394" s="136" t="s">
        <v>428</v>
      </c>
      <c r="B394" s="137">
        <v>503</v>
      </c>
      <c r="C394" s="137">
        <v>121</v>
      </c>
      <c r="D394" s="137">
        <v>916</v>
      </c>
      <c r="E394" s="137">
        <v>56</v>
      </c>
      <c r="F394" s="137">
        <v>57</v>
      </c>
      <c r="G394" s="137">
        <v>1653</v>
      </c>
    </row>
    <row r="395" spans="1:7" x14ac:dyDescent="0.25">
      <c r="A395" s="136" t="s">
        <v>429</v>
      </c>
      <c r="B395" s="137">
        <v>3989</v>
      </c>
      <c r="C395" s="137">
        <v>1109</v>
      </c>
      <c r="D395" s="137">
        <v>10699</v>
      </c>
      <c r="E395" s="137">
        <v>1088</v>
      </c>
      <c r="F395" s="137">
        <v>547</v>
      </c>
      <c r="G395" s="137">
        <v>17432</v>
      </c>
    </row>
    <row r="396" spans="1:7" x14ac:dyDescent="0.25">
      <c r="A396" s="136" t="s">
        <v>430</v>
      </c>
      <c r="B396" s="137">
        <v>16960</v>
      </c>
      <c r="C396" s="137">
        <v>1376</v>
      </c>
      <c r="D396" s="137">
        <v>31494</v>
      </c>
      <c r="E396" s="137">
        <v>2907</v>
      </c>
      <c r="F396" s="137">
        <v>1191</v>
      </c>
      <c r="G396" s="137">
        <v>53928</v>
      </c>
    </row>
    <row r="397" spans="1:7" x14ac:dyDescent="0.25">
      <c r="A397" s="136" t="s">
        <v>431</v>
      </c>
      <c r="B397" s="137">
        <v>1807</v>
      </c>
      <c r="C397" s="137">
        <v>568</v>
      </c>
      <c r="D397" s="137">
        <v>6951</v>
      </c>
      <c r="E397" s="137">
        <v>708</v>
      </c>
      <c r="F397" s="137">
        <v>376</v>
      </c>
      <c r="G397" s="137">
        <v>10410</v>
      </c>
    </row>
    <row r="398" spans="1:7" x14ac:dyDescent="0.25">
      <c r="A398" s="136" t="s">
        <v>432</v>
      </c>
      <c r="B398" s="137">
        <v>534</v>
      </c>
      <c r="C398" s="137">
        <v>159</v>
      </c>
      <c r="D398" s="137">
        <v>1651</v>
      </c>
      <c r="E398" s="137">
        <v>144</v>
      </c>
      <c r="F398" s="137">
        <v>93</v>
      </c>
      <c r="G398" s="137">
        <v>2581</v>
      </c>
    </row>
    <row r="399" spans="1:7" x14ac:dyDescent="0.25">
      <c r="A399" s="136" t="s">
        <v>433</v>
      </c>
      <c r="B399" s="137">
        <v>908</v>
      </c>
      <c r="C399" s="137">
        <v>116</v>
      </c>
      <c r="D399" s="137">
        <v>3571</v>
      </c>
      <c r="E399" s="137">
        <v>301</v>
      </c>
      <c r="F399" s="137">
        <v>81</v>
      </c>
      <c r="G399" s="137">
        <v>4977</v>
      </c>
    </row>
    <row r="400" spans="1:7" x14ac:dyDescent="0.25">
      <c r="A400" s="136" t="s">
        <v>499</v>
      </c>
      <c r="B400" s="137">
        <v>4489</v>
      </c>
      <c r="C400" s="137">
        <v>754</v>
      </c>
      <c r="D400" s="137">
        <v>20266</v>
      </c>
      <c r="E400" s="137">
        <v>2300</v>
      </c>
      <c r="F400" s="137">
        <v>570</v>
      </c>
      <c r="G400" s="137">
        <v>28379</v>
      </c>
    </row>
    <row r="401" spans="1:7" x14ac:dyDescent="0.25">
      <c r="A401" s="184" t="s">
        <v>25</v>
      </c>
      <c r="B401" s="185">
        <v>200819</v>
      </c>
      <c r="C401" s="185">
        <v>55946</v>
      </c>
      <c r="D401" s="185">
        <v>661857</v>
      </c>
      <c r="E401" s="185">
        <v>67870</v>
      </c>
      <c r="F401" s="185">
        <v>31821</v>
      </c>
      <c r="G401" s="185">
        <v>1018313</v>
      </c>
    </row>
    <row r="402" spans="1:7" x14ac:dyDescent="0.25">
      <c r="A402" s="158"/>
      <c r="B402" s="158"/>
      <c r="C402" s="158"/>
      <c r="D402" s="158"/>
      <c r="E402" s="158"/>
      <c r="F402" s="158"/>
      <c r="G402" s="158"/>
    </row>
    <row r="403" spans="1:7" x14ac:dyDescent="0.25">
      <c r="A403" s="158"/>
      <c r="B403" s="158"/>
      <c r="C403" s="158"/>
      <c r="D403" s="158"/>
      <c r="E403" s="158"/>
      <c r="F403" s="158"/>
      <c r="G403" s="158"/>
    </row>
    <row r="404" spans="1:7" x14ac:dyDescent="0.25">
      <c r="A404" s="158"/>
      <c r="B404" s="158"/>
      <c r="C404" s="158"/>
      <c r="D404" s="158"/>
    </row>
    <row r="405" spans="1:7" x14ac:dyDescent="0.25">
      <c r="A405" s="187" t="s">
        <v>518</v>
      </c>
    </row>
    <row r="406" spans="1:7" x14ac:dyDescent="0.25">
      <c r="A406" s="158"/>
      <c r="B406" s="414" t="s">
        <v>487</v>
      </c>
      <c r="C406" s="414"/>
      <c r="D406" s="414"/>
      <c r="E406" s="414"/>
      <c r="F406" s="414"/>
      <c r="G406" s="91"/>
    </row>
    <row r="407" spans="1:7" x14ac:dyDescent="0.25">
      <c r="A407" s="160" t="s">
        <v>532</v>
      </c>
      <c r="B407" s="189" t="s">
        <v>127</v>
      </c>
      <c r="C407" s="189" t="s">
        <v>128</v>
      </c>
      <c r="D407" s="189" t="s">
        <v>129</v>
      </c>
      <c r="E407" s="189" t="s">
        <v>9</v>
      </c>
      <c r="F407" s="189" t="s">
        <v>130</v>
      </c>
      <c r="G407" s="161" t="s">
        <v>25</v>
      </c>
    </row>
    <row r="408" spans="1:7" x14ac:dyDescent="0.25">
      <c r="A408" s="157" t="s">
        <v>435</v>
      </c>
      <c r="B408" s="183">
        <v>226</v>
      </c>
      <c r="C408" s="183">
        <v>107</v>
      </c>
      <c r="D408" s="183">
        <v>602</v>
      </c>
      <c r="E408" s="183">
        <v>52</v>
      </c>
      <c r="F408" s="183">
        <v>53</v>
      </c>
      <c r="G408" s="183">
        <v>1040</v>
      </c>
    </row>
    <row r="409" spans="1:7" x14ac:dyDescent="0.25">
      <c r="A409" s="136" t="s">
        <v>436</v>
      </c>
      <c r="B409" s="137">
        <v>724</v>
      </c>
      <c r="C409" s="137">
        <v>326</v>
      </c>
      <c r="D409" s="137">
        <v>1324</v>
      </c>
      <c r="E409" s="137">
        <v>100</v>
      </c>
      <c r="F409" s="137">
        <v>126</v>
      </c>
      <c r="G409" s="137">
        <v>2600</v>
      </c>
    </row>
    <row r="410" spans="1:7" x14ac:dyDescent="0.25">
      <c r="A410" s="136" t="s">
        <v>437</v>
      </c>
      <c r="B410" s="137">
        <v>1687</v>
      </c>
      <c r="C410" s="137">
        <v>741</v>
      </c>
      <c r="D410" s="137">
        <v>4915</v>
      </c>
      <c r="E410" s="137">
        <v>486</v>
      </c>
      <c r="F410" s="137">
        <v>523</v>
      </c>
      <c r="G410" s="137">
        <v>8352</v>
      </c>
    </row>
    <row r="411" spans="1:7" x14ac:dyDescent="0.25">
      <c r="A411" s="136" t="s">
        <v>438</v>
      </c>
      <c r="B411" s="137">
        <v>579</v>
      </c>
      <c r="C411" s="137">
        <v>267</v>
      </c>
      <c r="D411" s="137">
        <v>973</v>
      </c>
      <c r="E411" s="137">
        <v>60</v>
      </c>
      <c r="F411" s="137">
        <v>114</v>
      </c>
      <c r="G411" s="137">
        <v>1993</v>
      </c>
    </row>
    <row r="412" spans="1:7" x14ac:dyDescent="0.25">
      <c r="A412" s="136" t="s">
        <v>439</v>
      </c>
      <c r="B412" s="137">
        <v>842</v>
      </c>
      <c r="C412" s="137">
        <v>362</v>
      </c>
      <c r="D412" s="137">
        <v>1910</v>
      </c>
      <c r="E412" s="137">
        <v>134</v>
      </c>
      <c r="F412" s="137">
        <v>206</v>
      </c>
      <c r="G412" s="137">
        <v>3454</v>
      </c>
    </row>
    <row r="413" spans="1:7" x14ac:dyDescent="0.25">
      <c r="A413" s="136" t="s">
        <v>440</v>
      </c>
      <c r="B413" s="137">
        <v>891</v>
      </c>
      <c r="C413" s="137">
        <v>422</v>
      </c>
      <c r="D413" s="137">
        <v>2228</v>
      </c>
      <c r="E413" s="137">
        <v>180</v>
      </c>
      <c r="F413" s="137">
        <v>191</v>
      </c>
      <c r="G413" s="137">
        <v>3912</v>
      </c>
    </row>
    <row r="414" spans="1:7" x14ac:dyDescent="0.25">
      <c r="A414" s="136" t="s">
        <v>441</v>
      </c>
      <c r="B414" s="137">
        <v>284</v>
      </c>
      <c r="C414" s="137">
        <v>151</v>
      </c>
      <c r="D414" s="137">
        <v>888</v>
      </c>
      <c r="E414" s="137">
        <v>75</v>
      </c>
      <c r="F414" s="137">
        <v>88</v>
      </c>
      <c r="G414" s="137">
        <v>1486</v>
      </c>
    </row>
    <row r="415" spans="1:7" x14ac:dyDescent="0.25">
      <c r="A415" s="136" t="s">
        <v>442</v>
      </c>
      <c r="B415" s="137">
        <v>1037</v>
      </c>
      <c r="C415" s="137">
        <v>554</v>
      </c>
      <c r="D415" s="137">
        <v>2425</v>
      </c>
      <c r="E415" s="137">
        <v>185</v>
      </c>
      <c r="F415" s="137">
        <v>267</v>
      </c>
      <c r="G415" s="137">
        <v>4468</v>
      </c>
    </row>
    <row r="416" spans="1:7" x14ac:dyDescent="0.25">
      <c r="A416" s="136" t="s">
        <v>443</v>
      </c>
      <c r="B416" s="137">
        <v>1809</v>
      </c>
      <c r="C416" s="137">
        <v>813</v>
      </c>
      <c r="D416" s="137">
        <v>3090</v>
      </c>
      <c r="E416" s="137">
        <v>231</v>
      </c>
      <c r="F416" s="137">
        <v>351</v>
      </c>
      <c r="G416" s="137">
        <v>6294</v>
      </c>
    </row>
    <row r="417" spans="1:7" x14ac:dyDescent="0.25">
      <c r="A417" s="136" t="s">
        <v>444</v>
      </c>
      <c r="B417" s="137">
        <v>1790</v>
      </c>
      <c r="C417" s="137">
        <v>739</v>
      </c>
      <c r="D417" s="137">
        <v>3776</v>
      </c>
      <c r="E417" s="137">
        <v>271</v>
      </c>
      <c r="F417" s="137">
        <v>422</v>
      </c>
      <c r="G417" s="137">
        <v>6998</v>
      </c>
    </row>
    <row r="418" spans="1:7" ht="30" x14ac:dyDescent="0.25">
      <c r="A418" s="136" t="s">
        <v>445</v>
      </c>
      <c r="B418" s="137">
        <v>896</v>
      </c>
      <c r="C418" s="137">
        <v>452</v>
      </c>
      <c r="D418" s="137">
        <v>2025</v>
      </c>
      <c r="E418" s="137">
        <v>166</v>
      </c>
      <c r="F418" s="137">
        <v>265</v>
      </c>
      <c r="G418" s="137">
        <v>3804</v>
      </c>
    </row>
    <row r="419" spans="1:7" x14ac:dyDescent="0.25">
      <c r="A419" s="136" t="s">
        <v>446</v>
      </c>
      <c r="B419" s="137">
        <v>4880</v>
      </c>
      <c r="C419" s="137">
        <v>2381</v>
      </c>
      <c r="D419" s="137">
        <v>16808</v>
      </c>
      <c r="E419" s="137">
        <v>2172</v>
      </c>
      <c r="F419" s="137">
        <v>1537</v>
      </c>
      <c r="G419" s="137">
        <v>27778</v>
      </c>
    </row>
    <row r="420" spans="1:7" x14ac:dyDescent="0.25">
      <c r="A420" s="184" t="s">
        <v>25</v>
      </c>
      <c r="B420" s="185">
        <v>15645</v>
      </c>
      <c r="C420" s="185">
        <v>7315</v>
      </c>
      <c r="D420" s="185">
        <v>40964</v>
      </c>
      <c r="E420" s="185">
        <v>4112</v>
      </c>
      <c r="F420" s="185">
        <v>4143</v>
      </c>
      <c r="G420" s="185">
        <v>72179</v>
      </c>
    </row>
    <row r="421" spans="1:7" x14ac:dyDescent="0.25">
      <c r="A421" s="158"/>
      <c r="B421" s="158"/>
      <c r="C421" s="158"/>
      <c r="D421" s="158"/>
      <c r="E421" s="158"/>
      <c r="F421" s="158"/>
      <c r="G421" s="158"/>
    </row>
    <row r="422" spans="1:7" x14ac:dyDescent="0.25">
      <c r="A422" s="158"/>
      <c r="B422" s="158"/>
      <c r="C422" s="158"/>
      <c r="D422" s="158"/>
      <c r="E422" s="158"/>
      <c r="F422" s="158"/>
      <c r="G422" s="158"/>
    </row>
    <row r="423" spans="1:7" x14ac:dyDescent="0.25">
      <c r="A423" s="158"/>
      <c r="B423" s="158"/>
      <c r="C423" s="158"/>
      <c r="D423" s="158"/>
    </row>
    <row r="424" spans="1:7" x14ac:dyDescent="0.25">
      <c r="A424" s="187" t="s">
        <v>519</v>
      </c>
    </row>
    <row r="425" spans="1:7" x14ac:dyDescent="0.25">
      <c r="A425" s="158"/>
      <c r="B425" s="414" t="s">
        <v>487</v>
      </c>
      <c r="C425" s="414"/>
      <c r="D425" s="414"/>
      <c r="E425" s="414"/>
      <c r="F425" s="414"/>
      <c r="G425" s="91"/>
    </row>
    <row r="426" spans="1:7" x14ac:dyDescent="0.25">
      <c r="A426" s="160" t="s">
        <v>532</v>
      </c>
      <c r="B426" s="189" t="s">
        <v>127</v>
      </c>
      <c r="C426" s="189" t="s">
        <v>128</v>
      </c>
      <c r="D426" s="189" t="s">
        <v>129</v>
      </c>
      <c r="E426" s="189" t="s">
        <v>9</v>
      </c>
      <c r="F426" s="189" t="s">
        <v>130</v>
      </c>
      <c r="G426" s="161" t="s">
        <v>25</v>
      </c>
    </row>
    <row r="427" spans="1:7" x14ac:dyDescent="0.25">
      <c r="A427" s="157" t="s">
        <v>447</v>
      </c>
      <c r="B427" s="183">
        <v>6450</v>
      </c>
      <c r="C427" s="183">
        <v>2252</v>
      </c>
      <c r="D427" s="183">
        <v>21942</v>
      </c>
      <c r="E427" s="183">
        <v>2414</v>
      </c>
      <c r="F427" s="183">
        <v>1227</v>
      </c>
      <c r="G427" s="183">
        <v>34285</v>
      </c>
    </row>
    <row r="428" spans="1:7" x14ac:dyDescent="0.25">
      <c r="A428" s="136" t="s">
        <v>448</v>
      </c>
      <c r="B428" s="137">
        <v>26</v>
      </c>
      <c r="C428" s="137">
        <v>4</v>
      </c>
      <c r="D428" s="137">
        <v>40</v>
      </c>
      <c r="E428" s="137">
        <v>4</v>
      </c>
      <c r="F428" s="137">
        <v>1</v>
      </c>
      <c r="G428" s="137">
        <v>75</v>
      </c>
    </row>
    <row r="429" spans="1:7" x14ac:dyDescent="0.25">
      <c r="A429" s="136" t="s">
        <v>449</v>
      </c>
      <c r="B429" s="137">
        <v>36</v>
      </c>
      <c r="C429" s="137">
        <v>8</v>
      </c>
      <c r="D429" s="137">
        <v>18</v>
      </c>
      <c r="E429" s="137">
        <v>0</v>
      </c>
      <c r="F429" s="137">
        <v>0</v>
      </c>
      <c r="G429" s="137">
        <v>62</v>
      </c>
    </row>
    <row r="430" spans="1:7" x14ac:dyDescent="0.25">
      <c r="A430" s="136" t="s">
        <v>450</v>
      </c>
      <c r="B430" s="137">
        <v>89</v>
      </c>
      <c r="C430" s="137">
        <v>19</v>
      </c>
      <c r="D430" s="137">
        <v>97</v>
      </c>
      <c r="E430" s="137">
        <v>11</v>
      </c>
      <c r="F430" s="137">
        <v>2</v>
      </c>
      <c r="G430" s="137">
        <v>218</v>
      </c>
    </row>
    <row r="431" spans="1:7" x14ac:dyDescent="0.25">
      <c r="A431" s="184" t="s">
        <v>25</v>
      </c>
      <c r="B431" s="185">
        <v>6601</v>
      </c>
      <c r="C431" s="185">
        <v>2283</v>
      </c>
      <c r="D431" s="185">
        <v>22097</v>
      </c>
      <c r="E431" s="185">
        <v>2429</v>
      </c>
      <c r="F431" s="185">
        <v>1230</v>
      </c>
      <c r="G431" s="185">
        <v>34640</v>
      </c>
    </row>
    <row r="432" spans="1:7" x14ac:dyDescent="0.25">
      <c r="A432" s="158"/>
      <c r="B432" s="158"/>
      <c r="C432" s="158"/>
      <c r="D432" s="158"/>
      <c r="E432" s="158"/>
      <c r="F432" s="158"/>
      <c r="G432" s="158"/>
    </row>
    <row r="433" spans="1:7" x14ac:dyDescent="0.25">
      <c r="A433" s="158"/>
      <c r="B433" s="158"/>
      <c r="C433" s="158"/>
      <c r="D433" s="158"/>
      <c r="E433" s="158"/>
      <c r="F433" s="158"/>
      <c r="G433" s="158"/>
    </row>
    <row r="434" spans="1:7" x14ac:dyDescent="0.25">
      <c r="A434" s="158"/>
      <c r="B434" s="158"/>
      <c r="C434" s="158"/>
      <c r="D434" s="158"/>
    </row>
    <row r="435" spans="1:7" x14ac:dyDescent="0.25">
      <c r="A435" s="187" t="s">
        <v>520</v>
      </c>
    </row>
    <row r="436" spans="1:7" x14ac:dyDescent="0.25">
      <c r="A436" s="158"/>
      <c r="B436" s="414" t="s">
        <v>487</v>
      </c>
      <c r="C436" s="414"/>
      <c r="D436" s="414"/>
      <c r="E436" s="414"/>
      <c r="F436" s="414"/>
      <c r="G436" s="91"/>
    </row>
    <row r="437" spans="1:7" x14ac:dyDescent="0.25">
      <c r="A437" s="160" t="s">
        <v>532</v>
      </c>
      <c r="B437" s="189" t="s">
        <v>127</v>
      </c>
      <c r="C437" s="189" t="s">
        <v>128</v>
      </c>
      <c r="D437" s="189" t="s">
        <v>129</v>
      </c>
      <c r="E437" s="189" t="s">
        <v>9</v>
      </c>
      <c r="F437" s="189" t="s">
        <v>130</v>
      </c>
      <c r="G437" s="161" t="s">
        <v>25</v>
      </c>
    </row>
    <row r="438" spans="1:7" x14ac:dyDescent="0.25">
      <c r="A438" s="157" t="s">
        <v>451</v>
      </c>
      <c r="B438" s="183">
        <v>985</v>
      </c>
      <c r="C438" s="183">
        <v>502</v>
      </c>
      <c r="D438" s="183">
        <v>2673</v>
      </c>
      <c r="E438" s="183">
        <v>212</v>
      </c>
      <c r="F438" s="183">
        <v>238</v>
      </c>
      <c r="G438" s="183">
        <v>4610</v>
      </c>
    </row>
    <row r="439" spans="1:7" x14ac:dyDescent="0.25">
      <c r="A439" s="136" t="s">
        <v>452</v>
      </c>
      <c r="B439" s="137">
        <v>6694</v>
      </c>
      <c r="C439" s="137">
        <v>3574</v>
      </c>
      <c r="D439" s="137">
        <v>20869</v>
      </c>
      <c r="E439" s="137">
        <v>2268</v>
      </c>
      <c r="F439" s="137">
        <v>2418</v>
      </c>
      <c r="G439" s="137">
        <v>35823</v>
      </c>
    </row>
    <row r="440" spans="1:7" x14ac:dyDescent="0.25">
      <c r="A440" s="136" t="s">
        <v>453</v>
      </c>
      <c r="B440" s="137">
        <v>807</v>
      </c>
      <c r="C440" s="137">
        <v>440</v>
      </c>
      <c r="D440" s="137">
        <v>2210</v>
      </c>
      <c r="E440" s="137">
        <v>240</v>
      </c>
      <c r="F440" s="137">
        <v>311</v>
      </c>
      <c r="G440" s="137">
        <v>4008</v>
      </c>
    </row>
    <row r="441" spans="1:7" x14ac:dyDescent="0.25">
      <c r="A441" s="136" t="s">
        <v>454</v>
      </c>
      <c r="B441" s="137">
        <v>401</v>
      </c>
      <c r="C441" s="137">
        <v>146</v>
      </c>
      <c r="D441" s="137">
        <v>540</v>
      </c>
      <c r="E441" s="137">
        <v>31</v>
      </c>
      <c r="F441" s="137">
        <v>54</v>
      </c>
      <c r="G441" s="137">
        <v>1172</v>
      </c>
    </row>
    <row r="442" spans="1:7" x14ac:dyDescent="0.25">
      <c r="A442" s="136" t="s">
        <v>455</v>
      </c>
      <c r="B442" s="137">
        <v>876</v>
      </c>
      <c r="C442" s="137">
        <v>426</v>
      </c>
      <c r="D442" s="137">
        <v>2241</v>
      </c>
      <c r="E442" s="137">
        <v>176</v>
      </c>
      <c r="F442" s="137">
        <v>178</v>
      </c>
      <c r="G442" s="137">
        <v>3897</v>
      </c>
    </row>
    <row r="443" spans="1:7" x14ac:dyDescent="0.25">
      <c r="A443" s="136" t="s">
        <v>456</v>
      </c>
      <c r="B443" s="137">
        <v>1042</v>
      </c>
      <c r="C443" s="137">
        <v>680</v>
      </c>
      <c r="D443" s="137">
        <v>2207</v>
      </c>
      <c r="E443" s="137">
        <v>128</v>
      </c>
      <c r="F443" s="137">
        <v>313</v>
      </c>
      <c r="G443" s="137">
        <v>4370</v>
      </c>
    </row>
    <row r="444" spans="1:7" x14ac:dyDescent="0.25">
      <c r="A444" s="136" t="s">
        <v>457</v>
      </c>
      <c r="B444" s="137">
        <v>833</v>
      </c>
      <c r="C444" s="137">
        <v>479</v>
      </c>
      <c r="D444" s="137">
        <v>1153</v>
      </c>
      <c r="E444" s="137">
        <v>57</v>
      </c>
      <c r="F444" s="137">
        <v>181</v>
      </c>
      <c r="G444" s="137">
        <v>2703</v>
      </c>
    </row>
    <row r="445" spans="1:7" x14ac:dyDescent="0.25">
      <c r="A445" s="136" t="s">
        <v>458</v>
      </c>
      <c r="B445" s="137">
        <v>374</v>
      </c>
      <c r="C445" s="137">
        <v>255</v>
      </c>
      <c r="D445" s="137">
        <v>599</v>
      </c>
      <c r="E445" s="137">
        <v>49</v>
      </c>
      <c r="F445" s="137">
        <v>107</v>
      </c>
      <c r="G445" s="137">
        <v>1384</v>
      </c>
    </row>
    <row r="446" spans="1:7" x14ac:dyDescent="0.25">
      <c r="A446" s="136" t="s">
        <v>459</v>
      </c>
      <c r="B446" s="137">
        <v>403</v>
      </c>
      <c r="C446" s="137">
        <v>270</v>
      </c>
      <c r="D446" s="137">
        <v>843</v>
      </c>
      <c r="E446" s="137">
        <v>49</v>
      </c>
      <c r="F446" s="137">
        <v>121</v>
      </c>
      <c r="G446" s="137">
        <v>1686</v>
      </c>
    </row>
    <row r="447" spans="1:7" x14ac:dyDescent="0.25">
      <c r="A447" s="136" t="s">
        <v>460</v>
      </c>
      <c r="B447" s="137">
        <v>613</v>
      </c>
      <c r="C447" s="137">
        <v>319</v>
      </c>
      <c r="D447" s="137">
        <v>1171</v>
      </c>
      <c r="E447" s="137">
        <v>78</v>
      </c>
      <c r="F447" s="137">
        <v>135</v>
      </c>
      <c r="G447" s="137">
        <v>2316</v>
      </c>
    </row>
    <row r="448" spans="1:7" x14ac:dyDescent="0.25">
      <c r="A448" s="136" t="s">
        <v>461</v>
      </c>
      <c r="B448" s="137">
        <v>313</v>
      </c>
      <c r="C448" s="137">
        <v>164</v>
      </c>
      <c r="D448" s="137">
        <v>671</v>
      </c>
      <c r="E448" s="137">
        <v>32</v>
      </c>
      <c r="F448" s="137">
        <v>98</v>
      </c>
      <c r="G448" s="137">
        <v>1278</v>
      </c>
    </row>
    <row r="449" spans="1:7" x14ac:dyDescent="0.25">
      <c r="A449" s="136" t="s">
        <v>462</v>
      </c>
      <c r="B449" s="137">
        <v>1081</v>
      </c>
      <c r="C449" s="137">
        <v>390</v>
      </c>
      <c r="D449" s="137">
        <v>2292</v>
      </c>
      <c r="E449" s="137">
        <v>173</v>
      </c>
      <c r="F449" s="137">
        <v>139</v>
      </c>
      <c r="G449" s="137">
        <v>4075</v>
      </c>
    </row>
    <row r="450" spans="1:7" x14ac:dyDescent="0.25">
      <c r="A450" s="136" t="s">
        <v>463</v>
      </c>
      <c r="B450" s="137">
        <v>567</v>
      </c>
      <c r="C450" s="137">
        <v>308</v>
      </c>
      <c r="D450" s="137">
        <v>1564</v>
      </c>
      <c r="E450" s="137">
        <v>152</v>
      </c>
      <c r="F450" s="137">
        <v>144</v>
      </c>
      <c r="G450" s="137">
        <v>2735</v>
      </c>
    </row>
    <row r="451" spans="1:7" x14ac:dyDescent="0.25">
      <c r="A451" s="136" t="s">
        <v>464</v>
      </c>
      <c r="B451" s="137">
        <v>336</v>
      </c>
      <c r="C451" s="137">
        <v>175</v>
      </c>
      <c r="D451" s="137">
        <v>888</v>
      </c>
      <c r="E451" s="137">
        <v>69</v>
      </c>
      <c r="F451" s="137">
        <v>64</v>
      </c>
      <c r="G451" s="137">
        <v>1532</v>
      </c>
    </row>
    <row r="452" spans="1:7" x14ac:dyDescent="0.25">
      <c r="A452" s="136" t="s">
        <v>465</v>
      </c>
      <c r="B452" s="137">
        <v>2395</v>
      </c>
      <c r="C452" s="137">
        <v>1246</v>
      </c>
      <c r="D452" s="137">
        <v>6747</v>
      </c>
      <c r="E452" s="137">
        <v>469</v>
      </c>
      <c r="F452" s="137">
        <v>805</v>
      </c>
      <c r="G452" s="137">
        <v>11662</v>
      </c>
    </row>
    <row r="453" spans="1:7" x14ac:dyDescent="0.25">
      <c r="A453" s="136" t="s">
        <v>466</v>
      </c>
      <c r="B453" s="137">
        <v>200</v>
      </c>
      <c r="C453" s="137">
        <v>98</v>
      </c>
      <c r="D453" s="137">
        <v>537</v>
      </c>
      <c r="E453" s="137">
        <v>37</v>
      </c>
      <c r="F453" s="137">
        <v>43</v>
      </c>
      <c r="G453" s="137">
        <v>915</v>
      </c>
    </row>
    <row r="454" spans="1:7" x14ac:dyDescent="0.25">
      <c r="A454" s="136" t="s">
        <v>467</v>
      </c>
      <c r="B454" s="137">
        <v>1050</v>
      </c>
      <c r="C454" s="137">
        <v>627</v>
      </c>
      <c r="D454" s="137">
        <v>1608</v>
      </c>
      <c r="E454" s="137">
        <v>119</v>
      </c>
      <c r="F454" s="137">
        <v>281</v>
      </c>
      <c r="G454" s="137">
        <v>3685</v>
      </c>
    </row>
    <row r="455" spans="1:7" x14ac:dyDescent="0.25">
      <c r="A455" s="136" t="s">
        <v>468</v>
      </c>
      <c r="B455" s="137">
        <v>536</v>
      </c>
      <c r="C455" s="137">
        <v>281</v>
      </c>
      <c r="D455" s="137">
        <v>1189</v>
      </c>
      <c r="E455" s="137">
        <v>83</v>
      </c>
      <c r="F455" s="137">
        <v>167</v>
      </c>
      <c r="G455" s="137">
        <v>2256</v>
      </c>
    </row>
    <row r="456" spans="1:7" x14ac:dyDescent="0.25">
      <c r="A456" s="136" t="s">
        <v>469</v>
      </c>
      <c r="B456" s="137">
        <v>326</v>
      </c>
      <c r="C456" s="137">
        <v>167</v>
      </c>
      <c r="D456" s="137">
        <v>670</v>
      </c>
      <c r="E456" s="137">
        <v>38</v>
      </c>
      <c r="F456" s="137">
        <v>70</v>
      </c>
      <c r="G456" s="137">
        <v>1271</v>
      </c>
    </row>
    <row r="457" spans="1:7" x14ac:dyDescent="0.25">
      <c r="A457" s="136" t="s">
        <v>470</v>
      </c>
      <c r="B457" s="137">
        <v>805</v>
      </c>
      <c r="C457" s="137">
        <v>342</v>
      </c>
      <c r="D457" s="137">
        <v>2227</v>
      </c>
      <c r="E457" s="137">
        <v>212</v>
      </c>
      <c r="F457" s="137">
        <v>158</v>
      </c>
      <c r="G457" s="137">
        <v>3744</v>
      </c>
    </row>
    <row r="458" spans="1:7" x14ac:dyDescent="0.25">
      <c r="A458" s="136" t="s">
        <v>471</v>
      </c>
      <c r="B458" s="137">
        <v>758</v>
      </c>
      <c r="C458" s="137">
        <v>389</v>
      </c>
      <c r="D458" s="137">
        <v>1418</v>
      </c>
      <c r="E458" s="137">
        <v>73</v>
      </c>
      <c r="F458" s="137">
        <v>147</v>
      </c>
      <c r="G458" s="137">
        <v>2785</v>
      </c>
    </row>
    <row r="459" spans="1:7" x14ac:dyDescent="0.25">
      <c r="A459" s="184" t="s">
        <v>25</v>
      </c>
      <c r="B459" s="185">
        <v>21395</v>
      </c>
      <c r="C459" s="185">
        <v>11278</v>
      </c>
      <c r="D459" s="185">
        <v>54317</v>
      </c>
      <c r="E459" s="185">
        <v>4745</v>
      </c>
      <c r="F459" s="185">
        <v>6172</v>
      </c>
      <c r="G459" s="185">
        <v>97907</v>
      </c>
    </row>
  </sheetData>
  <mergeCells count="16">
    <mergeCell ref="B117:F117"/>
    <mergeCell ref="B6:F6"/>
    <mergeCell ref="B20:F20"/>
    <mergeCell ref="B35:F35"/>
    <mergeCell ref="B50:F50"/>
    <mergeCell ref="B72:F72"/>
    <mergeCell ref="B347:F347"/>
    <mergeCell ref="B406:F406"/>
    <mergeCell ref="B425:F425"/>
    <mergeCell ref="B436:F436"/>
    <mergeCell ref="B157:F157"/>
    <mergeCell ref="B194:F194"/>
    <mergeCell ref="B234:F234"/>
    <mergeCell ref="B274:F274"/>
    <mergeCell ref="B312:F312"/>
    <mergeCell ref="B329:F329"/>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7A452-9D1B-4E4B-A078-9C852ED1C8E2}">
  <sheetPr>
    <tabColor rgb="FF00B0F0"/>
  </sheetPr>
  <dimension ref="A3:I519"/>
  <sheetViews>
    <sheetView workbookViewId="0"/>
  </sheetViews>
  <sheetFormatPr baseColWidth="10" defaultRowHeight="15" x14ac:dyDescent="0.25"/>
  <sheetData>
    <row r="3" spans="1:7" ht="45" x14ac:dyDescent="0.25">
      <c r="A3" s="136" t="s">
        <v>501</v>
      </c>
      <c r="B3" s="136" t="s">
        <v>502</v>
      </c>
      <c r="C3" s="136">
        <v>1</v>
      </c>
      <c r="D3" s="154"/>
      <c r="E3" s="154"/>
      <c r="F3" s="155"/>
    </row>
    <row r="4" spans="1:7" x14ac:dyDescent="0.25">
      <c r="A4" s="136"/>
      <c r="B4" s="136"/>
      <c r="C4" s="136"/>
      <c r="D4" s="136"/>
      <c r="F4" s="143"/>
    </row>
    <row r="5" spans="1:7" ht="30" x14ac:dyDescent="0.25">
      <c r="A5" s="136"/>
      <c r="B5" s="136"/>
      <c r="C5" s="136" t="s">
        <v>500</v>
      </c>
      <c r="D5" s="136"/>
      <c r="F5" s="143"/>
    </row>
    <row r="6" spans="1:7" x14ac:dyDescent="0.25">
      <c r="A6" s="136" t="s">
        <v>126</v>
      </c>
      <c r="B6" s="136" t="s">
        <v>479</v>
      </c>
      <c r="C6" s="136" t="s">
        <v>480</v>
      </c>
      <c r="D6" s="136" t="s">
        <v>481</v>
      </c>
      <c r="E6" s="136" t="s">
        <v>482</v>
      </c>
      <c r="F6" s="136" t="s">
        <v>483</v>
      </c>
      <c r="G6" s="136" t="s">
        <v>25</v>
      </c>
    </row>
    <row r="7" spans="1:7" x14ac:dyDescent="0.25">
      <c r="A7" s="136"/>
      <c r="B7" s="136"/>
      <c r="C7" s="136"/>
      <c r="G7" s="143"/>
    </row>
    <row r="8" spans="1:7" ht="30" x14ac:dyDescent="0.25">
      <c r="A8" s="136" t="s">
        <v>131</v>
      </c>
      <c r="B8" s="136">
        <v>32</v>
      </c>
      <c r="C8" s="146">
        <v>8631</v>
      </c>
      <c r="D8" s="136">
        <v>1</v>
      </c>
      <c r="E8" s="146">
        <v>1938</v>
      </c>
      <c r="F8" s="136">
        <v>329</v>
      </c>
      <c r="G8" s="146">
        <v>10931</v>
      </c>
    </row>
    <row r="9" spans="1:7" x14ac:dyDescent="0.25">
      <c r="A9" s="136" t="s">
        <v>137</v>
      </c>
      <c r="B9" s="136">
        <v>0</v>
      </c>
      <c r="C9" s="136">
        <v>192</v>
      </c>
      <c r="D9">
        <v>0</v>
      </c>
      <c r="E9" s="136">
        <v>38</v>
      </c>
      <c r="F9" s="136">
        <v>4</v>
      </c>
      <c r="G9" s="136">
        <v>234</v>
      </c>
    </row>
    <row r="10" spans="1:7" x14ac:dyDescent="0.25">
      <c r="A10" s="136" t="s">
        <v>132</v>
      </c>
      <c r="B10" s="136">
        <v>2</v>
      </c>
      <c r="C10" s="136">
        <v>137</v>
      </c>
      <c r="D10">
        <v>0</v>
      </c>
      <c r="E10" s="136">
        <v>25</v>
      </c>
      <c r="F10" s="136">
        <v>3</v>
      </c>
      <c r="G10" s="136">
        <v>167</v>
      </c>
    </row>
    <row r="11" spans="1:7" x14ac:dyDescent="0.25">
      <c r="A11" s="136" t="s">
        <v>133</v>
      </c>
      <c r="B11" s="136">
        <v>6</v>
      </c>
      <c r="C11" s="136">
        <v>476</v>
      </c>
      <c r="D11" s="136">
        <v>1</v>
      </c>
      <c r="E11" s="136">
        <v>103</v>
      </c>
      <c r="F11" s="136">
        <v>14</v>
      </c>
      <c r="G11" s="136">
        <v>600</v>
      </c>
    </row>
    <row r="12" spans="1:7" x14ac:dyDescent="0.25">
      <c r="A12" s="136" t="s">
        <v>134</v>
      </c>
      <c r="B12" s="136">
        <v>90</v>
      </c>
      <c r="C12" s="146">
        <v>26648</v>
      </c>
      <c r="D12" s="136">
        <v>11</v>
      </c>
      <c r="E12" s="146">
        <v>6786</v>
      </c>
      <c r="F12" s="136">
        <v>678</v>
      </c>
      <c r="G12" s="146">
        <v>34213</v>
      </c>
    </row>
    <row r="13" spans="1:7" x14ac:dyDescent="0.25">
      <c r="A13" s="136" t="s">
        <v>135</v>
      </c>
      <c r="B13" s="136">
        <v>2</v>
      </c>
      <c r="C13" s="136">
        <v>876</v>
      </c>
      <c r="D13" s="167">
        <v>0</v>
      </c>
      <c r="E13" s="136">
        <v>200</v>
      </c>
      <c r="F13" s="136">
        <v>26</v>
      </c>
      <c r="G13" s="146">
        <v>1104</v>
      </c>
    </row>
    <row r="14" spans="1:7" ht="30" x14ac:dyDescent="0.25">
      <c r="A14" s="136" t="s">
        <v>136</v>
      </c>
      <c r="B14" s="136">
        <v>9</v>
      </c>
      <c r="C14" s="146">
        <v>1589</v>
      </c>
      <c r="D14" s="167">
        <v>0</v>
      </c>
      <c r="E14" s="136">
        <v>403</v>
      </c>
      <c r="F14" s="136">
        <v>50</v>
      </c>
      <c r="G14" s="146">
        <v>2051</v>
      </c>
    </row>
    <row r="15" spans="1:7" x14ac:dyDescent="0.25">
      <c r="A15" s="136" t="s">
        <v>25</v>
      </c>
      <c r="B15" s="137">
        <f>SUM(B8:B14)</f>
        <v>141</v>
      </c>
      <c r="C15" s="137">
        <f t="shared" ref="C15:G15" si="0">SUM(C8:C14)</f>
        <v>38549</v>
      </c>
      <c r="D15" s="137">
        <f t="shared" si="0"/>
        <v>13</v>
      </c>
      <c r="E15" s="137">
        <f t="shared" si="0"/>
        <v>9493</v>
      </c>
      <c r="F15" s="137">
        <f t="shared" si="0"/>
        <v>1104</v>
      </c>
      <c r="G15" s="137">
        <f t="shared" si="0"/>
        <v>49300</v>
      </c>
    </row>
    <row r="16" spans="1:7" x14ac:dyDescent="0.25">
      <c r="A16" s="136"/>
      <c r="B16" s="136"/>
      <c r="C16" s="136"/>
      <c r="D16" s="147"/>
      <c r="E16" s="147"/>
      <c r="F16" s="147"/>
      <c r="G16" s="144"/>
    </row>
    <row r="21" spans="1:8" ht="45" x14ac:dyDescent="0.25">
      <c r="A21" s="136" t="s">
        <v>138</v>
      </c>
      <c r="B21" s="154"/>
      <c r="C21" s="154"/>
      <c r="D21" s="154"/>
      <c r="E21" s="154"/>
      <c r="F21" s="155"/>
    </row>
    <row r="22" spans="1:8" x14ac:dyDescent="0.25">
      <c r="A22" s="136"/>
      <c r="B22" s="136"/>
      <c r="C22" s="136"/>
      <c r="F22" s="143"/>
    </row>
    <row r="23" spans="1:8" ht="30" x14ac:dyDescent="0.25">
      <c r="A23" s="136"/>
      <c r="B23" s="136" t="s">
        <v>500</v>
      </c>
      <c r="C23" s="136"/>
      <c r="F23" s="143"/>
    </row>
    <row r="24" spans="1:8" x14ac:dyDescent="0.25">
      <c r="A24" s="136" t="s">
        <v>126</v>
      </c>
      <c r="B24" s="136" t="s">
        <v>479</v>
      </c>
      <c r="C24" s="136" t="s">
        <v>480</v>
      </c>
      <c r="D24" s="136" t="s">
        <v>481</v>
      </c>
      <c r="E24" s="136" t="s">
        <v>482</v>
      </c>
      <c r="F24" s="136" t="s">
        <v>483</v>
      </c>
      <c r="G24" s="136" t="s">
        <v>25</v>
      </c>
    </row>
    <row r="25" spans="1:8" x14ac:dyDescent="0.25">
      <c r="A25" s="136"/>
      <c r="B25" s="136"/>
      <c r="C25" s="136"/>
      <c r="G25" s="143"/>
    </row>
    <row r="26" spans="1:8" ht="30" x14ac:dyDescent="0.25">
      <c r="A26" s="136" t="s">
        <v>139</v>
      </c>
      <c r="B26" s="136">
        <v>137</v>
      </c>
      <c r="C26" s="146">
        <v>41859</v>
      </c>
      <c r="D26" s="136">
        <v>18</v>
      </c>
      <c r="E26" s="146">
        <v>10946</v>
      </c>
      <c r="F26" s="146">
        <v>1282</v>
      </c>
      <c r="G26" s="146">
        <v>54242</v>
      </c>
    </row>
    <row r="27" spans="1:8" x14ac:dyDescent="0.25">
      <c r="A27" s="136" t="s">
        <v>140</v>
      </c>
      <c r="B27" s="136">
        <v>30</v>
      </c>
      <c r="C27" s="146">
        <v>14670</v>
      </c>
      <c r="D27" s="136">
        <v>8</v>
      </c>
      <c r="E27" s="146">
        <v>3983</v>
      </c>
      <c r="F27" s="136">
        <v>498</v>
      </c>
      <c r="G27" s="146">
        <v>19189</v>
      </c>
    </row>
    <row r="28" spans="1:8" ht="30" x14ac:dyDescent="0.25">
      <c r="A28" s="136" t="s">
        <v>141</v>
      </c>
      <c r="B28">
        <v>0</v>
      </c>
      <c r="C28" s="136">
        <v>414</v>
      </c>
      <c r="D28">
        <v>0</v>
      </c>
      <c r="E28" s="136">
        <v>130</v>
      </c>
      <c r="F28" s="136">
        <v>12</v>
      </c>
      <c r="G28" s="136">
        <v>556</v>
      </c>
    </row>
    <row r="29" spans="1:8" ht="30" x14ac:dyDescent="0.25">
      <c r="A29" s="136" t="s">
        <v>142</v>
      </c>
      <c r="B29" s="136">
        <v>3</v>
      </c>
      <c r="C29" s="146">
        <v>1165</v>
      </c>
      <c r="D29" s="136">
        <v>1</v>
      </c>
      <c r="E29" s="136">
        <v>377</v>
      </c>
      <c r="F29" s="136">
        <v>59</v>
      </c>
      <c r="G29" s="146">
        <v>1605</v>
      </c>
    </row>
    <row r="30" spans="1:8" x14ac:dyDescent="0.25">
      <c r="A30" s="136" t="s">
        <v>143</v>
      </c>
      <c r="B30" s="136">
        <v>0</v>
      </c>
      <c r="C30" s="136">
        <v>37</v>
      </c>
      <c r="D30" s="168">
        <v>0</v>
      </c>
      <c r="E30" s="136">
        <v>5</v>
      </c>
      <c r="F30" s="136">
        <v>1</v>
      </c>
      <c r="G30" s="136">
        <v>43</v>
      </c>
      <c r="H30" s="143"/>
    </row>
    <row r="31" spans="1:8" ht="45" x14ac:dyDescent="0.25">
      <c r="A31" s="136" t="s">
        <v>144</v>
      </c>
      <c r="B31" s="136">
        <v>1</v>
      </c>
      <c r="C31" s="136">
        <v>680</v>
      </c>
      <c r="D31" s="168">
        <v>0</v>
      </c>
      <c r="E31" s="136">
        <v>145</v>
      </c>
      <c r="F31" s="136">
        <v>25</v>
      </c>
      <c r="G31" s="136">
        <v>851</v>
      </c>
    </row>
    <row r="32" spans="1:8" ht="30" x14ac:dyDescent="0.25">
      <c r="A32" s="136" t="s">
        <v>145</v>
      </c>
      <c r="B32" s="167">
        <v>0</v>
      </c>
      <c r="C32" s="136">
        <v>98</v>
      </c>
      <c r="D32" s="168">
        <v>0</v>
      </c>
      <c r="E32" s="136">
        <v>29</v>
      </c>
      <c r="F32" s="136">
        <v>2</v>
      </c>
      <c r="G32" s="136">
        <v>129</v>
      </c>
    </row>
    <row r="33" spans="1:8" x14ac:dyDescent="0.25">
      <c r="A33" s="136" t="s">
        <v>146</v>
      </c>
      <c r="B33" s="136">
        <v>4</v>
      </c>
      <c r="C33" s="146">
        <v>1885</v>
      </c>
      <c r="D33" s="168">
        <v>0</v>
      </c>
      <c r="E33" s="136">
        <v>570</v>
      </c>
      <c r="F33" s="136">
        <v>63</v>
      </c>
      <c r="G33" s="146">
        <v>2522</v>
      </c>
    </row>
    <row r="34" spans="1:8" x14ac:dyDescent="0.25">
      <c r="A34" s="136" t="s">
        <v>147</v>
      </c>
      <c r="B34" s="136">
        <v>11</v>
      </c>
      <c r="C34" s="146">
        <v>4223</v>
      </c>
      <c r="D34" s="136">
        <v>7</v>
      </c>
      <c r="E34" s="146">
        <v>1046</v>
      </c>
      <c r="F34" s="136">
        <v>126</v>
      </c>
      <c r="G34" s="146">
        <v>5413</v>
      </c>
    </row>
    <row r="35" spans="1:8" x14ac:dyDescent="0.25">
      <c r="A35" s="136"/>
      <c r="G35" s="143"/>
    </row>
    <row r="36" spans="1:8" x14ac:dyDescent="0.25">
      <c r="A36" s="136" t="s">
        <v>25</v>
      </c>
      <c r="B36" s="137">
        <f>SUM(B26:B35)</f>
        <v>186</v>
      </c>
      <c r="C36" s="137">
        <f t="shared" ref="C36:G36" si="1">SUM(C26:C35)</f>
        <v>65031</v>
      </c>
      <c r="D36" s="137">
        <f t="shared" si="1"/>
        <v>34</v>
      </c>
      <c r="E36" s="137">
        <f t="shared" si="1"/>
        <v>17231</v>
      </c>
      <c r="F36" s="137">
        <f t="shared" si="1"/>
        <v>2068</v>
      </c>
      <c r="G36" s="137">
        <f t="shared" si="1"/>
        <v>84550</v>
      </c>
    </row>
    <row r="37" spans="1:8" x14ac:dyDescent="0.25">
      <c r="A37" s="136"/>
      <c r="B37" s="136"/>
      <c r="C37" s="136"/>
      <c r="D37" s="147"/>
      <c r="E37" s="147"/>
      <c r="F37" s="147"/>
      <c r="G37" s="144"/>
    </row>
    <row r="42" spans="1:8" ht="45" x14ac:dyDescent="0.25">
      <c r="A42" s="136" t="s">
        <v>501</v>
      </c>
      <c r="B42" s="136" t="s">
        <v>502</v>
      </c>
      <c r="C42" s="136">
        <v>3</v>
      </c>
      <c r="D42" s="154"/>
      <c r="E42" s="154"/>
      <c r="F42" s="154"/>
      <c r="G42" s="155"/>
    </row>
    <row r="43" spans="1:8" x14ac:dyDescent="0.25">
      <c r="A43" s="136"/>
      <c r="B43" s="136"/>
      <c r="C43" s="136"/>
      <c r="D43" s="136"/>
      <c r="G43" s="143"/>
    </row>
    <row r="44" spans="1:8" ht="30" x14ac:dyDescent="0.25">
      <c r="A44" s="136"/>
      <c r="B44" s="136"/>
      <c r="C44" s="136" t="s">
        <v>500</v>
      </c>
      <c r="D44" s="136"/>
      <c r="G44" s="143"/>
    </row>
    <row r="45" spans="1:8" x14ac:dyDescent="0.25">
      <c r="A45" s="136" t="s">
        <v>126</v>
      </c>
      <c r="B45" s="136"/>
      <c r="C45" s="136" t="s">
        <v>479</v>
      </c>
      <c r="D45" s="136" t="s">
        <v>480</v>
      </c>
      <c r="E45" s="136" t="s">
        <v>481</v>
      </c>
      <c r="F45" s="136" t="s">
        <v>482</v>
      </c>
      <c r="G45" s="136" t="s">
        <v>483</v>
      </c>
      <c r="H45" s="136" t="s">
        <v>25</v>
      </c>
    </row>
    <row r="46" spans="1:8" x14ac:dyDescent="0.25">
      <c r="A46" s="136"/>
      <c r="B46" s="136"/>
      <c r="C46" s="136"/>
      <c r="D46" s="136"/>
      <c r="H46" s="143"/>
    </row>
    <row r="47" spans="1:8" ht="30" x14ac:dyDescent="0.25">
      <c r="A47" s="136" t="s">
        <v>148</v>
      </c>
      <c r="B47" s="136"/>
      <c r="C47" s="136">
        <v>1</v>
      </c>
      <c r="D47" s="136">
        <v>962</v>
      </c>
      <c r="E47" s="136">
        <v>0</v>
      </c>
      <c r="F47" s="136">
        <v>159</v>
      </c>
      <c r="G47" s="136">
        <v>31</v>
      </c>
      <c r="H47" s="146">
        <v>1153</v>
      </c>
    </row>
    <row r="48" spans="1:8" x14ac:dyDescent="0.25">
      <c r="A48" s="136" t="s">
        <v>149</v>
      </c>
      <c r="B48" s="136"/>
      <c r="C48" s="136">
        <v>9</v>
      </c>
      <c r="D48" s="146">
        <v>2524</v>
      </c>
      <c r="E48" s="136">
        <v>1</v>
      </c>
      <c r="F48" s="136">
        <v>499</v>
      </c>
      <c r="G48" s="136">
        <v>92</v>
      </c>
      <c r="H48" s="146">
        <v>3125</v>
      </c>
    </row>
    <row r="49" spans="1:8" x14ac:dyDescent="0.25">
      <c r="A49" s="136" t="s">
        <v>490</v>
      </c>
      <c r="B49" s="136"/>
      <c r="C49" s="136">
        <v>5</v>
      </c>
      <c r="D49" s="146">
        <v>2246</v>
      </c>
      <c r="E49" s="136">
        <v>3</v>
      </c>
      <c r="F49" s="136">
        <v>497</v>
      </c>
      <c r="G49" s="136">
        <v>44</v>
      </c>
      <c r="H49" s="146">
        <v>2795</v>
      </c>
    </row>
    <row r="50" spans="1:8" x14ac:dyDescent="0.25">
      <c r="A50" s="136" t="s">
        <v>150</v>
      </c>
      <c r="B50" s="136"/>
      <c r="C50" s="136">
        <v>67</v>
      </c>
      <c r="D50" s="146">
        <v>20329</v>
      </c>
      <c r="E50" s="136">
        <v>7</v>
      </c>
      <c r="F50" s="146">
        <v>4285</v>
      </c>
      <c r="G50" s="136">
        <v>511</v>
      </c>
      <c r="H50" s="146">
        <v>25199</v>
      </c>
    </row>
    <row r="51" spans="1:8" ht="30" x14ac:dyDescent="0.25">
      <c r="A51" s="136" t="s">
        <v>151</v>
      </c>
      <c r="B51" s="136"/>
      <c r="C51" s="136">
        <v>6</v>
      </c>
      <c r="D51" s="146">
        <v>1399</v>
      </c>
      <c r="E51" s="136">
        <v>1</v>
      </c>
      <c r="F51" s="136">
        <v>380</v>
      </c>
      <c r="G51" s="136">
        <v>25</v>
      </c>
      <c r="H51" s="146">
        <v>1811</v>
      </c>
    </row>
    <row r="52" spans="1:8" x14ac:dyDescent="0.25">
      <c r="A52" s="136" t="s">
        <v>152</v>
      </c>
      <c r="B52" s="136"/>
      <c r="C52" s="136">
        <v>4</v>
      </c>
      <c r="D52" s="146">
        <v>1169</v>
      </c>
      <c r="E52" s="167">
        <v>0</v>
      </c>
      <c r="F52" s="136">
        <v>197</v>
      </c>
      <c r="G52" s="136">
        <v>13</v>
      </c>
      <c r="H52" s="146">
        <v>1383</v>
      </c>
    </row>
    <row r="53" spans="1:8" x14ac:dyDescent="0.25">
      <c r="A53" s="136" t="s">
        <v>153</v>
      </c>
      <c r="B53" s="136"/>
      <c r="C53" s="136">
        <v>2</v>
      </c>
      <c r="D53" s="146">
        <v>1687</v>
      </c>
      <c r="E53" s="136">
        <v>1</v>
      </c>
      <c r="F53" s="136">
        <v>361</v>
      </c>
      <c r="G53" s="136">
        <v>43</v>
      </c>
      <c r="H53" s="146">
        <v>2094</v>
      </c>
    </row>
    <row r="54" spans="1:8" ht="30" x14ac:dyDescent="0.25">
      <c r="A54" s="136" t="s">
        <v>154</v>
      </c>
      <c r="B54" s="136"/>
      <c r="C54" s="136">
        <v>4</v>
      </c>
      <c r="D54" s="146">
        <v>1565</v>
      </c>
      <c r="E54" s="136">
        <v>1</v>
      </c>
      <c r="F54" s="136">
        <v>299</v>
      </c>
      <c r="G54" s="136">
        <v>40</v>
      </c>
      <c r="H54" s="146">
        <v>1909</v>
      </c>
    </row>
    <row r="55" spans="1:8" x14ac:dyDescent="0.25">
      <c r="A55" s="136" t="s">
        <v>155</v>
      </c>
      <c r="B55" s="136"/>
      <c r="C55" s="136">
        <v>34</v>
      </c>
      <c r="D55" s="146">
        <v>9905</v>
      </c>
      <c r="E55" s="136">
        <v>3</v>
      </c>
      <c r="F55" s="146">
        <v>1871</v>
      </c>
      <c r="G55" s="136">
        <v>198</v>
      </c>
      <c r="H55" s="146">
        <v>12011</v>
      </c>
    </row>
    <row r="56" spans="1:8" x14ac:dyDescent="0.25">
      <c r="A56" s="136"/>
      <c r="H56" s="143"/>
    </row>
    <row r="57" spans="1:8" x14ac:dyDescent="0.25">
      <c r="A57" s="136" t="s">
        <v>25</v>
      </c>
      <c r="B57" s="136"/>
      <c r="C57" s="136">
        <v>132</v>
      </c>
      <c r="D57" s="146">
        <v>41786</v>
      </c>
      <c r="E57" s="136">
        <v>17</v>
      </c>
      <c r="F57" s="146">
        <v>8548</v>
      </c>
      <c r="G57" s="136">
        <v>997</v>
      </c>
      <c r="H57" s="146">
        <v>51480</v>
      </c>
    </row>
    <row r="58" spans="1:8" x14ac:dyDescent="0.25">
      <c r="A58" s="136"/>
      <c r="B58" s="136"/>
      <c r="C58" s="136"/>
      <c r="D58" s="136"/>
      <c r="E58" s="147"/>
      <c r="F58" s="147"/>
      <c r="G58" s="147"/>
      <c r="H58" s="144"/>
    </row>
    <row r="63" spans="1:8" ht="45" x14ac:dyDescent="0.25">
      <c r="A63" s="136" t="s">
        <v>501</v>
      </c>
      <c r="B63" s="136" t="s">
        <v>502</v>
      </c>
      <c r="C63" s="136">
        <v>4</v>
      </c>
      <c r="D63" s="154"/>
      <c r="E63" s="154"/>
      <c r="F63" s="155"/>
    </row>
    <row r="64" spans="1:8" x14ac:dyDescent="0.25">
      <c r="A64" s="136"/>
      <c r="B64" s="136"/>
      <c r="C64" s="136"/>
      <c r="D64" s="136"/>
      <c r="F64" s="143"/>
    </row>
    <row r="65" spans="1:7" ht="30" x14ac:dyDescent="0.25">
      <c r="A65" s="136"/>
      <c r="B65" s="136"/>
      <c r="C65" s="136" t="s">
        <v>500</v>
      </c>
      <c r="D65" s="136"/>
      <c r="F65" s="143"/>
    </row>
    <row r="66" spans="1:7" x14ac:dyDescent="0.25">
      <c r="A66" s="136" t="s">
        <v>126</v>
      </c>
      <c r="B66" s="136" t="s">
        <v>479</v>
      </c>
      <c r="C66" s="136" t="s">
        <v>480</v>
      </c>
      <c r="D66" s="136" t="s">
        <v>481</v>
      </c>
      <c r="E66" s="136" t="s">
        <v>482</v>
      </c>
      <c r="F66" s="136" t="s">
        <v>483</v>
      </c>
      <c r="G66" s="136" t="s">
        <v>25</v>
      </c>
    </row>
    <row r="67" spans="1:7" x14ac:dyDescent="0.25">
      <c r="A67" s="136"/>
      <c r="B67" s="136"/>
      <c r="C67" s="136"/>
      <c r="G67" s="143"/>
    </row>
    <row r="68" spans="1:7" ht="30" x14ac:dyDescent="0.25">
      <c r="A68" s="136" t="s">
        <v>156</v>
      </c>
      <c r="B68" s="136">
        <v>13</v>
      </c>
      <c r="C68" s="146">
        <v>2131</v>
      </c>
      <c r="D68" s="136">
        <v>1</v>
      </c>
      <c r="E68" s="136">
        <v>347</v>
      </c>
      <c r="F68" s="136">
        <v>52</v>
      </c>
      <c r="G68" s="146">
        <v>2544</v>
      </c>
    </row>
    <row r="69" spans="1:7" x14ac:dyDescent="0.25">
      <c r="A69" s="136" t="s">
        <v>157</v>
      </c>
      <c r="B69" s="136">
        <v>2</v>
      </c>
      <c r="C69" s="146">
        <v>1814</v>
      </c>
      <c r="D69">
        <v>0</v>
      </c>
      <c r="E69" s="136">
        <v>241</v>
      </c>
      <c r="F69" s="136">
        <v>31</v>
      </c>
      <c r="G69" s="146">
        <v>2088</v>
      </c>
    </row>
    <row r="70" spans="1:7" ht="30" x14ac:dyDescent="0.25">
      <c r="A70" s="136" t="s">
        <v>158</v>
      </c>
      <c r="B70" s="136">
        <v>3</v>
      </c>
      <c r="C70" s="146">
        <v>3132</v>
      </c>
      <c r="D70" s="136">
        <v>4</v>
      </c>
      <c r="E70" s="136">
        <v>459</v>
      </c>
      <c r="F70" s="136">
        <v>47</v>
      </c>
      <c r="G70" s="146">
        <v>3645</v>
      </c>
    </row>
    <row r="71" spans="1:7" x14ac:dyDescent="0.25">
      <c r="A71" s="136" t="s">
        <v>159</v>
      </c>
      <c r="B71" s="136">
        <v>86</v>
      </c>
      <c r="C71" s="146">
        <v>35562</v>
      </c>
      <c r="D71" s="136">
        <v>30</v>
      </c>
      <c r="E71" s="146">
        <v>7197</v>
      </c>
      <c r="F71" s="136">
        <v>906</v>
      </c>
      <c r="G71" s="146">
        <v>43781</v>
      </c>
    </row>
    <row r="72" spans="1:7" x14ac:dyDescent="0.25">
      <c r="A72" s="136" t="s">
        <v>160</v>
      </c>
      <c r="B72" s="136">
        <v>15</v>
      </c>
      <c r="C72" s="146">
        <v>6324</v>
      </c>
      <c r="D72" s="136">
        <v>3</v>
      </c>
      <c r="E72" s="146">
        <v>1147</v>
      </c>
      <c r="F72" s="136">
        <v>126</v>
      </c>
      <c r="G72" s="146">
        <v>7615</v>
      </c>
    </row>
    <row r="73" spans="1:7" x14ac:dyDescent="0.25">
      <c r="A73" s="136" t="s">
        <v>161</v>
      </c>
      <c r="B73" s="136">
        <v>3</v>
      </c>
      <c r="C73" s="136">
        <v>731</v>
      </c>
      <c r="D73" s="136">
        <v>1</v>
      </c>
      <c r="E73" s="136">
        <v>102</v>
      </c>
      <c r="F73" s="136">
        <v>20</v>
      </c>
      <c r="G73" s="136">
        <v>857</v>
      </c>
    </row>
    <row r="74" spans="1:7" x14ac:dyDescent="0.25">
      <c r="A74" s="136" t="s">
        <v>162</v>
      </c>
      <c r="B74" s="136">
        <v>89</v>
      </c>
      <c r="C74" s="146">
        <v>32734</v>
      </c>
      <c r="D74" s="136">
        <v>44</v>
      </c>
      <c r="E74" s="146">
        <v>7692</v>
      </c>
      <c r="F74" s="136">
        <v>869</v>
      </c>
      <c r="G74" s="146">
        <v>41428</v>
      </c>
    </row>
    <row r="75" spans="1:7" x14ac:dyDescent="0.25">
      <c r="A75" s="136" t="s">
        <v>163</v>
      </c>
      <c r="B75" s="136">
        <v>3</v>
      </c>
      <c r="C75" s="146">
        <v>3849</v>
      </c>
      <c r="D75" s="136">
        <v>3</v>
      </c>
      <c r="E75" s="136">
        <v>606</v>
      </c>
      <c r="F75" s="136">
        <v>88</v>
      </c>
      <c r="G75" s="146">
        <v>4549</v>
      </c>
    </row>
    <row r="76" spans="1:7" ht="30" x14ac:dyDescent="0.25">
      <c r="A76" s="136" t="s">
        <v>164</v>
      </c>
      <c r="B76" s="136">
        <v>11</v>
      </c>
      <c r="C76" s="146">
        <v>5111</v>
      </c>
      <c r="D76" s="136">
        <v>5</v>
      </c>
      <c r="E76" s="136">
        <v>715</v>
      </c>
      <c r="F76" s="136">
        <v>107</v>
      </c>
      <c r="G76" s="146">
        <v>5949</v>
      </c>
    </row>
    <row r="77" spans="1:7" x14ac:dyDescent="0.25">
      <c r="A77" s="136" t="s">
        <v>165</v>
      </c>
      <c r="B77" s="136">
        <v>39</v>
      </c>
      <c r="C77" s="146">
        <v>19496</v>
      </c>
      <c r="D77" s="136">
        <v>8</v>
      </c>
      <c r="E77" s="146">
        <v>3011</v>
      </c>
      <c r="F77" s="136">
        <v>420</v>
      </c>
      <c r="G77" s="146">
        <v>22974</v>
      </c>
    </row>
    <row r="78" spans="1:7" x14ac:dyDescent="0.25">
      <c r="A78" s="136" t="s">
        <v>166</v>
      </c>
      <c r="B78" s="136">
        <v>2</v>
      </c>
      <c r="C78" s="136">
        <v>837</v>
      </c>
      <c r="D78" s="136">
        <v>1</v>
      </c>
      <c r="E78" s="136">
        <v>126</v>
      </c>
      <c r="F78" s="136">
        <v>24</v>
      </c>
      <c r="G78" s="136">
        <v>990</v>
      </c>
    </row>
    <row r="79" spans="1:7" x14ac:dyDescent="0.25">
      <c r="A79" s="136" t="s">
        <v>167</v>
      </c>
      <c r="B79" s="136">
        <v>7</v>
      </c>
      <c r="C79" s="146">
        <v>2024</v>
      </c>
      <c r="D79" s="136">
        <v>1</v>
      </c>
      <c r="E79" s="136">
        <v>473</v>
      </c>
      <c r="F79" s="136">
        <v>56</v>
      </c>
      <c r="G79" s="146">
        <v>2561</v>
      </c>
    </row>
    <row r="80" spans="1:7" ht="30" x14ac:dyDescent="0.25">
      <c r="A80" s="136" t="s">
        <v>168</v>
      </c>
      <c r="B80" s="136"/>
      <c r="C80" s="136">
        <v>927</v>
      </c>
      <c r="D80" s="167">
        <v>0</v>
      </c>
      <c r="E80" s="136">
        <v>84</v>
      </c>
      <c r="F80" s="136">
        <v>10</v>
      </c>
      <c r="G80" s="146">
        <v>1021</v>
      </c>
    </row>
    <row r="81" spans="1:8" ht="30" x14ac:dyDescent="0.25">
      <c r="A81" s="136" t="s">
        <v>169</v>
      </c>
      <c r="B81" s="136">
        <v>10</v>
      </c>
      <c r="C81" s="146">
        <v>5212</v>
      </c>
      <c r="D81" s="136">
        <v>7</v>
      </c>
      <c r="E81" s="136">
        <v>858</v>
      </c>
      <c r="F81" s="136">
        <v>98</v>
      </c>
      <c r="G81" s="146">
        <v>6185</v>
      </c>
    </row>
    <row r="82" spans="1:8" x14ac:dyDescent="0.25">
      <c r="A82" s="136" t="s">
        <v>491</v>
      </c>
      <c r="B82" s="136">
        <v>16</v>
      </c>
      <c r="C82" s="146">
        <v>4735</v>
      </c>
      <c r="D82" s="136">
        <v>13</v>
      </c>
      <c r="E82" s="136">
        <v>764</v>
      </c>
      <c r="F82" s="136">
        <v>120</v>
      </c>
      <c r="G82" s="146">
        <v>5648</v>
      </c>
    </row>
    <row r="83" spans="1:8" x14ac:dyDescent="0.25">
      <c r="A83" s="136" t="s">
        <v>25</v>
      </c>
      <c r="B83" s="136">
        <v>299</v>
      </c>
      <c r="C83" s="146">
        <v>124619</v>
      </c>
      <c r="D83" s="136">
        <v>121</v>
      </c>
      <c r="E83" s="146">
        <v>23822</v>
      </c>
      <c r="F83" s="146">
        <v>2974</v>
      </c>
      <c r="G83" s="146">
        <v>151835</v>
      </c>
    </row>
    <row r="84" spans="1:8" x14ac:dyDescent="0.25">
      <c r="A84" s="136"/>
      <c r="B84" s="136"/>
      <c r="C84" s="136"/>
      <c r="F84" s="143"/>
    </row>
    <row r="85" spans="1:8" x14ac:dyDescent="0.25">
      <c r="A85" s="136"/>
      <c r="B85" s="147"/>
      <c r="C85" s="147"/>
      <c r="D85" s="147"/>
      <c r="E85" s="147"/>
      <c r="F85" s="144"/>
    </row>
    <row r="91" spans="1:8" ht="45" x14ac:dyDescent="0.25">
      <c r="A91" s="136" t="s">
        <v>501</v>
      </c>
      <c r="B91" s="136" t="s">
        <v>502</v>
      </c>
      <c r="C91" s="136">
        <v>5</v>
      </c>
      <c r="D91" s="154"/>
      <c r="E91" s="154"/>
      <c r="F91" s="154"/>
      <c r="G91" s="155"/>
    </row>
    <row r="92" spans="1:8" x14ac:dyDescent="0.25">
      <c r="A92" s="136"/>
      <c r="B92" s="136"/>
      <c r="C92" s="136"/>
      <c r="D92" s="136"/>
      <c r="G92" s="143"/>
    </row>
    <row r="93" spans="1:8" ht="30" x14ac:dyDescent="0.25">
      <c r="A93" s="136"/>
      <c r="B93" s="136"/>
      <c r="C93" s="136" t="s">
        <v>500</v>
      </c>
      <c r="D93" s="136"/>
      <c r="G93" s="143"/>
    </row>
    <row r="94" spans="1:8" x14ac:dyDescent="0.25">
      <c r="A94" s="136" t="s">
        <v>126</v>
      </c>
      <c r="B94" s="136"/>
      <c r="C94" s="136" t="s">
        <v>479</v>
      </c>
      <c r="D94" s="136" t="s">
        <v>480</v>
      </c>
      <c r="E94" s="136" t="s">
        <v>481</v>
      </c>
      <c r="F94" s="136" t="s">
        <v>482</v>
      </c>
      <c r="G94" s="136" t="s">
        <v>483</v>
      </c>
      <c r="H94" s="136" t="s">
        <v>25</v>
      </c>
    </row>
    <row r="95" spans="1:8" x14ac:dyDescent="0.25">
      <c r="A95" s="136"/>
      <c r="B95" s="136"/>
      <c r="C95" s="136"/>
      <c r="D95" s="136"/>
      <c r="H95" s="143"/>
    </row>
    <row r="96" spans="1:8" ht="30" x14ac:dyDescent="0.25">
      <c r="A96" s="136" t="s">
        <v>170</v>
      </c>
      <c r="B96" s="136"/>
      <c r="C96" s="136">
        <v>8</v>
      </c>
      <c r="D96" s="146">
        <v>2930</v>
      </c>
      <c r="E96" s="136">
        <v>1</v>
      </c>
      <c r="F96" s="136">
        <v>718</v>
      </c>
      <c r="G96" s="136">
        <v>100</v>
      </c>
      <c r="H96" s="146">
        <v>3757</v>
      </c>
    </row>
    <row r="97" spans="1:8" x14ac:dyDescent="0.25">
      <c r="A97" s="136" t="s">
        <v>171</v>
      </c>
      <c r="B97" s="136"/>
      <c r="C97" s="136">
        <v>13</v>
      </c>
      <c r="D97" s="146">
        <v>3901</v>
      </c>
      <c r="E97" s="136">
        <v>1</v>
      </c>
      <c r="F97" s="136">
        <v>979</v>
      </c>
      <c r="G97" s="136">
        <v>85</v>
      </c>
      <c r="H97" s="146">
        <v>4979</v>
      </c>
    </row>
    <row r="98" spans="1:8" ht="30" x14ac:dyDescent="0.25">
      <c r="A98" s="136" t="s">
        <v>172</v>
      </c>
      <c r="B98" s="136"/>
      <c r="C98" s="136">
        <v>5</v>
      </c>
      <c r="D98" s="146">
        <v>2004</v>
      </c>
      <c r="E98" s="136">
        <v>2</v>
      </c>
      <c r="F98" s="136">
        <v>378</v>
      </c>
      <c r="G98" s="136">
        <v>42</v>
      </c>
      <c r="H98" s="146">
        <v>2431</v>
      </c>
    </row>
    <row r="99" spans="1:8" ht="30" x14ac:dyDescent="0.25">
      <c r="A99" s="136" t="s">
        <v>173</v>
      </c>
      <c r="B99" s="136"/>
      <c r="C99" s="136">
        <v>13</v>
      </c>
      <c r="D99" s="146">
        <v>5034</v>
      </c>
      <c r="E99" s="136">
        <v>1</v>
      </c>
      <c r="F99" s="136">
        <v>862</v>
      </c>
      <c r="G99" s="136">
        <v>124</v>
      </c>
      <c r="H99" s="146">
        <v>6034</v>
      </c>
    </row>
    <row r="100" spans="1:8" ht="30" x14ac:dyDescent="0.25">
      <c r="A100" s="136" t="s">
        <v>174</v>
      </c>
      <c r="B100" s="136"/>
      <c r="C100" s="136">
        <v>13</v>
      </c>
      <c r="D100" s="146">
        <v>4521</v>
      </c>
      <c r="E100" s="136">
        <v>5</v>
      </c>
      <c r="F100" s="136">
        <v>897</v>
      </c>
      <c r="G100" s="136">
        <v>92</v>
      </c>
      <c r="H100" s="146">
        <v>5528</v>
      </c>
    </row>
    <row r="101" spans="1:8" x14ac:dyDescent="0.25">
      <c r="A101" s="136" t="s">
        <v>175</v>
      </c>
      <c r="B101" s="136"/>
      <c r="C101" s="136">
        <v>3</v>
      </c>
      <c r="D101" s="146">
        <v>2676</v>
      </c>
      <c r="E101" s="136">
        <v>1</v>
      </c>
      <c r="F101" s="136">
        <v>468</v>
      </c>
      <c r="G101" s="136">
        <v>49</v>
      </c>
      <c r="H101" s="146">
        <v>3197</v>
      </c>
    </row>
    <row r="102" spans="1:8" x14ac:dyDescent="0.25">
      <c r="A102" s="136" t="s">
        <v>176</v>
      </c>
      <c r="B102" s="136"/>
      <c r="C102" s="136">
        <v>17</v>
      </c>
      <c r="D102" s="146">
        <v>5887</v>
      </c>
      <c r="E102" s="136">
        <v>2</v>
      </c>
      <c r="F102" s="146">
        <v>1489</v>
      </c>
      <c r="G102" s="136">
        <v>172</v>
      </c>
      <c r="H102" s="146">
        <v>7567</v>
      </c>
    </row>
    <row r="103" spans="1:8" x14ac:dyDescent="0.25">
      <c r="A103" s="136" t="s">
        <v>177</v>
      </c>
      <c r="B103" s="136"/>
      <c r="C103" s="136">
        <v>6</v>
      </c>
      <c r="D103" s="146">
        <v>3878</v>
      </c>
      <c r="E103" s="136">
        <v>1</v>
      </c>
      <c r="F103" s="136">
        <v>920</v>
      </c>
      <c r="G103" s="136">
        <v>99</v>
      </c>
      <c r="H103" s="146">
        <v>4904</v>
      </c>
    </row>
    <row r="104" spans="1:8" x14ac:dyDescent="0.25">
      <c r="A104" s="136" t="s">
        <v>178</v>
      </c>
      <c r="B104" s="136"/>
      <c r="C104" s="136">
        <v>4</v>
      </c>
      <c r="D104" s="146">
        <v>3390</v>
      </c>
      <c r="E104" s="136">
        <v>4</v>
      </c>
      <c r="F104" s="136">
        <v>696</v>
      </c>
      <c r="G104" s="136">
        <v>92</v>
      </c>
      <c r="H104" s="146">
        <v>4186</v>
      </c>
    </row>
    <row r="105" spans="1:8" x14ac:dyDescent="0.25">
      <c r="A105" s="136" t="s">
        <v>179</v>
      </c>
      <c r="B105" s="136"/>
      <c r="C105" s="136">
        <v>6</v>
      </c>
      <c r="D105" s="146">
        <v>3345</v>
      </c>
      <c r="E105" s="136">
        <v>2</v>
      </c>
      <c r="F105" s="136">
        <v>650</v>
      </c>
      <c r="G105" s="136">
        <v>70</v>
      </c>
      <c r="H105" s="146">
        <v>4073</v>
      </c>
    </row>
    <row r="106" spans="1:8" ht="30" x14ac:dyDescent="0.25">
      <c r="A106" s="136" t="s">
        <v>180</v>
      </c>
      <c r="B106" s="136"/>
      <c r="C106" s="136">
        <v>4</v>
      </c>
      <c r="D106" s="136">
        <v>668</v>
      </c>
      <c r="E106" s="167">
        <v>0</v>
      </c>
      <c r="F106" s="136">
        <v>107</v>
      </c>
      <c r="G106" s="136">
        <v>21</v>
      </c>
      <c r="H106" s="136">
        <v>800</v>
      </c>
    </row>
    <row r="107" spans="1:8" ht="45" x14ac:dyDescent="0.25">
      <c r="A107" s="136" t="s">
        <v>181</v>
      </c>
      <c r="B107" s="136"/>
      <c r="C107" s="167">
        <v>0</v>
      </c>
      <c r="D107" s="136">
        <v>141</v>
      </c>
      <c r="E107" s="167">
        <v>0</v>
      </c>
      <c r="F107" s="136">
        <v>18</v>
      </c>
      <c r="G107" s="136">
        <v>1</v>
      </c>
      <c r="H107" s="136">
        <v>160</v>
      </c>
    </row>
    <row r="108" spans="1:8" x14ac:dyDescent="0.25">
      <c r="A108" s="136" t="s">
        <v>182</v>
      </c>
      <c r="B108" s="136"/>
      <c r="C108" s="136">
        <v>22</v>
      </c>
      <c r="D108" s="146">
        <v>10654</v>
      </c>
      <c r="E108" s="136">
        <v>6</v>
      </c>
      <c r="F108" s="146">
        <v>1904</v>
      </c>
      <c r="G108" s="136">
        <v>204</v>
      </c>
      <c r="H108" s="146">
        <v>12790</v>
      </c>
    </row>
    <row r="109" spans="1:8" x14ac:dyDescent="0.25">
      <c r="A109" s="136" t="s">
        <v>183</v>
      </c>
      <c r="B109" s="136"/>
      <c r="C109" s="136">
        <v>10</v>
      </c>
      <c r="D109" s="146">
        <v>2659</v>
      </c>
      <c r="E109" s="136">
        <v>1</v>
      </c>
      <c r="F109" s="136">
        <v>513</v>
      </c>
      <c r="G109" s="136">
        <v>64</v>
      </c>
      <c r="H109" s="146">
        <v>3247</v>
      </c>
    </row>
    <row r="110" spans="1:8" x14ac:dyDescent="0.25">
      <c r="A110" s="136" t="s">
        <v>184</v>
      </c>
      <c r="B110" s="136"/>
      <c r="C110" s="136">
        <v>25</v>
      </c>
      <c r="D110" s="146">
        <v>7222</v>
      </c>
      <c r="E110" s="136">
        <v>5</v>
      </c>
      <c r="F110" s="146">
        <v>1401</v>
      </c>
      <c r="G110" s="136">
        <v>150</v>
      </c>
      <c r="H110" s="146">
        <v>8803</v>
      </c>
    </row>
    <row r="111" spans="1:8" x14ac:dyDescent="0.25">
      <c r="A111" s="136" t="s">
        <v>185</v>
      </c>
      <c r="B111" s="136"/>
      <c r="C111" s="136">
        <v>29</v>
      </c>
      <c r="D111" s="146">
        <v>8916</v>
      </c>
      <c r="E111" s="136">
        <v>4</v>
      </c>
      <c r="F111" s="146">
        <v>1518</v>
      </c>
      <c r="G111" s="136">
        <v>205</v>
      </c>
      <c r="H111" s="146">
        <v>10672</v>
      </c>
    </row>
    <row r="112" spans="1:8" x14ac:dyDescent="0.25">
      <c r="A112" s="136" t="s">
        <v>186</v>
      </c>
      <c r="B112" s="136"/>
      <c r="C112" s="136">
        <v>13</v>
      </c>
      <c r="D112" s="146">
        <v>4744</v>
      </c>
      <c r="E112" s="136">
        <v>3</v>
      </c>
      <c r="F112" s="136">
        <v>832</v>
      </c>
      <c r="G112" s="136">
        <v>95</v>
      </c>
      <c r="H112" s="146">
        <v>5687</v>
      </c>
    </row>
    <row r="113" spans="1:9" x14ac:dyDescent="0.25">
      <c r="A113" s="136" t="s">
        <v>187</v>
      </c>
      <c r="B113" s="136"/>
      <c r="C113" s="136">
        <v>35</v>
      </c>
      <c r="D113" s="146">
        <v>11557</v>
      </c>
      <c r="E113" s="136">
        <v>11</v>
      </c>
      <c r="F113" s="146">
        <v>2786</v>
      </c>
      <c r="G113" s="136">
        <v>217</v>
      </c>
      <c r="H113" s="146">
        <v>14606</v>
      </c>
    </row>
    <row r="114" spans="1:9" x14ac:dyDescent="0.25">
      <c r="A114" s="136" t="s">
        <v>188</v>
      </c>
      <c r="B114" s="136"/>
      <c r="C114" s="136">
        <v>17</v>
      </c>
      <c r="D114" s="146">
        <v>4300</v>
      </c>
      <c r="E114" s="136">
        <v>1</v>
      </c>
      <c r="F114" s="146">
        <v>1016</v>
      </c>
      <c r="G114" s="136">
        <v>110</v>
      </c>
      <c r="H114" s="146">
        <v>5444</v>
      </c>
    </row>
    <row r="115" spans="1:9" x14ac:dyDescent="0.25">
      <c r="A115" s="136" t="s">
        <v>189</v>
      </c>
      <c r="B115" s="136"/>
      <c r="C115" s="136">
        <v>6</v>
      </c>
      <c r="D115" s="146">
        <v>3399</v>
      </c>
      <c r="E115" s="136">
        <v>1</v>
      </c>
      <c r="F115" s="136">
        <v>626</v>
      </c>
      <c r="G115" s="136">
        <v>97</v>
      </c>
      <c r="H115" s="146">
        <v>4129</v>
      </c>
    </row>
    <row r="116" spans="1:9" ht="30" x14ac:dyDescent="0.25">
      <c r="A116" s="136" t="s">
        <v>190</v>
      </c>
      <c r="B116" s="136"/>
      <c r="C116" s="167">
        <v>0</v>
      </c>
      <c r="D116" s="146">
        <v>1253</v>
      </c>
      <c r="E116" s="136">
        <v>1</v>
      </c>
      <c r="F116" s="169">
        <v>269</v>
      </c>
      <c r="G116" s="136">
        <v>27</v>
      </c>
      <c r="H116" s="146">
        <v>1550</v>
      </c>
    </row>
    <row r="117" spans="1:9" x14ac:dyDescent="0.25">
      <c r="A117" s="136" t="s">
        <v>191</v>
      </c>
      <c r="B117" s="136"/>
      <c r="C117" s="136">
        <v>0</v>
      </c>
      <c r="D117" s="146">
        <v>1068</v>
      </c>
      <c r="E117" s="167">
        <v>0</v>
      </c>
      <c r="F117" s="136">
        <v>194</v>
      </c>
      <c r="G117" s="136">
        <v>37</v>
      </c>
      <c r="H117" s="146">
        <v>1299</v>
      </c>
      <c r="I117" s="143"/>
    </row>
    <row r="118" spans="1:9" x14ac:dyDescent="0.25">
      <c r="A118" s="136" t="s">
        <v>192</v>
      </c>
      <c r="B118" s="136"/>
      <c r="C118" s="136">
        <v>4</v>
      </c>
      <c r="D118" s="146">
        <v>1890</v>
      </c>
      <c r="E118" s="167">
        <v>0</v>
      </c>
      <c r="F118" s="136">
        <v>422</v>
      </c>
      <c r="G118" s="136">
        <v>43</v>
      </c>
      <c r="H118" s="146">
        <v>2359</v>
      </c>
    </row>
    <row r="119" spans="1:9" ht="30" x14ac:dyDescent="0.25">
      <c r="A119" s="136" t="s">
        <v>193</v>
      </c>
      <c r="B119" s="136"/>
      <c r="C119" s="136">
        <v>13</v>
      </c>
      <c r="D119" s="146">
        <v>3568</v>
      </c>
      <c r="E119" s="167">
        <v>0</v>
      </c>
      <c r="F119" s="136">
        <v>837</v>
      </c>
      <c r="G119" s="136">
        <v>91</v>
      </c>
      <c r="H119" s="146">
        <v>4509</v>
      </c>
    </row>
    <row r="120" spans="1:9" x14ac:dyDescent="0.25">
      <c r="A120" s="136" t="s">
        <v>194</v>
      </c>
      <c r="B120" s="136"/>
      <c r="C120" s="136">
        <v>5</v>
      </c>
      <c r="D120" s="146">
        <v>3328</v>
      </c>
      <c r="E120" s="136">
        <v>2</v>
      </c>
      <c r="F120" s="136">
        <v>613</v>
      </c>
      <c r="G120" s="136">
        <v>83</v>
      </c>
      <c r="H120" s="146">
        <v>4031</v>
      </c>
    </row>
    <row r="121" spans="1:9" x14ac:dyDescent="0.25">
      <c r="A121" s="136" t="s">
        <v>195</v>
      </c>
      <c r="B121" s="136"/>
      <c r="C121" s="136">
        <v>54</v>
      </c>
      <c r="D121" s="146">
        <v>17131</v>
      </c>
      <c r="E121" s="136">
        <v>8</v>
      </c>
      <c r="F121" s="146">
        <v>3182</v>
      </c>
      <c r="G121" s="136">
        <v>342</v>
      </c>
      <c r="H121" s="146">
        <v>20717</v>
      </c>
    </row>
    <row r="122" spans="1:9" x14ac:dyDescent="0.25">
      <c r="A122" s="136" t="s">
        <v>196</v>
      </c>
      <c r="B122" s="136"/>
      <c r="C122" s="136">
        <v>73</v>
      </c>
      <c r="D122" s="146">
        <v>27789</v>
      </c>
      <c r="E122" s="136">
        <v>41</v>
      </c>
      <c r="F122" s="146">
        <v>5264</v>
      </c>
      <c r="G122" s="136">
        <v>574</v>
      </c>
      <c r="H122" s="146">
        <v>33741</v>
      </c>
    </row>
    <row r="123" spans="1:9" x14ac:dyDescent="0.25">
      <c r="A123" s="136" t="s">
        <v>197</v>
      </c>
      <c r="B123" s="136"/>
      <c r="C123" s="136">
        <v>14</v>
      </c>
      <c r="D123" s="146">
        <v>5665</v>
      </c>
      <c r="E123" s="136">
        <v>3</v>
      </c>
      <c r="F123" s="146">
        <v>1043</v>
      </c>
      <c r="G123" s="136">
        <v>146</v>
      </c>
      <c r="H123" s="146">
        <v>6871</v>
      </c>
    </row>
    <row r="124" spans="1:9" ht="30" x14ac:dyDescent="0.25">
      <c r="A124" s="136" t="s">
        <v>198</v>
      </c>
      <c r="B124" s="136"/>
      <c r="C124" s="136">
        <v>5</v>
      </c>
      <c r="D124" s="146">
        <v>1463</v>
      </c>
      <c r="E124" s="136">
        <v>2</v>
      </c>
      <c r="F124" s="136">
        <v>224</v>
      </c>
      <c r="G124" s="136">
        <v>24</v>
      </c>
      <c r="H124" s="146">
        <v>1718</v>
      </c>
    </row>
    <row r="125" spans="1:9" ht="30" x14ac:dyDescent="0.25">
      <c r="A125" s="136" t="s">
        <v>199</v>
      </c>
      <c r="B125" s="136"/>
      <c r="C125" s="136">
        <v>64</v>
      </c>
      <c r="D125" s="146">
        <v>18084</v>
      </c>
      <c r="E125" s="136">
        <v>9</v>
      </c>
      <c r="F125" s="146">
        <v>4161</v>
      </c>
      <c r="G125" s="136">
        <v>425</v>
      </c>
      <c r="H125" s="146">
        <v>22743</v>
      </c>
    </row>
    <row r="126" spans="1:9" ht="30" x14ac:dyDescent="0.25">
      <c r="A126" s="136" t="s">
        <v>200</v>
      </c>
      <c r="B126" s="136"/>
      <c r="C126" s="136">
        <v>6</v>
      </c>
      <c r="D126" s="146">
        <v>2897</v>
      </c>
      <c r="E126" s="136">
        <v>3</v>
      </c>
      <c r="F126" s="136">
        <v>721</v>
      </c>
      <c r="G126" s="136">
        <v>58</v>
      </c>
      <c r="H126" s="146">
        <v>3685</v>
      </c>
    </row>
    <row r="127" spans="1:9" x14ac:dyDescent="0.25">
      <c r="A127" s="136" t="s">
        <v>201</v>
      </c>
      <c r="B127" s="136"/>
      <c r="C127" s="136">
        <v>44</v>
      </c>
      <c r="D127" s="146">
        <v>13418</v>
      </c>
      <c r="E127" s="136">
        <v>9</v>
      </c>
      <c r="F127" s="146">
        <v>2758</v>
      </c>
      <c r="G127" s="136">
        <v>266</v>
      </c>
      <c r="H127" s="146">
        <v>16495</v>
      </c>
    </row>
    <row r="128" spans="1:9" ht="30" x14ac:dyDescent="0.25">
      <c r="A128" s="136" t="s">
        <v>202</v>
      </c>
      <c r="B128" s="136"/>
      <c r="C128" s="136">
        <v>10</v>
      </c>
      <c r="D128" s="146">
        <v>2603</v>
      </c>
      <c r="E128" s="136">
        <v>1</v>
      </c>
      <c r="F128" s="136">
        <v>504</v>
      </c>
      <c r="G128" s="136">
        <v>44</v>
      </c>
      <c r="H128" s="146">
        <v>3162</v>
      </c>
    </row>
    <row r="129" spans="1:8" ht="30" x14ac:dyDescent="0.25">
      <c r="A129" s="136" t="s">
        <v>203</v>
      </c>
      <c r="B129" s="136"/>
      <c r="C129" s="136">
        <v>5</v>
      </c>
      <c r="D129" s="146">
        <v>1695</v>
      </c>
      <c r="E129" s="167">
        <v>0</v>
      </c>
      <c r="F129" s="136">
        <v>540</v>
      </c>
      <c r="G129" s="136">
        <v>56</v>
      </c>
      <c r="H129" s="146">
        <v>2296</v>
      </c>
    </row>
    <row r="130" spans="1:8" ht="30" x14ac:dyDescent="0.25">
      <c r="A130" s="136" t="s">
        <v>204</v>
      </c>
      <c r="B130" s="136"/>
      <c r="C130" s="136">
        <v>176</v>
      </c>
      <c r="D130" s="146">
        <v>57195</v>
      </c>
      <c r="E130" s="136">
        <v>44</v>
      </c>
      <c r="F130" s="146">
        <v>10444</v>
      </c>
      <c r="G130" s="146">
        <v>1233</v>
      </c>
      <c r="H130" s="146">
        <v>69092</v>
      </c>
    </row>
    <row r="131" spans="1:8" ht="30" x14ac:dyDescent="0.25">
      <c r="A131" s="136" t="s">
        <v>205</v>
      </c>
      <c r="B131" s="136"/>
      <c r="C131" s="136">
        <v>45</v>
      </c>
      <c r="D131" s="146">
        <v>19458</v>
      </c>
      <c r="E131" s="136">
        <v>20</v>
      </c>
      <c r="F131" s="146">
        <v>4016</v>
      </c>
      <c r="G131" s="136">
        <v>531</v>
      </c>
      <c r="H131" s="146">
        <v>24070</v>
      </c>
    </row>
    <row r="132" spans="1:8" ht="30" x14ac:dyDescent="0.25">
      <c r="A132" s="136" t="s">
        <v>492</v>
      </c>
      <c r="B132" s="136"/>
      <c r="C132" s="136">
        <v>132</v>
      </c>
      <c r="D132" s="146">
        <v>56510</v>
      </c>
      <c r="E132" s="136">
        <v>42</v>
      </c>
      <c r="F132" s="146">
        <v>12188</v>
      </c>
      <c r="G132" s="146">
        <v>1307</v>
      </c>
      <c r="H132" s="146">
        <v>70179</v>
      </c>
    </row>
    <row r="133" spans="1:8" x14ac:dyDescent="0.25">
      <c r="A133" s="136" t="s">
        <v>206</v>
      </c>
      <c r="B133" s="136"/>
      <c r="C133" s="136">
        <v>7</v>
      </c>
      <c r="D133" s="146">
        <v>1284</v>
      </c>
      <c r="E133" s="167">
        <v>0</v>
      </c>
      <c r="F133" s="136">
        <v>248</v>
      </c>
      <c r="G133" s="136">
        <v>27</v>
      </c>
      <c r="H133" s="146">
        <v>1566</v>
      </c>
    </row>
    <row r="134" spans="1:8" x14ac:dyDescent="0.25">
      <c r="A134" s="136"/>
      <c r="H134" s="143"/>
    </row>
    <row r="135" spans="1:8" x14ac:dyDescent="0.25">
      <c r="A135" s="136" t="s">
        <v>25</v>
      </c>
      <c r="B135" s="136"/>
      <c r="C135" s="137">
        <f>SUM(C96:C134)</f>
        <v>906</v>
      </c>
      <c r="D135" s="137">
        <f t="shared" ref="D135:H135" si="2">SUM(D96:D134)</f>
        <v>328125</v>
      </c>
      <c r="E135" s="137">
        <f t="shared" si="2"/>
        <v>237</v>
      </c>
      <c r="F135" s="137">
        <f t="shared" si="2"/>
        <v>66406</v>
      </c>
      <c r="G135" s="137">
        <f t="shared" si="2"/>
        <v>7403</v>
      </c>
      <c r="H135" s="137">
        <f t="shared" si="2"/>
        <v>403077</v>
      </c>
    </row>
    <row r="136" spans="1:8" x14ac:dyDescent="0.25">
      <c r="A136" s="136"/>
      <c r="B136" s="136"/>
      <c r="C136" s="136"/>
      <c r="D136" s="136"/>
      <c r="H136" s="143"/>
    </row>
    <row r="137" spans="1:8" x14ac:dyDescent="0.25">
      <c r="A137" s="136"/>
      <c r="B137" s="147"/>
      <c r="C137" s="147"/>
      <c r="D137" s="147"/>
      <c r="E137" s="147"/>
      <c r="F137" s="147"/>
      <c r="G137" s="147"/>
      <c r="H137" s="144"/>
    </row>
    <row r="141" spans="1:8" ht="45" x14ac:dyDescent="0.25">
      <c r="A141" s="136" t="s">
        <v>501</v>
      </c>
      <c r="B141" s="136" t="s">
        <v>502</v>
      </c>
      <c r="C141" s="136">
        <v>6</v>
      </c>
      <c r="D141" s="154"/>
      <c r="E141" s="154"/>
      <c r="F141" s="154"/>
      <c r="G141" s="155"/>
    </row>
    <row r="142" spans="1:8" x14ac:dyDescent="0.25">
      <c r="A142" s="136"/>
      <c r="B142" s="136"/>
      <c r="C142" s="136"/>
      <c r="D142" s="136"/>
      <c r="G142" s="143"/>
    </row>
    <row r="143" spans="1:8" ht="30" x14ac:dyDescent="0.25">
      <c r="A143" s="136"/>
      <c r="B143" s="136"/>
      <c r="C143" s="136" t="s">
        <v>500</v>
      </c>
      <c r="D143" s="136"/>
      <c r="G143" s="143"/>
    </row>
    <row r="144" spans="1:8" x14ac:dyDescent="0.25">
      <c r="A144" s="136" t="s">
        <v>126</v>
      </c>
      <c r="B144" s="136"/>
      <c r="C144" s="136" t="s">
        <v>479</v>
      </c>
      <c r="D144" s="136" t="s">
        <v>480</v>
      </c>
      <c r="E144" s="136" t="s">
        <v>481</v>
      </c>
      <c r="F144" s="136" t="s">
        <v>482</v>
      </c>
      <c r="G144" s="136" t="s">
        <v>483</v>
      </c>
      <c r="H144" s="136" t="s">
        <v>25</v>
      </c>
    </row>
    <row r="145" spans="1:8" x14ac:dyDescent="0.25">
      <c r="A145" s="136"/>
      <c r="B145" s="136"/>
      <c r="C145" s="136"/>
      <c r="D145" s="136"/>
      <c r="H145" s="143"/>
    </row>
    <row r="146" spans="1:8" x14ac:dyDescent="0.25">
      <c r="A146" s="136" t="s">
        <v>207</v>
      </c>
      <c r="B146" s="136"/>
      <c r="C146" s="136">
        <v>10</v>
      </c>
      <c r="D146" s="146">
        <v>3236</v>
      </c>
      <c r="E146" s="136">
        <v>2</v>
      </c>
      <c r="F146" s="136">
        <v>704</v>
      </c>
      <c r="G146" s="136">
        <v>83</v>
      </c>
      <c r="H146" s="146">
        <v>4035</v>
      </c>
    </row>
    <row r="147" spans="1:8" ht="30" x14ac:dyDescent="0.25">
      <c r="A147" s="136" t="s">
        <v>208</v>
      </c>
      <c r="B147" s="136"/>
      <c r="C147" s="136">
        <v>18</v>
      </c>
      <c r="D147" s="146">
        <v>6369</v>
      </c>
      <c r="E147" s="136">
        <v>2</v>
      </c>
      <c r="F147" s="146">
        <v>1452</v>
      </c>
      <c r="G147" s="136">
        <v>146</v>
      </c>
      <c r="H147" s="146">
        <v>7987</v>
      </c>
    </row>
    <row r="148" spans="1:8" x14ac:dyDescent="0.25">
      <c r="A148" s="136" t="s">
        <v>209</v>
      </c>
      <c r="B148" s="136"/>
      <c r="C148" s="136">
        <v>5</v>
      </c>
      <c r="D148" s="146">
        <v>2111</v>
      </c>
      <c r="E148">
        <v>0</v>
      </c>
      <c r="F148" s="136">
        <v>379</v>
      </c>
      <c r="G148" s="136">
        <v>50</v>
      </c>
      <c r="H148" s="146">
        <v>2545</v>
      </c>
    </row>
    <row r="149" spans="1:8" x14ac:dyDescent="0.25">
      <c r="A149" s="136" t="s">
        <v>210</v>
      </c>
      <c r="B149" s="136"/>
      <c r="C149" s="136">
        <v>6</v>
      </c>
      <c r="D149" s="146">
        <v>1465</v>
      </c>
      <c r="E149" s="168">
        <v>0</v>
      </c>
      <c r="F149" s="136">
        <v>276</v>
      </c>
      <c r="G149" s="136">
        <v>26</v>
      </c>
      <c r="H149" s="146">
        <v>1773</v>
      </c>
    </row>
    <row r="150" spans="1:8" x14ac:dyDescent="0.25">
      <c r="A150" s="136" t="s">
        <v>211</v>
      </c>
      <c r="B150" s="136"/>
      <c r="C150" s="136">
        <v>2</v>
      </c>
      <c r="D150" s="146">
        <v>3576</v>
      </c>
      <c r="E150" s="136">
        <v>1</v>
      </c>
      <c r="F150" s="136">
        <v>601</v>
      </c>
      <c r="G150" s="136">
        <v>69</v>
      </c>
      <c r="H150" s="146">
        <v>4249</v>
      </c>
    </row>
    <row r="151" spans="1:8" x14ac:dyDescent="0.25">
      <c r="A151" s="136" t="s">
        <v>493</v>
      </c>
      <c r="B151" s="136"/>
      <c r="C151" s="136">
        <v>7</v>
      </c>
      <c r="D151" s="146">
        <v>3428</v>
      </c>
      <c r="E151" s="136">
        <v>3</v>
      </c>
      <c r="F151" s="136">
        <v>661</v>
      </c>
      <c r="G151" s="136">
        <v>66</v>
      </c>
      <c r="H151" s="146">
        <v>4165</v>
      </c>
    </row>
    <row r="152" spans="1:8" x14ac:dyDescent="0.25">
      <c r="A152" s="136" t="s">
        <v>212</v>
      </c>
      <c r="B152" s="136"/>
      <c r="C152" s="136">
        <v>11</v>
      </c>
      <c r="D152" s="146">
        <v>4835</v>
      </c>
      <c r="E152" s="136">
        <v>1</v>
      </c>
      <c r="F152" s="136">
        <v>871</v>
      </c>
      <c r="G152" s="136">
        <v>88</v>
      </c>
      <c r="H152" s="146">
        <v>5806</v>
      </c>
    </row>
    <row r="153" spans="1:8" ht="30" x14ac:dyDescent="0.25">
      <c r="A153" s="136" t="s">
        <v>213</v>
      </c>
      <c r="B153" s="136"/>
      <c r="C153" s="136">
        <v>1</v>
      </c>
      <c r="D153" s="136">
        <v>771</v>
      </c>
      <c r="E153" s="167">
        <v>0</v>
      </c>
      <c r="F153" s="136">
        <v>142</v>
      </c>
      <c r="G153" s="136">
        <v>13</v>
      </c>
      <c r="H153" s="136">
        <v>927</v>
      </c>
    </row>
    <row r="154" spans="1:8" ht="30" x14ac:dyDescent="0.25">
      <c r="A154" s="136" t="s">
        <v>214</v>
      </c>
      <c r="B154" s="136"/>
      <c r="C154" s="136">
        <v>8</v>
      </c>
      <c r="D154" s="146">
        <v>4613</v>
      </c>
      <c r="E154" s="136">
        <v>1</v>
      </c>
      <c r="F154" s="136">
        <v>817</v>
      </c>
      <c r="G154" s="136">
        <v>117</v>
      </c>
      <c r="H154" s="146">
        <v>5556</v>
      </c>
    </row>
    <row r="155" spans="1:8" x14ac:dyDescent="0.25">
      <c r="A155" s="136" t="s">
        <v>215</v>
      </c>
      <c r="B155" s="136"/>
      <c r="C155" s="136">
        <v>4</v>
      </c>
      <c r="D155" s="146">
        <v>1243</v>
      </c>
      <c r="E155" s="167">
        <v>0</v>
      </c>
      <c r="F155" s="136">
        <v>258</v>
      </c>
      <c r="G155" s="136">
        <v>33</v>
      </c>
      <c r="H155" s="146">
        <v>1538</v>
      </c>
    </row>
    <row r="156" spans="1:8" x14ac:dyDescent="0.25">
      <c r="A156" s="136" t="s">
        <v>216</v>
      </c>
      <c r="B156" s="136"/>
      <c r="C156" s="136">
        <v>5</v>
      </c>
      <c r="D156" s="146">
        <v>1604</v>
      </c>
      <c r="E156" s="167">
        <v>0</v>
      </c>
      <c r="F156" s="136">
        <v>297</v>
      </c>
      <c r="G156" s="136">
        <v>41</v>
      </c>
      <c r="H156" s="146">
        <v>1947</v>
      </c>
    </row>
    <row r="157" spans="1:8" x14ac:dyDescent="0.25">
      <c r="A157" s="136" t="s">
        <v>217</v>
      </c>
      <c r="B157" s="136"/>
      <c r="C157" s="136">
        <v>12</v>
      </c>
      <c r="D157" s="146">
        <v>5219</v>
      </c>
      <c r="E157" s="136">
        <v>2</v>
      </c>
      <c r="F157" s="146">
        <v>1268</v>
      </c>
      <c r="G157" s="136">
        <v>141</v>
      </c>
      <c r="H157" s="146">
        <v>6642</v>
      </c>
    </row>
    <row r="158" spans="1:8" x14ac:dyDescent="0.25">
      <c r="A158" s="136" t="s">
        <v>218</v>
      </c>
      <c r="B158" s="136"/>
      <c r="C158" s="136">
        <v>10</v>
      </c>
      <c r="D158" s="146">
        <v>2637</v>
      </c>
      <c r="E158" s="136">
        <v>1</v>
      </c>
      <c r="F158" s="136">
        <v>471</v>
      </c>
      <c r="G158" s="136">
        <v>44</v>
      </c>
      <c r="H158" s="146">
        <v>3163</v>
      </c>
    </row>
    <row r="159" spans="1:8" ht="30" x14ac:dyDescent="0.25">
      <c r="A159" s="136" t="s">
        <v>219</v>
      </c>
      <c r="B159" s="136"/>
      <c r="C159" s="136">
        <v>3</v>
      </c>
      <c r="D159" s="146">
        <v>1624</v>
      </c>
      <c r="E159" s="136">
        <v>1</v>
      </c>
      <c r="F159" s="136">
        <v>260</v>
      </c>
      <c r="G159" s="136">
        <v>42</v>
      </c>
      <c r="H159" s="146">
        <v>1930</v>
      </c>
    </row>
    <row r="160" spans="1:8" x14ac:dyDescent="0.25">
      <c r="A160" s="136" t="s">
        <v>220</v>
      </c>
      <c r="B160" s="136"/>
      <c r="C160" s="136">
        <v>21</v>
      </c>
      <c r="D160" s="146">
        <v>4253</v>
      </c>
      <c r="E160" s="167">
        <v>0</v>
      </c>
      <c r="F160" s="136">
        <v>961</v>
      </c>
      <c r="G160" s="136">
        <v>102</v>
      </c>
      <c r="H160" s="146">
        <v>5337</v>
      </c>
    </row>
    <row r="161" spans="1:8" x14ac:dyDescent="0.25">
      <c r="A161" s="136" t="s">
        <v>221</v>
      </c>
      <c r="B161" s="136"/>
      <c r="C161" s="136">
        <v>11</v>
      </c>
      <c r="D161" s="146">
        <v>3154</v>
      </c>
      <c r="E161" s="167">
        <v>0</v>
      </c>
      <c r="F161" s="136">
        <v>585</v>
      </c>
      <c r="G161" s="136">
        <v>61</v>
      </c>
      <c r="H161" s="146">
        <v>3811</v>
      </c>
    </row>
    <row r="162" spans="1:8" x14ac:dyDescent="0.25">
      <c r="A162" s="136" t="s">
        <v>222</v>
      </c>
      <c r="B162" s="136"/>
      <c r="C162" s="136">
        <v>4</v>
      </c>
      <c r="D162" s="146">
        <v>1444</v>
      </c>
      <c r="E162" s="136">
        <v>1</v>
      </c>
      <c r="F162" s="136">
        <v>294</v>
      </c>
      <c r="G162" s="136">
        <v>41</v>
      </c>
      <c r="H162" s="146">
        <v>1784</v>
      </c>
    </row>
    <row r="163" spans="1:8" x14ac:dyDescent="0.25">
      <c r="A163" s="136" t="s">
        <v>223</v>
      </c>
      <c r="B163" s="136"/>
      <c r="C163" s="136">
        <v>3</v>
      </c>
      <c r="D163" s="146">
        <v>2042</v>
      </c>
      <c r="E163" s="136">
        <v>3</v>
      </c>
      <c r="F163" s="136">
        <v>443</v>
      </c>
      <c r="G163" s="136">
        <v>43</v>
      </c>
      <c r="H163" s="146">
        <v>2534</v>
      </c>
    </row>
    <row r="164" spans="1:8" x14ac:dyDescent="0.25">
      <c r="A164" s="136" t="s">
        <v>224</v>
      </c>
      <c r="B164" s="136"/>
      <c r="C164" s="136">
        <v>8</v>
      </c>
      <c r="D164" s="146">
        <v>2364</v>
      </c>
      <c r="E164" s="167">
        <v>0</v>
      </c>
      <c r="F164" s="136">
        <v>538</v>
      </c>
      <c r="G164" s="136">
        <v>42</v>
      </c>
      <c r="H164" s="146">
        <v>2952</v>
      </c>
    </row>
    <row r="165" spans="1:8" ht="30" x14ac:dyDescent="0.25">
      <c r="A165" s="136" t="s">
        <v>225</v>
      </c>
      <c r="B165" s="136"/>
      <c r="C165" s="136">
        <v>5</v>
      </c>
      <c r="D165" s="146">
        <v>1463</v>
      </c>
      <c r="E165" s="167">
        <v>0</v>
      </c>
      <c r="F165" s="136">
        <v>234</v>
      </c>
      <c r="G165" s="136">
        <v>33</v>
      </c>
      <c r="H165" s="146">
        <v>1735</v>
      </c>
    </row>
    <row r="166" spans="1:8" x14ac:dyDescent="0.25">
      <c r="A166" s="136" t="s">
        <v>226</v>
      </c>
      <c r="B166" s="136"/>
      <c r="C166" s="136">
        <v>4</v>
      </c>
      <c r="D166" s="146">
        <v>2223</v>
      </c>
      <c r="E166" s="136">
        <v>1</v>
      </c>
      <c r="F166" s="136">
        <v>473</v>
      </c>
      <c r="G166" s="136">
        <v>43</v>
      </c>
      <c r="H166" s="146">
        <v>2744</v>
      </c>
    </row>
    <row r="167" spans="1:8" x14ac:dyDescent="0.25">
      <c r="A167" s="136" t="s">
        <v>227</v>
      </c>
      <c r="B167" s="136"/>
      <c r="C167" s="136">
        <v>6</v>
      </c>
      <c r="D167" s="146">
        <v>2894</v>
      </c>
      <c r="E167" s="136">
        <v>2</v>
      </c>
      <c r="F167" s="136">
        <v>414</v>
      </c>
      <c r="G167" s="136">
        <v>47</v>
      </c>
      <c r="H167" s="146">
        <v>3363</v>
      </c>
    </row>
    <row r="168" spans="1:8" ht="30" x14ac:dyDescent="0.25">
      <c r="A168" s="136" t="s">
        <v>228</v>
      </c>
      <c r="B168" s="136"/>
      <c r="C168" s="136">
        <v>8</v>
      </c>
      <c r="D168" s="146">
        <v>3969</v>
      </c>
      <c r="E168" s="136">
        <v>3</v>
      </c>
      <c r="F168" s="136">
        <v>747</v>
      </c>
      <c r="G168" s="136">
        <v>66</v>
      </c>
      <c r="H168" s="146">
        <v>4793</v>
      </c>
    </row>
    <row r="169" spans="1:8" x14ac:dyDescent="0.25">
      <c r="A169" s="136" t="s">
        <v>229</v>
      </c>
      <c r="B169" s="136"/>
      <c r="C169" s="136">
        <v>9</v>
      </c>
      <c r="D169" s="146">
        <v>3233</v>
      </c>
      <c r="E169" s="136">
        <v>1</v>
      </c>
      <c r="F169" s="136">
        <v>612</v>
      </c>
      <c r="G169" s="136">
        <v>97</v>
      </c>
      <c r="H169" s="146">
        <v>3952</v>
      </c>
    </row>
    <row r="170" spans="1:8" x14ac:dyDescent="0.25">
      <c r="A170" s="136" t="s">
        <v>230</v>
      </c>
      <c r="B170" s="136"/>
      <c r="C170" s="136">
        <v>5</v>
      </c>
      <c r="D170" s="146">
        <v>1619</v>
      </c>
      <c r="E170" s="167">
        <v>0</v>
      </c>
      <c r="F170" s="136">
        <v>324</v>
      </c>
      <c r="G170" s="136">
        <v>30</v>
      </c>
      <c r="H170" s="146">
        <v>1978</v>
      </c>
    </row>
    <row r="171" spans="1:8" ht="30" x14ac:dyDescent="0.25">
      <c r="A171" s="136" t="s">
        <v>231</v>
      </c>
      <c r="B171" s="136"/>
      <c r="C171" s="136">
        <v>2</v>
      </c>
      <c r="D171" s="136">
        <v>909</v>
      </c>
      <c r="E171" s="136">
        <v>1</v>
      </c>
      <c r="F171" s="136">
        <v>193</v>
      </c>
      <c r="G171" s="136">
        <v>17</v>
      </c>
      <c r="H171" s="146">
        <v>1122</v>
      </c>
    </row>
    <row r="172" spans="1:8" ht="30" x14ac:dyDescent="0.25">
      <c r="A172" s="136" t="s">
        <v>232</v>
      </c>
      <c r="B172" s="136"/>
      <c r="C172" s="136">
        <v>8</v>
      </c>
      <c r="D172" s="146">
        <v>2491</v>
      </c>
      <c r="E172" s="136">
        <v>1</v>
      </c>
      <c r="F172" s="136">
        <v>455</v>
      </c>
      <c r="G172" s="136">
        <v>63</v>
      </c>
      <c r="H172" s="146">
        <v>3018</v>
      </c>
    </row>
    <row r="173" spans="1:8" x14ac:dyDescent="0.25">
      <c r="A173" s="136" t="s">
        <v>233</v>
      </c>
      <c r="B173" s="136"/>
      <c r="C173" s="136">
        <v>117</v>
      </c>
      <c r="D173" s="146">
        <v>38092</v>
      </c>
      <c r="E173" s="136">
        <v>35</v>
      </c>
      <c r="F173" s="146">
        <v>8952</v>
      </c>
      <c r="G173" s="136">
        <v>957</v>
      </c>
      <c r="H173" s="146">
        <v>48153</v>
      </c>
    </row>
    <row r="174" spans="1:8" x14ac:dyDescent="0.25">
      <c r="A174" s="136" t="s">
        <v>234</v>
      </c>
      <c r="B174" s="136"/>
      <c r="C174" s="136">
        <v>21</v>
      </c>
      <c r="D174" s="146">
        <v>10380</v>
      </c>
      <c r="E174" s="136">
        <v>9</v>
      </c>
      <c r="F174" s="146">
        <v>2209</v>
      </c>
      <c r="G174" s="136">
        <v>211</v>
      </c>
      <c r="H174" s="146">
        <v>12830</v>
      </c>
    </row>
    <row r="175" spans="1:8" x14ac:dyDescent="0.25">
      <c r="A175" s="136" t="s">
        <v>235</v>
      </c>
      <c r="B175" s="136"/>
      <c r="C175" s="136">
        <v>8</v>
      </c>
      <c r="D175" s="146">
        <v>3845</v>
      </c>
      <c r="E175" s="136">
        <v>2</v>
      </c>
      <c r="F175" s="136">
        <v>841</v>
      </c>
      <c r="G175" s="136">
        <v>90</v>
      </c>
      <c r="H175" s="146">
        <v>4786</v>
      </c>
    </row>
    <row r="176" spans="1:8" ht="30" x14ac:dyDescent="0.25">
      <c r="A176" s="136" t="s">
        <v>236</v>
      </c>
      <c r="B176" s="136"/>
      <c r="C176" s="136">
        <v>30</v>
      </c>
      <c r="D176" s="146">
        <v>12944</v>
      </c>
      <c r="E176" s="136">
        <v>1</v>
      </c>
      <c r="F176" s="146">
        <v>2516</v>
      </c>
      <c r="G176" s="136">
        <v>277</v>
      </c>
      <c r="H176" s="146">
        <v>15768</v>
      </c>
    </row>
    <row r="177" spans="1:8" ht="30" x14ac:dyDescent="0.25">
      <c r="A177" s="136" t="s">
        <v>237</v>
      </c>
      <c r="B177" s="136"/>
      <c r="C177" s="136">
        <v>21</v>
      </c>
      <c r="D177" s="146">
        <v>9778</v>
      </c>
      <c r="E177" s="136">
        <v>2</v>
      </c>
      <c r="F177" s="146">
        <v>1826</v>
      </c>
      <c r="G177" s="136">
        <v>230</v>
      </c>
      <c r="H177" s="146">
        <v>11857</v>
      </c>
    </row>
    <row r="178" spans="1:8" ht="30" x14ac:dyDescent="0.25">
      <c r="A178" s="136" t="s">
        <v>238</v>
      </c>
      <c r="B178" s="136"/>
      <c r="C178" s="136">
        <v>11</v>
      </c>
      <c r="D178" s="146">
        <v>7565</v>
      </c>
      <c r="E178" s="136">
        <v>5</v>
      </c>
      <c r="F178" s="146">
        <v>1496</v>
      </c>
      <c r="G178" s="136">
        <v>160</v>
      </c>
      <c r="H178" s="146">
        <v>9237</v>
      </c>
    </row>
    <row r="179" spans="1:8" x14ac:dyDescent="0.25">
      <c r="A179" s="136"/>
      <c r="H179" s="143"/>
    </row>
    <row r="180" spans="1:8" x14ac:dyDescent="0.25">
      <c r="A180" s="136" t="s">
        <v>25</v>
      </c>
      <c r="B180" s="136"/>
      <c r="C180" s="137">
        <f>SUM(C146:C179)</f>
        <v>404</v>
      </c>
      <c r="D180" s="137">
        <f t="shared" ref="D180:H180" si="3">SUM(D146:D179)</f>
        <v>157393</v>
      </c>
      <c r="E180" s="137">
        <f t="shared" si="3"/>
        <v>81</v>
      </c>
      <c r="F180" s="137">
        <f t="shared" si="3"/>
        <v>32570</v>
      </c>
      <c r="G180" s="137">
        <f t="shared" si="3"/>
        <v>3569</v>
      </c>
      <c r="H180" s="137">
        <f t="shared" si="3"/>
        <v>194017</v>
      </c>
    </row>
    <row r="181" spans="1:8" x14ac:dyDescent="0.25">
      <c r="A181" s="136"/>
      <c r="B181" s="136"/>
      <c r="C181" s="136"/>
      <c r="D181" s="136"/>
      <c r="E181" s="147"/>
      <c r="F181" s="147"/>
      <c r="G181" s="147"/>
      <c r="H181" s="144"/>
    </row>
    <row r="185" spans="1:8" ht="45" x14ac:dyDescent="0.25">
      <c r="A185" s="136" t="s">
        <v>501</v>
      </c>
      <c r="B185" s="136" t="s">
        <v>502</v>
      </c>
      <c r="C185" s="136">
        <v>7</v>
      </c>
      <c r="D185" s="154"/>
      <c r="E185" s="154"/>
      <c r="F185" s="155"/>
    </row>
    <row r="186" spans="1:8" x14ac:dyDescent="0.25">
      <c r="A186" s="136"/>
      <c r="B186" s="136"/>
      <c r="C186" s="136"/>
      <c r="D186" s="136"/>
      <c r="F186" s="143"/>
    </row>
    <row r="187" spans="1:8" ht="30" x14ac:dyDescent="0.25">
      <c r="A187" s="136"/>
      <c r="B187" s="136"/>
      <c r="C187" s="136" t="s">
        <v>500</v>
      </c>
      <c r="D187" s="136"/>
      <c r="F187" s="143"/>
    </row>
    <row r="188" spans="1:8" x14ac:dyDescent="0.25">
      <c r="A188" s="136" t="s">
        <v>126</v>
      </c>
      <c r="B188" s="136" t="s">
        <v>479</v>
      </c>
      <c r="C188" s="136" t="s">
        <v>480</v>
      </c>
      <c r="D188" s="136" t="s">
        <v>481</v>
      </c>
      <c r="E188" s="136" t="s">
        <v>482</v>
      </c>
      <c r="F188" s="136" t="s">
        <v>483</v>
      </c>
      <c r="G188" s="136" t="s">
        <v>25</v>
      </c>
    </row>
    <row r="189" spans="1:8" x14ac:dyDescent="0.25">
      <c r="A189" s="136"/>
      <c r="B189" s="136"/>
      <c r="C189" s="136"/>
      <c r="D189" s="136"/>
      <c r="E189" s="158"/>
      <c r="G189" s="143"/>
    </row>
    <row r="190" spans="1:8" ht="30" x14ac:dyDescent="0.25">
      <c r="A190" s="136" t="s">
        <v>239</v>
      </c>
      <c r="B190" s="136">
        <v>27</v>
      </c>
      <c r="C190" s="146">
        <v>9982</v>
      </c>
      <c r="D190" s="136">
        <v>12</v>
      </c>
      <c r="E190" s="146">
        <v>1856</v>
      </c>
      <c r="F190" s="136">
        <v>174</v>
      </c>
      <c r="G190" s="146">
        <v>12051</v>
      </c>
    </row>
    <row r="191" spans="1:8" x14ac:dyDescent="0.25">
      <c r="A191" s="136" t="s">
        <v>240</v>
      </c>
      <c r="B191" s="136">
        <v>5</v>
      </c>
      <c r="C191" s="146">
        <v>1892</v>
      </c>
      <c r="D191">
        <v>0</v>
      </c>
      <c r="E191" s="136">
        <v>397</v>
      </c>
      <c r="F191" s="136">
        <v>50</v>
      </c>
      <c r="G191" s="146">
        <v>2344</v>
      </c>
    </row>
    <row r="192" spans="1:8" x14ac:dyDescent="0.25">
      <c r="A192" s="136" t="s">
        <v>241</v>
      </c>
      <c r="B192" s="136">
        <v>8</v>
      </c>
      <c r="C192" s="146">
        <v>3773</v>
      </c>
      <c r="D192" s="136">
        <v>1</v>
      </c>
      <c r="E192" s="136">
        <v>786</v>
      </c>
      <c r="F192" s="136">
        <v>83</v>
      </c>
      <c r="G192" s="146">
        <v>4651</v>
      </c>
    </row>
    <row r="193" spans="1:7" ht="30" x14ac:dyDescent="0.25">
      <c r="A193" s="136" t="s">
        <v>242</v>
      </c>
      <c r="B193" s="136">
        <v>33</v>
      </c>
      <c r="C193" s="146">
        <v>8007</v>
      </c>
      <c r="D193" s="136">
        <v>3</v>
      </c>
      <c r="E193" s="146">
        <v>1747</v>
      </c>
      <c r="F193" s="136">
        <v>172</v>
      </c>
      <c r="G193" s="146">
        <v>9962</v>
      </c>
    </row>
    <row r="194" spans="1:7" x14ac:dyDescent="0.25">
      <c r="A194" s="136" t="s">
        <v>243</v>
      </c>
      <c r="B194" s="136">
        <v>8</v>
      </c>
      <c r="C194" s="146">
        <v>2551</v>
      </c>
      <c r="D194" s="167">
        <v>0</v>
      </c>
      <c r="E194" s="136">
        <v>610</v>
      </c>
      <c r="F194" s="136">
        <v>32</v>
      </c>
      <c r="G194" s="146">
        <v>3201</v>
      </c>
    </row>
    <row r="195" spans="1:7" x14ac:dyDescent="0.25">
      <c r="A195" s="136" t="s">
        <v>244</v>
      </c>
      <c r="B195" s="136">
        <v>47</v>
      </c>
      <c r="C195" s="146">
        <v>25031</v>
      </c>
      <c r="D195" s="136">
        <v>16</v>
      </c>
      <c r="E195" s="146">
        <v>3837</v>
      </c>
      <c r="F195" s="136">
        <v>537</v>
      </c>
      <c r="G195" s="146">
        <v>29468</v>
      </c>
    </row>
    <row r="196" spans="1:7" ht="30" x14ac:dyDescent="0.25">
      <c r="A196" s="136" t="s">
        <v>245</v>
      </c>
      <c r="B196" s="136">
        <v>2</v>
      </c>
      <c r="C196" s="136">
        <v>706</v>
      </c>
      <c r="D196" s="167">
        <v>0</v>
      </c>
      <c r="E196" s="136">
        <v>180</v>
      </c>
      <c r="F196" s="136">
        <v>11</v>
      </c>
      <c r="G196" s="136">
        <v>899</v>
      </c>
    </row>
    <row r="197" spans="1:7" x14ac:dyDescent="0.25">
      <c r="A197" s="136" t="s">
        <v>494</v>
      </c>
      <c r="B197" s="136">
        <v>5</v>
      </c>
      <c r="C197" s="146">
        <v>2353</v>
      </c>
      <c r="D197" s="167">
        <v>0</v>
      </c>
      <c r="E197" s="136">
        <v>435</v>
      </c>
      <c r="F197" s="136">
        <v>28</v>
      </c>
      <c r="G197" s="146">
        <v>2821</v>
      </c>
    </row>
    <row r="198" spans="1:7" x14ac:dyDescent="0.25">
      <c r="A198" s="136" t="s">
        <v>246</v>
      </c>
      <c r="B198" s="136">
        <v>3</v>
      </c>
      <c r="C198" s="146">
        <v>1378</v>
      </c>
      <c r="D198" s="136">
        <v>1</v>
      </c>
      <c r="E198" s="136">
        <v>199</v>
      </c>
      <c r="F198" s="136">
        <v>26</v>
      </c>
      <c r="G198" s="146">
        <v>1607</v>
      </c>
    </row>
    <row r="199" spans="1:7" x14ac:dyDescent="0.25">
      <c r="A199" s="136" t="s">
        <v>247</v>
      </c>
      <c r="B199" s="136">
        <v>46</v>
      </c>
      <c r="C199" s="146">
        <v>17260</v>
      </c>
      <c r="D199" s="136">
        <v>10</v>
      </c>
      <c r="E199" s="146">
        <v>3215</v>
      </c>
      <c r="F199" s="136">
        <v>325</v>
      </c>
      <c r="G199" s="146">
        <v>20856</v>
      </c>
    </row>
    <row r="200" spans="1:7" x14ac:dyDescent="0.25">
      <c r="A200" s="136" t="s">
        <v>248</v>
      </c>
      <c r="B200" s="136">
        <v>9</v>
      </c>
      <c r="C200" s="146">
        <v>5818</v>
      </c>
      <c r="D200" s="167">
        <v>0</v>
      </c>
      <c r="E200" s="146">
        <v>1235</v>
      </c>
      <c r="F200" s="136">
        <v>146</v>
      </c>
      <c r="G200" s="146">
        <v>7208</v>
      </c>
    </row>
    <row r="201" spans="1:7" x14ac:dyDescent="0.25">
      <c r="A201" s="136" t="s">
        <v>249</v>
      </c>
      <c r="B201" s="136">
        <v>6</v>
      </c>
      <c r="C201" s="146">
        <v>5115</v>
      </c>
      <c r="D201" s="136">
        <v>2</v>
      </c>
      <c r="E201" s="146">
        <v>1016</v>
      </c>
      <c r="F201" s="136">
        <v>159</v>
      </c>
      <c r="G201" s="146">
        <v>6298</v>
      </c>
    </row>
    <row r="202" spans="1:7" x14ac:dyDescent="0.25">
      <c r="A202" s="136" t="s">
        <v>250</v>
      </c>
      <c r="B202" s="136">
        <v>18</v>
      </c>
      <c r="C202" s="146">
        <v>7962</v>
      </c>
      <c r="D202" s="136">
        <v>7</v>
      </c>
      <c r="E202" s="146">
        <v>1147</v>
      </c>
      <c r="F202" s="136">
        <v>157</v>
      </c>
      <c r="G202" s="146">
        <v>9291</v>
      </c>
    </row>
    <row r="203" spans="1:7" x14ac:dyDescent="0.25">
      <c r="A203" s="136" t="s">
        <v>251</v>
      </c>
      <c r="B203" s="136">
        <v>29</v>
      </c>
      <c r="C203" s="146">
        <v>8694</v>
      </c>
      <c r="D203" s="136">
        <v>8</v>
      </c>
      <c r="E203" s="146">
        <v>1726</v>
      </c>
      <c r="F203" s="136">
        <v>175</v>
      </c>
      <c r="G203" s="146">
        <v>10632</v>
      </c>
    </row>
    <row r="204" spans="1:7" x14ac:dyDescent="0.25">
      <c r="A204" s="136" t="s">
        <v>252</v>
      </c>
      <c r="B204" s="136">
        <v>0</v>
      </c>
      <c r="C204" s="146">
        <v>1678</v>
      </c>
      <c r="D204" s="167">
        <v>0</v>
      </c>
      <c r="E204" s="136">
        <v>292</v>
      </c>
      <c r="F204" s="136">
        <v>38</v>
      </c>
      <c r="G204" s="146">
        <v>2008</v>
      </c>
    </row>
    <row r="205" spans="1:7" x14ac:dyDescent="0.25">
      <c r="A205" s="136" t="s">
        <v>253</v>
      </c>
      <c r="B205" s="136">
        <v>7</v>
      </c>
      <c r="C205" s="146">
        <v>1433</v>
      </c>
      <c r="D205" s="167">
        <v>0</v>
      </c>
      <c r="E205" s="136">
        <v>320</v>
      </c>
      <c r="F205" s="136">
        <v>35</v>
      </c>
      <c r="G205" s="146">
        <v>1795</v>
      </c>
    </row>
    <row r="206" spans="1:7" x14ac:dyDescent="0.25">
      <c r="A206" s="136" t="s">
        <v>254</v>
      </c>
      <c r="B206" s="136">
        <v>4</v>
      </c>
      <c r="C206" s="146">
        <v>1631</v>
      </c>
      <c r="D206" s="167">
        <v>0</v>
      </c>
      <c r="E206" s="136">
        <v>224</v>
      </c>
      <c r="F206" s="136">
        <v>34</v>
      </c>
      <c r="G206" s="146">
        <v>1893</v>
      </c>
    </row>
    <row r="207" spans="1:7" x14ac:dyDescent="0.25">
      <c r="A207" s="136" t="s">
        <v>255</v>
      </c>
      <c r="B207" s="136">
        <v>2</v>
      </c>
      <c r="C207" s="146">
        <v>1880</v>
      </c>
      <c r="D207" s="167">
        <v>0</v>
      </c>
      <c r="E207" s="136">
        <v>248</v>
      </c>
      <c r="F207" s="136">
        <v>31</v>
      </c>
      <c r="G207" s="146">
        <v>2161</v>
      </c>
    </row>
    <row r="208" spans="1:7" x14ac:dyDescent="0.25">
      <c r="A208" s="136" t="s">
        <v>256</v>
      </c>
      <c r="B208" s="136">
        <v>7</v>
      </c>
      <c r="C208" s="146">
        <v>4002</v>
      </c>
      <c r="D208" s="136">
        <v>2</v>
      </c>
      <c r="E208" s="136">
        <v>872</v>
      </c>
      <c r="F208" s="136">
        <v>73</v>
      </c>
      <c r="G208" s="146">
        <v>4956</v>
      </c>
    </row>
    <row r="209" spans="1:7" x14ac:dyDescent="0.25">
      <c r="A209" s="136" t="s">
        <v>257</v>
      </c>
      <c r="B209" s="136">
        <v>2</v>
      </c>
      <c r="C209" s="146">
        <v>2570</v>
      </c>
      <c r="D209" s="167">
        <v>0</v>
      </c>
      <c r="E209" s="136">
        <v>522</v>
      </c>
      <c r="F209" s="136">
        <v>55</v>
      </c>
      <c r="G209" s="146">
        <v>3149</v>
      </c>
    </row>
    <row r="210" spans="1:7" x14ac:dyDescent="0.25">
      <c r="A210" s="136" t="s">
        <v>258</v>
      </c>
      <c r="B210" s="136">
        <v>2</v>
      </c>
      <c r="C210" s="146">
        <v>2439</v>
      </c>
      <c r="D210" s="167">
        <v>0</v>
      </c>
      <c r="E210" s="136">
        <v>350</v>
      </c>
      <c r="F210" s="136">
        <v>56</v>
      </c>
      <c r="G210" s="146">
        <v>2847</v>
      </c>
    </row>
    <row r="211" spans="1:7" ht="30" x14ac:dyDescent="0.25">
      <c r="A211" s="136" t="s">
        <v>259</v>
      </c>
      <c r="B211" s="136">
        <v>8</v>
      </c>
      <c r="C211" s="146">
        <v>3367</v>
      </c>
      <c r="D211" s="136">
        <v>3</v>
      </c>
      <c r="E211" s="136">
        <v>458</v>
      </c>
      <c r="F211" s="136">
        <v>71</v>
      </c>
      <c r="G211" s="146">
        <v>3907</v>
      </c>
    </row>
    <row r="212" spans="1:7" ht="30" x14ac:dyDescent="0.25">
      <c r="A212" s="136" t="s">
        <v>260</v>
      </c>
      <c r="B212" s="136">
        <v>19</v>
      </c>
      <c r="C212" s="146">
        <v>7507</v>
      </c>
      <c r="D212" s="136">
        <v>2</v>
      </c>
      <c r="E212" s="146">
        <v>1281</v>
      </c>
      <c r="F212" s="136">
        <v>139</v>
      </c>
      <c r="G212" s="146">
        <v>8948</v>
      </c>
    </row>
    <row r="213" spans="1:7" x14ac:dyDescent="0.25">
      <c r="A213" s="136" t="s">
        <v>261</v>
      </c>
      <c r="B213" s="136">
        <v>32</v>
      </c>
      <c r="C213" s="146">
        <v>8613</v>
      </c>
      <c r="D213" s="136">
        <v>2</v>
      </c>
      <c r="E213" s="146">
        <v>1325</v>
      </c>
      <c r="F213" s="136">
        <v>147</v>
      </c>
      <c r="G213" s="146">
        <v>10119</v>
      </c>
    </row>
    <row r="214" spans="1:7" ht="30" x14ac:dyDescent="0.25">
      <c r="A214" s="136" t="s">
        <v>262</v>
      </c>
      <c r="B214" s="136">
        <v>2</v>
      </c>
      <c r="C214" s="146">
        <v>1608</v>
      </c>
      <c r="E214" s="136">
        <v>390</v>
      </c>
      <c r="F214" s="136">
        <v>30</v>
      </c>
      <c r="G214" s="146">
        <v>2030</v>
      </c>
    </row>
    <row r="215" spans="1:7" x14ac:dyDescent="0.25">
      <c r="A215" s="136" t="s">
        <v>263</v>
      </c>
      <c r="B215" s="136">
        <v>105</v>
      </c>
      <c r="C215" s="146">
        <v>39306</v>
      </c>
      <c r="D215" s="136">
        <v>26</v>
      </c>
      <c r="E215" s="146">
        <v>7612</v>
      </c>
      <c r="F215" s="136">
        <v>865</v>
      </c>
      <c r="G215" s="146">
        <v>47914</v>
      </c>
    </row>
    <row r="216" spans="1:7" x14ac:dyDescent="0.25">
      <c r="A216" s="136" t="s">
        <v>264</v>
      </c>
      <c r="B216" s="136">
        <v>14</v>
      </c>
      <c r="C216" s="146">
        <v>5362</v>
      </c>
      <c r="D216" s="136">
        <v>3</v>
      </c>
      <c r="E216" s="136">
        <v>834</v>
      </c>
      <c r="F216" s="136">
        <v>136</v>
      </c>
      <c r="G216" s="146">
        <v>6349</v>
      </c>
    </row>
    <row r="217" spans="1:7" ht="30" x14ac:dyDescent="0.25">
      <c r="A217" s="136" t="s">
        <v>265</v>
      </c>
      <c r="B217" s="136">
        <v>1</v>
      </c>
      <c r="C217" s="136">
        <v>864</v>
      </c>
      <c r="D217" s="136">
        <v>1</v>
      </c>
      <c r="E217" s="136">
        <v>135</v>
      </c>
      <c r="F217" s="136">
        <v>24</v>
      </c>
      <c r="G217" s="146">
        <v>1025</v>
      </c>
    </row>
    <row r="218" spans="1:7" ht="30" x14ac:dyDescent="0.25">
      <c r="A218" s="136" t="s">
        <v>266</v>
      </c>
      <c r="B218" s="136">
        <v>8</v>
      </c>
      <c r="C218" s="146">
        <v>3230</v>
      </c>
      <c r="D218" s="136">
        <v>1</v>
      </c>
      <c r="E218" s="136">
        <v>631</v>
      </c>
      <c r="F218" s="136">
        <v>64</v>
      </c>
      <c r="G218" s="146">
        <v>3934</v>
      </c>
    </row>
    <row r="219" spans="1:7" ht="30" x14ac:dyDescent="0.25">
      <c r="A219" s="136" t="s">
        <v>267</v>
      </c>
      <c r="B219" s="136">
        <v>5</v>
      </c>
      <c r="C219" s="146">
        <v>3240</v>
      </c>
      <c r="D219" s="136">
        <v>1</v>
      </c>
      <c r="E219" s="136">
        <v>558</v>
      </c>
      <c r="F219" s="136">
        <v>77</v>
      </c>
      <c r="G219" s="146">
        <v>3881</v>
      </c>
    </row>
    <row r="220" spans="1:7" x14ac:dyDescent="0.25">
      <c r="A220" s="136" t="s">
        <v>25</v>
      </c>
      <c r="B220" s="137">
        <f>SUM(B190:B219)</f>
        <v>464</v>
      </c>
      <c r="C220" s="137">
        <f t="shared" ref="C220:G220" si="4">SUM(C190:C219)</f>
        <v>189252</v>
      </c>
      <c r="D220" s="137">
        <f t="shared" si="4"/>
        <v>101</v>
      </c>
      <c r="E220" s="137">
        <f t="shared" si="4"/>
        <v>34438</v>
      </c>
      <c r="F220" s="137">
        <f t="shared" si="4"/>
        <v>3950</v>
      </c>
      <c r="G220" s="137">
        <f t="shared" si="4"/>
        <v>228205</v>
      </c>
    </row>
    <row r="221" spans="1:7" x14ac:dyDescent="0.25">
      <c r="A221" s="136"/>
      <c r="B221" s="136"/>
      <c r="C221" s="136"/>
      <c r="D221" s="136"/>
      <c r="E221" s="170"/>
      <c r="F221" s="147"/>
      <c r="G221" s="144"/>
    </row>
    <row r="225" spans="1:8" ht="45" x14ac:dyDescent="0.25">
      <c r="A225" s="136" t="s">
        <v>268</v>
      </c>
      <c r="B225" s="154"/>
      <c r="C225" s="154"/>
      <c r="D225" s="154"/>
      <c r="E225" s="155"/>
    </row>
    <row r="226" spans="1:8" x14ac:dyDescent="0.25">
      <c r="A226" s="136"/>
      <c r="B226" s="136"/>
      <c r="C226" s="136"/>
      <c r="E226" s="143"/>
    </row>
    <row r="227" spans="1:8" x14ac:dyDescent="0.25">
      <c r="A227" s="136"/>
      <c r="B227" s="136"/>
      <c r="C227" s="136"/>
      <c r="D227" s="154"/>
      <c r="E227" s="154"/>
      <c r="F227" s="154"/>
      <c r="G227" s="155"/>
    </row>
    <row r="228" spans="1:8" ht="30" x14ac:dyDescent="0.25">
      <c r="A228" s="136"/>
      <c r="B228" s="136"/>
      <c r="C228" s="136" t="s">
        <v>500</v>
      </c>
      <c r="D228" s="136"/>
      <c r="G228" s="143"/>
    </row>
    <row r="229" spans="1:8" x14ac:dyDescent="0.25">
      <c r="A229" s="136" t="s">
        <v>126</v>
      </c>
      <c r="B229" s="136" t="s">
        <v>479</v>
      </c>
      <c r="C229" s="136" t="s">
        <v>480</v>
      </c>
      <c r="D229" s="136" t="s">
        <v>481</v>
      </c>
      <c r="E229" s="136" t="s">
        <v>482</v>
      </c>
      <c r="F229" s="136" t="s">
        <v>483</v>
      </c>
      <c r="G229" s="136" t="s">
        <v>25</v>
      </c>
      <c r="H229" s="143"/>
    </row>
    <row r="230" spans="1:8" x14ac:dyDescent="0.25">
      <c r="A230" s="136"/>
      <c r="B230" s="136"/>
      <c r="C230" s="136"/>
      <c r="H230" s="143"/>
    </row>
    <row r="231" spans="1:8" ht="30" x14ac:dyDescent="0.25">
      <c r="A231" s="136" t="s">
        <v>269</v>
      </c>
      <c r="B231" s="136">
        <v>4</v>
      </c>
      <c r="C231" s="136">
        <v>815</v>
      </c>
      <c r="D231" s="136">
        <v>0</v>
      </c>
      <c r="E231" s="136">
        <v>128</v>
      </c>
      <c r="F231" s="136">
        <v>23</v>
      </c>
      <c r="G231" s="136">
        <v>970</v>
      </c>
      <c r="H231" s="143"/>
    </row>
    <row r="232" spans="1:8" x14ac:dyDescent="0.25">
      <c r="A232" s="136" t="s">
        <v>270</v>
      </c>
      <c r="B232" s="136">
        <v>4</v>
      </c>
      <c r="C232" s="136">
        <v>863</v>
      </c>
      <c r="D232" s="136">
        <v>0</v>
      </c>
      <c r="E232" s="136">
        <v>151</v>
      </c>
      <c r="F232" s="136">
        <v>9</v>
      </c>
      <c r="G232" s="146">
        <v>1027</v>
      </c>
      <c r="H232" s="143"/>
    </row>
    <row r="233" spans="1:8" x14ac:dyDescent="0.25">
      <c r="A233" s="136" t="s">
        <v>271</v>
      </c>
      <c r="B233" s="136">
        <v>16</v>
      </c>
      <c r="C233" s="146">
        <v>5959</v>
      </c>
      <c r="D233" s="136">
        <v>3</v>
      </c>
      <c r="E233" s="146">
        <v>1709</v>
      </c>
      <c r="F233" s="136">
        <v>121</v>
      </c>
      <c r="G233" s="146">
        <v>7808</v>
      </c>
      <c r="H233" s="143"/>
    </row>
    <row r="234" spans="1:8" x14ac:dyDescent="0.25">
      <c r="A234" s="136" t="s">
        <v>272</v>
      </c>
      <c r="B234" s="136">
        <v>18</v>
      </c>
      <c r="C234" s="146">
        <v>5555</v>
      </c>
      <c r="D234" s="136">
        <v>3</v>
      </c>
      <c r="E234" s="146">
        <v>1081</v>
      </c>
      <c r="F234" s="136">
        <v>116</v>
      </c>
      <c r="G234" s="146">
        <v>6773</v>
      </c>
      <c r="H234" s="143"/>
    </row>
    <row r="235" spans="1:8" x14ac:dyDescent="0.25">
      <c r="A235" s="136" t="s">
        <v>495</v>
      </c>
      <c r="B235" s="136">
        <v>11</v>
      </c>
      <c r="C235" s="146">
        <v>6031</v>
      </c>
      <c r="D235" s="168">
        <v>0</v>
      </c>
      <c r="E235" s="146">
        <v>1432</v>
      </c>
      <c r="F235" s="136">
        <v>117</v>
      </c>
      <c r="G235" s="146">
        <v>7591</v>
      </c>
      <c r="H235" s="143"/>
    </row>
    <row r="236" spans="1:8" ht="30" x14ac:dyDescent="0.25">
      <c r="A236" s="136" t="s">
        <v>273</v>
      </c>
      <c r="B236" s="136">
        <v>44</v>
      </c>
      <c r="C236" s="146">
        <v>13344</v>
      </c>
      <c r="D236" s="136">
        <v>12</v>
      </c>
      <c r="E236" s="146">
        <v>2946</v>
      </c>
      <c r="F236" s="136">
        <v>274</v>
      </c>
      <c r="G236" s="146">
        <v>16620</v>
      </c>
      <c r="H236" s="143"/>
    </row>
    <row r="237" spans="1:8" ht="30" x14ac:dyDescent="0.25">
      <c r="A237" s="136" t="s">
        <v>274</v>
      </c>
      <c r="B237" s="136">
        <v>113</v>
      </c>
      <c r="C237" s="146">
        <v>35778</v>
      </c>
      <c r="D237" s="136">
        <v>37</v>
      </c>
      <c r="E237" s="146">
        <v>8576</v>
      </c>
      <c r="F237" s="136">
        <v>804</v>
      </c>
      <c r="G237" s="146">
        <v>45308</v>
      </c>
      <c r="H237" s="143"/>
    </row>
    <row r="238" spans="1:8" x14ac:dyDescent="0.25">
      <c r="A238" s="136" t="s">
        <v>275</v>
      </c>
      <c r="B238" s="136">
        <v>3</v>
      </c>
      <c r="C238" s="146">
        <v>1171</v>
      </c>
      <c r="D238" s="136">
        <v>1</v>
      </c>
      <c r="E238" s="136">
        <v>424</v>
      </c>
      <c r="F238" s="136">
        <v>50</v>
      </c>
      <c r="G238" s="146">
        <v>1649</v>
      </c>
      <c r="H238" s="143"/>
    </row>
    <row r="239" spans="1:8" x14ac:dyDescent="0.25">
      <c r="A239" s="136" t="s">
        <v>276</v>
      </c>
      <c r="B239" s="136">
        <v>45</v>
      </c>
      <c r="C239" s="146">
        <v>18189</v>
      </c>
      <c r="D239" s="136">
        <v>11</v>
      </c>
      <c r="E239" s="146">
        <v>4342</v>
      </c>
      <c r="F239" s="136">
        <v>373</v>
      </c>
      <c r="G239" s="146">
        <v>22960</v>
      </c>
      <c r="H239" s="143"/>
    </row>
    <row r="240" spans="1:8" ht="30" x14ac:dyDescent="0.25">
      <c r="A240" s="136" t="s">
        <v>277</v>
      </c>
      <c r="B240" s="136">
        <v>22</v>
      </c>
      <c r="C240" s="146">
        <v>5903</v>
      </c>
      <c r="D240" s="136">
        <v>2</v>
      </c>
      <c r="E240" s="146">
        <v>1890</v>
      </c>
      <c r="F240" s="136">
        <v>107</v>
      </c>
      <c r="G240" s="146">
        <v>7924</v>
      </c>
      <c r="H240" s="143"/>
    </row>
    <row r="241" spans="1:9" x14ac:dyDescent="0.25">
      <c r="A241" s="136" t="s">
        <v>278</v>
      </c>
      <c r="B241" s="136">
        <v>2</v>
      </c>
      <c r="C241" s="146">
        <v>2299</v>
      </c>
      <c r="D241" s="146">
        <v>0</v>
      </c>
      <c r="E241" s="136">
        <v>393</v>
      </c>
      <c r="F241" s="136">
        <v>45</v>
      </c>
      <c r="G241" s="146">
        <v>2739</v>
      </c>
      <c r="I241" s="143"/>
    </row>
    <row r="242" spans="1:9" x14ac:dyDescent="0.25">
      <c r="A242" s="136" t="s">
        <v>279</v>
      </c>
      <c r="B242" s="136">
        <v>44</v>
      </c>
      <c r="C242" s="146">
        <v>15216</v>
      </c>
      <c r="D242" s="136">
        <v>11</v>
      </c>
      <c r="E242" s="146">
        <v>3105</v>
      </c>
      <c r="F242" s="136">
        <v>292</v>
      </c>
      <c r="G242" s="146">
        <v>18668</v>
      </c>
      <c r="H242" s="143"/>
    </row>
    <row r="243" spans="1:9" x14ac:dyDescent="0.25">
      <c r="A243" s="136" t="s">
        <v>280</v>
      </c>
      <c r="B243" s="136">
        <v>10</v>
      </c>
      <c r="C243" s="146">
        <v>3863</v>
      </c>
      <c r="D243" s="136">
        <v>3</v>
      </c>
      <c r="E243" s="136">
        <v>829</v>
      </c>
      <c r="F243" s="136">
        <v>90</v>
      </c>
      <c r="G243" s="146">
        <v>4795</v>
      </c>
      <c r="H243" s="143"/>
    </row>
    <row r="244" spans="1:9" x14ac:dyDescent="0.25">
      <c r="A244" s="136" t="s">
        <v>281</v>
      </c>
      <c r="B244" s="136">
        <v>16</v>
      </c>
      <c r="C244" s="146">
        <v>5049</v>
      </c>
      <c r="D244" s="136">
        <v>1</v>
      </c>
      <c r="E244" s="146">
        <v>1158</v>
      </c>
      <c r="F244" s="136">
        <v>108</v>
      </c>
      <c r="G244" s="146">
        <v>6332</v>
      </c>
      <c r="H244" s="143"/>
    </row>
    <row r="245" spans="1:9" x14ac:dyDescent="0.25">
      <c r="A245" s="136" t="s">
        <v>282</v>
      </c>
      <c r="B245" s="136">
        <v>11</v>
      </c>
      <c r="C245" s="146">
        <v>4313</v>
      </c>
      <c r="D245" s="136">
        <v>1</v>
      </c>
      <c r="E245" s="145">
        <v>1292</v>
      </c>
      <c r="F245" s="136">
        <v>115</v>
      </c>
      <c r="G245" s="146">
        <v>5732</v>
      </c>
      <c r="H245" s="143"/>
    </row>
    <row r="246" spans="1:9" ht="30" x14ac:dyDescent="0.25">
      <c r="A246" s="136" t="s">
        <v>283</v>
      </c>
      <c r="B246" s="136">
        <v>10</v>
      </c>
      <c r="C246" s="146">
        <v>3287</v>
      </c>
      <c r="D246" s="136">
        <v>1</v>
      </c>
      <c r="E246">
        <v>768</v>
      </c>
      <c r="F246" s="136">
        <v>71</v>
      </c>
      <c r="G246" s="146">
        <v>4137</v>
      </c>
      <c r="H246" s="143"/>
    </row>
    <row r="247" spans="1:9" ht="30" x14ac:dyDescent="0.25">
      <c r="A247" s="136" t="s">
        <v>284</v>
      </c>
      <c r="B247" s="136">
        <v>78</v>
      </c>
      <c r="C247" s="146">
        <v>33883</v>
      </c>
      <c r="D247" s="136">
        <v>13</v>
      </c>
      <c r="E247" s="145">
        <v>6500</v>
      </c>
      <c r="F247" s="136">
        <v>708</v>
      </c>
      <c r="G247" s="146">
        <v>41182</v>
      </c>
      <c r="H247" s="143"/>
    </row>
    <row r="248" spans="1:9" x14ac:dyDescent="0.25">
      <c r="A248" s="136" t="s">
        <v>285</v>
      </c>
      <c r="B248" s="136">
        <v>22</v>
      </c>
      <c r="C248" s="146">
        <v>9398</v>
      </c>
      <c r="D248" s="136">
        <v>3</v>
      </c>
      <c r="E248" s="145">
        <v>2441</v>
      </c>
      <c r="F248" s="136">
        <v>172</v>
      </c>
      <c r="G248" s="146">
        <v>12036</v>
      </c>
      <c r="H248" s="143"/>
    </row>
    <row r="249" spans="1:9" x14ac:dyDescent="0.25">
      <c r="A249" s="136" t="s">
        <v>286</v>
      </c>
      <c r="B249" s="136">
        <v>20</v>
      </c>
      <c r="C249" s="146">
        <v>6090</v>
      </c>
      <c r="D249" s="136">
        <v>6</v>
      </c>
      <c r="E249" s="145">
        <v>1218</v>
      </c>
      <c r="F249" s="136">
        <v>125</v>
      </c>
      <c r="G249" s="146">
        <v>7459</v>
      </c>
      <c r="H249" s="143"/>
    </row>
    <row r="250" spans="1:9" ht="30" x14ac:dyDescent="0.25">
      <c r="A250" s="136" t="s">
        <v>287</v>
      </c>
      <c r="B250" s="136">
        <v>10</v>
      </c>
      <c r="C250" s="146">
        <v>5056</v>
      </c>
      <c r="D250" s="136">
        <v>4</v>
      </c>
      <c r="E250" s="145">
        <v>1117</v>
      </c>
      <c r="F250" s="136">
        <v>110</v>
      </c>
      <c r="G250" s="146">
        <v>6297</v>
      </c>
      <c r="H250" s="143"/>
    </row>
    <row r="251" spans="1:9" x14ac:dyDescent="0.25">
      <c r="A251" s="136" t="s">
        <v>288</v>
      </c>
      <c r="B251" s="136">
        <v>8</v>
      </c>
      <c r="C251" s="146">
        <v>1921</v>
      </c>
      <c r="E251" s="136">
        <v>324</v>
      </c>
      <c r="F251" s="136">
        <v>47</v>
      </c>
      <c r="G251" s="146">
        <v>2300</v>
      </c>
      <c r="H251" s="143"/>
    </row>
    <row r="252" spans="1:9" x14ac:dyDescent="0.25">
      <c r="A252" s="136" t="s">
        <v>289</v>
      </c>
      <c r="B252" s="136">
        <v>22</v>
      </c>
      <c r="C252" s="146">
        <v>8390</v>
      </c>
      <c r="D252" s="136">
        <v>2</v>
      </c>
      <c r="E252" s="145">
        <v>1974</v>
      </c>
      <c r="F252" s="136">
        <v>155</v>
      </c>
      <c r="G252" s="146">
        <v>10543</v>
      </c>
      <c r="H252" s="143"/>
    </row>
    <row r="253" spans="1:9" x14ac:dyDescent="0.25">
      <c r="A253" s="136" t="s">
        <v>290</v>
      </c>
      <c r="B253" s="136">
        <v>2</v>
      </c>
      <c r="C253" s="136">
        <v>975</v>
      </c>
      <c r="D253" s="136">
        <v>1</v>
      </c>
      <c r="E253">
        <v>124</v>
      </c>
      <c r="F253" s="136">
        <v>20</v>
      </c>
      <c r="G253" s="146">
        <v>1122</v>
      </c>
      <c r="H253" s="143"/>
    </row>
    <row r="254" spans="1:9" x14ac:dyDescent="0.25">
      <c r="A254" s="136" t="s">
        <v>291</v>
      </c>
      <c r="B254" s="136">
        <v>4</v>
      </c>
      <c r="C254" s="146">
        <v>2024</v>
      </c>
      <c r="E254" s="136">
        <v>351</v>
      </c>
      <c r="F254" s="136">
        <v>35</v>
      </c>
      <c r="G254" s="146">
        <v>2414</v>
      </c>
      <c r="H254" s="143"/>
    </row>
    <row r="255" spans="1:9" ht="30" x14ac:dyDescent="0.25">
      <c r="A255" s="136" t="s">
        <v>292</v>
      </c>
      <c r="B255" s="136">
        <v>38</v>
      </c>
      <c r="C255" s="146">
        <v>14176</v>
      </c>
      <c r="D255" s="136">
        <v>7</v>
      </c>
      <c r="E255" s="145">
        <v>3543</v>
      </c>
      <c r="F255" s="136">
        <v>373</v>
      </c>
      <c r="G255" s="146">
        <v>18137</v>
      </c>
    </row>
    <row r="256" spans="1:9" ht="30" x14ac:dyDescent="0.25">
      <c r="A256" s="136" t="s">
        <v>293</v>
      </c>
      <c r="B256" s="136">
        <v>6</v>
      </c>
      <c r="C256" s="136">
        <v>791</v>
      </c>
      <c r="E256" s="136">
        <v>155</v>
      </c>
      <c r="F256" s="136">
        <v>19</v>
      </c>
      <c r="G256" s="136">
        <v>971</v>
      </c>
      <c r="H256" s="143"/>
    </row>
    <row r="257" spans="1:8" ht="30" x14ac:dyDescent="0.25">
      <c r="A257" s="136" t="s">
        <v>294</v>
      </c>
      <c r="B257" s="136">
        <v>11</v>
      </c>
      <c r="C257" s="146">
        <v>2684</v>
      </c>
      <c r="D257" s="136">
        <v>3</v>
      </c>
      <c r="E257">
        <v>487</v>
      </c>
      <c r="F257" s="136">
        <v>50</v>
      </c>
      <c r="G257" s="146">
        <v>3235</v>
      </c>
      <c r="H257" s="143"/>
    </row>
    <row r="258" spans="1:8" ht="30" x14ac:dyDescent="0.25">
      <c r="A258" s="136" t="s">
        <v>295</v>
      </c>
      <c r="B258" s="136">
        <v>9</v>
      </c>
      <c r="C258" s="146">
        <v>2616</v>
      </c>
      <c r="D258" s="136">
        <v>1</v>
      </c>
      <c r="E258">
        <v>663</v>
      </c>
      <c r="F258" s="136">
        <v>63</v>
      </c>
      <c r="G258" s="146">
        <v>3352</v>
      </c>
      <c r="H258" s="143"/>
    </row>
    <row r="259" spans="1:8" ht="30" x14ac:dyDescent="0.25">
      <c r="A259" s="136" t="s">
        <v>296</v>
      </c>
      <c r="B259" s="136">
        <v>82</v>
      </c>
      <c r="C259" s="146">
        <v>25316</v>
      </c>
      <c r="D259" s="136">
        <v>39</v>
      </c>
      <c r="E259" s="145">
        <v>6847</v>
      </c>
      <c r="F259" s="136">
        <v>597</v>
      </c>
      <c r="G259" s="146">
        <v>32881</v>
      </c>
      <c r="H259" s="143"/>
    </row>
    <row r="260" spans="1:8" x14ac:dyDescent="0.25">
      <c r="A260" s="136" t="s">
        <v>297</v>
      </c>
      <c r="B260" s="136">
        <v>2</v>
      </c>
      <c r="C260" s="146">
        <v>1390</v>
      </c>
      <c r="E260" s="136">
        <v>364</v>
      </c>
      <c r="F260" s="136">
        <v>41</v>
      </c>
      <c r="G260" s="146">
        <v>1797</v>
      </c>
      <c r="H260" s="143"/>
    </row>
    <row r="261" spans="1:8" x14ac:dyDescent="0.25">
      <c r="A261" s="136" t="s">
        <v>298</v>
      </c>
      <c r="B261" s="136">
        <v>34</v>
      </c>
      <c r="C261" s="146">
        <v>11181</v>
      </c>
      <c r="D261" s="136">
        <v>4</v>
      </c>
      <c r="E261" s="145">
        <v>2262</v>
      </c>
      <c r="F261" s="136">
        <v>210</v>
      </c>
      <c r="G261" s="146">
        <v>13691</v>
      </c>
      <c r="H261" s="143"/>
    </row>
    <row r="262" spans="1:8" x14ac:dyDescent="0.25">
      <c r="A262" s="136" t="s">
        <v>299</v>
      </c>
      <c r="B262" s="136">
        <v>12</v>
      </c>
      <c r="C262" s="146">
        <v>3050</v>
      </c>
      <c r="D262" s="136">
        <v>3</v>
      </c>
      <c r="E262">
        <v>531</v>
      </c>
      <c r="F262" s="136">
        <v>61</v>
      </c>
      <c r="G262" s="146">
        <v>3657</v>
      </c>
      <c r="H262" s="143"/>
    </row>
    <row r="263" spans="1:8" x14ac:dyDescent="0.25">
      <c r="A263" s="136" t="s">
        <v>300</v>
      </c>
      <c r="B263" s="136">
        <v>19</v>
      </c>
      <c r="C263" s="146">
        <v>5296</v>
      </c>
      <c r="E263" s="146">
        <v>1243</v>
      </c>
      <c r="F263" s="136">
        <v>108</v>
      </c>
      <c r="G263" s="146">
        <v>6666</v>
      </c>
      <c r="H263" s="143"/>
    </row>
    <row r="264" spans="1:8" x14ac:dyDescent="0.25">
      <c r="A264" s="136"/>
      <c r="H264" s="143"/>
    </row>
    <row r="265" spans="1:8" x14ac:dyDescent="0.25">
      <c r="A265" s="136" t="s">
        <v>25</v>
      </c>
      <c r="B265" s="137">
        <f>SUM(B231:B264)</f>
        <v>752</v>
      </c>
      <c r="C265" s="137">
        <f t="shared" ref="C265:G265" si="5">SUM(C231:C264)</f>
        <v>261872</v>
      </c>
      <c r="D265" s="137">
        <f t="shared" si="5"/>
        <v>172</v>
      </c>
      <c r="E265" s="137">
        <f t="shared" si="5"/>
        <v>60368</v>
      </c>
      <c r="F265" s="137">
        <f t="shared" si="5"/>
        <v>5609</v>
      </c>
      <c r="G265" s="137">
        <f t="shared" si="5"/>
        <v>328773</v>
      </c>
      <c r="H265" s="143"/>
    </row>
    <row r="266" spans="1:8" x14ac:dyDescent="0.25">
      <c r="A266" s="136"/>
      <c r="B266" s="136"/>
      <c r="C266" s="136"/>
      <c r="D266" s="147"/>
      <c r="E266" s="147"/>
      <c r="F266" s="147"/>
      <c r="G266" s="144"/>
    </row>
    <row r="267" spans="1:8" ht="45" x14ac:dyDescent="0.25">
      <c r="A267" s="136" t="s">
        <v>501</v>
      </c>
      <c r="B267" s="136" t="s">
        <v>502</v>
      </c>
      <c r="C267" s="136">
        <v>9</v>
      </c>
      <c r="D267" s="154"/>
      <c r="E267" s="154"/>
      <c r="F267" s="155"/>
    </row>
    <row r="268" spans="1:8" x14ac:dyDescent="0.25">
      <c r="A268" s="136"/>
      <c r="B268" s="136"/>
      <c r="C268" s="136"/>
      <c r="D268" s="136"/>
      <c r="F268" s="143"/>
    </row>
    <row r="269" spans="1:8" ht="30" x14ac:dyDescent="0.25">
      <c r="A269" s="136"/>
      <c r="B269" s="136"/>
      <c r="C269" s="136" t="s">
        <v>500</v>
      </c>
      <c r="D269" s="136"/>
      <c r="F269" s="143"/>
    </row>
    <row r="270" spans="1:8" x14ac:dyDescent="0.25">
      <c r="A270" s="136" t="s">
        <v>126</v>
      </c>
      <c r="B270" s="136" t="s">
        <v>479</v>
      </c>
      <c r="C270" s="136" t="s">
        <v>480</v>
      </c>
      <c r="D270" s="136" t="s">
        <v>481</v>
      </c>
      <c r="E270" t="s">
        <v>482</v>
      </c>
      <c r="F270" s="136" t="s">
        <v>483</v>
      </c>
      <c r="G270" s="136" t="s">
        <v>25</v>
      </c>
    </row>
    <row r="271" spans="1:8" x14ac:dyDescent="0.25">
      <c r="A271" s="136"/>
      <c r="B271" s="136"/>
      <c r="C271" s="136"/>
      <c r="D271" s="136"/>
      <c r="G271" s="143"/>
    </row>
    <row r="272" spans="1:8" x14ac:dyDescent="0.25">
      <c r="A272" s="136" t="s">
        <v>301</v>
      </c>
      <c r="B272" s="136">
        <v>25</v>
      </c>
      <c r="C272" s="146">
        <v>9666</v>
      </c>
      <c r="D272" s="136">
        <v>4</v>
      </c>
      <c r="E272" s="145">
        <v>2211</v>
      </c>
      <c r="F272" s="136">
        <v>190</v>
      </c>
      <c r="G272" s="146">
        <v>12096</v>
      </c>
    </row>
    <row r="273" spans="1:7" x14ac:dyDescent="0.25">
      <c r="A273" s="136" t="s">
        <v>302</v>
      </c>
      <c r="B273" s="136">
        <v>15</v>
      </c>
      <c r="C273" s="146">
        <v>4939</v>
      </c>
      <c r="E273" s="146">
        <v>1139</v>
      </c>
      <c r="F273" s="136">
        <v>109</v>
      </c>
      <c r="G273" s="146">
        <v>6202</v>
      </c>
    </row>
    <row r="274" spans="1:7" x14ac:dyDescent="0.25">
      <c r="A274" s="136" t="s">
        <v>303</v>
      </c>
      <c r="B274" s="136">
        <v>7</v>
      </c>
      <c r="C274" s="146">
        <v>1900</v>
      </c>
      <c r="E274" s="136">
        <v>377</v>
      </c>
      <c r="F274" s="136">
        <v>59</v>
      </c>
      <c r="G274" s="146">
        <v>2343</v>
      </c>
    </row>
    <row r="275" spans="1:7" x14ac:dyDescent="0.25">
      <c r="A275" s="136" t="s">
        <v>304</v>
      </c>
      <c r="B275" s="136">
        <v>12</v>
      </c>
      <c r="C275" s="146">
        <v>4094</v>
      </c>
      <c r="D275" s="136">
        <v>2</v>
      </c>
      <c r="E275">
        <v>789</v>
      </c>
      <c r="F275" s="136">
        <v>87</v>
      </c>
      <c r="G275" s="146">
        <v>4984</v>
      </c>
    </row>
    <row r="276" spans="1:7" x14ac:dyDescent="0.25">
      <c r="A276" s="136" t="s">
        <v>305</v>
      </c>
      <c r="B276" s="136">
        <v>10</v>
      </c>
      <c r="C276" s="146">
        <v>4058</v>
      </c>
      <c r="D276" s="136">
        <v>3</v>
      </c>
      <c r="E276">
        <v>798</v>
      </c>
      <c r="F276" s="136">
        <v>113</v>
      </c>
      <c r="G276" s="146">
        <v>4982</v>
      </c>
    </row>
    <row r="277" spans="1:7" ht="30" x14ac:dyDescent="0.25">
      <c r="A277" s="136" t="s">
        <v>306</v>
      </c>
      <c r="B277" s="136">
        <v>13</v>
      </c>
      <c r="C277" s="146">
        <v>3953</v>
      </c>
      <c r="D277" s="136">
        <v>1</v>
      </c>
      <c r="E277">
        <v>718</v>
      </c>
      <c r="F277" s="136">
        <v>98</v>
      </c>
      <c r="G277" s="146">
        <v>4783</v>
      </c>
    </row>
    <row r="278" spans="1:7" ht="30" x14ac:dyDescent="0.25">
      <c r="A278" s="136" t="s">
        <v>307</v>
      </c>
      <c r="B278" s="136">
        <v>3</v>
      </c>
      <c r="C278" s="146">
        <v>1348</v>
      </c>
      <c r="E278" s="136">
        <v>238</v>
      </c>
      <c r="F278" s="136">
        <v>33</v>
      </c>
      <c r="G278" s="146">
        <v>1622</v>
      </c>
    </row>
    <row r="279" spans="1:7" x14ac:dyDescent="0.25">
      <c r="A279" s="136" t="s">
        <v>308</v>
      </c>
      <c r="B279" s="136">
        <v>3</v>
      </c>
      <c r="C279" s="146">
        <v>1309</v>
      </c>
      <c r="D279" s="136">
        <v>1</v>
      </c>
      <c r="E279">
        <v>281</v>
      </c>
      <c r="F279" s="136">
        <v>25</v>
      </c>
      <c r="G279" s="146">
        <v>1619</v>
      </c>
    </row>
    <row r="280" spans="1:7" x14ac:dyDescent="0.25">
      <c r="A280" s="136" t="s">
        <v>309</v>
      </c>
      <c r="B280" s="136">
        <v>13</v>
      </c>
      <c r="C280" s="146">
        <v>4463</v>
      </c>
      <c r="D280" s="136">
        <v>1</v>
      </c>
      <c r="E280">
        <v>770</v>
      </c>
      <c r="F280" s="136">
        <v>93</v>
      </c>
      <c r="G280" s="146">
        <v>5340</v>
      </c>
    </row>
    <row r="281" spans="1:7" ht="30" x14ac:dyDescent="0.25">
      <c r="A281" s="136" t="s">
        <v>310</v>
      </c>
      <c r="B281" s="136">
        <v>8</v>
      </c>
      <c r="C281" s="146">
        <v>2191</v>
      </c>
      <c r="D281" s="136">
        <v>1</v>
      </c>
      <c r="E281">
        <v>524</v>
      </c>
      <c r="F281" s="136">
        <v>58</v>
      </c>
      <c r="G281" s="146">
        <v>2782</v>
      </c>
    </row>
    <row r="282" spans="1:7" x14ac:dyDescent="0.25">
      <c r="A282" s="136" t="s">
        <v>311</v>
      </c>
      <c r="B282" s="136">
        <v>8</v>
      </c>
      <c r="C282" s="146">
        <v>3449</v>
      </c>
      <c r="E282" s="136">
        <v>736</v>
      </c>
      <c r="F282" s="136">
        <v>78</v>
      </c>
      <c r="G282" s="146">
        <v>4271</v>
      </c>
    </row>
    <row r="283" spans="1:7" x14ac:dyDescent="0.25">
      <c r="A283" s="136" t="s">
        <v>312</v>
      </c>
      <c r="B283" s="136">
        <v>11</v>
      </c>
      <c r="C283" s="146">
        <v>5963</v>
      </c>
      <c r="D283" s="136">
        <v>2</v>
      </c>
      <c r="E283" s="145">
        <v>1283</v>
      </c>
      <c r="F283" s="136">
        <v>153</v>
      </c>
      <c r="G283" s="146">
        <v>7412</v>
      </c>
    </row>
    <row r="284" spans="1:7" x14ac:dyDescent="0.25">
      <c r="A284" s="136" t="s">
        <v>313</v>
      </c>
      <c r="B284" s="136">
        <v>12</v>
      </c>
      <c r="C284" s="146">
        <v>4568</v>
      </c>
      <c r="D284" s="136">
        <v>3</v>
      </c>
      <c r="E284">
        <v>802</v>
      </c>
      <c r="F284" s="136">
        <v>132</v>
      </c>
      <c r="G284" s="146">
        <v>5517</v>
      </c>
    </row>
    <row r="285" spans="1:7" ht="30" x14ac:dyDescent="0.25">
      <c r="A285" s="136" t="s">
        <v>314</v>
      </c>
      <c r="B285" s="136">
        <v>8</v>
      </c>
      <c r="C285" s="146">
        <v>1647</v>
      </c>
      <c r="E285" s="136">
        <v>347</v>
      </c>
      <c r="F285" s="136">
        <v>55</v>
      </c>
      <c r="G285" s="146">
        <v>2057</v>
      </c>
    </row>
    <row r="286" spans="1:7" x14ac:dyDescent="0.25">
      <c r="A286" s="136" t="s">
        <v>315</v>
      </c>
      <c r="B286" s="136">
        <v>7</v>
      </c>
      <c r="C286" s="146">
        <v>1420</v>
      </c>
      <c r="E286" s="136">
        <v>341</v>
      </c>
      <c r="F286" s="136">
        <v>37</v>
      </c>
      <c r="G286" s="146">
        <v>1805</v>
      </c>
    </row>
    <row r="287" spans="1:7" x14ac:dyDescent="0.25">
      <c r="A287" s="136" t="s">
        <v>316</v>
      </c>
      <c r="B287" s="136">
        <v>3</v>
      </c>
      <c r="C287" s="146">
        <v>1547</v>
      </c>
      <c r="E287" s="136">
        <v>327</v>
      </c>
      <c r="F287" s="136">
        <v>40</v>
      </c>
      <c r="G287" s="146">
        <v>1917</v>
      </c>
    </row>
    <row r="288" spans="1:7" x14ac:dyDescent="0.25">
      <c r="A288" s="136" t="s">
        <v>317</v>
      </c>
      <c r="B288" s="136">
        <v>7</v>
      </c>
      <c r="C288" s="146">
        <v>1419</v>
      </c>
      <c r="E288" s="136">
        <v>252</v>
      </c>
      <c r="F288" s="136">
        <v>52</v>
      </c>
      <c r="G288" s="146">
        <v>1730</v>
      </c>
    </row>
    <row r="289" spans="1:7" ht="30" x14ac:dyDescent="0.25">
      <c r="A289" s="136" t="s">
        <v>318</v>
      </c>
      <c r="B289" s="136">
        <v>13</v>
      </c>
      <c r="C289" s="146">
        <v>6025</v>
      </c>
      <c r="D289" s="136">
        <v>3</v>
      </c>
      <c r="E289" s="145">
        <v>1140</v>
      </c>
      <c r="F289" s="136">
        <v>162</v>
      </c>
      <c r="G289" s="146">
        <v>7343</v>
      </c>
    </row>
    <row r="290" spans="1:7" ht="30" x14ac:dyDescent="0.25">
      <c r="A290" s="136" t="s">
        <v>319</v>
      </c>
      <c r="B290" s="136">
        <v>29</v>
      </c>
      <c r="C290" s="146">
        <v>9961</v>
      </c>
      <c r="D290" s="136">
        <v>2</v>
      </c>
      <c r="E290" s="145">
        <v>2042</v>
      </c>
      <c r="F290" s="136">
        <v>292</v>
      </c>
      <c r="G290" s="146">
        <v>12326</v>
      </c>
    </row>
    <row r="291" spans="1:7" ht="30" x14ac:dyDescent="0.25">
      <c r="A291" s="136" t="s">
        <v>320</v>
      </c>
      <c r="B291" s="136">
        <v>1</v>
      </c>
      <c r="C291" s="146">
        <v>1085</v>
      </c>
      <c r="E291" s="136">
        <v>210</v>
      </c>
      <c r="F291" s="136">
        <v>28</v>
      </c>
      <c r="G291" s="146">
        <v>1324</v>
      </c>
    </row>
    <row r="292" spans="1:7" ht="30" x14ac:dyDescent="0.25">
      <c r="A292" s="136" t="s">
        <v>321</v>
      </c>
      <c r="B292" s="136">
        <v>14</v>
      </c>
      <c r="C292" s="146">
        <v>4874</v>
      </c>
      <c r="D292" s="136">
        <v>2</v>
      </c>
      <c r="E292" s="145">
        <v>1116</v>
      </c>
      <c r="F292" s="136">
        <v>128</v>
      </c>
      <c r="G292" s="146">
        <v>6134</v>
      </c>
    </row>
    <row r="293" spans="1:7" x14ac:dyDescent="0.25">
      <c r="A293" s="136" t="s">
        <v>322</v>
      </c>
      <c r="B293" s="136">
        <v>9</v>
      </c>
      <c r="C293" s="146">
        <v>3663</v>
      </c>
      <c r="D293" s="136">
        <v>2</v>
      </c>
      <c r="E293">
        <v>783</v>
      </c>
      <c r="F293" s="136">
        <v>117</v>
      </c>
      <c r="G293" s="146">
        <v>4574</v>
      </c>
    </row>
    <row r="294" spans="1:7" x14ac:dyDescent="0.25">
      <c r="A294" s="136" t="s">
        <v>323</v>
      </c>
      <c r="B294" s="136"/>
      <c r="C294" s="146">
        <v>2403</v>
      </c>
      <c r="E294" s="136">
        <v>632</v>
      </c>
      <c r="F294" s="136">
        <v>70</v>
      </c>
      <c r="G294" s="146">
        <v>3105</v>
      </c>
    </row>
    <row r="295" spans="1:7" x14ac:dyDescent="0.25">
      <c r="A295" s="136" t="s">
        <v>324</v>
      </c>
      <c r="B295" s="136">
        <v>3</v>
      </c>
      <c r="C295" s="146">
        <v>1857</v>
      </c>
      <c r="D295" s="136">
        <v>1</v>
      </c>
      <c r="E295">
        <v>467</v>
      </c>
      <c r="F295" s="136">
        <v>69</v>
      </c>
      <c r="G295" s="146">
        <v>2397</v>
      </c>
    </row>
    <row r="296" spans="1:7" x14ac:dyDescent="0.25">
      <c r="A296" s="136" t="s">
        <v>325</v>
      </c>
      <c r="B296" s="136">
        <v>10</v>
      </c>
      <c r="C296" s="146">
        <v>2325</v>
      </c>
      <c r="E296" s="136">
        <v>503</v>
      </c>
      <c r="F296" s="136">
        <v>55</v>
      </c>
      <c r="G296" s="146">
        <v>2893</v>
      </c>
    </row>
    <row r="297" spans="1:7" x14ac:dyDescent="0.25">
      <c r="A297" s="136" t="s">
        <v>326</v>
      </c>
      <c r="B297" s="136">
        <v>141</v>
      </c>
      <c r="C297" s="146">
        <v>42674</v>
      </c>
      <c r="D297" s="136">
        <v>17</v>
      </c>
      <c r="E297" s="145">
        <v>9506</v>
      </c>
      <c r="F297" s="136">
        <v>940</v>
      </c>
      <c r="G297" s="146">
        <v>53278</v>
      </c>
    </row>
    <row r="298" spans="1:7" ht="30" x14ac:dyDescent="0.25">
      <c r="A298" s="136" t="s">
        <v>327</v>
      </c>
      <c r="B298" s="136">
        <v>10</v>
      </c>
      <c r="C298" s="146">
        <v>2865</v>
      </c>
      <c r="D298" s="136">
        <v>1</v>
      </c>
      <c r="E298">
        <v>557</v>
      </c>
      <c r="F298" s="136">
        <v>59</v>
      </c>
      <c r="G298" s="146">
        <v>3492</v>
      </c>
    </row>
    <row r="299" spans="1:7" x14ac:dyDescent="0.25">
      <c r="A299" s="136" t="s">
        <v>328</v>
      </c>
      <c r="B299" s="136">
        <v>6</v>
      </c>
      <c r="C299" s="146">
        <v>1911</v>
      </c>
      <c r="E299" s="136">
        <v>467</v>
      </c>
      <c r="F299" s="136">
        <v>51</v>
      </c>
      <c r="G299" s="146">
        <v>2435</v>
      </c>
    </row>
    <row r="300" spans="1:7" x14ac:dyDescent="0.25">
      <c r="A300" s="136" t="s">
        <v>329</v>
      </c>
      <c r="B300" s="136">
        <v>13</v>
      </c>
      <c r="C300" s="146">
        <v>4227</v>
      </c>
      <c r="D300" s="136">
        <v>2</v>
      </c>
      <c r="E300" s="145">
        <v>1039</v>
      </c>
      <c r="F300" s="136">
        <v>81</v>
      </c>
      <c r="G300" s="146">
        <v>5362</v>
      </c>
    </row>
    <row r="301" spans="1:7" x14ac:dyDescent="0.25">
      <c r="A301" s="136" t="s">
        <v>330</v>
      </c>
      <c r="B301" s="136">
        <v>27</v>
      </c>
      <c r="C301" s="146">
        <v>7246</v>
      </c>
      <c r="D301" s="136">
        <v>6</v>
      </c>
      <c r="E301" s="145">
        <v>1584</v>
      </c>
      <c r="F301" s="136">
        <v>165</v>
      </c>
      <c r="G301" s="146">
        <v>9028</v>
      </c>
    </row>
    <row r="302" spans="1:7" x14ac:dyDescent="0.25">
      <c r="A302" s="136" t="s">
        <v>331</v>
      </c>
      <c r="B302" s="136">
        <v>12</v>
      </c>
      <c r="C302" s="146">
        <v>4318</v>
      </c>
      <c r="D302" s="136">
        <v>1</v>
      </c>
      <c r="E302">
        <v>899</v>
      </c>
      <c r="F302" s="136">
        <v>115</v>
      </c>
      <c r="G302" s="146">
        <v>5345</v>
      </c>
    </row>
    <row r="303" spans="1:7" x14ac:dyDescent="0.25">
      <c r="A303" s="136" t="s">
        <v>332</v>
      </c>
      <c r="B303" s="136">
        <v>18</v>
      </c>
      <c r="C303" s="146">
        <v>10264</v>
      </c>
      <c r="D303" s="136">
        <v>4</v>
      </c>
      <c r="E303" s="145">
        <v>1970</v>
      </c>
      <c r="F303" s="136">
        <v>286</v>
      </c>
      <c r="G303" s="146">
        <v>12542</v>
      </c>
    </row>
    <row r="304" spans="1:7" x14ac:dyDescent="0.25">
      <c r="A304" s="136" t="s">
        <v>25</v>
      </c>
      <c r="B304" s="137">
        <f>SUM(B272:B303)</f>
        <v>471</v>
      </c>
      <c r="C304" s="137">
        <f t="shared" ref="C304:G304" si="6">SUM(C272:C303)</f>
        <v>163632</v>
      </c>
      <c r="D304" s="137">
        <f t="shared" si="6"/>
        <v>59</v>
      </c>
      <c r="E304" s="137">
        <f t="shared" si="6"/>
        <v>34848</v>
      </c>
      <c r="F304" s="137">
        <f t="shared" si="6"/>
        <v>4030</v>
      </c>
      <c r="G304" s="137">
        <f t="shared" si="6"/>
        <v>203040</v>
      </c>
    </row>
    <row r="305" spans="1:7" x14ac:dyDescent="0.25">
      <c r="A305" s="136"/>
      <c r="B305" s="136"/>
      <c r="C305" s="136"/>
      <c r="D305" s="136"/>
      <c r="F305" s="143"/>
    </row>
    <row r="306" spans="1:7" x14ac:dyDescent="0.25">
      <c r="A306" s="136"/>
      <c r="B306" s="147"/>
      <c r="C306" s="147"/>
      <c r="D306" s="147"/>
      <c r="E306" s="147"/>
      <c r="F306" s="144"/>
    </row>
    <row r="308" spans="1:7" ht="45" x14ac:dyDescent="0.25">
      <c r="A308" s="136" t="s">
        <v>333</v>
      </c>
      <c r="B308" s="154"/>
      <c r="C308" s="154"/>
      <c r="D308" s="154"/>
      <c r="E308" s="155"/>
    </row>
    <row r="309" spans="1:7" x14ac:dyDescent="0.25">
      <c r="A309" s="136"/>
      <c r="B309" s="136"/>
      <c r="C309" s="136"/>
      <c r="E309" s="143"/>
    </row>
    <row r="310" spans="1:7" x14ac:dyDescent="0.25">
      <c r="A310" s="136"/>
      <c r="B310" s="136"/>
      <c r="C310" s="136"/>
      <c r="D310" s="154"/>
      <c r="E310" s="154"/>
      <c r="F310" s="154"/>
      <c r="G310" s="155"/>
    </row>
    <row r="311" spans="1:7" ht="30" x14ac:dyDescent="0.25">
      <c r="A311" s="136"/>
      <c r="B311" s="136"/>
      <c r="C311" s="136" t="s">
        <v>500</v>
      </c>
      <c r="D311" s="136"/>
      <c r="G311" s="143"/>
    </row>
    <row r="312" spans="1:7" x14ac:dyDescent="0.25">
      <c r="A312" s="136" t="s">
        <v>126</v>
      </c>
      <c r="B312" s="136" t="s">
        <v>479</v>
      </c>
      <c r="C312" s="136" t="s">
        <v>480</v>
      </c>
      <c r="D312" s="136" t="s">
        <v>481</v>
      </c>
      <c r="E312" t="s">
        <v>482</v>
      </c>
      <c r="F312" s="136" t="s">
        <v>25</v>
      </c>
      <c r="G312" s="143"/>
    </row>
    <row r="313" spans="1:7" x14ac:dyDescent="0.25">
      <c r="A313" s="136"/>
      <c r="B313" s="136"/>
      <c r="C313" s="136"/>
      <c r="G313" s="143"/>
    </row>
    <row r="314" spans="1:7" x14ac:dyDescent="0.25">
      <c r="A314" s="136" t="s">
        <v>334</v>
      </c>
      <c r="B314" s="136">
        <v>15</v>
      </c>
      <c r="C314" s="146">
        <v>7617</v>
      </c>
      <c r="D314" s="136">
        <v>7</v>
      </c>
      <c r="E314" s="145">
        <v>1476</v>
      </c>
      <c r="F314" s="146">
        <v>9277</v>
      </c>
      <c r="G314" s="143"/>
    </row>
    <row r="315" spans="1:7" x14ac:dyDescent="0.25">
      <c r="A315" s="136" t="s">
        <v>335</v>
      </c>
      <c r="B315" s="136">
        <v>17</v>
      </c>
      <c r="C315" s="146">
        <v>5174</v>
      </c>
      <c r="D315" s="136">
        <v>2</v>
      </c>
      <c r="E315">
        <v>959</v>
      </c>
      <c r="F315" s="146">
        <v>6285</v>
      </c>
      <c r="G315" s="143"/>
    </row>
    <row r="316" spans="1:7" x14ac:dyDescent="0.25">
      <c r="A316" s="136" t="s">
        <v>336</v>
      </c>
      <c r="B316" s="136">
        <v>16</v>
      </c>
      <c r="C316" s="146">
        <v>7188</v>
      </c>
      <c r="D316" s="136">
        <v>8</v>
      </c>
      <c r="E316" s="145">
        <v>1675</v>
      </c>
      <c r="F316" s="146">
        <v>9051</v>
      </c>
      <c r="G316" s="143"/>
    </row>
    <row r="317" spans="1:7" x14ac:dyDescent="0.25">
      <c r="A317" s="136" t="s">
        <v>337</v>
      </c>
      <c r="B317" s="136">
        <v>1</v>
      </c>
      <c r="C317" s="136">
        <v>540</v>
      </c>
      <c r="E317" s="136">
        <v>90</v>
      </c>
      <c r="F317" s="136">
        <v>647</v>
      </c>
      <c r="G317" s="143"/>
    </row>
    <row r="318" spans="1:7" x14ac:dyDescent="0.25">
      <c r="A318" s="136" t="s">
        <v>338</v>
      </c>
      <c r="B318" s="136">
        <v>9</v>
      </c>
      <c r="C318" s="146">
        <v>2331</v>
      </c>
      <c r="D318" s="136">
        <v>1</v>
      </c>
      <c r="E318">
        <v>386</v>
      </c>
      <c r="F318" s="146">
        <v>2768</v>
      </c>
      <c r="G318" s="143"/>
    </row>
    <row r="319" spans="1:7" x14ac:dyDescent="0.25">
      <c r="A319" s="136" t="s">
        <v>339</v>
      </c>
      <c r="B319" s="136">
        <v>2</v>
      </c>
      <c r="C319" s="136">
        <v>711</v>
      </c>
      <c r="D319" s="136">
        <v>1</v>
      </c>
      <c r="E319">
        <v>116</v>
      </c>
      <c r="F319" s="136">
        <v>846</v>
      </c>
      <c r="G319" s="143"/>
    </row>
    <row r="320" spans="1:7" ht="30" x14ac:dyDescent="0.25">
      <c r="A320" s="136" t="s">
        <v>340</v>
      </c>
      <c r="B320" s="136">
        <v>1</v>
      </c>
      <c r="C320" s="136">
        <v>675</v>
      </c>
      <c r="E320" s="136">
        <v>110</v>
      </c>
      <c r="F320" s="136">
        <v>802</v>
      </c>
      <c r="G320" s="143"/>
    </row>
    <row r="321" spans="1:7" x14ac:dyDescent="0.25">
      <c r="A321" s="136" t="s">
        <v>341</v>
      </c>
      <c r="B321" s="136">
        <v>4</v>
      </c>
      <c r="C321" s="146">
        <v>1923</v>
      </c>
      <c r="D321" s="136">
        <v>3</v>
      </c>
      <c r="E321">
        <v>322</v>
      </c>
      <c r="F321" s="146">
        <v>2306</v>
      </c>
      <c r="G321" s="143"/>
    </row>
    <row r="322" spans="1:7" x14ac:dyDescent="0.25">
      <c r="A322" s="136" t="s">
        <v>342</v>
      </c>
      <c r="B322" s="136">
        <v>12</v>
      </c>
      <c r="C322" s="146">
        <v>2347</v>
      </c>
      <c r="E322" s="136">
        <v>468</v>
      </c>
      <c r="F322" s="146">
        <v>2879</v>
      </c>
      <c r="G322" s="143"/>
    </row>
    <row r="323" spans="1:7" x14ac:dyDescent="0.25">
      <c r="A323" s="136" t="s">
        <v>343</v>
      </c>
      <c r="B323" s="136">
        <v>8</v>
      </c>
      <c r="C323" s="146">
        <v>3125</v>
      </c>
      <c r="D323" s="136">
        <v>2</v>
      </c>
      <c r="E323">
        <v>583</v>
      </c>
      <c r="F323" s="146">
        <v>3791</v>
      </c>
      <c r="G323" s="143"/>
    </row>
    <row r="324" spans="1:7" x14ac:dyDescent="0.25">
      <c r="A324" s="136" t="s">
        <v>344</v>
      </c>
      <c r="B324" s="136">
        <v>1</v>
      </c>
      <c r="C324" s="136">
        <v>410</v>
      </c>
      <c r="E324" s="136">
        <v>57</v>
      </c>
      <c r="F324" s="136">
        <v>479</v>
      </c>
      <c r="G324" s="143"/>
    </row>
    <row r="325" spans="1:7" x14ac:dyDescent="0.25">
      <c r="A325" s="136" t="s">
        <v>345</v>
      </c>
      <c r="B325" s="136">
        <v>5</v>
      </c>
      <c r="C325" s="146">
        <v>1234</v>
      </c>
      <c r="E325" s="136">
        <v>289</v>
      </c>
      <c r="F325" s="146">
        <v>1567</v>
      </c>
      <c r="G325" s="143"/>
    </row>
    <row r="326" spans="1:7" ht="30" x14ac:dyDescent="0.25">
      <c r="A326" s="136" t="s">
        <v>346</v>
      </c>
      <c r="B326" s="136">
        <v>6</v>
      </c>
      <c r="C326" s="146">
        <v>3044</v>
      </c>
      <c r="D326" s="136">
        <v>1</v>
      </c>
      <c r="E326">
        <v>704</v>
      </c>
      <c r="F326" s="146">
        <v>3820</v>
      </c>
      <c r="G326" s="143"/>
    </row>
    <row r="327" spans="1:7" ht="30" x14ac:dyDescent="0.25">
      <c r="A327" s="136" t="s">
        <v>347</v>
      </c>
      <c r="B327" s="136">
        <v>8</v>
      </c>
      <c r="C327" s="146">
        <v>3285</v>
      </c>
      <c r="D327" s="136">
        <v>1</v>
      </c>
      <c r="E327">
        <v>846</v>
      </c>
      <c r="F327" s="146">
        <v>4215</v>
      </c>
      <c r="G327" s="143"/>
    </row>
    <row r="328" spans="1:7" x14ac:dyDescent="0.25">
      <c r="A328" s="136" t="s">
        <v>348</v>
      </c>
      <c r="B328" s="136">
        <v>12</v>
      </c>
      <c r="C328" s="146">
        <v>2909</v>
      </c>
      <c r="D328" s="136">
        <v>1</v>
      </c>
      <c r="E328">
        <v>602</v>
      </c>
      <c r="F328" s="146">
        <v>3603</v>
      </c>
      <c r="G328" s="143"/>
    </row>
    <row r="329" spans="1:7" x14ac:dyDescent="0.25">
      <c r="A329" s="136" t="s">
        <v>349</v>
      </c>
      <c r="B329" s="136">
        <v>91</v>
      </c>
      <c r="C329" s="146">
        <v>29501</v>
      </c>
      <c r="D329" s="136">
        <v>5</v>
      </c>
      <c r="E329" s="145">
        <v>4407</v>
      </c>
      <c r="F329" s="146">
        <v>34740</v>
      </c>
      <c r="G329" s="143"/>
    </row>
    <row r="330" spans="1:7" x14ac:dyDescent="0.25">
      <c r="A330" s="136" t="s">
        <v>350</v>
      </c>
      <c r="B330" s="136">
        <v>2</v>
      </c>
      <c r="C330" s="136">
        <v>405</v>
      </c>
      <c r="D330" s="136">
        <v>1</v>
      </c>
      <c r="E330">
        <v>65</v>
      </c>
      <c r="F330" s="136">
        <v>482</v>
      </c>
      <c r="G330" s="143"/>
    </row>
    <row r="331" spans="1:7" ht="30" x14ac:dyDescent="0.25">
      <c r="A331" s="136" t="s">
        <v>351</v>
      </c>
      <c r="B331" s="136">
        <v>83</v>
      </c>
      <c r="C331" s="146">
        <v>30044</v>
      </c>
      <c r="D331" s="136">
        <v>11</v>
      </c>
      <c r="E331" s="145">
        <v>5777</v>
      </c>
      <c r="F331" s="146">
        <v>36694</v>
      </c>
      <c r="G331" s="143"/>
    </row>
    <row r="332" spans="1:7" ht="30" x14ac:dyDescent="0.25">
      <c r="A332" s="136" t="s">
        <v>352</v>
      </c>
      <c r="B332" s="136">
        <v>1</v>
      </c>
      <c r="C332" s="146">
        <v>1477</v>
      </c>
      <c r="E332" s="136">
        <v>248</v>
      </c>
      <c r="F332" s="146">
        <v>1766</v>
      </c>
      <c r="G332" s="143"/>
    </row>
    <row r="333" spans="1:7" ht="30" x14ac:dyDescent="0.25">
      <c r="A333" s="136" t="s">
        <v>353</v>
      </c>
      <c r="B333" s="136">
        <v>12</v>
      </c>
      <c r="C333" s="146">
        <v>5493</v>
      </c>
      <c r="D333" s="136">
        <v>6</v>
      </c>
      <c r="E333" s="145">
        <v>1168</v>
      </c>
      <c r="F333" s="146">
        <v>6845</v>
      </c>
      <c r="G333" s="143"/>
    </row>
    <row r="334" spans="1:7" ht="30" x14ac:dyDescent="0.25">
      <c r="A334" s="136" t="s">
        <v>354</v>
      </c>
      <c r="B334" s="136">
        <v>5</v>
      </c>
      <c r="C334" s="136">
        <v>717</v>
      </c>
      <c r="E334" s="136">
        <v>171</v>
      </c>
      <c r="F334" s="136">
        <v>906</v>
      </c>
      <c r="G334" s="143"/>
    </row>
    <row r="335" spans="1:7" ht="30" x14ac:dyDescent="0.25">
      <c r="A335" s="136" t="s">
        <v>355</v>
      </c>
      <c r="B335" s="136">
        <v>14</v>
      </c>
      <c r="C335" s="146">
        <v>4588</v>
      </c>
      <c r="E335" s="136">
        <v>603</v>
      </c>
      <c r="F335" s="146">
        <v>5321</v>
      </c>
      <c r="G335" s="143"/>
    </row>
    <row r="336" spans="1:7" x14ac:dyDescent="0.25">
      <c r="A336" s="136" t="s">
        <v>356</v>
      </c>
      <c r="B336" s="136">
        <v>4</v>
      </c>
      <c r="C336" s="146">
        <v>2166</v>
      </c>
      <c r="D336" s="136">
        <v>1</v>
      </c>
      <c r="E336">
        <v>380</v>
      </c>
      <c r="F336" s="146">
        <v>2617</v>
      </c>
      <c r="G336" s="143"/>
    </row>
    <row r="337" spans="1:7" x14ac:dyDescent="0.25">
      <c r="A337" s="136" t="s">
        <v>357</v>
      </c>
      <c r="B337" s="136">
        <v>4</v>
      </c>
      <c r="C337" s="136">
        <v>884</v>
      </c>
      <c r="D337" s="136">
        <v>1</v>
      </c>
      <c r="E337">
        <v>119</v>
      </c>
      <c r="F337" s="146">
        <v>1025</v>
      </c>
      <c r="G337" s="143"/>
    </row>
    <row r="338" spans="1:7" x14ac:dyDescent="0.25">
      <c r="A338" s="136" t="s">
        <v>358</v>
      </c>
      <c r="B338" s="136">
        <v>10</v>
      </c>
      <c r="C338" s="146">
        <v>3070</v>
      </c>
      <c r="D338" s="136">
        <v>2</v>
      </c>
      <c r="E338">
        <v>592</v>
      </c>
      <c r="F338" s="146">
        <v>3771</v>
      </c>
      <c r="G338" s="143"/>
    </row>
    <row r="339" spans="1:7" x14ac:dyDescent="0.25">
      <c r="A339" s="136" t="s">
        <v>359</v>
      </c>
      <c r="B339" s="136">
        <v>2</v>
      </c>
      <c r="C339" s="146">
        <v>1388</v>
      </c>
      <c r="D339" s="136">
        <v>1</v>
      </c>
      <c r="E339" s="145">
        <v>254</v>
      </c>
      <c r="F339" s="146">
        <v>1671</v>
      </c>
      <c r="G339" s="143"/>
    </row>
    <row r="340" spans="1:7" x14ac:dyDescent="0.25">
      <c r="A340" s="136" t="s">
        <v>360</v>
      </c>
      <c r="B340" s="136">
        <v>6</v>
      </c>
      <c r="C340" s="146">
        <v>1458</v>
      </c>
      <c r="D340" s="136">
        <v>1</v>
      </c>
      <c r="E340">
        <v>366</v>
      </c>
      <c r="F340" s="146">
        <v>1867</v>
      </c>
      <c r="G340" s="143"/>
    </row>
    <row r="341" spans="1:7" x14ac:dyDescent="0.25">
      <c r="A341" s="136" t="s">
        <v>361</v>
      </c>
      <c r="B341" s="136">
        <v>14</v>
      </c>
      <c r="C341" s="146">
        <v>2959</v>
      </c>
      <c r="D341" s="136">
        <v>2</v>
      </c>
      <c r="E341">
        <v>426</v>
      </c>
      <c r="F341" s="146">
        <v>3465</v>
      </c>
      <c r="G341" s="143"/>
    </row>
    <row r="342" spans="1:7" ht="45" x14ac:dyDescent="0.25">
      <c r="A342" s="136" t="s">
        <v>362</v>
      </c>
      <c r="B342" s="136">
        <v>9</v>
      </c>
      <c r="C342" s="146">
        <v>1697</v>
      </c>
      <c r="E342" s="136">
        <v>292</v>
      </c>
      <c r="F342" s="146">
        <v>2052</v>
      </c>
    </row>
    <row r="343" spans="1:7" x14ac:dyDescent="0.25">
      <c r="A343" s="136" t="s">
        <v>363</v>
      </c>
      <c r="B343" s="136">
        <v>8</v>
      </c>
      <c r="C343" s="146">
        <v>2247</v>
      </c>
      <c r="D343" s="136">
        <v>1</v>
      </c>
      <c r="E343" s="145">
        <v>300</v>
      </c>
      <c r="F343" s="146">
        <v>2627</v>
      </c>
      <c r="G343" s="143"/>
    </row>
    <row r="344" spans="1:7" x14ac:dyDescent="0.25">
      <c r="A344" s="136"/>
      <c r="G344" s="143"/>
    </row>
    <row r="345" spans="1:7" x14ac:dyDescent="0.25">
      <c r="A345" s="136" t="s">
        <v>25</v>
      </c>
      <c r="B345" s="137">
        <f>SUM(B314:B344)</f>
        <v>382</v>
      </c>
      <c r="C345" s="137">
        <f t="shared" ref="C345:F345" si="7">SUM(C314:C344)</f>
        <v>130607</v>
      </c>
      <c r="D345" s="137">
        <f t="shared" si="7"/>
        <v>59</v>
      </c>
      <c r="E345" s="137">
        <f t="shared" si="7"/>
        <v>23851</v>
      </c>
      <c r="F345" s="137">
        <f t="shared" si="7"/>
        <v>158185</v>
      </c>
      <c r="G345" s="143"/>
    </row>
    <row r="346" spans="1:7" x14ac:dyDescent="0.25">
      <c r="A346" s="136"/>
      <c r="B346" s="136"/>
      <c r="C346" s="136"/>
      <c r="D346" s="147"/>
      <c r="E346" s="147"/>
      <c r="F346" s="147"/>
      <c r="G346" s="144"/>
    </row>
    <row r="348" spans="1:7" ht="45" x14ac:dyDescent="0.25">
      <c r="A348" s="136" t="s">
        <v>501</v>
      </c>
      <c r="B348" s="136" t="s">
        <v>502</v>
      </c>
      <c r="C348" s="136">
        <v>11</v>
      </c>
      <c r="D348" s="154"/>
      <c r="E348" s="154"/>
      <c r="F348" s="155"/>
    </row>
    <row r="349" spans="1:7" x14ac:dyDescent="0.25">
      <c r="A349" s="136"/>
      <c r="B349" s="136"/>
      <c r="C349" s="136"/>
      <c r="D349" s="136"/>
      <c r="F349" s="143"/>
    </row>
    <row r="350" spans="1:7" ht="30" x14ac:dyDescent="0.25">
      <c r="A350" s="136"/>
      <c r="B350" s="136"/>
      <c r="C350" s="136" t="s">
        <v>500</v>
      </c>
      <c r="D350" s="136"/>
      <c r="F350" s="143"/>
    </row>
    <row r="351" spans="1:7" x14ac:dyDescent="0.25">
      <c r="A351" s="136" t="s">
        <v>126</v>
      </c>
      <c r="B351" s="136" t="s">
        <v>479</v>
      </c>
      <c r="C351" s="136" t="s">
        <v>480</v>
      </c>
      <c r="D351" s="136" t="s">
        <v>481</v>
      </c>
      <c r="E351" t="s">
        <v>482</v>
      </c>
      <c r="F351" s="136" t="s">
        <v>483</v>
      </c>
      <c r="G351" s="136" t="s">
        <v>25</v>
      </c>
    </row>
    <row r="352" spans="1:7" x14ac:dyDescent="0.25">
      <c r="A352" s="136"/>
      <c r="B352" s="136"/>
      <c r="C352" s="136"/>
      <c r="G352" s="143"/>
    </row>
    <row r="353" spans="1:7" ht="30" x14ac:dyDescent="0.25">
      <c r="A353" s="136" t="s">
        <v>364</v>
      </c>
      <c r="B353" s="136">
        <v>3</v>
      </c>
      <c r="C353" s="146">
        <v>1159</v>
      </c>
      <c r="D353" s="136">
        <v>1</v>
      </c>
      <c r="E353">
        <v>200</v>
      </c>
      <c r="F353" s="136">
        <v>33</v>
      </c>
      <c r="G353" s="146">
        <v>1396</v>
      </c>
    </row>
    <row r="354" spans="1:7" x14ac:dyDescent="0.25">
      <c r="A354" s="136" t="s">
        <v>365</v>
      </c>
      <c r="B354" s="136">
        <v>3</v>
      </c>
      <c r="C354" s="136">
        <v>644</v>
      </c>
      <c r="D354" s="136">
        <v>1</v>
      </c>
      <c r="E354">
        <v>143</v>
      </c>
      <c r="F354" s="136">
        <v>16</v>
      </c>
      <c r="G354" s="136">
        <v>807</v>
      </c>
    </row>
    <row r="355" spans="1:7" x14ac:dyDescent="0.25">
      <c r="A355" s="136" t="s">
        <v>366</v>
      </c>
      <c r="B355" s="136">
        <v>3</v>
      </c>
      <c r="C355" s="136">
        <v>473</v>
      </c>
      <c r="D355" s="136">
        <v>2</v>
      </c>
      <c r="E355">
        <v>89</v>
      </c>
      <c r="F355" s="136">
        <v>15</v>
      </c>
      <c r="G355" s="136">
        <v>582</v>
      </c>
    </row>
    <row r="356" spans="1:7" x14ac:dyDescent="0.25">
      <c r="A356" s="136" t="s">
        <v>367</v>
      </c>
      <c r="B356" s="136">
        <v>26</v>
      </c>
      <c r="C356" s="146">
        <v>7403</v>
      </c>
      <c r="D356" s="136">
        <v>4</v>
      </c>
      <c r="E356" s="145">
        <v>1966</v>
      </c>
      <c r="F356" s="136">
        <v>194</v>
      </c>
      <c r="G356" s="146">
        <v>9593</v>
      </c>
    </row>
    <row r="357" spans="1:7" x14ac:dyDescent="0.25">
      <c r="A357" s="136" t="s">
        <v>368</v>
      </c>
      <c r="B357" s="136"/>
      <c r="C357" s="136">
        <v>153</v>
      </c>
      <c r="E357" s="136">
        <v>27</v>
      </c>
      <c r="F357" s="136">
        <v>3</v>
      </c>
      <c r="G357" s="136">
        <v>183</v>
      </c>
    </row>
    <row r="358" spans="1:7" ht="30" x14ac:dyDescent="0.25">
      <c r="A358" s="136" t="s">
        <v>369</v>
      </c>
      <c r="B358" s="136"/>
      <c r="C358" s="136">
        <v>158</v>
      </c>
      <c r="E358" s="136">
        <v>17</v>
      </c>
      <c r="F358" s="136">
        <v>3</v>
      </c>
      <c r="G358" s="136">
        <v>178</v>
      </c>
    </row>
    <row r="359" spans="1:7" x14ac:dyDescent="0.25">
      <c r="A359" s="136" t="s">
        <v>370</v>
      </c>
      <c r="B359" s="136"/>
      <c r="C359" s="136">
        <v>44</v>
      </c>
      <c r="E359" s="136">
        <v>5</v>
      </c>
      <c r="F359" s="136">
        <v>1</v>
      </c>
      <c r="G359" s="136">
        <v>50</v>
      </c>
    </row>
    <row r="360" spans="1:7" ht="30" x14ac:dyDescent="0.25">
      <c r="A360" s="136" t="s">
        <v>371</v>
      </c>
      <c r="B360" s="136">
        <v>7</v>
      </c>
      <c r="C360" s="146">
        <v>3013</v>
      </c>
      <c r="D360" s="136">
        <v>3</v>
      </c>
      <c r="E360">
        <v>662</v>
      </c>
      <c r="F360" s="136">
        <v>54</v>
      </c>
      <c r="G360" s="146">
        <v>3739</v>
      </c>
    </row>
    <row r="361" spans="1:7" x14ac:dyDescent="0.25">
      <c r="A361" s="136" t="s">
        <v>496</v>
      </c>
      <c r="B361" s="136">
        <v>2</v>
      </c>
      <c r="C361" s="136">
        <v>469</v>
      </c>
      <c r="E361" s="136">
        <v>83</v>
      </c>
      <c r="F361" s="136">
        <v>13</v>
      </c>
      <c r="G361" s="136">
        <v>567</v>
      </c>
    </row>
    <row r="362" spans="1:7" x14ac:dyDescent="0.25">
      <c r="A362" s="136" t="s">
        <v>372</v>
      </c>
      <c r="B362" s="136"/>
      <c r="C362" s="136">
        <v>41</v>
      </c>
      <c r="E362" s="136">
        <v>7</v>
      </c>
      <c r="F362" s="136">
        <v>1</v>
      </c>
      <c r="G362" s="136">
        <v>49</v>
      </c>
    </row>
    <row r="363" spans="1:7" x14ac:dyDescent="0.25">
      <c r="A363" s="136" t="s">
        <v>25</v>
      </c>
      <c r="B363" s="137">
        <f>SUM(B353:B362)</f>
        <v>44</v>
      </c>
      <c r="C363" s="137">
        <f t="shared" ref="C363:G363" si="8">SUM(C353:C362)</f>
        <v>13557</v>
      </c>
      <c r="D363" s="137">
        <f t="shared" si="8"/>
        <v>11</v>
      </c>
      <c r="E363" s="137">
        <f t="shared" si="8"/>
        <v>3199</v>
      </c>
      <c r="F363" s="137">
        <f t="shared" si="8"/>
        <v>333</v>
      </c>
      <c r="G363" s="137">
        <f t="shared" si="8"/>
        <v>17144</v>
      </c>
    </row>
    <row r="364" spans="1:7" x14ac:dyDescent="0.25">
      <c r="A364" s="136"/>
      <c r="B364" s="136"/>
      <c r="C364" s="136"/>
      <c r="D364" s="147"/>
      <c r="E364" s="147"/>
      <c r="F364" s="144"/>
    </row>
    <row r="368" spans="1:7" ht="45" x14ac:dyDescent="0.25">
      <c r="A368" s="136" t="s">
        <v>501</v>
      </c>
      <c r="B368" s="136" t="s">
        <v>502</v>
      </c>
      <c r="C368" s="136">
        <v>12</v>
      </c>
      <c r="D368" s="154"/>
      <c r="E368" s="154"/>
      <c r="F368" s="154"/>
      <c r="G368" s="155"/>
    </row>
    <row r="369" spans="1:9" x14ac:dyDescent="0.25">
      <c r="A369" s="136"/>
      <c r="B369" s="136"/>
      <c r="C369" s="136"/>
      <c r="D369" s="136"/>
      <c r="G369" s="143"/>
    </row>
    <row r="370" spans="1:9" x14ac:dyDescent="0.25">
      <c r="A370" s="136"/>
      <c r="B370" s="136"/>
      <c r="C370" s="136"/>
      <c r="D370" s="154"/>
      <c r="E370" s="154"/>
      <c r="F370" s="155"/>
      <c r="G370" s="143"/>
    </row>
    <row r="371" spans="1:9" ht="30" x14ac:dyDescent="0.25">
      <c r="A371" s="156"/>
      <c r="B371" s="156" t="s">
        <v>500</v>
      </c>
      <c r="C371" s="156"/>
      <c r="F371" s="143"/>
      <c r="G371" s="156"/>
    </row>
    <row r="372" spans="1:9" x14ac:dyDescent="0.25">
      <c r="A372" s="159" t="s">
        <v>126</v>
      </c>
      <c r="B372" s="159" t="s">
        <v>479</v>
      </c>
      <c r="C372" s="159" t="s">
        <v>480</v>
      </c>
      <c r="D372" s="159" t="s">
        <v>481</v>
      </c>
      <c r="E372" s="152" t="s">
        <v>482</v>
      </c>
      <c r="F372" s="159" t="s">
        <v>483</v>
      </c>
      <c r="G372" s="159" t="s">
        <v>25</v>
      </c>
    </row>
    <row r="373" spans="1:9" x14ac:dyDescent="0.25">
      <c r="A373" s="159"/>
      <c r="B373" s="159"/>
      <c r="C373" s="159"/>
      <c r="D373" s="152"/>
      <c r="E373" s="152"/>
      <c r="F373" s="152"/>
      <c r="G373" s="152"/>
      <c r="H373" s="158"/>
    </row>
    <row r="374" spans="1:9" ht="30" x14ac:dyDescent="0.25">
      <c r="A374" s="159" t="s">
        <v>373</v>
      </c>
      <c r="B374" s="159">
        <v>1</v>
      </c>
      <c r="C374" s="159">
        <v>101</v>
      </c>
      <c r="D374" s="152"/>
      <c r="E374" s="159">
        <v>33</v>
      </c>
      <c r="F374" s="159">
        <v>4</v>
      </c>
      <c r="G374" s="159">
        <v>139</v>
      </c>
    </row>
    <row r="375" spans="1:9" ht="30" x14ac:dyDescent="0.25">
      <c r="A375" s="159" t="s">
        <v>374</v>
      </c>
      <c r="C375" s="159">
        <v>4</v>
      </c>
      <c r="D375" s="152"/>
      <c r="E375" s="152"/>
      <c r="F375" s="152"/>
      <c r="G375" s="159">
        <v>4</v>
      </c>
    </row>
    <row r="376" spans="1:9" ht="30" x14ac:dyDescent="0.25">
      <c r="A376" s="159" t="s">
        <v>375</v>
      </c>
      <c r="C376" s="159">
        <v>19</v>
      </c>
      <c r="E376" s="159">
        <v>4</v>
      </c>
      <c r="F376" s="159">
        <v>2</v>
      </c>
      <c r="G376" s="159">
        <v>25</v>
      </c>
      <c r="H376" s="171"/>
    </row>
    <row r="377" spans="1:9" x14ac:dyDescent="0.25">
      <c r="A377" s="159" t="s">
        <v>376</v>
      </c>
      <c r="B377" s="159">
        <v>7</v>
      </c>
      <c r="C377" s="172">
        <v>4322</v>
      </c>
      <c r="D377" s="159">
        <v>7</v>
      </c>
      <c r="E377" s="152">
        <v>872</v>
      </c>
      <c r="F377" s="159">
        <v>107</v>
      </c>
      <c r="G377" s="175">
        <v>5315</v>
      </c>
      <c r="H377" s="171"/>
    </row>
    <row r="378" spans="1:9" x14ac:dyDescent="0.25">
      <c r="A378" s="159" t="s">
        <v>377</v>
      </c>
      <c r="B378" s="159">
        <v>3</v>
      </c>
      <c r="C378" s="159">
        <v>918</v>
      </c>
      <c r="E378" s="159">
        <v>182</v>
      </c>
      <c r="F378" s="159">
        <v>17</v>
      </c>
      <c r="G378" s="175">
        <v>1120</v>
      </c>
    </row>
    <row r="379" spans="1:9" ht="30" x14ac:dyDescent="0.25">
      <c r="A379" s="159" t="s">
        <v>378</v>
      </c>
      <c r="B379" s="159"/>
      <c r="C379" s="159">
        <v>65</v>
      </c>
      <c r="E379" s="159">
        <v>13</v>
      </c>
      <c r="F379" s="159">
        <v>2</v>
      </c>
      <c r="G379" s="176">
        <v>80</v>
      </c>
      <c r="I379" s="171"/>
    </row>
    <row r="380" spans="1:9" ht="30" x14ac:dyDescent="0.25">
      <c r="A380" s="159" t="s">
        <v>379</v>
      </c>
      <c r="B380" s="159">
        <v>71</v>
      </c>
      <c r="C380" s="172">
        <v>19979</v>
      </c>
      <c r="D380" s="159">
        <v>32</v>
      </c>
      <c r="E380" s="173">
        <v>4673</v>
      </c>
      <c r="F380" s="159">
        <v>454</v>
      </c>
      <c r="G380" s="175">
        <v>25209</v>
      </c>
    </row>
    <row r="381" spans="1:9" x14ac:dyDescent="0.25">
      <c r="A381" s="159" t="s">
        <v>380</v>
      </c>
      <c r="B381" s="159"/>
      <c r="C381" s="159">
        <v>15</v>
      </c>
      <c r="F381" s="159">
        <v>1</v>
      </c>
      <c r="G381" s="176">
        <v>16</v>
      </c>
    </row>
    <row r="382" spans="1:9" ht="30" x14ac:dyDescent="0.25">
      <c r="A382" s="159" t="s">
        <v>381</v>
      </c>
      <c r="B382" s="159"/>
      <c r="C382" s="159">
        <v>28</v>
      </c>
      <c r="E382" s="159">
        <v>7</v>
      </c>
      <c r="G382" s="176">
        <v>35</v>
      </c>
    </row>
    <row r="383" spans="1:9" x14ac:dyDescent="0.25">
      <c r="A383" s="159" t="s">
        <v>382</v>
      </c>
      <c r="B383" s="159"/>
      <c r="C383" s="159">
        <v>3</v>
      </c>
      <c r="D383" s="159"/>
      <c r="E383" s="159"/>
      <c r="F383" s="159">
        <v>1</v>
      </c>
      <c r="G383" s="176">
        <v>4</v>
      </c>
    </row>
    <row r="384" spans="1:9" ht="30" x14ac:dyDescent="0.25">
      <c r="A384" s="159" t="s">
        <v>383</v>
      </c>
      <c r="B384" s="159"/>
      <c r="C384" s="159">
        <v>4</v>
      </c>
      <c r="D384" s="159"/>
      <c r="E384" s="159">
        <v>2</v>
      </c>
      <c r="G384" s="176">
        <v>6</v>
      </c>
    </row>
    <row r="385" spans="1:8" x14ac:dyDescent="0.25">
      <c r="A385" s="159"/>
      <c r="B385" s="152"/>
      <c r="C385" s="152"/>
      <c r="D385" s="152"/>
      <c r="E385" s="152"/>
      <c r="F385" s="152"/>
      <c r="G385" s="153"/>
      <c r="H385" s="171"/>
    </row>
    <row r="386" spans="1:8" x14ac:dyDescent="0.25">
      <c r="A386" s="159" t="s">
        <v>25</v>
      </c>
      <c r="B386" s="174">
        <f>SUM(B374:B385)</f>
        <v>82</v>
      </c>
      <c r="C386" s="174">
        <f t="shared" ref="C386:G386" si="9">SUM(C374:C385)</f>
        <v>25458</v>
      </c>
      <c r="D386" s="174">
        <f t="shared" si="9"/>
        <v>39</v>
      </c>
      <c r="E386" s="174">
        <f t="shared" si="9"/>
        <v>5786</v>
      </c>
      <c r="F386" s="174">
        <f t="shared" si="9"/>
        <v>588</v>
      </c>
      <c r="G386" s="177">
        <f t="shared" si="9"/>
        <v>31953</v>
      </c>
    </row>
    <row r="387" spans="1:8" x14ac:dyDescent="0.25">
      <c r="A387" s="157"/>
      <c r="B387" s="157"/>
      <c r="C387" s="157"/>
      <c r="D387" s="147"/>
      <c r="E387" s="147"/>
      <c r="F387" s="144"/>
    </row>
    <row r="390" spans="1:8" ht="45" x14ac:dyDescent="0.25">
      <c r="A390" s="136" t="s">
        <v>384</v>
      </c>
      <c r="B390" s="154"/>
      <c r="C390" s="154"/>
      <c r="D390" s="154"/>
      <c r="E390" s="154"/>
      <c r="F390" s="155"/>
    </row>
    <row r="391" spans="1:8" x14ac:dyDescent="0.25">
      <c r="A391" s="136"/>
      <c r="B391" s="136"/>
      <c r="C391" s="136"/>
      <c r="F391" s="143"/>
    </row>
    <row r="392" spans="1:8" ht="30" x14ac:dyDescent="0.25">
      <c r="A392" s="136"/>
      <c r="B392" s="136" t="s">
        <v>500</v>
      </c>
      <c r="C392" s="136"/>
      <c r="F392" s="143"/>
    </row>
    <row r="393" spans="1:8" x14ac:dyDescent="0.25">
      <c r="A393" s="136" t="s">
        <v>126</v>
      </c>
      <c r="B393" s="136" t="s">
        <v>479</v>
      </c>
      <c r="C393" s="136" t="s">
        <v>480</v>
      </c>
      <c r="D393" s="136" t="s">
        <v>481</v>
      </c>
      <c r="E393" t="s">
        <v>482</v>
      </c>
      <c r="F393" s="136" t="s">
        <v>483</v>
      </c>
      <c r="G393" s="136" t="s">
        <v>25</v>
      </c>
    </row>
    <row r="394" spans="1:8" x14ac:dyDescent="0.25">
      <c r="A394" s="136"/>
      <c r="B394" s="136"/>
      <c r="C394" s="136"/>
      <c r="G394" s="143"/>
    </row>
    <row r="395" spans="1:8" x14ac:dyDescent="0.25">
      <c r="A395" s="136" t="s">
        <v>385</v>
      </c>
      <c r="B395" s="136">
        <v>1</v>
      </c>
      <c r="C395" s="136">
        <v>924</v>
      </c>
      <c r="D395" s="136">
        <v>1</v>
      </c>
      <c r="E395">
        <v>119</v>
      </c>
      <c r="F395" s="136">
        <v>21</v>
      </c>
      <c r="G395" s="146">
        <v>1066</v>
      </c>
    </row>
    <row r="396" spans="1:8" x14ac:dyDescent="0.25">
      <c r="A396" s="136" t="s">
        <v>386</v>
      </c>
      <c r="B396" s="136">
        <v>17</v>
      </c>
      <c r="C396" s="146">
        <v>12230</v>
      </c>
      <c r="D396" s="136">
        <v>9</v>
      </c>
      <c r="E396" s="145">
        <v>1993</v>
      </c>
      <c r="F396" s="136">
        <v>282</v>
      </c>
      <c r="G396" s="146">
        <v>14531</v>
      </c>
    </row>
    <row r="397" spans="1:8" ht="30" x14ac:dyDescent="0.25">
      <c r="A397" s="136" t="s">
        <v>387</v>
      </c>
      <c r="B397" s="136">
        <v>6</v>
      </c>
      <c r="C397" s="146">
        <v>2917</v>
      </c>
      <c r="D397" s="136">
        <v>1</v>
      </c>
      <c r="E397">
        <v>571</v>
      </c>
      <c r="F397" s="136">
        <v>86</v>
      </c>
      <c r="G397" s="146">
        <v>3581</v>
      </c>
    </row>
    <row r="398" spans="1:8" x14ac:dyDescent="0.25">
      <c r="A398" s="136" t="s">
        <v>388</v>
      </c>
      <c r="B398" s="136">
        <v>38</v>
      </c>
      <c r="C398" s="146">
        <v>13179</v>
      </c>
      <c r="D398" s="136">
        <v>5</v>
      </c>
      <c r="E398" s="145">
        <v>2692</v>
      </c>
      <c r="F398" s="136">
        <v>261</v>
      </c>
      <c r="G398" s="146">
        <v>16175</v>
      </c>
    </row>
    <row r="399" spans="1:8" ht="30" x14ac:dyDescent="0.25">
      <c r="A399" s="136" t="s">
        <v>389</v>
      </c>
      <c r="B399" s="136">
        <v>62</v>
      </c>
      <c r="C399" s="146">
        <v>25815</v>
      </c>
      <c r="D399" s="136">
        <v>11</v>
      </c>
      <c r="E399" s="145">
        <v>3671</v>
      </c>
      <c r="F399" s="136">
        <v>485</v>
      </c>
      <c r="G399" s="146">
        <v>30044</v>
      </c>
    </row>
    <row r="400" spans="1:8" x14ac:dyDescent="0.25">
      <c r="A400" s="136" t="s">
        <v>390</v>
      </c>
      <c r="B400" s="136">
        <v>29</v>
      </c>
      <c r="C400" s="146">
        <v>12648</v>
      </c>
      <c r="D400" s="136">
        <v>7</v>
      </c>
      <c r="E400" s="145">
        <v>2490</v>
      </c>
      <c r="F400" s="136">
        <v>406</v>
      </c>
      <c r="G400" s="146">
        <v>15580</v>
      </c>
    </row>
    <row r="401" spans="1:7" x14ac:dyDescent="0.25">
      <c r="A401" s="136" t="s">
        <v>391</v>
      </c>
      <c r="B401" s="136">
        <v>66</v>
      </c>
      <c r="C401" s="146">
        <v>25984</v>
      </c>
      <c r="D401" s="136">
        <v>9</v>
      </c>
      <c r="E401" s="145">
        <v>4636</v>
      </c>
      <c r="F401" s="136">
        <v>488</v>
      </c>
      <c r="G401" s="146">
        <v>31183</v>
      </c>
    </row>
    <row r="402" spans="1:7" x14ac:dyDescent="0.25">
      <c r="A402" s="136" t="s">
        <v>392</v>
      </c>
      <c r="B402" s="136">
        <v>4</v>
      </c>
      <c r="C402" s="146">
        <v>5170</v>
      </c>
      <c r="D402" s="136">
        <v>1</v>
      </c>
      <c r="E402">
        <v>887</v>
      </c>
      <c r="F402" s="136">
        <v>158</v>
      </c>
      <c r="G402" s="146">
        <v>6220</v>
      </c>
    </row>
    <row r="403" spans="1:7" x14ac:dyDescent="0.25">
      <c r="A403" s="136" t="s">
        <v>393</v>
      </c>
      <c r="B403" s="136">
        <v>60</v>
      </c>
      <c r="C403" s="146">
        <v>28734</v>
      </c>
      <c r="D403" s="136">
        <v>22</v>
      </c>
      <c r="E403" s="145">
        <v>4750</v>
      </c>
      <c r="F403" s="136">
        <v>584</v>
      </c>
      <c r="G403" s="146">
        <v>34150</v>
      </c>
    </row>
    <row r="404" spans="1:7" x14ac:dyDescent="0.25">
      <c r="A404" s="136" t="s">
        <v>394</v>
      </c>
      <c r="B404" s="136">
        <v>16</v>
      </c>
      <c r="C404" s="146">
        <v>5174</v>
      </c>
      <c r="D404" s="136">
        <v>2</v>
      </c>
      <c r="E404">
        <v>822</v>
      </c>
      <c r="F404" s="136">
        <v>144</v>
      </c>
      <c r="G404" s="146">
        <v>6158</v>
      </c>
    </row>
    <row r="405" spans="1:7" ht="30" x14ac:dyDescent="0.25">
      <c r="A405" s="136" t="s">
        <v>395</v>
      </c>
      <c r="B405" s="136">
        <v>58</v>
      </c>
      <c r="C405" s="146">
        <v>24111</v>
      </c>
      <c r="D405" s="136">
        <v>18</v>
      </c>
      <c r="E405" s="145">
        <v>4393</v>
      </c>
      <c r="F405" s="136">
        <v>550</v>
      </c>
      <c r="G405" s="146">
        <v>29130</v>
      </c>
    </row>
    <row r="406" spans="1:7" ht="30" x14ac:dyDescent="0.25">
      <c r="A406" s="136" t="s">
        <v>396</v>
      </c>
      <c r="B406" s="136">
        <v>39</v>
      </c>
      <c r="C406" s="146">
        <v>12333</v>
      </c>
      <c r="D406" s="136">
        <v>7</v>
      </c>
      <c r="E406" s="145">
        <v>2733</v>
      </c>
      <c r="F406" s="136">
        <v>301</v>
      </c>
      <c r="G406" s="146">
        <v>15413</v>
      </c>
    </row>
    <row r="407" spans="1:7" ht="30" x14ac:dyDescent="0.25">
      <c r="A407" s="136" t="s">
        <v>397</v>
      </c>
      <c r="B407" s="136">
        <v>33</v>
      </c>
      <c r="C407" s="146">
        <v>14458</v>
      </c>
      <c r="D407" s="136">
        <v>11</v>
      </c>
      <c r="E407" s="145">
        <v>2637</v>
      </c>
      <c r="F407" s="136">
        <v>377</v>
      </c>
      <c r="G407" s="146">
        <v>17516</v>
      </c>
    </row>
    <row r="408" spans="1:7" ht="30" x14ac:dyDescent="0.25">
      <c r="A408" s="136" t="s">
        <v>398</v>
      </c>
      <c r="B408" s="136">
        <v>7</v>
      </c>
      <c r="C408" s="146">
        <v>5267</v>
      </c>
      <c r="D408" s="136">
        <v>2</v>
      </c>
      <c r="E408">
        <v>771</v>
      </c>
      <c r="F408" s="136">
        <v>127</v>
      </c>
      <c r="G408" s="146">
        <v>6174</v>
      </c>
    </row>
    <row r="409" spans="1:7" ht="30" x14ac:dyDescent="0.25">
      <c r="A409" s="136" t="s">
        <v>399</v>
      </c>
      <c r="B409" s="136">
        <v>40</v>
      </c>
      <c r="C409" s="146">
        <v>16217</v>
      </c>
      <c r="D409" s="136">
        <v>5</v>
      </c>
      <c r="E409" s="145">
        <v>2774</v>
      </c>
      <c r="F409" s="136">
        <v>315</v>
      </c>
      <c r="G409" s="146">
        <v>19351</v>
      </c>
    </row>
    <row r="410" spans="1:7" x14ac:dyDescent="0.25">
      <c r="A410" s="136" t="s">
        <v>400</v>
      </c>
      <c r="B410" s="136">
        <v>143</v>
      </c>
      <c r="C410" s="146">
        <v>60425</v>
      </c>
      <c r="D410" s="136">
        <v>33</v>
      </c>
      <c r="E410" s="145">
        <v>13569</v>
      </c>
      <c r="F410" s="146">
        <v>1419</v>
      </c>
      <c r="G410" s="146">
        <v>75589</v>
      </c>
    </row>
    <row r="411" spans="1:7" x14ac:dyDescent="0.25">
      <c r="A411" s="136" t="s">
        <v>401</v>
      </c>
      <c r="B411" s="136">
        <v>56</v>
      </c>
      <c r="C411" s="146">
        <v>22154</v>
      </c>
      <c r="D411" s="136">
        <v>8</v>
      </c>
      <c r="E411" s="145">
        <v>3556</v>
      </c>
      <c r="F411" s="136">
        <v>449</v>
      </c>
      <c r="G411" s="146">
        <v>26223</v>
      </c>
    </row>
    <row r="412" spans="1:7" ht="30" x14ac:dyDescent="0.25">
      <c r="A412" s="136" t="s">
        <v>402</v>
      </c>
      <c r="B412" s="136">
        <v>74</v>
      </c>
      <c r="C412" s="146">
        <v>28470</v>
      </c>
      <c r="D412" s="136">
        <v>6</v>
      </c>
      <c r="E412" s="145">
        <v>3852</v>
      </c>
      <c r="F412" s="136">
        <v>642</v>
      </c>
      <c r="G412" s="146">
        <v>33044</v>
      </c>
    </row>
    <row r="413" spans="1:7" x14ac:dyDescent="0.25">
      <c r="A413" s="136" t="s">
        <v>403</v>
      </c>
      <c r="B413" s="136">
        <v>18</v>
      </c>
      <c r="C413" s="146">
        <v>10581</v>
      </c>
      <c r="D413" s="136">
        <v>3</v>
      </c>
      <c r="E413" s="145">
        <v>2744</v>
      </c>
      <c r="F413" s="136">
        <v>327</v>
      </c>
      <c r="G413" s="146">
        <v>13673</v>
      </c>
    </row>
    <row r="414" spans="1:7" x14ac:dyDescent="0.25">
      <c r="A414" s="136" t="s">
        <v>404</v>
      </c>
      <c r="B414" s="136">
        <v>22</v>
      </c>
      <c r="C414" s="146">
        <v>8601</v>
      </c>
      <c r="D414" s="136">
        <v>4</v>
      </c>
      <c r="E414" s="145">
        <v>1394</v>
      </c>
      <c r="F414" s="136">
        <v>378</v>
      </c>
      <c r="G414" s="146">
        <v>10399</v>
      </c>
    </row>
    <row r="415" spans="1:7" ht="30" x14ac:dyDescent="0.25">
      <c r="A415" s="136" t="s">
        <v>405</v>
      </c>
      <c r="B415" s="136">
        <v>47</v>
      </c>
      <c r="C415" s="146">
        <v>25934</v>
      </c>
      <c r="D415" s="136">
        <v>19</v>
      </c>
      <c r="E415" s="145">
        <v>11809</v>
      </c>
      <c r="F415" s="136">
        <v>995</v>
      </c>
      <c r="G415" s="146">
        <v>38804</v>
      </c>
    </row>
    <row r="416" spans="1:7" ht="45" x14ac:dyDescent="0.25">
      <c r="A416" s="136" t="s">
        <v>406</v>
      </c>
      <c r="B416" s="136">
        <v>13</v>
      </c>
      <c r="C416" s="146">
        <v>5898</v>
      </c>
      <c r="D416" s="136">
        <v>3</v>
      </c>
      <c r="E416" s="145">
        <v>1373</v>
      </c>
      <c r="F416" s="136">
        <v>225</v>
      </c>
      <c r="G416" s="146">
        <v>7512</v>
      </c>
    </row>
    <row r="417" spans="1:7" x14ac:dyDescent="0.25">
      <c r="A417" s="136" t="s">
        <v>407</v>
      </c>
      <c r="B417" s="136">
        <v>66</v>
      </c>
      <c r="C417" s="146">
        <v>19232</v>
      </c>
      <c r="D417" s="136">
        <v>7</v>
      </c>
      <c r="E417" s="145">
        <v>2796</v>
      </c>
      <c r="F417" s="136">
        <v>398</v>
      </c>
      <c r="G417" s="146">
        <v>22499</v>
      </c>
    </row>
    <row r="418" spans="1:7" x14ac:dyDescent="0.25">
      <c r="A418" s="136" t="s">
        <v>408</v>
      </c>
      <c r="B418" s="136">
        <v>56</v>
      </c>
      <c r="C418" s="146">
        <v>19634</v>
      </c>
      <c r="D418" s="136">
        <v>8</v>
      </c>
      <c r="E418" s="145">
        <v>3323</v>
      </c>
      <c r="F418" s="136">
        <v>387</v>
      </c>
      <c r="G418" s="146">
        <v>23408</v>
      </c>
    </row>
    <row r="419" spans="1:7" x14ac:dyDescent="0.25">
      <c r="A419" s="136" t="s">
        <v>409</v>
      </c>
      <c r="B419" s="136">
        <v>39</v>
      </c>
      <c r="C419" s="146">
        <v>20899</v>
      </c>
      <c r="D419" s="136">
        <v>11</v>
      </c>
      <c r="E419" s="145">
        <v>3948</v>
      </c>
      <c r="F419" s="136">
        <v>426</v>
      </c>
      <c r="G419" s="146">
        <v>25323</v>
      </c>
    </row>
    <row r="420" spans="1:7" x14ac:dyDescent="0.25">
      <c r="A420" s="136" t="s">
        <v>410</v>
      </c>
      <c r="B420" s="136">
        <v>181</v>
      </c>
      <c r="C420" s="146">
        <v>72617</v>
      </c>
      <c r="D420" s="136">
        <v>61</v>
      </c>
      <c r="E420" s="145">
        <v>16053</v>
      </c>
      <c r="F420" s="146">
        <v>1674</v>
      </c>
      <c r="G420" s="146">
        <v>90586</v>
      </c>
    </row>
    <row r="421" spans="1:7" ht="30" x14ac:dyDescent="0.25">
      <c r="A421" s="136" t="s">
        <v>411</v>
      </c>
      <c r="B421" s="136">
        <v>8</v>
      </c>
      <c r="C421" s="146">
        <v>2095</v>
      </c>
      <c r="E421" s="136">
        <v>515</v>
      </c>
      <c r="F421" s="136">
        <v>49</v>
      </c>
      <c r="G421" s="146">
        <v>2667</v>
      </c>
    </row>
    <row r="422" spans="1:7" x14ac:dyDescent="0.25">
      <c r="A422" s="136" t="s">
        <v>412</v>
      </c>
      <c r="B422" s="136">
        <v>54</v>
      </c>
      <c r="C422" s="146">
        <v>21093</v>
      </c>
      <c r="D422" s="136">
        <v>13</v>
      </c>
      <c r="E422" s="145">
        <v>3862</v>
      </c>
      <c r="F422" s="136">
        <v>467</v>
      </c>
      <c r="G422" s="146">
        <v>25489</v>
      </c>
    </row>
    <row r="423" spans="1:7" ht="30" x14ac:dyDescent="0.25">
      <c r="A423" s="136" t="s">
        <v>413</v>
      </c>
      <c r="B423" s="136">
        <v>20</v>
      </c>
      <c r="C423" s="146">
        <v>8171</v>
      </c>
      <c r="D423" s="136">
        <v>2</v>
      </c>
      <c r="E423" s="145">
        <v>1386</v>
      </c>
      <c r="F423" s="136">
        <v>233</v>
      </c>
      <c r="G423" s="146">
        <v>9812</v>
      </c>
    </row>
    <row r="424" spans="1:7" x14ac:dyDescent="0.25">
      <c r="A424" s="136" t="s">
        <v>414</v>
      </c>
      <c r="B424" s="136">
        <v>24</v>
      </c>
      <c r="C424" s="146">
        <v>9511</v>
      </c>
      <c r="D424" s="136">
        <v>2</v>
      </c>
      <c r="E424" s="145">
        <v>1446</v>
      </c>
      <c r="F424" s="136">
        <v>258</v>
      </c>
      <c r="G424" s="146">
        <v>11241</v>
      </c>
    </row>
    <row r="425" spans="1:7" ht="45" x14ac:dyDescent="0.25">
      <c r="A425" s="136" t="s">
        <v>415</v>
      </c>
      <c r="B425" s="136">
        <v>49</v>
      </c>
      <c r="C425" s="146">
        <v>22381</v>
      </c>
      <c r="D425" s="136">
        <v>17</v>
      </c>
      <c r="E425" s="145">
        <v>3608</v>
      </c>
      <c r="F425" s="136">
        <v>479</v>
      </c>
      <c r="G425" s="146">
        <v>26534</v>
      </c>
    </row>
    <row r="426" spans="1:7" x14ac:dyDescent="0.25">
      <c r="A426" s="136" t="s">
        <v>497</v>
      </c>
      <c r="B426" s="136">
        <v>22</v>
      </c>
      <c r="C426" s="146">
        <v>13162</v>
      </c>
      <c r="D426" s="136">
        <v>7</v>
      </c>
      <c r="E426" s="145">
        <v>2639</v>
      </c>
      <c r="F426" s="136">
        <v>275</v>
      </c>
      <c r="G426" s="146">
        <v>16105</v>
      </c>
    </row>
    <row r="427" spans="1:7" x14ac:dyDescent="0.25">
      <c r="A427" s="136" t="s">
        <v>498</v>
      </c>
      <c r="B427" s="136">
        <v>78</v>
      </c>
      <c r="C427" s="146">
        <v>34107</v>
      </c>
      <c r="D427" s="136">
        <v>13</v>
      </c>
      <c r="E427" s="145">
        <v>5884</v>
      </c>
      <c r="F427" s="136">
        <v>805</v>
      </c>
      <c r="G427" s="146">
        <v>40887</v>
      </c>
    </row>
    <row r="428" spans="1:7" x14ac:dyDescent="0.25">
      <c r="A428" s="136" t="s">
        <v>416</v>
      </c>
      <c r="B428" s="136">
        <v>7</v>
      </c>
      <c r="C428" s="146">
        <v>3175</v>
      </c>
      <c r="D428" s="136">
        <v>1</v>
      </c>
      <c r="E428">
        <v>611</v>
      </c>
      <c r="F428" s="136">
        <v>103</v>
      </c>
      <c r="G428" s="146">
        <v>3897</v>
      </c>
    </row>
    <row r="429" spans="1:7" ht="30" x14ac:dyDescent="0.25">
      <c r="A429" s="136" t="s">
        <v>417</v>
      </c>
      <c r="B429" s="136">
        <v>22</v>
      </c>
      <c r="C429" s="146">
        <v>12602</v>
      </c>
      <c r="D429" s="136">
        <v>7</v>
      </c>
      <c r="E429" s="145">
        <v>4503</v>
      </c>
      <c r="F429" s="136">
        <v>493</v>
      </c>
      <c r="G429" s="146">
        <v>17627</v>
      </c>
    </row>
    <row r="430" spans="1:7" x14ac:dyDescent="0.25">
      <c r="A430" s="136" t="s">
        <v>418</v>
      </c>
      <c r="B430" s="136">
        <v>82</v>
      </c>
      <c r="C430" s="146">
        <v>31452</v>
      </c>
      <c r="D430" s="136">
        <v>25</v>
      </c>
      <c r="E430" s="145">
        <v>5262</v>
      </c>
      <c r="F430" s="136">
        <v>839</v>
      </c>
      <c r="G430" s="146">
        <v>37660</v>
      </c>
    </row>
    <row r="431" spans="1:7" ht="30" x14ac:dyDescent="0.25">
      <c r="A431" s="136" t="s">
        <v>419</v>
      </c>
      <c r="B431" s="136">
        <v>139</v>
      </c>
      <c r="C431" s="146">
        <v>71068</v>
      </c>
      <c r="D431" s="136">
        <v>25</v>
      </c>
      <c r="E431" s="145">
        <v>11252</v>
      </c>
      <c r="F431" s="146">
        <v>1837</v>
      </c>
      <c r="G431" s="146">
        <v>84321</v>
      </c>
    </row>
    <row r="432" spans="1:7" x14ac:dyDescent="0.25">
      <c r="A432" s="136" t="s">
        <v>420</v>
      </c>
      <c r="B432" s="136">
        <v>46</v>
      </c>
      <c r="C432" s="146">
        <v>18143</v>
      </c>
      <c r="D432" s="136">
        <v>6</v>
      </c>
      <c r="E432" s="145">
        <v>3143</v>
      </c>
      <c r="F432" s="136">
        <v>568</v>
      </c>
      <c r="G432" s="146">
        <v>21906</v>
      </c>
    </row>
    <row r="433" spans="1:7" ht="30" x14ac:dyDescent="0.25">
      <c r="A433" s="136" t="s">
        <v>421</v>
      </c>
      <c r="B433" s="136">
        <v>49</v>
      </c>
      <c r="C433" s="146">
        <v>21030</v>
      </c>
      <c r="D433" s="136">
        <v>4</v>
      </c>
      <c r="E433" s="145">
        <v>3207</v>
      </c>
      <c r="F433" s="136">
        <v>438</v>
      </c>
      <c r="G433" s="146">
        <v>24728</v>
      </c>
    </row>
    <row r="434" spans="1:7" x14ac:dyDescent="0.25">
      <c r="A434" s="136" t="s">
        <v>422</v>
      </c>
      <c r="B434" s="136">
        <v>89</v>
      </c>
      <c r="C434" s="146">
        <v>28084</v>
      </c>
      <c r="D434" s="136">
        <v>6</v>
      </c>
      <c r="E434" s="145">
        <v>4734</v>
      </c>
      <c r="F434" s="136">
        <v>625</v>
      </c>
      <c r="G434" s="146">
        <v>33538</v>
      </c>
    </row>
    <row r="435" spans="1:7" x14ac:dyDescent="0.25">
      <c r="A435" s="136" t="s">
        <v>423</v>
      </c>
      <c r="B435" s="136">
        <v>50</v>
      </c>
      <c r="C435" s="146">
        <v>23517</v>
      </c>
      <c r="D435" s="136">
        <v>10</v>
      </c>
      <c r="E435" s="145">
        <v>3534</v>
      </c>
      <c r="F435" s="136">
        <v>544</v>
      </c>
      <c r="G435" s="146">
        <v>27655</v>
      </c>
    </row>
    <row r="436" spans="1:7" ht="30" x14ac:dyDescent="0.25">
      <c r="A436" s="136" t="s">
        <v>424</v>
      </c>
      <c r="B436" s="136">
        <v>87</v>
      </c>
      <c r="C436" s="146">
        <v>40881</v>
      </c>
      <c r="D436" s="136">
        <v>25</v>
      </c>
      <c r="E436" s="145">
        <v>6718</v>
      </c>
      <c r="F436" s="146">
        <v>1025</v>
      </c>
      <c r="G436" s="146">
        <v>48736</v>
      </c>
    </row>
    <row r="437" spans="1:7" ht="30" x14ac:dyDescent="0.25">
      <c r="A437" s="136" t="s">
        <v>425</v>
      </c>
      <c r="B437" s="136">
        <v>50</v>
      </c>
      <c r="C437" s="146">
        <v>19809</v>
      </c>
      <c r="D437" s="136">
        <v>8</v>
      </c>
      <c r="E437" s="145">
        <v>2971</v>
      </c>
      <c r="F437" s="136">
        <v>448</v>
      </c>
      <c r="G437" s="146">
        <v>23286</v>
      </c>
    </row>
    <row r="438" spans="1:7" ht="30" x14ac:dyDescent="0.25">
      <c r="A438" s="136" t="s">
        <v>426</v>
      </c>
      <c r="B438" s="136">
        <v>3</v>
      </c>
      <c r="C438" s="146">
        <v>2383</v>
      </c>
      <c r="D438" s="136">
        <v>1</v>
      </c>
      <c r="E438">
        <v>492</v>
      </c>
      <c r="F438" s="136">
        <v>53</v>
      </c>
      <c r="G438" s="146">
        <v>2932</v>
      </c>
    </row>
    <row r="439" spans="1:7" ht="30" x14ac:dyDescent="0.25">
      <c r="A439" s="136" t="s">
        <v>427</v>
      </c>
      <c r="B439" s="136">
        <v>49</v>
      </c>
      <c r="C439" s="146">
        <v>16683</v>
      </c>
      <c r="D439" s="136">
        <v>5</v>
      </c>
      <c r="E439" s="145">
        <v>3202</v>
      </c>
      <c r="F439" s="136">
        <v>431</v>
      </c>
      <c r="G439" s="146">
        <v>20370</v>
      </c>
    </row>
    <row r="440" spans="1:7" x14ac:dyDescent="0.25">
      <c r="A440" s="136" t="s">
        <v>428</v>
      </c>
      <c r="B440" s="136">
        <v>6</v>
      </c>
      <c r="C440" s="146">
        <v>1653</v>
      </c>
      <c r="D440" s="136">
        <v>2</v>
      </c>
      <c r="E440">
        <v>321</v>
      </c>
      <c r="F440" s="136">
        <v>47</v>
      </c>
      <c r="G440" s="146">
        <v>2029</v>
      </c>
    </row>
    <row r="441" spans="1:7" ht="30" x14ac:dyDescent="0.25">
      <c r="A441" s="136" t="s">
        <v>429</v>
      </c>
      <c r="B441" s="136">
        <v>45</v>
      </c>
      <c r="C441" s="146">
        <v>17432</v>
      </c>
      <c r="D441" s="136">
        <v>5</v>
      </c>
      <c r="E441" s="145">
        <v>2147</v>
      </c>
      <c r="F441" s="136">
        <v>292</v>
      </c>
      <c r="G441" s="146">
        <v>19921</v>
      </c>
    </row>
    <row r="442" spans="1:7" x14ac:dyDescent="0.25">
      <c r="A442" s="136" t="s">
        <v>430</v>
      </c>
      <c r="B442" s="136">
        <v>420</v>
      </c>
      <c r="C442" s="146">
        <v>53928</v>
      </c>
      <c r="D442" s="136">
        <v>14</v>
      </c>
      <c r="E442" s="145">
        <v>10554</v>
      </c>
      <c r="F442" s="146">
        <v>1765</v>
      </c>
      <c r="G442" s="146">
        <v>66681</v>
      </c>
    </row>
    <row r="443" spans="1:7" x14ac:dyDescent="0.25">
      <c r="A443" s="136" t="s">
        <v>431</v>
      </c>
      <c r="B443" s="136">
        <v>22</v>
      </c>
      <c r="C443" s="146">
        <v>10410</v>
      </c>
      <c r="D443" s="136">
        <v>10</v>
      </c>
      <c r="E443" s="145">
        <v>1956</v>
      </c>
      <c r="F443" s="136">
        <v>255</v>
      </c>
      <c r="G443" s="146">
        <v>12653</v>
      </c>
    </row>
    <row r="444" spans="1:7" x14ac:dyDescent="0.25">
      <c r="A444" s="136" t="s">
        <v>432</v>
      </c>
      <c r="B444" s="136">
        <v>6</v>
      </c>
      <c r="C444" s="146">
        <v>2581</v>
      </c>
      <c r="E444" s="136">
        <v>416</v>
      </c>
      <c r="F444" s="136">
        <v>58</v>
      </c>
      <c r="G444" s="146">
        <v>3061</v>
      </c>
    </row>
    <row r="445" spans="1:7" x14ac:dyDescent="0.25">
      <c r="A445" s="136" t="s">
        <v>433</v>
      </c>
      <c r="B445" s="136">
        <v>7</v>
      </c>
      <c r="C445" s="146">
        <v>4977</v>
      </c>
      <c r="E445" s="146">
        <v>2219</v>
      </c>
      <c r="F445" s="136">
        <v>223</v>
      </c>
      <c r="G445" s="146">
        <v>7426</v>
      </c>
    </row>
    <row r="446" spans="1:7" x14ac:dyDescent="0.25">
      <c r="A446" s="136" t="s">
        <v>499</v>
      </c>
      <c r="B446" s="136">
        <v>56</v>
      </c>
      <c r="C446" s="146">
        <v>28379</v>
      </c>
      <c r="D446" s="136">
        <v>13</v>
      </c>
      <c r="E446" s="145">
        <v>7415</v>
      </c>
      <c r="F446" s="136">
        <v>772</v>
      </c>
      <c r="G446" s="146">
        <v>36635</v>
      </c>
    </row>
    <row r="447" spans="1:7" x14ac:dyDescent="0.25">
      <c r="A447" s="136"/>
      <c r="G447" s="143"/>
    </row>
    <row r="448" spans="1:7" x14ac:dyDescent="0.25">
      <c r="A448" s="136" t="s">
        <v>25</v>
      </c>
      <c r="B448" s="146">
        <f>SUM(B395:B447)</f>
        <v>2681</v>
      </c>
      <c r="C448" s="146">
        <f t="shared" ref="C448:G448" si="10">SUM(C395:C447)</f>
        <v>1018313</v>
      </c>
      <c r="D448" s="146">
        <f t="shared" si="10"/>
        <v>495</v>
      </c>
      <c r="E448" s="146">
        <f t="shared" si="10"/>
        <v>194353</v>
      </c>
      <c r="F448" s="146">
        <f t="shared" si="10"/>
        <v>25287</v>
      </c>
      <c r="G448" s="146">
        <f t="shared" si="10"/>
        <v>1241129</v>
      </c>
    </row>
    <row r="449" spans="1:7" x14ac:dyDescent="0.25">
      <c r="A449" s="136"/>
      <c r="B449" s="136"/>
      <c r="C449" s="136"/>
      <c r="D449" s="147"/>
      <c r="F449" s="147"/>
      <c r="G449" s="144"/>
    </row>
    <row r="454" spans="1:7" ht="45" x14ac:dyDescent="0.25">
      <c r="A454" s="136" t="s">
        <v>434</v>
      </c>
      <c r="B454" s="154"/>
      <c r="C454" s="154"/>
      <c r="D454" s="154"/>
      <c r="E454" s="154"/>
      <c r="F454" s="155"/>
    </row>
    <row r="455" spans="1:7" x14ac:dyDescent="0.25">
      <c r="A455" s="136"/>
      <c r="B455" s="136"/>
      <c r="C455" s="136"/>
      <c r="F455" s="143"/>
    </row>
    <row r="456" spans="1:7" ht="30" x14ac:dyDescent="0.25">
      <c r="A456" s="136"/>
      <c r="B456" s="136" t="s">
        <v>500</v>
      </c>
      <c r="C456" s="136"/>
      <c r="F456" s="143"/>
    </row>
    <row r="457" spans="1:7" x14ac:dyDescent="0.25">
      <c r="A457" s="136" t="s">
        <v>126</v>
      </c>
      <c r="B457" s="136" t="s">
        <v>479</v>
      </c>
      <c r="C457" s="136" t="s">
        <v>480</v>
      </c>
      <c r="D457" s="136" t="s">
        <v>481</v>
      </c>
      <c r="E457" s="136" t="s">
        <v>482</v>
      </c>
      <c r="F457" s="136" t="s">
        <v>483</v>
      </c>
      <c r="G457" s="136" t="s">
        <v>25</v>
      </c>
    </row>
    <row r="458" spans="1:7" x14ac:dyDescent="0.25">
      <c r="A458" s="136"/>
      <c r="B458" s="136"/>
      <c r="C458" s="136"/>
      <c r="G458" s="143"/>
    </row>
    <row r="459" spans="1:7" x14ac:dyDescent="0.25">
      <c r="A459" s="136" t="s">
        <v>435</v>
      </c>
      <c r="B459" s="136">
        <v>2</v>
      </c>
      <c r="C459" s="146">
        <v>1040</v>
      </c>
      <c r="D459" s="136">
        <v>1</v>
      </c>
      <c r="E459" s="136">
        <v>159</v>
      </c>
      <c r="F459" s="136">
        <v>13</v>
      </c>
      <c r="G459" s="146">
        <v>1215</v>
      </c>
    </row>
    <row r="460" spans="1:7" x14ac:dyDescent="0.25">
      <c r="A460" s="136" t="s">
        <v>436</v>
      </c>
      <c r="B460" s="136">
        <v>9</v>
      </c>
      <c r="C460" s="146">
        <v>2600</v>
      </c>
      <c r="D460" s="136">
        <v>2</v>
      </c>
      <c r="E460" s="136">
        <v>421</v>
      </c>
      <c r="F460" s="136">
        <v>81</v>
      </c>
      <c r="G460" s="146">
        <v>3113</v>
      </c>
    </row>
    <row r="461" spans="1:7" x14ac:dyDescent="0.25">
      <c r="A461" s="136" t="s">
        <v>437</v>
      </c>
      <c r="B461" s="136">
        <v>22</v>
      </c>
      <c r="C461" s="146">
        <v>8352</v>
      </c>
      <c r="D461" s="136">
        <v>8</v>
      </c>
      <c r="E461" s="146">
        <v>1465</v>
      </c>
      <c r="F461" s="136">
        <v>187</v>
      </c>
      <c r="G461" s="146">
        <v>10034</v>
      </c>
    </row>
    <row r="462" spans="1:7" ht="30" x14ac:dyDescent="0.25">
      <c r="A462" s="136" t="s">
        <v>438</v>
      </c>
      <c r="B462" s="136">
        <v>5</v>
      </c>
      <c r="C462" s="146">
        <v>1993</v>
      </c>
      <c r="D462" s="136">
        <v>1</v>
      </c>
      <c r="E462" s="136">
        <v>282</v>
      </c>
      <c r="F462" s="136">
        <v>48</v>
      </c>
      <c r="G462" s="146">
        <v>2329</v>
      </c>
    </row>
    <row r="463" spans="1:7" x14ac:dyDescent="0.25">
      <c r="A463" s="136" t="s">
        <v>439</v>
      </c>
      <c r="B463" s="136">
        <v>17</v>
      </c>
      <c r="C463" s="146">
        <v>3454</v>
      </c>
      <c r="D463" s="136">
        <v>5</v>
      </c>
      <c r="E463" s="136">
        <v>556</v>
      </c>
      <c r="F463" s="136">
        <v>66</v>
      </c>
      <c r="G463" s="146">
        <v>4098</v>
      </c>
    </row>
    <row r="464" spans="1:7" x14ac:dyDescent="0.25">
      <c r="A464" s="136" t="s">
        <v>440</v>
      </c>
      <c r="B464" s="136">
        <v>10</v>
      </c>
      <c r="C464" s="146">
        <v>3912</v>
      </c>
      <c r="D464" s="136">
        <v>2</v>
      </c>
      <c r="E464" s="136">
        <v>567</v>
      </c>
      <c r="F464" s="136">
        <v>98</v>
      </c>
      <c r="G464" s="146">
        <v>4589</v>
      </c>
    </row>
    <row r="465" spans="1:7" x14ac:dyDescent="0.25">
      <c r="A465" s="136" t="s">
        <v>441</v>
      </c>
      <c r="B465" s="136">
        <v>7</v>
      </c>
      <c r="C465" s="146">
        <v>1486</v>
      </c>
      <c r="D465" s="136">
        <v>1</v>
      </c>
      <c r="E465" s="136">
        <v>250</v>
      </c>
      <c r="F465" s="136">
        <v>24</v>
      </c>
      <c r="G465" s="146">
        <v>1768</v>
      </c>
    </row>
    <row r="466" spans="1:7" x14ac:dyDescent="0.25">
      <c r="A466" s="136" t="s">
        <v>442</v>
      </c>
      <c r="B466" s="136">
        <v>19</v>
      </c>
      <c r="C466" s="146">
        <v>4468</v>
      </c>
      <c r="D466" s="136">
        <v>2</v>
      </c>
      <c r="E466" s="136">
        <v>955</v>
      </c>
      <c r="F466" s="136">
        <v>104</v>
      </c>
      <c r="G466" s="146">
        <v>5548</v>
      </c>
    </row>
    <row r="467" spans="1:7" ht="30" x14ac:dyDescent="0.25">
      <c r="A467" s="136" t="s">
        <v>443</v>
      </c>
      <c r="B467" s="136">
        <v>12</v>
      </c>
      <c r="C467" s="146">
        <v>6294</v>
      </c>
      <c r="D467" s="136">
        <v>5</v>
      </c>
      <c r="E467" s="146">
        <v>1104</v>
      </c>
      <c r="F467" s="136">
        <v>155</v>
      </c>
      <c r="G467" s="146">
        <v>7570</v>
      </c>
    </row>
    <row r="468" spans="1:7" x14ac:dyDescent="0.25">
      <c r="A468" s="136" t="s">
        <v>444</v>
      </c>
      <c r="B468" s="136">
        <v>20</v>
      </c>
      <c r="C468" s="146">
        <v>6998</v>
      </c>
      <c r="D468" s="136">
        <v>11</v>
      </c>
      <c r="E468" s="146">
        <v>1159</v>
      </c>
      <c r="F468" s="136">
        <v>156</v>
      </c>
      <c r="G468" s="146">
        <v>8344</v>
      </c>
    </row>
    <row r="469" spans="1:7" ht="60" x14ac:dyDescent="0.25">
      <c r="A469" s="136" t="s">
        <v>503</v>
      </c>
      <c r="B469" s="136">
        <v>13</v>
      </c>
      <c r="C469" s="146">
        <v>3804</v>
      </c>
      <c r="D469" s="136">
        <v>1</v>
      </c>
      <c r="E469" s="136">
        <v>560</v>
      </c>
      <c r="F469" s="136">
        <v>88</v>
      </c>
      <c r="G469" s="146">
        <v>4466</v>
      </c>
    </row>
    <row r="470" spans="1:7" x14ac:dyDescent="0.25">
      <c r="A470" s="136" t="s">
        <v>446</v>
      </c>
      <c r="B470" s="136">
        <v>97</v>
      </c>
      <c r="C470" s="146">
        <v>27778</v>
      </c>
      <c r="D470" s="136">
        <v>29</v>
      </c>
      <c r="E470" s="146">
        <v>4913</v>
      </c>
      <c r="F470" s="136">
        <v>600</v>
      </c>
      <c r="G470" s="146">
        <v>33417</v>
      </c>
    </row>
    <row r="471" spans="1:7" x14ac:dyDescent="0.25">
      <c r="A471" s="136"/>
      <c r="G471" s="143"/>
    </row>
    <row r="472" spans="1:7" x14ac:dyDescent="0.25">
      <c r="A472" s="136" t="s">
        <v>25</v>
      </c>
      <c r="B472" s="136">
        <v>233</v>
      </c>
      <c r="C472" s="146">
        <v>72179</v>
      </c>
      <c r="D472" s="136">
        <v>68</v>
      </c>
      <c r="E472" s="146">
        <v>12391</v>
      </c>
      <c r="F472" s="146">
        <v>1620</v>
      </c>
      <c r="G472" s="146">
        <v>86491</v>
      </c>
    </row>
    <row r="473" spans="1:7" x14ac:dyDescent="0.25">
      <c r="A473" s="136"/>
      <c r="B473" s="136"/>
      <c r="C473" s="136"/>
      <c r="F473" s="143"/>
    </row>
    <row r="474" spans="1:7" x14ac:dyDescent="0.25">
      <c r="A474" s="136"/>
      <c r="B474" s="147"/>
      <c r="C474" s="147"/>
      <c r="D474" s="147"/>
      <c r="E474" s="147"/>
      <c r="F474" s="144"/>
    </row>
    <row r="478" spans="1:7" ht="45" x14ac:dyDescent="0.25">
      <c r="A478" s="136" t="s">
        <v>501</v>
      </c>
      <c r="B478" s="136" t="s">
        <v>502</v>
      </c>
      <c r="C478" s="136">
        <v>15</v>
      </c>
      <c r="D478" s="154"/>
      <c r="E478" s="154"/>
      <c r="F478" s="155"/>
    </row>
    <row r="479" spans="1:7" x14ac:dyDescent="0.25">
      <c r="A479" s="136"/>
      <c r="B479" s="136"/>
      <c r="C479" s="136"/>
      <c r="D479" s="136"/>
      <c r="F479" s="143"/>
    </row>
    <row r="480" spans="1:7" ht="30" x14ac:dyDescent="0.25">
      <c r="A480" s="136"/>
      <c r="B480" s="136"/>
      <c r="C480" s="136" t="s">
        <v>500</v>
      </c>
      <c r="D480" s="136"/>
      <c r="F480" s="143"/>
    </row>
    <row r="481" spans="1:7" x14ac:dyDescent="0.25">
      <c r="A481" s="136" t="s">
        <v>126</v>
      </c>
      <c r="B481" s="136" t="s">
        <v>479</v>
      </c>
      <c r="C481" s="136" t="s">
        <v>480</v>
      </c>
      <c r="D481" s="136" t="s">
        <v>481</v>
      </c>
      <c r="E481" s="136" t="s">
        <v>482</v>
      </c>
      <c r="F481" s="136" t="s">
        <v>483</v>
      </c>
      <c r="G481" s="136" t="s">
        <v>25</v>
      </c>
    </row>
    <row r="482" spans="1:7" x14ac:dyDescent="0.25">
      <c r="A482" s="136"/>
      <c r="B482" s="136"/>
      <c r="C482" s="136"/>
      <c r="G482" s="143"/>
    </row>
    <row r="483" spans="1:7" x14ac:dyDescent="0.25">
      <c r="A483" s="136" t="s">
        <v>447</v>
      </c>
      <c r="B483" s="136">
        <v>109</v>
      </c>
      <c r="C483" s="146">
        <v>34285</v>
      </c>
      <c r="D483" s="136">
        <v>16</v>
      </c>
      <c r="E483" s="146">
        <v>5811</v>
      </c>
      <c r="F483" s="136">
        <v>828</v>
      </c>
      <c r="G483" s="146">
        <v>41049</v>
      </c>
    </row>
    <row r="484" spans="1:7" ht="30" x14ac:dyDescent="0.25">
      <c r="A484" s="136" t="s">
        <v>448</v>
      </c>
      <c r="B484" s="136"/>
      <c r="C484" s="136">
        <v>75</v>
      </c>
      <c r="E484" s="136">
        <v>15</v>
      </c>
      <c r="F484" s="136">
        <v>1</v>
      </c>
      <c r="G484" s="136">
        <v>91</v>
      </c>
    </row>
    <row r="485" spans="1:7" ht="30" x14ac:dyDescent="0.25">
      <c r="A485" s="136" t="s">
        <v>449</v>
      </c>
      <c r="B485" s="136">
        <v>1</v>
      </c>
      <c r="C485" s="136">
        <v>62</v>
      </c>
      <c r="E485" s="136">
        <v>21</v>
      </c>
      <c r="G485" s="136">
        <v>84</v>
      </c>
    </row>
    <row r="486" spans="1:7" x14ac:dyDescent="0.25">
      <c r="A486" s="136" t="s">
        <v>450</v>
      </c>
      <c r="B486" s="136"/>
      <c r="C486" s="136">
        <v>218</v>
      </c>
      <c r="E486" s="136">
        <v>58</v>
      </c>
      <c r="F486" s="136">
        <v>8</v>
      </c>
      <c r="G486" s="136">
        <v>284</v>
      </c>
    </row>
    <row r="487" spans="1:7" x14ac:dyDescent="0.25">
      <c r="A487" s="136" t="s">
        <v>25</v>
      </c>
      <c r="B487" s="137">
        <f>SUM(B483:B486)</f>
        <v>110</v>
      </c>
      <c r="C487" s="137">
        <f t="shared" ref="C487:F487" si="11">SUM(C483:C486)</f>
        <v>34640</v>
      </c>
      <c r="D487" s="137">
        <f t="shared" si="11"/>
        <v>16</v>
      </c>
      <c r="E487" s="137">
        <f t="shared" si="11"/>
        <v>5905</v>
      </c>
      <c r="F487" s="137">
        <f t="shared" si="11"/>
        <v>837</v>
      </c>
      <c r="G487" s="137">
        <f>SUM(G483:G486)</f>
        <v>41508</v>
      </c>
    </row>
    <row r="488" spans="1:7" x14ac:dyDescent="0.25">
      <c r="A488" s="136"/>
      <c r="B488" s="136"/>
      <c r="C488" s="136"/>
      <c r="D488" s="147"/>
      <c r="E488" s="147"/>
      <c r="F488" s="144"/>
    </row>
    <row r="492" spans="1:7" ht="45" x14ac:dyDescent="0.25">
      <c r="A492" s="136" t="s">
        <v>501</v>
      </c>
      <c r="B492" s="136" t="s">
        <v>502</v>
      </c>
      <c r="C492" s="136">
        <v>16</v>
      </c>
      <c r="D492" s="154"/>
      <c r="E492" s="154"/>
      <c r="F492" s="155"/>
    </row>
    <row r="493" spans="1:7" x14ac:dyDescent="0.25">
      <c r="A493" s="136"/>
      <c r="B493" s="136"/>
      <c r="C493" s="136"/>
      <c r="D493" s="136"/>
      <c r="F493" s="143"/>
    </row>
    <row r="494" spans="1:7" ht="30" x14ac:dyDescent="0.25">
      <c r="A494" s="136"/>
      <c r="B494" s="136"/>
      <c r="C494" s="136" t="s">
        <v>500</v>
      </c>
      <c r="D494" s="136"/>
      <c r="F494" s="143"/>
    </row>
    <row r="495" spans="1:7" x14ac:dyDescent="0.25">
      <c r="A495" s="136" t="s">
        <v>126</v>
      </c>
      <c r="B495" s="136" t="s">
        <v>479</v>
      </c>
      <c r="C495" s="136" t="s">
        <v>480</v>
      </c>
      <c r="D495" s="136" t="s">
        <v>481</v>
      </c>
      <c r="E495" s="136" t="s">
        <v>482</v>
      </c>
      <c r="F495" s="136" t="s">
        <v>483</v>
      </c>
      <c r="G495" s="136" t="s">
        <v>25</v>
      </c>
    </row>
    <row r="496" spans="1:7" x14ac:dyDescent="0.25">
      <c r="A496" s="136"/>
      <c r="B496" s="136"/>
      <c r="C496" s="136"/>
      <c r="G496" s="143"/>
    </row>
    <row r="497" spans="1:7" x14ac:dyDescent="0.25">
      <c r="A497" s="136" t="s">
        <v>451</v>
      </c>
      <c r="B497" s="136">
        <v>13</v>
      </c>
      <c r="C497" s="146">
        <v>4610</v>
      </c>
      <c r="D497" s="136">
        <v>1</v>
      </c>
      <c r="E497" s="146">
        <v>1258</v>
      </c>
      <c r="F497" s="136">
        <v>132</v>
      </c>
      <c r="G497" s="146">
        <v>6014</v>
      </c>
    </row>
    <row r="498" spans="1:7" x14ac:dyDescent="0.25">
      <c r="A498" s="136" t="s">
        <v>452</v>
      </c>
      <c r="B498" s="136">
        <v>107</v>
      </c>
      <c r="C498" s="146">
        <v>35823</v>
      </c>
      <c r="D498" s="136">
        <v>9</v>
      </c>
      <c r="E498" s="146">
        <v>8805</v>
      </c>
      <c r="F498" s="136">
        <v>912</v>
      </c>
      <c r="G498" s="146">
        <v>45656</v>
      </c>
    </row>
    <row r="499" spans="1:7" ht="30" x14ac:dyDescent="0.25">
      <c r="A499" s="136" t="s">
        <v>453</v>
      </c>
      <c r="B499" s="136">
        <v>18</v>
      </c>
      <c r="C499" s="146">
        <v>4008</v>
      </c>
      <c r="E499" s="136">
        <v>891</v>
      </c>
      <c r="F499" s="136">
        <v>106</v>
      </c>
      <c r="G499" s="146">
        <v>5023</v>
      </c>
    </row>
    <row r="500" spans="1:7" ht="30" x14ac:dyDescent="0.25">
      <c r="A500" s="136" t="s">
        <v>454</v>
      </c>
      <c r="B500" s="136">
        <v>5</v>
      </c>
      <c r="C500" s="146">
        <v>1172</v>
      </c>
      <c r="E500" s="136">
        <v>277</v>
      </c>
      <c r="F500" s="136">
        <v>24</v>
      </c>
      <c r="G500" s="146">
        <v>1478</v>
      </c>
    </row>
    <row r="501" spans="1:7" x14ac:dyDescent="0.25">
      <c r="A501" s="136" t="s">
        <v>455</v>
      </c>
      <c r="B501" s="136">
        <v>5</v>
      </c>
      <c r="C501" s="146">
        <v>3897</v>
      </c>
      <c r="E501" s="136">
        <v>822</v>
      </c>
      <c r="F501" s="136">
        <v>74</v>
      </c>
      <c r="G501" s="146">
        <v>4798</v>
      </c>
    </row>
    <row r="502" spans="1:7" x14ac:dyDescent="0.25">
      <c r="A502" s="136" t="s">
        <v>456</v>
      </c>
      <c r="B502" s="136">
        <v>18</v>
      </c>
      <c r="C502" s="146">
        <v>4370</v>
      </c>
      <c r="D502" s="136">
        <v>1</v>
      </c>
      <c r="E502" s="146">
        <v>1431</v>
      </c>
      <c r="F502" s="136">
        <v>147</v>
      </c>
      <c r="G502" s="146">
        <v>5967</v>
      </c>
    </row>
    <row r="503" spans="1:7" x14ac:dyDescent="0.25">
      <c r="A503" s="136" t="s">
        <v>457</v>
      </c>
      <c r="B503" s="136">
        <v>10</v>
      </c>
      <c r="C503" s="146">
        <v>2703</v>
      </c>
      <c r="D503" s="136">
        <v>1</v>
      </c>
      <c r="E503" s="136">
        <v>848</v>
      </c>
      <c r="F503" s="136">
        <v>73</v>
      </c>
      <c r="G503" s="146">
        <v>3635</v>
      </c>
    </row>
    <row r="504" spans="1:7" x14ac:dyDescent="0.25">
      <c r="A504" s="136" t="s">
        <v>458</v>
      </c>
      <c r="B504" s="136">
        <v>3</v>
      </c>
      <c r="C504" s="146">
        <v>1384</v>
      </c>
      <c r="E504" s="136">
        <v>494</v>
      </c>
      <c r="F504" s="136">
        <v>28</v>
      </c>
      <c r="G504" s="146">
        <v>1909</v>
      </c>
    </row>
    <row r="505" spans="1:7" x14ac:dyDescent="0.25">
      <c r="A505" s="136" t="s">
        <v>459</v>
      </c>
      <c r="B505" s="136">
        <v>2</v>
      </c>
      <c r="C505" s="146">
        <v>1686</v>
      </c>
      <c r="E505" s="136">
        <v>551</v>
      </c>
      <c r="F505" s="136">
        <v>51</v>
      </c>
      <c r="G505" s="146">
        <v>2290</v>
      </c>
    </row>
    <row r="506" spans="1:7" x14ac:dyDescent="0.25">
      <c r="A506" s="136" t="s">
        <v>460</v>
      </c>
      <c r="B506" s="136">
        <v>5</v>
      </c>
      <c r="C506" s="146">
        <v>2316</v>
      </c>
      <c r="E506" s="136">
        <v>695</v>
      </c>
      <c r="F506" s="136">
        <v>81</v>
      </c>
      <c r="G506" s="146">
        <v>3097</v>
      </c>
    </row>
    <row r="507" spans="1:7" ht="30" x14ac:dyDescent="0.25">
      <c r="A507" s="136" t="s">
        <v>461</v>
      </c>
      <c r="B507" s="136">
        <v>4</v>
      </c>
      <c r="C507" s="146">
        <v>1278</v>
      </c>
      <c r="E507" s="136">
        <v>260</v>
      </c>
      <c r="F507" s="136">
        <v>26</v>
      </c>
      <c r="G507" s="146">
        <v>1568</v>
      </c>
    </row>
    <row r="508" spans="1:7" x14ac:dyDescent="0.25">
      <c r="A508" s="136" t="s">
        <v>462</v>
      </c>
      <c r="B508" s="136">
        <v>15</v>
      </c>
      <c r="C508" s="146">
        <v>4075</v>
      </c>
      <c r="D508" s="136">
        <v>3</v>
      </c>
      <c r="E508" s="136">
        <v>910</v>
      </c>
      <c r="F508" s="136">
        <v>132</v>
      </c>
      <c r="G508" s="146">
        <v>5135</v>
      </c>
    </row>
    <row r="509" spans="1:7" x14ac:dyDescent="0.25">
      <c r="A509" s="136" t="s">
        <v>463</v>
      </c>
      <c r="B509" s="136">
        <v>9</v>
      </c>
      <c r="C509" s="146">
        <v>2735</v>
      </c>
      <c r="E509" s="136">
        <v>605</v>
      </c>
      <c r="F509" s="136">
        <v>57</v>
      </c>
      <c r="G509" s="146">
        <v>3406</v>
      </c>
    </row>
    <row r="510" spans="1:7" x14ac:dyDescent="0.25">
      <c r="A510" s="136" t="s">
        <v>464</v>
      </c>
      <c r="B510" s="136">
        <v>4</v>
      </c>
      <c r="C510" s="146">
        <v>1532</v>
      </c>
      <c r="D510" s="136">
        <v>1</v>
      </c>
      <c r="E510" s="136">
        <v>322</v>
      </c>
      <c r="F510" s="136">
        <v>37</v>
      </c>
      <c r="G510" s="146">
        <v>1896</v>
      </c>
    </row>
    <row r="511" spans="1:7" ht="30" x14ac:dyDescent="0.25">
      <c r="A511" s="136" t="s">
        <v>465</v>
      </c>
      <c r="B511" s="136">
        <v>34</v>
      </c>
      <c r="C511" s="146">
        <v>11662</v>
      </c>
      <c r="D511" s="136">
        <v>6</v>
      </c>
      <c r="E511" s="146">
        <v>2801</v>
      </c>
      <c r="F511" s="136">
        <v>253</v>
      </c>
      <c r="G511" s="146">
        <v>14756</v>
      </c>
    </row>
    <row r="512" spans="1:7" ht="30" x14ac:dyDescent="0.25">
      <c r="A512" s="136" t="s">
        <v>466</v>
      </c>
      <c r="B512" s="136">
        <v>2</v>
      </c>
      <c r="C512" s="136">
        <v>915</v>
      </c>
      <c r="E512" s="136">
        <v>208</v>
      </c>
      <c r="F512" s="136">
        <v>24</v>
      </c>
      <c r="G512" s="146">
        <v>1149</v>
      </c>
    </row>
    <row r="513" spans="1:7" ht="30" x14ac:dyDescent="0.25">
      <c r="A513" s="136" t="s">
        <v>467</v>
      </c>
      <c r="B513" s="136">
        <v>16</v>
      </c>
      <c r="C513" s="146">
        <v>3685</v>
      </c>
      <c r="E513" s="146">
        <v>1109</v>
      </c>
      <c r="F513" s="136">
        <v>141</v>
      </c>
      <c r="G513" s="146">
        <v>4951</v>
      </c>
    </row>
    <row r="514" spans="1:7" ht="30" x14ac:dyDescent="0.25">
      <c r="A514" s="136" t="s">
        <v>468</v>
      </c>
      <c r="B514" s="136">
        <v>10</v>
      </c>
      <c r="C514" s="146">
        <v>2256</v>
      </c>
      <c r="D514" s="136">
        <v>1</v>
      </c>
      <c r="E514" s="136">
        <v>614</v>
      </c>
      <c r="F514" s="136">
        <v>62</v>
      </c>
      <c r="G514" s="146">
        <v>2943</v>
      </c>
    </row>
    <row r="515" spans="1:7" x14ac:dyDescent="0.25">
      <c r="A515" s="136" t="s">
        <v>469</v>
      </c>
      <c r="B515" s="136">
        <v>5</v>
      </c>
      <c r="C515" s="146">
        <v>1271</v>
      </c>
      <c r="D515" s="136">
        <v>1</v>
      </c>
      <c r="E515" s="136">
        <v>240</v>
      </c>
      <c r="F515" s="136">
        <v>33</v>
      </c>
      <c r="G515" s="146">
        <v>1550</v>
      </c>
    </row>
    <row r="516" spans="1:7" x14ac:dyDescent="0.25">
      <c r="A516" s="136" t="s">
        <v>470</v>
      </c>
      <c r="B516" s="136">
        <v>11</v>
      </c>
      <c r="C516" s="146">
        <v>3744</v>
      </c>
      <c r="E516" s="136">
        <v>854</v>
      </c>
      <c r="F516" s="136">
        <v>95</v>
      </c>
      <c r="G516" s="146">
        <v>4704</v>
      </c>
    </row>
    <row r="517" spans="1:7" x14ac:dyDescent="0.25">
      <c r="A517" s="136" t="s">
        <v>471</v>
      </c>
      <c r="B517" s="136">
        <v>3</v>
      </c>
      <c r="C517" s="146">
        <v>2785</v>
      </c>
      <c r="D517" s="136">
        <v>1</v>
      </c>
      <c r="E517" s="136">
        <v>811</v>
      </c>
      <c r="F517" s="136">
        <v>75</v>
      </c>
      <c r="G517" s="146">
        <v>3675</v>
      </c>
    </row>
    <row r="518" spans="1:7" x14ac:dyDescent="0.25">
      <c r="A518" s="136" t="s">
        <v>25</v>
      </c>
      <c r="B518" s="137">
        <f>SUM(B497:B517)</f>
        <v>299</v>
      </c>
      <c r="C518" s="137">
        <f t="shared" ref="C518:G518" si="12">SUM(C497:C517)</f>
        <v>97907</v>
      </c>
      <c r="D518" s="137">
        <f t="shared" si="12"/>
        <v>25</v>
      </c>
      <c r="E518" s="137">
        <f t="shared" si="12"/>
        <v>24806</v>
      </c>
      <c r="F518" s="137">
        <f t="shared" si="12"/>
        <v>2563</v>
      </c>
      <c r="G518" s="137">
        <f t="shared" si="12"/>
        <v>125600</v>
      </c>
    </row>
    <row r="519" spans="1:7" x14ac:dyDescent="0.25">
      <c r="A519" s="136"/>
      <c r="B519" s="136"/>
      <c r="C519" s="136"/>
      <c r="D519" s="147"/>
      <c r="E519" s="147"/>
      <c r="F519" s="147"/>
      <c r="G519" s="144"/>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03039-2ED7-4A87-BED5-62F25767226C}">
  <sheetPr>
    <tabColor rgb="FF00B0F0"/>
  </sheetPr>
  <dimension ref="A2:W41"/>
  <sheetViews>
    <sheetView workbookViewId="0"/>
  </sheetViews>
  <sheetFormatPr baseColWidth="10" defaultColWidth="11.42578125" defaultRowHeight="15" x14ac:dyDescent="0.25"/>
  <cols>
    <col min="1" max="1" width="7.5703125" style="7" customWidth="1"/>
    <col min="2" max="2" width="11.42578125" style="7"/>
    <col min="3" max="3" width="18.7109375" style="7" bestFit="1" customWidth="1"/>
    <col min="4" max="5" width="11.28515625" style="7" customWidth="1"/>
    <col min="6" max="6" width="11" style="7" customWidth="1"/>
    <col min="7" max="8" width="10.7109375" style="7" customWidth="1"/>
    <col min="9" max="9" width="18.7109375" style="7" bestFit="1" customWidth="1"/>
    <col min="10" max="10" width="9.5703125" style="92" customWidth="1"/>
    <col min="11" max="11" width="11.28515625" style="92" customWidth="1"/>
    <col min="12" max="14" width="11.42578125" style="7"/>
    <col min="15" max="15" width="18.7109375" style="7" bestFit="1" customWidth="1"/>
    <col min="16" max="22" width="11.42578125" style="7"/>
    <col min="23" max="23" width="14.42578125" style="7" bestFit="1" customWidth="1"/>
    <col min="24" max="16384" width="11.42578125" style="7"/>
  </cols>
  <sheetData>
    <row r="2" spans="1:18" ht="23.25" x14ac:dyDescent="0.25">
      <c r="B2" s="1" t="s">
        <v>67</v>
      </c>
      <c r="G2" s="92"/>
      <c r="J2" s="7"/>
    </row>
    <row r="3" spans="1:18" ht="23.25" x14ac:dyDescent="0.25">
      <c r="B3" s="1"/>
      <c r="G3" s="92"/>
      <c r="J3" s="7"/>
    </row>
    <row r="4" spans="1:18" ht="41.25" customHeight="1" x14ac:dyDescent="0.25">
      <c r="B4" s="510" t="s">
        <v>534</v>
      </c>
      <c r="C4" s="510"/>
      <c r="D4" s="510"/>
      <c r="E4" s="510"/>
      <c r="F4" s="510"/>
      <c r="G4" s="92"/>
      <c r="H4" s="510" t="s">
        <v>535</v>
      </c>
      <c r="I4" s="510"/>
      <c r="J4" s="510"/>
      <c r="K4" s="510"/>
      <c r="L4" s="510"/>
      <c r="N4" s="510" t="s">
        <v>536</v>
      </c>
      <c r="O4" s="510"/>
      <c r="P4" s="510"/>
      <c r="Q4" s="510"/>
      <c r="R4" s="510"/>
    </row>
    <row r="5" spans="1:18" x14ac:dyDescent="0.25">
      <c r="B5" s="3" t="s">
        <v>504</v>
      </c>
      <c r="C5" s="9"/>
      <c r="D5" s="9"/>
      <c r="E5" s="9"/>
      <c r="F5" s="9"/>
      <c r="H5" s="3" t="s">
        <v>504</v>
      </c>
      <c r="I5" s="9"/>
      <c r="J5" s="9"/>
      <c r="K5" s="9"/>
      <c r="L5" s="9"/>
      <c r="N5" s="3" t="s">
        <v>504</v>
      </c>
      <c r="O5" s="9"/>
      <c r="P5" s="9"/>
      <c r="Q5" s="9"/>
      <c r="R5" s="9"/>
    </row>
    <row r="6" spans="1:18" x14ac:dyDescent="0.25">
      <c r="B6" s="3"/>
      <c r="C6" s="9"/>
      <c r="D6" s="9"/>
      <c r="E6" s="9"/>
      <c r="F6" s="9"/>
      <c r="H6" s="15"/>
      <c r="I6" s="9"/>
      <c r="J6" s="9"/>
      <c r="K6" s="9"/>
      <c r="L6" s="9"/>
      <c r="N6" s="15"/>
      <c r="O6" s="9"/>
      <c r="P6" s="9"/>
      <c r="Q6" s="9"/>
      <c r="R6" s="9"/>
    </row>
    <row r="7" spans="1:18" x14ac:dyDescent="0.25">
      <c r="B7" s="511" t="s">
        <v>72</v>
      </c>
      <c r="C7" s="193" t="s">
        <v>472</v>
      </c>
      <c r="D7" s="193" t="s">
        <v>73</v>
      </c>
      <c r="E7" s="193" t="s">
        <v>74</v>
      </c>
      <c r="F7" s="148" t="s">
        <v>75</v>
      </c>
      <c r="H7" s="511" t="s">
        <v>72</v>
      </c>
      <c r="I7" s="193" t="s">
        <v>472</v>
      </c>
      <c r="J7" s="193" t="s">
        <v>73</v>
      </c>
      <c r="K7" s="193" t="s">
        <v>74</v>
      </c>
      <c r="L7" s="148" t="s">
        <v>75</v>
      </c>
      <c r="N7" s="511" t="s">
        <v>72</v>
      </c>
      <c r="O7" s="193" t="s">
        <v>472</v>
      </c>
      <c r="P7" s="193" t="s">
        <v>73</v>
      </c>
      <c r="Q7" s="193" t="s">
        <v>74</v>
      </c>
      <c r="R7" s="148" t="s">
        <v>75</v>
      </c>
    </row>
    <row r="8" spans="1:18" x14ac:dyDescent="0.25">
      <c r="B8" s="511"/>
      <c r="C8" s="150">
        <v>44835</v>
      </c>
      <c r="D8" s="87">
        <v>26497</v>
      </c>
      <c r="E8" s="87">
        <v>23095</v>
      </c>
      <c r="F8" s="151">
        <f t="shared" ref="F8:F10" si="0">SUM(D8:E8)</f>
        <v>49592</v>
      </c>
      <c r="H8" s="511"/>
      <c r="I8" s="150">
        <v>44835</v>
      </c>
      <c r="J8" s="87">
        <v>18824</v>
      </c>
      <c r="K8" s="87">
        <v>15337</v>
      </c>
      <c r="L8" s="151">
        <f t="shared" ref="L8:L11" si="1">SUM(J8:K8)</f>
        <v>34161</v>
      </c>
      <c r="N8" s="511"/>
      <c r="O8" s="150">
        <v>44835</v>
      </c>
      <c r="P8" s="87">
        <v>4420</v>
      </c>
      <c r="Q8" s="87">
        <v>4711</v>
      </c>
      <c r="R8" s="151">
        <f t="shared" ref="R8:R11" si="2">SUM(P8:Q8)</f>
        <v>9131</v>
      </c>
    </row>
    <row r="9" spans="1:18" x14ac:dyDescent="0.25">
      <c r="B9" s="511"/>
      <c r="C9" s="150">
        <v>44866</v>
      </c>
      <c r="D9" s="87">
        <v>25410</v>
      </c>
      <c r="E9" s="87">
        <v>22601</v>
      </c>
      <c r="F9" s="151">
        <f t="shared" si="0"/>
        <v>48011</v>
      </c>
      <c r="H9" s="511"/>
      <c r="I9" s="150">
        <v>44866</v>
      </c>
      <c r="J9" s="87">
        <v>12715</v>
      </c>
      <c r="K9" s="87">
        <v>11825</v>
      </c>
      <c r="L9" s="151">
        <f t="shared" si="1"/>
        <v>24540</v>
      </c>
      <c r="N9" s="511"/>
      <c r="O9" s="150">
        <v>44866</v>
      </c>
      <c r="P9" s="87">
        <v>3462</v>
      </c>
      <c r="Q9" s="87">
        <v>4015</v>
      </c>
      <c r="R9" s="151">
        <f t="shared" si="2"/>
        <v>7477</v>
      </c>
    </row>
    <row r="10" spans="1:18" x14ac:dyDescent="0.25">
      <c r="B10" s="511"/>
      <c r="C10" s="150">
        <v>44896</v>
      </c>
      <c r="D10" s="87">
        <v>20337</v>
      </c>
      <c r="E10" s="87">
        <v>18577</v>
      </c>
      <c r="F10" s="151">
        <f t="shared" si="0"/>
        <v>38914</v>
      </c>
      <c r="H10" s="511"/>
      <c r="I10" s="150">
        <v>44896</v>
      </c>
      <c r="J10" s="87">
        <v>6609</v>
      </c>
      <c r="K10" s="87">
        <v>5547</v>
      </c>
      <c r="L10" s="151">
        <f t="shared" si="1"/>
        <v>12156</v>
      </c>
      <c r="N10" s="511"/>
      <c r="O10" s="150">
        <v>44896</v>
      </c>
      <c r="P10" s="87">
        <v>19</v>
      </c>
      <c r="Q10" s="87">
        <v>29</v>
      </c>
      <c r="R10" s="151">
        <f t="shared" si="2"/>
        <v>48</v>
      </c>
    </row>
    <row r="11" spans="1:18" x14ac:dyDescent="0.25">
      <c r="B11" s="511"/>
      <c r="C11" s="149" t="s">
        <v>473</v>
      </c>
      <c r="D11" s="87">
        <f>SUM(D8:D10)</f>
        <v>72244</v>
      </c>
      <c r="E11" s="87">
        <f>SUM(E8:E10)</f>
        <v>64273</v>
      </c>
      <c r="F11" s="151">
        <f>SUM(D11:E11)</f>
        <v>136517</v>
      </c>
      <c r="H11" s="511"/>
      <c r="I11" s="149" t="s">
        <v>473</v>
      </c>
      <c r="J11" s="87">
        <f>SUM(J8:J10)</f>
        <v>38148</v>
      </c>
      <c r="K11" s="87">
        <f>SUM(K8:K10)</f>
        <v>32709</v>
      </c>
      <c r="L11" s="151">
        <f t="shared" si="1"/>
        <v>70857</v>
      </c>
      <c r="N11" s="511"/>
      <c r="O11" s="149" t="s">
        <v>473</v>
      </c>
      <c r="P11" s="87">
        <f>SUM(P8:P10)</f>
        <v>7901</v>
      </c>
      <c r="Q11" s="87">
        <f>SUM(Q8:Q10)</f>
        <v>8755</v>
      </c>
      <c r="R11" s="151">
        <f t="shared" si="2"/>
        <v>16656</v>
      </c>
    </row>
    <row r="15" spans="1:18" ht="39" customHeight="1" x14ac:dyDescent="0.25">
      <c r="B15" s="510" t="s">
        <v>68</v>
      </c>
      <c r="C15" s="510"/>
      <c r="D15" s="510"/>
      <c r="E15" s="510"/>
      <c r="F15" s="510"/>
      <c r="G15" s="9"/>
      <c r="H15" s="510" t="s">
        <v>69</v>
      </c>
      <c r="I15" s="510"/>
      <c r="J15" s="510"/>
      <c r="K15" s="510"/>
      <c r="L15" s="510"/>
      <c r="N15" s="510" t="s">
        <v>70</v>
      </c>
      <c r="O15" s="510"/>
      <c r="P15" s="510"/>
      <c r="Q15" s="510"/>
      <c r="R15" s="510"/>
    </row>
    <row r="16" spans="1:18" x14ac:dyDescent="0.25">
      <c r="A16" s="10"/>
      <c r="B16" s="3" t="s">
        <v>71</v>
      </c>
      <c r="C16" s="9"/>
      <c r="D16" s="9"/>
      <c r="E16" s="9"/>
      <c r="F16" s="9"/>
      <c r="G16" s="10"/>
      <c r="H16" s="15" t="s">
        <v>71</v>
      </c>
      <c r="I16" s="9"/>
      <c r="J16" s="9"/>
      <c r="K16" s="9"/>
      <c r="L16" s="9"/>
      <c r="N16" s="15" t="s">
        <v>71</v>
      </c>
      <c r="O16" s="9"/>
      <c r="P16" s="9"/>
      <c r="Q16" s="9"/>
      <c r="R16" s="9"/>
    </row>
    <row r="17" spans="1:18" ht="15.75" thickBot="1" x14ac:dyDescent="0.3">
      <c r="A17" s="10"/>
      <c r="B17" s="88"/>
      <c r="C17" s="10"/>
      <c r="D17" s="93"/>
      <c r="E17" s="93"/>
      <c r="F17" s="10"/>
      <c r="G17" s="10"/>
      <c r="I17" s="10"/>
      <c r="J17" s="93"/>
      <c r="K17" s="93"/>
      <c r="L17" s="10"/>
    </row>
    <row r="18" spans="1:18" ht="15.75" thickBot="1" x14ac:dyDescent="0.3">
      <c r="B18" s="513" t="s">
        <v>72</v>
      </c>
      <c r="C18" s="94" t="s">
        <v>57</v>
      </c>
      <c r="D18" s="95" t="s">
        <v>73</v>
      </c>
      <c r="E18" s="96" t="s">
        <v>74</v>
      </c>
      <c r="F18" s="97" t="s">
        <v>75</v>
      </c>
      <c r="G18" s="10"/>
      <c r="H18" s="513" t="s">
        <v>72</v>
      </c>
      <c r="I18" s="98" t="s">
        <v>57</v>
      </c>
      <c r="J18" s="95" t="s">
        <v>73</v>
      </c>
      <c r="K18" s="96" t="s">
        <v>74</v>
      </c>
      <c r="L18" s="97" t="s">
        <v>75</v>
      </c>
      <c r="N18" s="513" t="s">
        <v>72</v>
      </c>
      <c r="O18" s="99" t="s">
        <v>57</v>
      </c>
      <c r="P18" s="100" t="s">
        <v>73</v>
      </c>
      <c r="Q18" s="101" t="s">
        <v>74</v>
      </c>
      <c r="R18" s="102" t="s">
        <v>75</v>
      </c>
    </row>
    <row r="19" spans="1:18" x14ac:dyDescent="0.25">
      <c r="B19" s="514"/>
      <c r="C19" s="103">
        <v>2008</v>
      </c>
      <c r="D19" s="104">
        <v>107640</v>
      </c>
      <c r="E19" s="105">
        <v>31722</v>
      </c>
      <c r="F19" s="106">
        <f t="shared" ref="F19:F25" si="3">SUM(D19:E19)</f>
        <v>139362</v>
      </c>
      <c r="G19" s="10"/>
      <c r="H19" s="514"/>
      <c r="I19" s="107">
        <v>2008</v>
      </c>
      <c r="J19" s="104">
        <v>88629</v>
      </c>
      <c r="K19" s="105">
        <v>26452</v>
      </c>
      <c r="L19" s="106">
        <f>SUM(J19:K19)</f>
        <v>115081</v>
      </c>
      <c r="N19" s="514"/>
      <c r="O19" s="108">
        <v>2008</v>
      </c>
      <c r="P19" s="109">
        <v>18804</v>
      </c>
      <c r="Q19" s="110">
        <v>5186</v>
      </c>
      <c r="R19" s="111">
        <v>23990</v>
      </c>
    </row>
    <row r="20" spans="1:18" x14ac:dyDescent="0.25">
      <c r="B20" s="514"/>
      <c r="C20" s="112">
        <v>2009</v>
      </c>
      <c r="D20" s="113">
        <v>256079</v>
      </c>
      <c r="E20" s="114">
        <v>148361</v>
      </c>
      <c r="F20" s="115">
        <f t="shared" si="3"/>
        <v>404440</v>
      </c>
      <c r="G20" s="10"/>
      <c r="H20" s="514"/>
      <c r="I20" s="116">
        <v>2009</v>
      </c>
      <c r="J20" s="113">
        <v>225147</v>
      </c>
      <c r="K20" s="114">
        <v>140811</v>
      </c>
      <c r="L20" s="115">
        <f t="shared" ref="L20:L32" si="4">SUM(J20:K20)</f>
        <v>365958</v>
      </c>
      <c r="N20" s="514"/>
      <c r="O20" s="116">
        <v>2009</v>
      </c>
      <c r="P20" s="113">
        <v>30542</v>
      </c>
      <c r="Q20" s="117">
        <v>7415</v>
      </c>
      <c r="R20" s="115">
        <v>37957</v>
      </c>
    </row>
    <row r="21" spans="1:18" x14ac:dyDescent="0.25">
      <c r="B21" s="514"/>
      <c r="C21" s="112">
        <v>2010</v>
      </c>
      <c r="D21" s="113">
        <v>152798</v>
      </c>
      <c r="E21" s="114">
        <v>92877</v>
      </c>
      <c r="F21" s="115">
        <f t="shared" si="3"/>
        <v>245675</v>
      </c>
      <c r="G21" s="10"/>
      <c r="H21" s="514"/>
      <c r="I21" s="116">
        <v>2010</v>
      </c>
      <c r="J21" s="113">
        <v>119671</v>
      </c>
      <c r="K21" s="114">
        <v>77499</v>
      </c>
      <c r="L21" s="115">
        <f t="shared" si="4"/>
        <v>197170</v>
      </c>
      <c r="N21" s="514"/>
      <c r="O21" s="116">
        <v>2010</v>
      </c>
      <c r="P21" s="113">
        <v>32361</v>
      </c>
      <c r="Q21" s="117">
        <v>14916</v>
      </c>
      <c r="R21" s="115">
        <v>47277</v>
      </c>
    </row>
    <row r="22" spans="1:18" x14ac:dyDescent="0.25">
      <c r="B22" s="514"/>
      <c r="C22" s="112">
        <v>2011</v>
      </c>
      <c r="D22" s="113">
        <v>123376</v>
      </c>
      <c r="E22" s="114">
        <v>71415</v>
      </c>
      <c r="F22" s="115">
        <f t="shared" si="3"/>
        <v>194791</v>
      </c>
      <c r="G22" s="10"/>
      <c r="H22" s="514"/>
      <c r="I22" s="116">
        <v>2011</v>
      </c>
      <c r="J22" s="113">
        <v>84838</v>
      </c>
      <c r="K22" s="114">
        <v>54466</v>
      </c>
      <c r="L22" s="115">
        <f t="shared" si="4"/>
        <v>139304</v>
      </c>
      <c r="N22" s="514"/>
      <c r="O22" s="116">
        <v>2011</v>
      </c>
      <c r="P22" s="113">
        <v>37699</v>
      </c>
      <c r="Q22" s="117">
        <v>16497</v>
      </c>
      <c r="R22" s="115">
        <v>54196</v>
      </c>
    </row>
    <row r="23" spans="1:18" x14ac:dyDescent="0.25">
      <c r="B23" s="514"/>
      <c r="C23" s="112">
        <v>2012</v>
      </c>
      <c r="D23" s="113">
        <v>118771</v>
      </c>
      <c r="E23" s="114">
        <v>73499</v>
      </c>
      <c r="F23" s="115">
        <f t="shared" si="3"/>
        <v>192270</v>
      </c>
      <c r="G23" s="10"/>
      <c r="H23" s="514"/>
      <c r="I23" s="116">
        <v>2012</v>
      </c>
      <c r="J23" s="113">
        <v>95751</v>
      </c>
      <c r="K23" s="114">
        <v>64376</v>
      </c>
      <c r="L23" s="115">
        <f t="shared" si="4"/>
        <v>160127</v>
      </c>
      <c r="N23" s="514"/>
      <c r="O23" s="116">
        <v>2012</v>
      </c>
      <c r="P23" s="113">
        <v>22288</v>
      </c>
      <c r="Q23" s="117">
        <v>8812</v>
      </c>
      <c r="R23" s="115">
        <v>31100</v>
      </c>
    </row>
    <row r="24" spans="1:18" x14ac:dyDescent="0.25">
      <c r="B24" s="514"/>
      <c r="C24" s="112">
        <v>2013</v>
      </c>
      <c r="D24" s="113">
        <v>82046</v>
      </c>
      <c r="E24" s="114">
        <v>51988</v>
      </c>
      <c r="F24" s="115">
        <f t="shared" si="3"/>
        <v>134034</v>
      </c>
      <c r="G24" s="10"/>
      <c r="H24" s="514"/>
      <c r="I24" s="116">
        <v>2013</v>
      </c>
      <c r="J24" s="113">
        <v>65748</v>
      </c>
      <c r="K24" s="114">
        <v>44360</v>
      </c>
      <c r="L24" s="115">
        <f t="shared" si="4"/>
        <v>110108</v>
      </c>
      <c r="N24" s="514"/>
      <c r="O24" s="116">
        <v>2013</v>
      </c>
      <c r="P24" s="113">
        <v>15792</v>
      </c>
      <c r="Q24" s="117">
        <v>7374</v>
      </c>
      <c r="R24" s="115">
        <v>23166</v>
      </c>
    </row>
    <row r="25" spans="1:18" x14ac:dyDescent="0.25">
      <c r="B25" s="514"/>
      <c r="C25" s="112">
        <v>2014</v>
      </c>
      <c r="D25" s="113">
        <v>92858</v>
      </c>
      <c r="E25" s="114">
        <v>58706</v>
      </c>
      <c r="F25" s="115">
        <f t="shared" si="3"/>
        <v>151564</v>
      </c>
      <c r="G25" s="10"/>
      <c r="H25" s="514"/>
      <c r="I25" s="116">
        <v>2014</v>
      </c>
      <c r="J25" s="113">
        <v>70004</v>
      </c>
      <c r="K25" s="114">
        <v>47881</v>
      </c>
      <c r="L25" s="115">
        <f t="shared" si="4"/>
        <v>117885</v>
      </c>
      <c r="N25" s="514"/>
      <c r="O25" s="116">
        <v>2014</v>
      </c>
      <c r="P25" s="113">
        <v>22698</v>
      </c>
      <c r="Q25" s="117">
        <v>10710</v>
      </c>
      <c r="R25" s="115">
        <v>33408</v>
      </c>
    </row>
    <row r="26" spans="1:18" x14ac:dyDescent="0.25">
      <c r="B26" s="514"/>
      <c r="C26" s="112">
        <v>2015</v>
      </c>
      <c r="D26" s="113">
        <v>86238</v>
      </c>
      <c r="E26" s="114">
        <v>54740</v>
      </c>
      <c r="F26" s="115">
        <f>SUM(D26:E26)</f>
        <v>140978</v>
      </c>
      <c r="G26" s="10"/>
      <c r="H26" s="514"/>
      <c r="I26" s="116">
        <v>2015</v>
      </c>
      <c r="J26" s="113">
        <v>65990</v>
      </c>
      <c r="K26" s="114">
        <v>45355</v>
      </c>
      <c r="L26" s="115">
        <f t="shared" si="4"/>
        <v>111345</v>
      </c>
      <c r="N26" s="514"/>
      <c r="O26" s="116">
        <v>2015</v>
      </c>
      <c r="P26" s="113">
        <v>20102</v>
      </c>
      <c r="Q26" s="117">
        <v>9307</v>
      </c>
      <c r="R26" s="115">
        <v>29409</v>
      </c>
    </row>
    <row r="27" spans="1:18" x14ac:dyDescent="0.25">
      <c r="B27" s="514"/>
      <c r="C27" s="112">
        <v>2016</v>
      </c>
      <c r="D27" s="113">
        <v>86383</v>
      </c>
      <c r="E27" s="114">
        <v>52405</v>
      </c>
      <c r="F27" s="115">
        <f t="shared" ref="F27:F33" si="5">SUM(D27:E27)</f>
        <v>138788</v>
      </c>
      <c r="G27" s="10"/>
      <c r="H27" s="514"/>
      <c r="I27" s="116">
        <v>2016</v>
      </c>
      <c r="J27" s="113">
        <v>64506</v>
      </c>
      <c r="K27" s="114">
        <v>42193</v>
      </c>
      <c r="L27" s="115">
        <f t="shared" si="4"/>
        <v>106699</v>
      </c>
      <c r="N27" s="514"/>
      <c r="O27" s="116">
        <v>2016</v>
      </c>
      <c r="P27" s="113">
        <v>21719</v>
      </c>
      <c r="Q27" s="117">
        <v>10118</v>
      </c>
      <c r="R27" s="115">
        <v>31837</v>
      </c>
    </row>
    <row r="28" spans="1:18" x14ac:dyDescent="0.25">
      <c r="B28" s="514"/>
      <c r="C28" s="112">
        <v>2017</v>
      </c>
      <c r="D28" s="113">
        <v>95362</v>
      </c>
      <c r="E28" s="114">
        <v>61704</v>
      </c>
      <c r="F28" s="115">
        <f t="shared" si="5"/>
        <v>157066</v>
      </c>
      <c r="G28" s="10"/>
      <c r="H28" s="514"/>
      <c r="I28" s="116">
        <v>2017</v>
      </c>
      <c r="J28" s="113">
        <v>72374</v>
      </c>
      <c r="K28" s="114">
        <v>50736</v>
      </c>
      <c r="L28" s="115">
        <f t="shared" si="4"/>
        <v>123110</v>
      </c>
      <c r="N28" s="514"/>
      <c r="O28" s="116">
        <v>2017</v>
      </c>
      <c r="P28" s="113">
        <v>22804</v>
      </c>
      <c r="Q28" s="117">
        <v>10855</v>
      </c>
      <c r="R28" s="115">
        <v>33659</v>
      </c>
    </row>
    <row r="29" spans="1:18" x14ac:dyDescent="0.25">
      <c r="B29" s="514"/>
      <c r="C29" s="112">
        <v>2018</v>
      </c>
      <c r="D29" s="113">
        <v>107375</v>
      </c>
      <c r="E29" s="114">
        <v>71026</v>
      </c>
      <c r="F29" s="115">
        <f t="shared" si="5"/>
        <v>178401</v>
      </c>
      <c r="G29" s="10"/>
      <c r="H29" s="514"/>
      <c r="I29" s="116">
        <v>2018</v>
      </c>
      <c r="J29" s="113">
        <v>91770</v>
      </c>
      <c r="K29" s="114">
        <v>65379</v>
      </c>
      <c r="L29" s="115">
        <f t="shared" si="4"/>
        <v>157149</v>
      </c>
      <c r="N29" s="514"/>
      <c r="O29" s="116">
        <v>2018</v>
      </c>
      <c r="P29" s="113">
        <v>15382</v>
      </c>
      <c r="Q29" s="117">
        <v>5540</v>
      </c>
      <c r="R29" s="115">
        <v>20922</v>
      </c>
    </row>
    <row r="30" spans="1:18" x14ac:dyDescent="0.25">
      <c r="B30" s="514"/>
      <c r="C30" s="112">
        <v>2019</v>
      </c>
      <c r="D30" s="113">
        <v>98722</v>
      </c>
      <c r="E30" s="114">
        <v>66590</v>
      </c>
      <c r="F30" s="115">
        <f t="shared" si="5"/>
        <v>165312</v>
      </c>
      <c r="G30" s="10"/>
      <c r="H30" s="514"/>
      <c r="I30" s="116">
        <v>2019</v>
      </c>
      <c r="J30" s="113">
        <v>83709</v>
      </c>
      <c r="K30" s="114">
        <v>61500</v>
      </c>
      <c r="L30" s="115">
        <f t="shared" si="4"/>
        <v>145209</v>
      </c>
      <c r="N30" s="514"/>
      <c r="O30" s="116">
        <v>2019</v>
      </c>
      <c r="P30" s="113">
        <v>14748</v>
      </c>
      <c r="Q30" s="117">
        <v>4976</v>
      </c>
      <c r="R30" s="115">
        <v>19724</v>
      </c>
    </row>
    <row r="31" spans="1:18" x14ac:dyDescent="0.25">
      <c r="B31" s="514"/>
      <c r="C31" s="112">
        <v>2020</v>
      </c>
      <c r="D31" s="113">
        <v>126382</v>
      </c>
      <c r="E31" s="114">
        <v>93427</v>
      </c>
      <c r="F31" s="115">
        <f t="shared" si="5"/>
        <v>219809</v>
      </c>
      <c r="G31" s="10"/>
      <c r="H31" s="514"/>
      <c r="I31" s="116">
        <v>2020</v>
      </c>
      <c r="J31" s="113">
        <v>107846</v>
      </c>
      <c r="K31" s="114">
        <v>85846</v>
      </c>
      <c r="L31" s="115">
        <f t="shared" si="4"/>
        <v>193692</v>
      </c>
      <c r="N31" s="514"/>
      <c r="O31" s="116">
        <v>2020</v>
      </c>
      <c r="P31" s="113">
        <v>18220</v>
      </c>
      <c r="Q31" s="117">
        <v>7384</v>
      </c>
      <c r="R31" s="115">
        <v>25604</v>
      </c>
    </row>
    <row r="32" spans="1:18" x14ac:dyDescent="0.25">
      <c r="B32" s="514"/>
      <c r="C32" s="112">
        <v>2021</v>
      </c>
      <c r="D32" s="113">
        <v>165351</v>
      </c>
      <c r="E32" s="114">
        <v>114859</v>
      </c>
      <c r="F32" s="115">
        <f t="shared" si="5"/>
        <v>280210</v>
      </c>
      <c r="G32" s="10"/>
      <c r="H32" s="514"/>
      <c r="I32" s="116">
        <v>2021</v>
      </c>
      <c r="J32" s="113">
        <v>133904</v>
      </c>
      <c r="K32" s="114">
        <v>103140</v>
      </c>
      <c r="L32" s="115">
        <f t="shared" si="4"/>
        <v>237044</v>
      </c>
      <c r="N32" s="514"/>
      <c r="O32" s="116">
        <v>2021</v>
      </c>
      <c r="P32" s="113">
        <v>30908</v>
      </c>
      <c r="Q32" s="117">
        <v>11467</v>
      </c>
      <c r="R32" s="115">
        <v>42375</v>
      </c>
    </row>
    <row r="33" spans="1:23" ht="15.75" thickBot="1" x14ac:dyDescent="0.3">
      <c r="B33" s="514"/>
      <c r="C33" s="118">
        <v>2022</v>
      </c>
      <c r="D33" s="119">
        <v>331479</v>
      </c>
      <c r="E33" s="120">
        <v>322108</v>
      </c>
      <c r="F33" s="121">
        <f t="shared" si="5"/>
        <v>653587</v>
      </c>
      <c r="G33" s="10"/>
      <c r="H33" s="514"/>
      <c r="I33" s="122">
        <v>2022</v>
      </c>
      <c r="J33" s="119">
        <v>242068</v>
      </c>
      <c r="K33" s="120">
        <v>240971</v>
      </c>
      <c r="L33" s="121">
        <f>SUM(J33:K33)</f>
        <v>483039</v>
      </c>
      <c r="N33" s="514"/>
      <c r="O33" s="116">
        <v>2022</v>
      </c>
      <c r="P33" s="113">
        <v>50840</v>
      </c>
      <c r="Q33" s="117">
        <v>52551</v>
      </c>
      <c r="R33" s="115">
        <v>103391</v>
      </c>
    </row>
    <row r="34" spans="1:23" ht="15.75" thickBot="1" x14ac:dyDescent="0.3">
      <c r="A34" s="123"/>
      <c r="B34" s="515"/>
      <c r="C34" s="122" t="s">
        <v>25</v>
      </c>
      <c r="D34" s="119">
        <f>SUM(D19:D33)</f>
        <v>2030860</v>
      </c>
      <c r="E34" s="124">
        <f>SUM(E19:E33)</f>
        <v>1365427</v>
      </c>
      <c r="F34" s="121">
        <f t="shared" ref="F34" si="6">SUM(F19:F33)</f>
        <v>3396287</v>
      </c>
      <c r="G34" s="10"/>
      <c r="H34" s="515"/>
      <c r="I34" s="122" t="s">
        <v>25</v>
      </c>
      <c r="J34" s="119">
        <f>SUM(J19:J33)</f>
        <v>1611955</v>
      </c>
      <c r="K34" s="124">
        <f>SUM(K19:K33)</f>
        <v>1150965</v>
      </c>
      <c r="L34" s="121">
        <f t="shared" ref="L34" si="7">SUM(L19:L33)</f>
        <v>2762920</v>
      </c>
      <c r="M34" s="5"/>
      <c r="N34" s="515"/>
      <c r="O34" s="122" t="s">
        <v>25</v>
      </c>
      <c r="P34" s="119">
        <f>SUM(P19:P33)</f>
        <v>374907</v>
      </c>
      <c r="Q34" s="124">
        <f t="shared" ref="Q34:R34" si="8">SUM(Q19:Q33)</f>
        <v>183108</v>
      </c>
      <c r="R34" s="121">
        <f t="shared" si="8"/>
        <v>558015</v>
      </c>
    </row>
    <row r="35" spans="1:23" x14ac:dyDescent="0.25">
      <c r="B35" s="5"/>
      <c r="G35" s="10"/>
      <c r="H35" s="10"/>
      <c r="M35" s="14"/>
    </row>
    <row r="36" spans="1:23" ht="18" customHeight="1" x14ac:dyDescent="0.25">
      <c r="B36" s="5" t="s">
        <v>17</v>
      </c>
      <c r="T36" s="512"/>
      <c r="U36" s="512"/>
      <c r="V36" s="512"/>
      <c r="W36" s="512"/>
    </row>
    <row r="37" spans="1:23" ht="14.45" customHeight="1" x14ac:dyDescent="0.25">
      <c r="B37" s="445" t="s">
        <v>76</v>
      </c>
      <c r="C37" s="445"/>
      <c r="D37" s="445"/>
      <c r="E37" s="445"/>
      <c r="F37" s="445"/>
      <c r="G37" s="445"/>
      <c r="H37" s="445"/>
      <c r="I37" s="445"/>
      <c r="J37" s="445"/>
      <c r="K37" s="445"/>
      <c r="L37" s="445"/>
      <c r="M37" s="445"/>
      <c r="N37" s="445"/>
      <c r="O37" s="445"/>
      <c r="P37" s="445"/>
      <c r="Q37" s="445"/>
      <c r="R37" s="445"/>
      <c r="T37" s="512"/>
      <c r="U37" s="512"/>
      <c r="V37" s="512"/>
      <c r="W37" s="512"/>
    </row>
    <row r="38" spans="1:23" x14ac:dyDescent="0.25">
      <c r="B38" s="445"/>
      <c r="C38" s="445"/>
      <c r="D38" s="445"/>
      <c r="E38" s="445"/>
      <c r="F38" s="445"/>
      <c r="G38" s="445"/>
      <c r="H38" s="445"/>
      <c r="I38" s="445"/>
      <c r="J38" s="445"/>
      <c r="K38" s="445"/>
      <c r="L38" s="445"/>
      <c r="M38" s="445"/>
      <c r="N38" s="445"/>
      <c r="O38" s="445"/>
      <c r="P38" s="445"/>
      <c r="Q38" s="445"/>
      <c r="R38" s="445"/>
      <c r="T38" s="512"/>
      <c r="U38" s="512"/>
      <c r="V38" s="512"/>
      <c r="W38" s="512"/>
    </row>
    <row r="39" spans="1:23" x14ac:dyDescent="0.25">
      <c r="B39" s="445"/>
      <c r="C39" s="445"/>
      <c r="D39" s="445"/>
      <c r="E39" s="445"/>
      <c r="F39" s="445"/>
      <c r="G39" s="445"/>
      <c r="H39" s="445"/>
      <c r="I39" s="445"/>
      <c r="J39" s="445"/>
      <c r="K39" s="445"/>
      <c r="L39" s="445"/>
      <c r="M39" s="445"/>
      <c r="N39" s="445"/>
      <c r="O39" s="445"/>
      <c r="P39" s="445"/>
      <c r="Q39" s="445"/>
      <c r="R39" s="445"/>
      <c r="T39" s="512"/>
      <c r="U39" s="512"/>
      <c r="V39" s="512"/>
      <c r="W39" s="512"/>
    </row>
    <row r="40" spans="1:23" x14ac:dyDescent="0.25">
      <c r="B40" s="445"/>
      <c r="C40" s="445"/>
      <c r="D40" s="445"/>
      <c r="E40" s="445"/>
      <c r="F40" s="445"/>
      <c r="G40" s="445"/>
      <c r="H40" s="445"/>
      <c r="I40" s="445"/>
      <c r="J40" s="445"/>
      <c r="K40" s="445"/>
      <c r="L40" s="445"/>
      <c r="M40" s="445"/>
      <c r="N40" s="445"/>
      <c r="O40" s="445"/>
      <c r="P40" s="445"/>
      <c r="Q40" s="445"/>
      <c r="R40" s="445"/>
    </row>
    <row r="41" spans="1:23" x14ac:dyDescent="0.25">
      <c r="B41" s="445"/>
      <c r="C41" s="445"/>
      <c r="D41" s="445"/>
      <c r="E41" s="445"/>
      <c r="F41" s="445"/>
      <c r="G41" s="445"/>
      <c r="H41" s="445"/>
      <c r="I41" s="445"/>
      <c r="J41" s="445"/>
      <c r="K41" s="445"/>
      <c r="L41" s="445"/>
      <c r="M41" s="445"/>
      <c r="N41" s="445"/>
      <c r="O41" s="445"/>
      <c r="P41" s="445"/>
      <c r="Q41" s="445"/>
      <c r="R41" s="445"/>
    </row>
  </sheetData>
  <mergeCells count="14">
    <mergeCell ref="T36:W39"/>
    <mergeCell ref="B37:R41"/>
    <mergeCell ref="B15:F15"/>
    <mergeCell ref="H15:L15"/>
    <mergeCell ref="N15:R15"/>
    <mergeCell ref="B18:B34"/>
    <mergeCell ref="H18:H34"/>
    <mergeCell ref="N18:N34"/>
    <mergeCell ref="B4:F4"/>
    <mergeCell ref="H4:L4"/>
    <mergeCell ref="N4:R4"/>
    <mergeCell ref="B7:B11"/>
    <mergeCell ref="H7:H11"/>
    <mergeCell ref="N7:N11"/>
  </mergeCells>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3F428-636F-4A03-99A7-7565CD3EEBB5}">
  <dimension ref="B1:P36"/>
  <sheetViews>
    <sheetView workbookViewId="0"/>
  </sheetViews>
  <sheetFormatPr baseColWidth="10" defaultColWidth="10" defaultRowHeight="15" x14ac:dyDescent="0.25"/>
  <cols>
    <col min="1" max="1" width="5" style="7" customWidth="1"/>
    <col min="2" max="2" width="21.140625" style="7" customWidth="1"/>
    <col min="3" max="3" width="10" style="7"/>
    <col min="4" max="4" width="28.7109375" style="7" customWidth="1"/>
    <col min="5" max="5" width="10" style="7"/>
    <col min="6" max="6" width="12" style="7" customWidth="1"/>
    <col min="7" max="8" width="10" style="7"/>
    <col min="9" max="9" width="18" style="7" customWidth="1"/>
    <col min="10" max="10" width="27.7109375" style="7" customWidth="1"/>
    <col min="11" max="11" width="14.140625" style="7" customWidth="1"/>
    <col min="12" max="16384" width="10" style="7"/>
  </cols>
  <sheetData>
    <row r="1" spans="2:16" ht="20.45" customHeight="1" x14ac:dyDescent="0.25"/>
    <row r="2" spans="2:16" ht="23.25" x14ac:dyDescent="0.25">
      <c r="B2" s="1" t="s">
        <v>77</v>
      </c>
      <c r="C2" s="126"/>
      <c r="D2" s="126"/>
      <c r="E2" s="126"/>
      <c r="F2" s="126"/>
      <c r="G2" s="126"/>
      <c r="H2" s="126"/>
      <c r="I2" s="126"/>
      <c r="J2" s="126"/>
      <c r="K2" s="126"/>
      <c r="L2" s="126"/>
      <c r="M2" s="126"/>
      <c r="N2" s="127"/>
      <c r="O2" s="127"/>
      <c r="P2" s="127"/>
    </row>
    <row r="3" spans="2:16" x14ac:dyDescent="0.25">
      <c r="B3" s="15" t="s">
        <v>78</v>
      </c>
    </row>
    <row r="5" spans="2:16" ht="20.45" customHeight="1" x14ac:dyDescent="0.25">
      <c r="B5" s="517" t="s">
        <v>79</v>
      </c>
      <c r="C5" s="517"/>
      <c r="D5" s="517"/>
      <c r="E5" s="517"/>
      <c r="F5" s="517"/>
      <c r="G5" s="128"/>
      <c r="H5" s="128"/>
      <c r="I5" s="518" t="s">
        <v>80</v>
      </c>
      <c r="J5" s="518"/>
      <c r="K5" s="518"/>
    </row>
    <row r="6" spans="2:16" x14ac:dyDescent="0.25">
      <c r="B6" s="129"/>
      <c r="C6" s="129"/>
      <c r="D6" s="129"/>
      <c r="E6" s="129"/>
      <c r="F6" s="129"/>
    </row>
    <row r="7" spans="2:16" ht="45" x14ac:dyDescent="0.25">
      <c r="B7" s="130" t="s">
        <v>81</v>
      </c>
      <c r="C7" s="130" t="s">
        <v>82</v>
      </c>
      <c r="D7" s="130" t="s">
        <v>83</v>
      </c>
      <c r="E7" s="130" t="s">
        <v>84</v>
      </c>
      <c r="F7" s="130" t="s">
        <v>85</v>
      </c>
      <c r="I7" s="130" t="s">
        <v>81</v>
      </c>
      <c r="J7" s="130" t="s">
        <v>83</v>
      </c>
      <c r="K7" s="130" t="s">
        <v>86</v>
      </c>
    </row>
    <row r="8" spans="2:16" ht="30" x14ac:dyDescent="0.25">
      <c r="B8" s="131" t="s">
        <v>87</v>
      </c>
      <c r="C8" s="132" t="s">
        <v>88</v>
      </c>
      <c r="D8" s="132" t="s">
        <v>89</v>
      </c>
      <c r="E8" s="133">
        <v>70000</v>
      </c>
      <c r="F8" s="133">
        <v>60000</v>
      </c>
      <c r="I8" s="134" t="s">
        <v>90</v>
      </c>
      <c r="J8" s="132" t="s">
        <v>91</v>
      </c>
      <c r="K8" s="133">
        <v>193935</v>
      </c>
    </row>
    <row r="9" spans="2:16" ht="30" x14ac:dyDescent="0.25">
      <c r="B9" s="131" t="s">
        <v>92</v>
      </c>
      <c r="C9" s="132" t="s">
        <v>88</v>
      </c>
      <c r="D9" s="132" t="s">
        <v>93</v>
      </c>
      <c r="E9" s="133">
        <v>120000</v>
      </c>
      <c r="F9" s="133">
        <v>75000</v>
      </c>
      <c r="I9" s="134" t="s">
        <v>94</v>
      </c>
      <c r="J9" s="132" t="s">
        <v>91</v>
      </c>
      <c r="K9" s="133">
        <v>206173</v>
      </c>
    </row>
    <row r="10" spans="2:16" ht="30" x14ac:dyDescent="0.25">
      <c r="B10" s="131" t="s">
        <v>95</v>
      </c>
      <c r="C10" s="132" t="s">
        <v>88</v>
      </c>
      <c r="D10" s="132" t="s">
        <v>96</v>
      </c>
      <c r="E10" s="133">
        <v>150000</v>
      </c>
      <c r="F10" s="133">
        <v>75000</v>
      </c>
      <c r="I10" s="134" t="s">
        <v>97</v>
      </c>
      <c r="J10" s="132" t="s">
        <v>98</v>
      </c>
      <c r="K10" s="133">
        <v>206173</v>
      </c>
    </row>
    <row r="11" spans="2:16" ht="30" x14ac:dyDescent="0.25">
      <c r="B11" s="131" t="s">
        <v>99</v>
      </c>
      <c r="C11" s="132" t="s">
        <v>88</v>
      </c>
      <c r="D11" s="132" t="s">
        <v>100</v>
      </c>
      <c r="E11" s="133">
        <v>200000</v>
      </c>
      <c r="F11" s="133">
        <v>75840</v>
      </c>
      <c r="I11" s="135" t="s">
        <v>101</v>
      </c>
    </row>
    <row r="12" spans="2:16" ht="30" x14ac:dyDescent="0.25">
      <c r="B12" s="131" t="s">
        <v>102</v>
      </c>
      <c r="C12" s="132" t="s">
        <v>88</v>
      </c>
      <c r="D12" s="132" t="s">
        <v>103</v>
      </c>
      <c r="E12" s="133">
        <v>255000</v>
      </c>
      <c r="F12" s="133">
        <v>78449</v>
      </c>
    </row>
    <row r="13" spans="2:16" ht="30" x14ac:dyDescent="0.25">
      <c r="B13" s="131" t="s">
        <v>104</v>
      </c>
      <c r="C13" s="132" t="s">
        <v>88</v>
      </c>
      <c r="D13" s="132" t="s">
        <v>103</v>
      </c>
      <c r="E13" s="133">
        <v>261758</v>
      </c>
      <c r="F13" s="133">
        <v>80528</v>
      </c>
    </row>
    <row r="14" spans="2:16" ht="30" x14ac:dyDescent="0.25">
      <c r="B14" s="131" t="s">
        <v>105</v>
      </c>
      <c r="C14" s="132" t="s">
        <v>88</v>
      </c>
      <c r="D14" s="132" t="s">
        <v>103</v>
      </c>
      <c r="E14" s="133">
        <v>266731</v>
      </c>
      <c r="F14" s="133">
        <v>82058</v>
      </c>
    </row>
    <row r="15" spans="2:16" ht="30" x14ac:dyDescent="0.25">
      <c r="B15" s="131" t="s">
        <v>106</v>
      </c>
      <c r="C15" s="132" t="s">
        <v>88</v>
      </c>
      <c r="D15" s="132" t="s">
        <v>103</v>
      </c>
      <c r="E15" s="133">
        <v>279427</v>
      </c>
      <c r="F15" s="133">
        <v>85964</v>
      </c>
    </row>
    <row r="16" spans="2:16" ht="30" x14ac:dyDescent="0.25">
      <c r="B16" s="131" t="s">
        <v>107</v>
      </c>
      <c r="C16" s="132" t="s">
        <v>88</v>
      </c>
      <c r="D16" s="132" t="s">
        <v>103</v>
      </c>
      <c r="E16" s="133">
        <v>291778</v>
      </c>
      <c r="F16" s="133">
        <v>89764</v>
      </c>
    </row>
    <row r="17" spans="2:6" ht="30" x14ac:dyDescent="0.25">
      <c r="B17" s="131" t="s">
        <v>108</v>
      </c>
      <c r="C17" s="132" t="s">
        <v>88</v>
      </c>
      <c r="D17" s="132" t="s">
        <v>103</v>
      </c>
      <c r="E17" s="133">
        <v>304062</v>
      </c>
      <c r="F17" s="133">
        <v>93543</v>
      </c>
    </row>
    <row r="18" spans="2:6" ht="30" x14ac:dyDescent="0.25">
      <c r="B18" s="131" t="s">
        <v>109</v>
      </c>
      <c r="C18" s="132" t="s">
        <v>88</v>
      </c>
      <c r="D18" s="132" t="s">
        <v>103</v>
      </c>
      <c r="E18" s="133">
        <v>304062</v>
      </c>
      <c r="F18" s="133">
        <v>102897</v>
      </c>
    </row>
    <row r="19" spans="2:6" ht="30" x14ac:dyDescent="0.25">
      <c r="B19" s="131" t="s">
        <v>110</v>
      </c>
      <c r="C19" s="132" t="s">
        <v>88</v>
      </c>
      <c r="D19" s="132" t="s">
        <v>103</v>
      </c>
      <c r="E19" s="133">
        <v>309231</v>
      </c>
      <c r="F19" s="133">
        <v>104646</v>
      </c>
    </row>
    <row r="20" spans="2:6" ht="30" x14ac:dyDescent="0.25">
      <c r="B20" s="131" t="s">
        <v>111</v>
      </c>
      <c r="C20" s="132" t="s">
        <v>88</v>
      </c>
      <c r="D20" s="132" t="s">
        <v>103</v>
      </c>
      <c r="E20" s="133">
        <v>317085</v>
      </c>
      <c r="F20" s="133">
        <v>107304</v>
      </c>
    </row>
    <row r="21" spans="2:6" ht="30" x14ac:dyDescent="0.25">
      <c r="B21" s="131" t="s">
        <v>112</v>
      </c>
      <c r="C21" s="132" t="s">
        <v>88</v>
      </c>
      <c r="D21" s="132" t="s">
        <v>103</v>
      </c>
      <c r="E21" s="133">
        <v>325656</v>
      </c>
      <c r="F21" s="133">
        <v>110201</v>
      </c>
    </row>
    <row r="22" spans="2:6" x14ac:dyDescent="0.25">
      <c r="B22" s="519" t="s">
        <v>113</v>
      </c>
      <c r="C22" s="132" t="s">
        <v>114</v>
      </c>
      <c r="D22" s="132" t="s">
        <v>103</v>
      </c>
      <c r="E22" s="133">
        <v>407058</v>
      </c>
      <c r="F22" s="133">
        <v>137751</v>
      </c>
    </row>
    <row r="23" spans="2:6" ht="30" x14ac:dyDescent="0.25">
      <c r="B23" s="520"/>
      <c r="C23" s="132" t="s">
        <v>115</v>
      </c>
      <c r="D23" s="132" t="s">
        <v>103</v>
      </c>
      <c r="E23" s="133">
        <v>423340</v>
      </c>
      <c r="F23" s="133">
        <v>143261</v>
      </c>
    </row>
    <row r="24" spans="2:6" x14ac:dyDescent="0.25">
      <c r="B24" s="521"/>
      <c r="C24" s="132" t="s">
        <v>116</v>
      </c>
      <c r="D24" s="132" t="s">
        <v>103</v>
      </c>
      <c r="E24" s="133">
        <v>488469</v>
      </c>
      <c r="F24" s="133">
        <v>165302</v>
      </c>
    </row>
    <row r="25" spans="2:6" x14ac:dyDescent="0.25">
      <c r="B25" s="516" t="s">
        <v>117</v>
      </c>
      <c r="C25" s="132" t="s">
        <v>114</v>
      </c>
      <c r="D25" s="132" t="s">
        <v>103</v>
      </c>
      <c r="E25" s="133">
        <v>417764</v>
      </c>
      <c r="F25" s="133">
        <v>141374</v>
      </c>
    </row>
    <row r="26" spans="2:6" ht="30" x14ac:dyDescent="0.25">
      <c r="B26" s="516"/>
      <c r="C26" s="132" t="s">
        <v>115</v>
      </c>
      <c r="D26" s="132" t="s">
        <v>103</v>
      </c>
      <c r="E26" s="133">
        <v>434474</v>
      </c>
      <c r="F26" s="133">
        <v>147029</v>
      </c>
    </row>
    <row r="27" spans="2:6" x14ac:dyDescent="0.25">
      <c r="B27" s="516"/>
      <c r="C27" s="132" t="s">
        <v>116</v>
      </c>
      <c r="D27" s="132" t="s">
        <v>103</v>
      </c>
      <c r="E27" s="133">
        <v>501316</v>
      </c>
      <c r="F27" s="133">
        <v>169649</v>
      </c>
    </row>
    <row r="28" spans="2:6" x14ac:dyDescent="0.25">
      <c r="B28" s="516" t="s">
        <v>118</v>
      </c>
      <c r="C28" s="132" t="s">
        <v>119</v>
      </c>
      <c r="D28" s="132" t="s">
        <v>103</v>
      </c>
      <c r="E28" s="133">
        <v>467894</v>
      </c>
      <c r="F28" s="133">
        <v>158339</v>
      </c>
    </row>
    <row r="29" spans="2:6" x14ac:dyDescent="0.25">
      <c r="B29" s="516"/>
      <c r="C29" s="132" t="s">
        <v>120</v>
      </c>
      <c r="D29" s="132" t="s">
        <v>103</v>
      </c>
      <c r="E29" s="133">
        <v>501316</v>
      </c>
      <c r="F29" s="133">
        <v>169649</v>
      </c>
    </row>
    <row r="30" spans="2:6" ht="21" customHeight="1" x14ac:dyDescent="0.25">
      <c r="B30" s="516" t="s">
        <v>121</v>
      </c>
      <c r="C30" s="132" t="s">
        <v>119</v>
      </c>
      <c r="D30" s="132" t="s">
        <v>103</v>
      </c>
      <c r="E30" s="133">
        <v>485674</v>
      </c>
      <c r="F30" s="133">
        <v>164356</v>
      </c>
    </row>
    <row r="31" spans="2:6" x14ac:dyDescent="0.25">
      <c r="B31" s="516"/>
      <c r="C31" s="132" t="s">
        <v>120</v>
      </c>
      <c r="D31" s="132" t="s">
        <v>103</v>
      </c>
      <c r="E31" s="133">
        <v>520366</v>
      </c>
      <c r="F31" s="133">
        <v>176096</v>
      </c>
    </row>
    <row r="32" spans="2:6" ht="30" x14ac:dyDescent="0.25">
      <c r="B32" s="131" t="s">
        <v>122</v>
      </c>
      <c r="C32" s="132" t="s">
        <v>88</v>
      </c>
      <c r="D32" s="132" t="s">
        <v>103</v>
      </c>
      <c r="E32" s="133">
        <v>520366</v>
      </c>
      <c r="F32" s="133">
        <v>176096</v>
      </c>
    </row>
    <row r="33" spans="2:6" ht="30" x14ac:dyDescent="0.25">
      <c r="B33" s="131" t="s">
        <v>123</v>
      </c>
      <c r="C33" s="132" t="s">
        <v>88</v>
      </c>
      <c r="D33" s="132" t="s">
        <v>103</v>
      </c>
      <c r="E33" s="133">
        <v>520366</v>
      </c>
      <c r="F33" s="133">
        <v>185000</v>
      </c>
    </row>
    <row r="34" spans="2:6" ht="30" x14ac:dyDescent="0.25">
      <c r="B34" s="131" t="s">
        <v>124</v>
      </c>
      <c r="C34" s="132" t="s">
        <v>88</v>
      </c>
      <c r="D34" s="132" t="s">
        <v>103</v>
      </c>
      <c r="E34" s="133">
        <v>573079</v>
      </c>
      <c r="F34" s="133">
        <v>193935</v>
      </c>
    </row>
    <row r="35" spans="2:6" ht="30" x14ac:dyDescent="0.25">
      <c r="B35" s="131" t="s">
        <v>125</v>
      </c>
      <c r="C35" s="132" t="s">
        <v>88</v>
      </c>
      <c r="D35" s="132" t="s">
        <v>103</v>
      </c>
      <c r="E35" s="133">
        <v>573079</v>
      </c>
      <c r="F35" s="133">
        <v>206173</v>
      </c>
    </row>
    <row r="36" spans="2:6" x14ac:dyDescent="0.25">
      <c r="B36" s="5" t="s">
        <v>101</v>
      </c>
    </row>
  </sheetData>
  <mergeCells count="6">
    <mergeCell ref="B30:B31"/>
    <mergeCell ref="B5:F5"/>
    <mergeCell ref="I5:K5"/>
    <mergeCell ref="B22:B24"/>
    <mergeCell ref="B25:B27"/>
    <mergeCell ref="B28:B29"/>
  </mergeCells>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32</vt:i4>
      </vt:variant>
    </vt:vector>
  </HeadingPairs>
  <TitlesOfParts>
    <vt:vector size="32" baseType="lpstr">
      <vt:lpstr>Indice General</vt:lpstr>
      <vt:lpstr>I. Beneficios pagados</vt:lpstr>
      <vt:lpstr>dinamica pgu</vt:lpstr>
      <vt:lpstr>N PBS</vt:lpstr>
      <vt:lpstr>MONTOS PBS</vt:lpstr>
      <vt:lpstr>1.1</vt:lpstr>
      <vt:lpstr>1.2</vt:lpstr>
      <vt:lpstr>1.3</vt:lpstr>
      <vt:lpstr>1.4</vt:lpstr>
      <vt:lpstr>DINAMICA APS</vt:lpstr>
      <vt:lpstr>1.5</vt:lpstr>
      <vt:lpstr>Hoja2</vt:lpstr>
      <vt:lpstr>1.6</vt:lpstr>
      <vt:lpstr>II. Estado de Solicitudes</vt:lpstr>
      <vt:lpstr>2.1</vt:lpstr>
      <vt:lpstr>Solicitudes_compl</vt:lpstr>
      <vt:lpstr>2.3</vt:lpstr>
      <vt:lpstr>2.2</vt:lpstr>
      <vt:lpstr>2.4</vt:lpstr>
      <vt:lpstr>2.5</vt:lpstr>
      <vt:lpstr>2.6</vt:lpstr>
      <vt:lpstr>III. Bono por hijo</vt:lpstr>
      <vt:lpstr>3.1</vt:lpstr>
      <vt:lpstr>IV. Subsidio STJ</vt:lpstr>
      <vt:lpstr>4.1</vt:lpstr>
      <vt:lpstr>4.2</vt:lpstr>
      <vt:lpstr>4.3</vt:lpstr>
      <vt:lpstr>Regiones</vt:lpstr>
      <vt:lpstr>Comunas</vt:lpstr>
      <vt:lpstr>Hoja2 (2)</vt:lpstr>
      <vt:lpstr>Por sexo</vt:lpstr>
      <vt:lpstr>Focalización y monto del benef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Constanza Morales Lavín</dc:creator>
  <cp:lastModifiedBy>Constanza Morales Lavín</cp:lastModifiedBy>
  <cp:lastPrinted>2023-05-19T19:08:08Z</cp:lastPrinted>
  <dcterms:created xsi:type="dcterms:W3CDTF">2023-05-09T16:34:00Z</dcterms:created>
  <dcterms:modified xsi:type="dcterms:W3CDTF">2024-04-02T19:09:04Z</dcterms:modified>
</cp:coreProperties>
</file>